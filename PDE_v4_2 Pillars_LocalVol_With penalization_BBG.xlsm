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039014B\Desktop\"/>
    </mc:Choice>
  </mc:AlternateContent>
  <xr:revisionPtr revIDLastSave="0" documentId="13_ncr:1_{8C88DF25-EA99-4670-B8DD-F3E0B59D4362}" xr6:coauthVersionLast="47" xr6:coauthVersionMax="47" xr10:uidLastSave="{00000000-0000-0000-0000-000000000000}"/>
  <bookViews>
    <workbookView xWindow="-120" yWindow="-120" windowWidth="21840" windowHeight="13140" tabRatio="839" activeTab="1" xr2:uid="{00000000-000D-0000-FFFF-FFFF00000000}"/>
  </bookViews>
  <sheets>
    <sheet name="Notes" sheetId="64" r:id="rId1"/>
    <sheet name="LV 1M" sheetId="39" r:id="rId2"/>
    <sheet name="LV 3M" sheetId="65" r:id="rId3"/>
    <sheet name="MC" sheetId="68" state="hidden" r:id="rId4"/>
    <sheet name="MYR-opt" sheetId="63" state="hidden" r:id="rId5"/>
  </sheets>
  <functionGroups builtInGroupCount="19"/>
  <externalReferences>
    <externalReference r:id="rId6"/>
  </externalReferences>
  <definedNames>
    <definedName name="solver_adj" localSheetId="1" hidden="1">'LV 1M'!$E$16:$E$22</definedName>
    <definedName name="solver_adj" localSheetId="2" hidden="1">'LV 3M'!$E$45:$E$51</definedName>
    <definedName name="solver_cvg" localSheetId="1" hidden="1">0.0001</definedName>
    <definedName name="solver_cvg" localSheetId="2" hidden="1">0.0001</definedName>
    <definedName name="solver_drv" localSheetId="1" hidden="1">2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'LV 1M'!$H$25</definedName>
    <definedName name="solver_opt" localSheetId="2" hidden="1">'LV 3M'!$H$54</definedName>
    <definedName name="solver_pre" localSheetId="1" hidden="1">0.000001</definedName>
    <definedName name="solver_pre" localSheetId="2" hidden="1">0.000001</definedName>
    <definedName name="solver_rbv" localSheetId="1" hidden="1">2</definedName>
    <definedName name="solver_rbv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2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39" l="1"/>
  <c r="D1" i="39"/>
  <c r="B49" i="39"/>
  <c r="B50" i="39"/>
  <c r="B51" i="39"/>
  <c r="B52" i="39"/>
  <c r="B48" i="39"/>
  <c r="E51" i="39" a="1"/>
  <c r="E49" i="39" a="1"/>
  <c r="E52" i="39" a="1"/>
  <c r="E50" i="39" a="1"/>
  <c r="E48" i="39" a="1"/>
  <c r="E50" i="39" l="1"/>
  <c r="E52" i="39"/>
  <c r="E49" i="39"/>
  <c r="E51" i="39"/>
  <c r="E48" i="39"/>
  <c r="M3" i="68" l="1"/>
  <c r="M4" i="68"/>
  <c r="M5" i="68"/>
  <c r="M6" i="68"/>
  <c r="M7" i="68"/>
  <c r="M8" i="68"/>
  <c r="M9" i="68"/>
  <c r="M10" i="68"/>
  <c r="M11" i="68"/>
  <c r="M12" i="68"/>
  <c r="M13" i="68"/>
  <c r="M14" i="68"/>
  <c r="M15" i="68"/>
  <c r="M16" i="68"/>
  <c r="M17" i="68"/>
  <c r="M18" i="68"/>
  <c r="M19" i="68"/>
  <c r="M20" i="68"/>
  <c r="M21" i="68"/>
  <c r="M2" i="68"/>
  <c r="G1" i="68" l="1"/>
  <c r="G2" i="68" l="1"/>
  <c r="K2" i="68" s="1"/>
  <c r="C5" i="68"/>
  <c r="C6" i="68"/>
  <c r="D6" i="68"/>
  <c r="C7" i="68"/>
  <c r="D7" i="68"/>
  <c r="C8" i="68"/>
  <c r="D8" i="68"/>
  <c r="C9" i="68"/>
  <c r="D9" i="68"/>
  <c r="C10" i="68"/>
  <c r="D10" i="68"/>
  <c r="C11" i="68"/>
  <c r="D11" i="68"/>
  <c r="C12" i="68"/>
  <c r="D12" i="68"/>
  <c r="D4" i="68"/>
  <c r="C4" i="68"/>
  <c r="A4" i="68"/>
  <c r="B4" i="68"/>
  <c r="B6" i="68"/>
  <c r="B7" i="68"/>
  <c r="B8" i="68"/>
  <c r="B9" i="68"/>
  <c r="B10" i="68"/>
  <c r="B11" i="68"/>
  <c r="B12" i="68"/>
  <c r="I59" i="65" l="1"/>
  <c r="I60" i="65"/>
  <c r="I61" i="65"/>
  <c r="I62" i="65"/>
  <c r="I63" i="65"/>
  <c r="I64" i="65"/>
  <c r="I58" i="65"/>
  <c r="H31" i="65"/>
  <c r="H32" i="65"/>
  <c r="H33" i="65"/>
  <c r="H34" i="65"/>
  <c r="H35" i="65"/>
  <c r="H36" i="65"/>
  <c r="H30" i="65"/>
  <c r="A67" i="65"/>
  <c r="B67" i="65" s="1"/>
  <c r="A66" i="65"/>
  <c r="B66" i="65" s="1"/>
  <c r="A65" i="65"/>
  <c r="B65" i="65" s="1"/>
  <c r="A64" i="65"/>
  <c r="B64" i="65" s="1"/>
  <c r="P3" i="65"/>
  <c r="BS110" i="65" l="1"/>
  <c r="BT110" i="65"/>
  <c r="BU110" i="65"/>
  <c r="BV110" i="65"/>
  <c r="BW110" i="65"/>
  <c r="BX110" i="65"/>
  <c r="BY110" i="65"/>
  <c r="BZ110" i="65"/>
  <c r="CA110" i="65"/>
  <c r="CB110" i="65"/>
  <c r="CC110" i="65"/>
  <c r="CD110" i="65"/>
  <c r="CE110" i="65"/>
  <c r="CF110" i="65"/>
  <c r="CG110" i="65"/>
  <c r="CH110" i="65"/>
  <c r="CI110" i="65"/>
  <c r="CJ110" i="65"/>
  <c r="CK110" i="65"/>
  <c r="CL110" i="65"/>
  <c r="CM110" i="65"/>
  <c r="CN110" i="65"/>
  <c r="CO110" i="65"/>
  <c r="CP110" i="65"/>
  <c r="CQ110" i="65"/>
  <c r="CR110" i="65"/>
  <c r="CS110" i="65"/>
  <c r="CT110" i="65"/>
  <c r="CU110" i="65"/>
  <c r="CV110" i="65"/>
  <c r="CW110" i="65"/>
  <c r="CX110" i="65"/>
  <c r="CY110" i="65"/>
  <c r="CZ110" i="65"/>
  <c r="DA110" i="65"/>
  <c r="DB110" i="65"/>
  <c r="DC110" i="65"/>
  <c r="DD110" i="65"/>
  <c r="DE110" i="65"/>
  <c r="DF110" i="65"/>
  <c r="DG110" i="65"/>
  <c r="DH110" i="65"/>
  <c r="DI110" i="65"/>
  <c r="DJ110" i="65"/>
  <c r="DK110" i="65"/>
  <c r="DL110" i="65"/>
  <c r="DM110" i="65"/>
  <c r="DN110" i="65"/>
  <c r="DO110" i="65"/>
  <c r="DP110" i="65"/>
  <c r="BR110" i="65"/>
  <c r="Q11" i="65"/>
  <c r="R11" i="65"/>
  <c r="S11" i="65"/>
  <c r="T11" i="65"/>
  <c r="U11" i="65"/>
  <c r="V11" i="65"/>
  <c r="W11" i="65"/>
  <c r="X11" i="65"/>
  <c r="Y11" i="65"/>
  <c r="Z11" i="65"/>
  <c r="AA11" i="65"/>
  <c r="AB11" i="65"/>
  <c r="AC11" i="65"/>
  <c r="AD11" i="65"/>
  <c r="AE11" i="65"/>
  <c r="AF11" i="65"/>
  <c r="AG11" i="65"/>
  <c r="AH11" i="65"/>
  <c r="AI11" i="65"/>
  <c r="AJ11" i="65"/>
  <c r="AK11" i="65"/>
  <c r="AL11" i="65"/>
  <c r="AM11" i="65"/>
  <c r="AN11" i="65"/>
  <c r="AO11" i="65"/>
  <c r="AP11" i="65"/>
  <c r="AQ11" i="65"/>
  <c r="AR11" i="65"/>
  <c r="AS11" i="65"/>
  <c r="AT11" i="65"/>
  <c r="AU11" i="65"/>
  <c r="AV11" i="65"/>
  <c r="AW11" i="65"/>
  <c r="AX11" i="65"/>
  <c r="AY11" i="65"/>
  <c r="AZ11" i="65"/>
  <c r="BA11" i="65"/>
  <c r="BB11" i="65"/>
  <c r="BC11" i="65"/>
  <c r="BD11" i="65"/>
  <c r="BE11" i="65"/>
  <c r="BF11" i="65"/>
  <c r="BG11" i="65"/>
  <c r="BH11" i="65"/>
  <c r="BI11" i="65"/>
  <c r="BJ11" i="65"/>
  <c r="BK11" i="65"/>
  <c r="BL11" i="65"/>
  <c r="BM11" i="65"/>
  <c r="BN11" i="65"/>
  <c r="P11" i="65"/>
  <c r="D37" i="65"/>
  <c r="BS22" i="65"/>
  <c r="BS23" i="65"/>
  <c r="BS24" i="65"/>
  <c r="BS25" i="65"/>
  <c r="BS26" i="65"/>
  <c r="BS27" i="65"/>
  <c r="BS28" i="65"/>
  <c r="BS29" i="65"/>
  <c r="BS30" i="65"/>
  <c r="BS31" i="65"/>
  <c r="BS32" i="65"/>
  <c r="BS33" i="65"/>
  <c r="BS34" i="65"/>
  <c r="BS35" i="65"/>
  <c r="BS36" i="65"/>
  <c r="BS37" i="65"/>
  <c r="BS38" i="65"/>
  <c r="BS21" i="65"/>
  <c r="D11" i="65"/>
  <c r="L7" i="65" a="1"/>
  <c r="L7" i="65" l="1"/>
  <c r="B33" i="65" l="1"/>
  <c r="B34" i="65" s="1"/>
  <c r="D27" i="65"/>
  <c r="BQ111" i="65"/>
  <c r="BQ112" i="65" s="1"/>
  <c r="BQ113" i="65" s="1"/>
  <c r="BQ114" i="65" s="1"/>
  <c r="BQ115" i="65" s="1"/>
  <c r="BQ116" i="65" s="1"/>
  <c r="BQ117" i="65" s="1"/>
  <c r="BQ118" i="65" s="1"/>
  <c r="BQ119" i="65" s="1"/>
  <c r="BQ120" i="65" s="1"/>
  <c r="BQ121" i="65" s="1"/>
  <c r="BQ122" i="65" s="1"/>
  <c r="BQ123" i="65" s="1"/>
  <c r="BQ124" i="65" s="1"/>
  <c r="BQ125" i="65" s="1"/>
  <c r="BQ126" i="65" s="1"/>
  <c r="BQ127" i="65" s="1"/>
  <c r="BQ128" i="65" s="1"/>
  <c r="BQ129" i="65" s="1"/>
  <c r="BQ130" i="65" s="1"/>
  <c r="BQ131" i="65" s="1"/>
  <c r="BQ132" i="65" s="1"/>
  <c r="BQ133" i="65" s="1"/>
  <c r="BQ134" i="65" s="1"/>
  <c r="BQ135" i="65" s="1"/>
  <c r="BQ136" i="65" s="1"/>
  <c r="BQ137" i="65" s="1"/>
  <c r="BQ138" i="65" s="1"/>
  <c r="BQ139" i="65" s="1"/>
  <c r="BQ140" i="65" s="1"/>
  <c r="BQ141" i="65" s="1"/>
  <c r="BQ142" i="65" s="1"/>
  <c r="BQ143" i="65" s="1"/>
  <c r="BQ144" i="65" s="1"/>
  <c r="BQ145" i="65" s="1"/>
  <c r="BQ146" i="65" s="1"/>
  <c r="BQ147" i="65" s="1"/>
  <c r="BQ148" i="65" s="1"/>
  <c r="BQ149" i="65" s="1"/>
  <c r="BQ150" i="65" s="1"/>
  <c r="BQ151" i="65" s="1"/>
  <c r="BQ152" i="65" s="1"/>
  <c r="BQ153" i="65" s="1"/>
  <c r="BQ154" i="65" s="1"/>
  <c r="BQ155" i="65" s="1"/>
  <c r="BQ156" i="65" s="1"/>
  <c r="BQ157" i="65" s="1"/>
  <c r="BQ158" i="65" s="1"/>
  <c r="BQ159" i="65" s="1"/>
  <c r="BQ160" i="65" s="1"/>
  <c r="BQ161" i="65" s="1"/>
  <c r="BS109" i="65"/>
  <c r="BR107" i="65"/>
  <c r="BS107" i="65" s="1"/>
  <c r="BT107" i="65" s="1"/>
  <c r="BU107" i="65" s="1"/>
  <c r="BV107" i="65" s="1"/>
  <c r="BW107" i="65" s="1"/>
  <c r="BX107" i="65" s="1"/>
  <c r="BY107" i="65" s="1"/>
  <c r="BZ107" i="65" s="1"/>
  <c r="CA107" i="65" s="1"/>
  <c r="CB107" i="65" s="1"/>
  <c r="CC107" i="65" s="1"/>
  <c r="CD107" i="65" s="1"/>
  <c r="CE107" i="65" s="1"/>
  <c r="CF107" i="65" s="1"/>
  <c r="CG107" i="65" s="1"/>
  <c r="CH107" i="65" s="1"/>
  <c r="CI107" i="65" s="1"/>
  <c r="CJ107" i="65" s="1"/>
  <c r="CK107" i="65" s="1"/>
  <c r="CL107" i="65" s="1"/>
  <c r="CM107" i="65" s="1"/>
  <c r="CN107" i="65" s="1"/>
  <c r="CO107" i="65" s="1"/>
  <c r="CP107" i="65" s="1"/>
  <c r="CQ107" i="65" s="1"/>
  <c r="CR107" i="65" s="1"/>
  <c r="CS107" i="65" s="1"/>
  <c r="CT107" i="65" s="1"/>
  <c r="CU107" i="65" s="1"/>
  <c r="CV107" i="65" s="1"/>
  <c r="CW107" i="65" s="1"/>
  <c r="CX107" i="65" s="1"/>
  <c r="CY107" i="65" s="1"/>
  <c r="CZ107" i="65" s="1"/>
  <c r="DA107" i="65" s="1"/>
  <c r="DB107" i="65" s="1"/>
  <c r="DC107" i="65" s="1"/>
  <c r="DD107" i="65" s="1"/>
  <c r="DE107" i="65" s="1"/>
  <c r="DF107" i="65" s="1"/>
  <c r="DG107" i="65" s="1"/>
  <c r="DH107" i="65" s="1"/>
  <c r="DI107" i="65" s="1"/>
  <c r="DJ107" i="65" s="1"/>
  <c r="DK107" i="65" s="1"/>
  <c r="DL107" i="65" s="1"/>
  <c r="DM107" i="65" s="1"/>
  <c r="DN107" i="65" s="1"/>
  <c r="DO107" i="65" s="1"/>
  <c r="DP107" i="65" s="1"/>
  <c r="B44" i="65" l="1"/>
  <c r="B45" i="65"/>
  <c r="D28" i="65"/>
  <c r="D30" i="65" s="1"/>
  <c r="D29" i="65"/>
  <c r="D31" i="65" s="1"/>
  <c r="BR108" i="65"/>
  <c r="BS108" i="65" s="1"/>
  <c r="BT108" i="65" s="1"/>
  <c r="BU108" i="65" s="1"/>
  <c r="BV108" i="65" s="1"/>
  <c r="BW108" i="65" s="1"/>
  <c r="BX108" i="65" s="1"/>
  <c r="BY108" i="65" s="1"/>
  <c r="BZ108" i="65" s="1"/>
  <c r="CA108" i="65" s="1"/>
  <c r="CB108" i="65" s="1"/>
  <c r="CC108" i="65" s="1"/>
  <c r="CD108" i="65" s="1"/>
  <c r="CE108" i="65" s="1"/>
  <c r="CF108" i="65" s="1"/>
  <c r="CG108" i="65" s="1"/>
  <c r="CH108" i="65" s="1"/>
  <c r="CI108" i="65" s="1"/>
  <c r="CJ108" i="65" s="1"/>
  <c r="CK108" i="65" s="1"/>
  <c r="CL108" i="65" s="1"/>
  <c r="CM108" i="65" s="1"/>
  <c r="CN108" i="65" s="1"/>
  <c r="CO108" i="65" s="1"/>
  <c r="CP108" i="65" s="1"/>
  <c r="CQ108" i="65" s="1"/>
  <c r="CR108" i="65" s="1"/>
  <c r="CS108" i="65" s="1"/>
  <c r="CT108" i="65" s="1"/>
  <c r="CU108" i="65" s="1"/>
  <c r="CV108" i="65" s="1"/>
  <c r="CW108" i="65" s="1"/>
  <c r="CX108" i="65" s="1"/>
  <c r="CY108" i="65" s="1"/>
  <c r="CZ108" i="65" s="1"/>
  <c r="DA108" i="65" s="1"/>
  <c r="DB108" i="65" s="1"/>
  <c r="DC108" i="65" s="1"/>
  <c r="DD108" i="65" s="1"/>
  <c r="DE108" i="65" s="1"/>
  <c r="DF108" i="65" s="1"/>
  <c r="DG108" i="65" s="1"/>
  <c r="DH108" i="65" s="1"/>
  <c r="DI108" i="65" s="1"/>
  <c r="DJ108" i="65" s="1"/>
  <c r="DK108" i="65" s="1"/>
  <c r="DL108" i="65" s="1"/>
  <c r="DM108" i="65" s="1"/>
  <c r="DN108" i="65" s="1"/>
  <c r="DO108" i="65" s="1"/>
  <c r="DP108" i="65" s="1"/>
  <c r="BR166" i="65"/>
  <c r="P2" i="65" a="1"/>
  <c r="P2" i="65" l="1"/>
  <c r="D38" i="65"/>
  <c r="BR221" i="65"/>
  <c r="BQ222" i="65" s="1"/>
  <c r="BQ223" i="65" s="1"/>
  <c r="BQ224" i="65" s="1"/>
  <c r="BQ225" i="65" s="1"/>
  <c r="BQ226" i="65" s="1"/>
  <c r="BQ227" i="65" s="1"/>
  <c r="BQ228" i="65" s="1"/>
  <c r="BQ229" i="65" s="1"/>
  <c r="BQ230" i="65" s="1"/>
  <c r="BQ231" i="65" s="1"/>
  <c r="BQ232" i="65" s="1"/>
  <c r="BQ233" i="65" s="1"/>
  <c r="BQ234" i="65" s="1"/>
  <c r="BQ235" i="65" s="1"/>
  <c r="BQ236" i="65" s="1"/>
  <c r="BQ237" i="65" s="1"/>
  <c r="BQ238" i="65" s="1"/>
  <c r="BQ239" i="65" s="1"/>
  <c r="BQ240" i="65" s="1"/>
  <c r="BQ241" i="65" s="1"/>
  <c r="BQ242" i="65" s="1"/>
  <c r="BQ243" i="65" s="1"/>
  <c r="BQ244" i="65" s="1"/>
  <c r="BQ245" i="65" s="1"/>
  <c r="BQ246" i="65" s="1"/>
  <c r="BQ247" i="65" s="1"/>
  <c r="BQ248" i="65" s="1"/>
  <c r="BQ249" i="65" s="1"/>
  <c r="BQ250" i="65" s="1"/>
  <c r="BQ251" i="65" s="1"/>
  <c r="BQ252" i="65" s="1"/>
  <c r="BQ253" i="65" s="1"/>
  <c r="BQ254" i="65" s="1"/>
  <c r="BQ255" i="65" s="1"/>
  <c r="BQ256" i="65" s="1"/>
  <c r="BQ257" i="65" s="1"/>
  <c r="BQ258" i="65" s="1"/>
  <c r="BQ259" i="65" s="1"/>
  <c r="BQ260" i="65" s="1"/>
  <c r="BQ261" i="65" s="1"/>
  <c r="BQ262" i="65" s="1"/>
  <c r="BQ263" i="65" s="1"/>
  <c r="BQ264" i="65" s="1"/>
  <c r="BQ265" i="65" s="1"/>
  <c r="BQ266" i="65" s="1"/>
  <c r="BQ267" i="65" s="1"/>
  <c r="BQ268" i="65" s="1"/>
  <c r="BQ269" i="65" s="1"/>
  <c r="BQ270" i="65" s="1"/>
  <c r="BQ271" i="65" s="1"/>
  <c r="BQ272" i="65" s="1"/>
  <c r="BQ167" i="65"/>
  <c r="BQ168" i="65" s="1"/>
  <c r="BQ169" i="65" s="1"/>
  <c r="BQ170" i="65" s="1"/>
  <c r="BQ171" i="65" s="1"/>
  <c r="BQ172" i="65" s="1"/>
  <c r="BQ173" i="65" s="1"/>
  <c r="BQ174" i="65" s="1"/>
  <c r="BQ175" i="65" s="1"/>
  <c r="BQ176" i="65" s="1"/>
  <c r="BQ177" i="65" s="1"/>
  <c r="BQ178" i="65" s="1"/>
  <c r="BQ179" i="65" s="1"/>
  <c r="BQ180" i="65" s="1"/>
  <c r="BQ181" i="65" s="1"/>
  <c r="BQ182" i="65" s="1"/>
  <c r="BQ183" i="65" s="1"/>
  <c r="BQ184" i="65" s="1"/>
  <c r="BQ185" i="65" s="1"/>
  <c r="BQ186" i="65" s="1"/>
  <c r="BQ187" i="65" s="1"/>
  <c r="BQ188" i="65" s="1"/>
  <c r="BQ189" i="65" s="1"/>
  <c r="BQ190" i="65" s="1"/>
  <c r="BQ191" i="65" s="1"/>
  <c r="BQ192" i="65" s="1"/>
  <c r="BQ193" i="65" s="1"/>
  <c r="BQ194" i="65" s="1"/>
  <c r="BQ195" i="65" s="1"/>
  <c r="BQ196" i="65" s="1"/>
  <c r="BQ197" i="65" s="1"/>
  <c r="BQ198" i="65" s="1"/>
  <c r="BQ199" i="65" s="1"/>
  <c r="BQ200" i="65" s="1"/>
  <c r="BQ201" i="65" s="1"/>
  <c r="BQ202" i="65" s="1"/>
  <c r="BQ203" i="65" s="1"/>
  <c r="BQ204" i="65" s="1"/>
  <c r="BQ205" i="65" s="1"/>
  <c r="BQ206" i="65" s="1"/>
  <c r="BQ207" i="65" s="1"/>
  <c r="BQ208" i="65" s="1"/>
  <c r="BQ209" i="65" s="1"/>
  <c r="BQ210" i="65" s="1"/>
  <c r="BQ211" i="65" s="1"/>
  <c r="BQ212" i="65" s="1"/>
  <c r="BQ213" i="65" s="1"/>
  <c r="BQ214" i="65" s="1"/>
  <c r="BQ215" i="65" s="1"/>
  <c r="BQ216" i="65" s="1"/>
  <c r="BQ217" i="65" s="1"/>
  <c r="D36" i="65" l="1"/>
  <c r="D35" i="65"/>
  <c r="Q109" i="65" l="1"/>
  <c r="P107" i="65"/>
  <c r="Q107" i="65" s="1"/>
  <c r="R107" i="65" s="1"/>
  <c r="S107" i="65" s="1"/>
  <c r="T107" i="65" s="1"/>
  <c r="U107" i="65" s="1"/>
  <c r="V107" i="65" s="1"/>
  <c r="W107" i="65" s="1"/>
  <c r="X107" i="65" s="1"/>
  <c r="Y107" i="65" s="1"/>
  <c r="Z107" i="65" s="1"/>
  <c r="AA107" i="65" s="1"/>
  <c r="AB107" i="65" s="1"/>
  <c r="AC107" i="65" s="1"/>
  <c r="AD107" i="65" s="1"/>
  <c r="AE107" i="65" s="1"/>
  <c r="AF107" i="65" s="1"/>
  <c r="AG107" i="65" s="1"/>
  <c r="AH107" i="65" s="1"/>
  <c r="AI107" i="65" s="1"/>
  <c r="AJ107" i="65" s="1"/>
  <c r="AK107" i="65" s="1"/>
  <c r="AL107" i="65" s="1"/>
  <c r="AM107" i="65" s="1"/>
  <c r="AN107" i="65" s="1"/>
  <c r="AO107" i="65" s="1"/>
  <c r="AP107" i="65" s="1"/>
  <c r="AQ107" i="65" s="1"/>
  <c r="AR107" i="65" s="1"/>
  <c r="AS107" i="65" s="1"/>
  <c r="AT107" i="65" s="1"/>
  <c r="AU107" i="65" s="1"/>
  <c r="AV107" i="65" s="1"/>
  <c r="AW107" i="65" s="1"/>
  <c r="AX107" i="65" s="1"/>
  <c r="AY107" i="65" s="1"/>
  <c r="AZ107" i="65" s="1"/>
  <c r="BA107" i="65" s="1"/>
  <c r="BB107" i="65" s="1"/>
  <c r="BC107" i="65" s="1"/>
  <c r="BD107" i="65" s="1"/>
  <c r="BE107" i="65" s="1"/>
  <c r="BF107" i="65" s="1"/>
  <c r="BG107" i="65" s="1"/>
  <c r="BH107" i="65" s="1"/>
  <c r="BI107" i="65" s="1"/>
  <c r="BJ107" i="65" s="1"/>
  <c r="BK107" i="65" s="1"/>
  <c r="BL107" i="65" s="1"/>
  <c r="BM107" i="65" s="1"/>
  <c r="BN107" i="65" s="1"/>
  <c r="A63" i="65"/>
  <c r="B63" i="65" s="1"/>
  <c r="BN15" i="65"/>
  <c r="BN19" i="65" s="1"/>
  <c r="BN23" i="65" s="1"/>
  <c r="BN110" i="65" s="1"/>
  <c r="B9" i="65"/>
  <c r="BN7" i="65"/>
  <c r="BM7" i="65"/>
  <c r="BL7" i="65"/>
  <c r="BK7" i="65"/>
  <c r="BJ7" i="65"/>
  <c r="BI7" i="65"/>
  <c r="BH7" i="65"/>
  <c r="BG7" i="65"/>
  <c r="BF7" i="65"/>
  <c r="BE7" i="65"/>
  <c r="BD7" i="65"/>
  <c r="BC7" i="65"/>
  <c r="BB7" i="65"/>
  <c r="BA7" i="65"/>
  <c r="AZ7" i="65"/>
  <c r="AY7" i="65"/>
  <c r="AX7" i="65"/>
  <c r="AW7" i="65"/>
  <c r="AV7" i="65"/>
  <c r="AU7" i="65"/>
  <c r="AT7" i="65"/>
  <c r="AS7" i="65"/>
  <c r="AR7" i="65"/>
  <c r="AQ7" i="65"/>
  <c r="AP7" i="65"/>
  <c r="AO7" i="65"/>
  <c r="AN7" i="65"/>
  <c r="AM7" i="65"/>
  <c r="AL7" i="65"/>
  <c r="AK7" i="65"/>
  <c r="AJ7" i="65"/>
  <c r="AI7" i="65"/>
  <c r="AH7" i="65"/>
  <c r="AG7" i="65"/>
  <c r="AF7" i="65"/>
  <c r="AE7" i="65"/>
  <c r="AD7" i="65"/>
  <c r="AC7" i="65"/>
  <c r="AB7" i="65"/>
  <c r="AA7" i="65"/>
  <c r="Z7" i="65"/>
  <c r="Y7" i="65"/>
  <c r="X7" i="65"/>
  <c r="W7" i="65"/>
  <c r="V7" i="65"/>
  <c r="U7" i="65"/>
  <c r="T7" i="65"/>
  <c r="S7" i="65"/>
  <c r="R7" i="65"/>
  <c r="Q7" i="65"/>
  <c r="P7" i="65"/>
  <c r="B7" i="65"/>
  <c r="B8" i="65" s="1"/>
  <c r="BM3" i="65"/>
  <c r="BL3" i="65" s="1"/>
  <c r="BK3" i="65" s="1"/>
  <c r="D1" i="65"/>
  <c r="K7" i="65" a="1"/>
  <c r="B52" i="65" l="1"/>
  <c r="C52" i="65" s="1"/>
  <c r="BM15" i="65"/>
  <c r="BM19" i="65" s="1"/>
  <c r="BM23" i="65" s="1"/>
  <c r="BM110" i="65" s="1"/>
  <c r="D2" i="65"/>
  <c r="D4" i="65" s="1"/>
  <c r="B48" i="65"/>
  <c r="B47" i="65"/>
  <c r="B51" i="65"/>
  <c r="B49" i="65"/>
  <c r="C44" i="65"/>
  <c r="B50" i="65"/>
  <c r="B46" i="65"/>
  <c r="BS4" i="65"/>
  <c r="BS6" i="65"/>
  <c r="BS5" i="65"/>
  <c r="BS12" i="65"/>
  <c r="K7" i="65"/>
  <c r="BS2" i="65" s="1"/>
  <c r="BS19" i="65"/>
  <c r="BS15" i="65"/>
  <c r="BS20" i="65"/>
  <c r="BS18" i="65"/>
  <c r="BS14" i="65"/>
  <c r="BS10" i="65"/>
  <c r="BS7" i="65"/>
  <c r="BS13" i="65"/>
  <c r="BS8" i="65"/>
  <c r="BS17" i="65"/>
  <c r="BS166" i="65" s="1"/>
  <c r="BS221" i="65" s="1"/>
  <c r="BS16" i="65"/>
  <c r="BS9" i="65"/>
  <c r="BS3" i="65"/>
  <c r="BS11" i="65"/>
  <c r="BK15" i="65"/>
  <c r="BK19" i="65" s="1"/>
  <c r="BK23" i="65" s="1"/>
  <c r="BK110" i="65" s="1"/>
  <c r="BJ3" i="65"/>
  <c r="BM166" i="65"/>
  <c r="BN166" i="65"/>
  <c r="B22" i="65"/>
  <c r="B21" i="65"/>
  <c r="B16" i="65"/>
  <c r="B20" i="65"/>
  <c r="B18" i="65"/>
  <c r="D3" i="65"/>
  <c r="D5" i="65" s="1"/>
  <c r="B23" i="65"/>
  <c r="C23" i="65" s="1"/>
  <c r="BL15" i="65"/>
  <c r="BL19" i="65" s="1"/>
  <c r="BL23" i="65" s="1"/>
  <c r="BL110" i="65" s="1"/>
  <c r="B17" i="65"/>
  <c r="B15" i="65"/>
  <c r="C15" i="65" s="1"/>
  <c r="R109" i="65"/>
  <c r="P108" i="65" s="1"/>
  <c r="Q108" i="65" s="1"/>
  <c r="R108" i="65" s="1"/>
  <c r="S108" i="65" s="1"/>
  <c r="T108" i="65" s="1"/>
  <c r="U108" i="65" s="1"/>
  <c r="V108" i="65" s="1"/>
  <c r="W108" i="65" s="1"/>
  <c r="X108" i="65" s="1"/>
  <c r="Y108" i="65" s="1"/>
  <c r="Z108" i="65" s="1"/>
  <c r="AA108" i="65" s="1"/>
  <c r="AB108" i="65" s="1"/>
  <c r="AC108" i="65" s="1"/>
  <c r="AD108" i="65" s="1"/>
  <c r="AE108" i="65" s="1"/>
  <c r="AF108" i="65" s="1"/>
  <c r="AG108" i="65" s="1"/>
  <c r="AH108" i="65" s="1"/>
  <c r="AI108" i="65" s="1"/>
  <c r="AJ108" i="65" s="1"/>
  <c r="AK108" i="65" s="1"/>
  <c r="AL108" i="65" s="1"/>
  <c r="AM108" i="65" s="1"/>
  <c r="AN108" i="65" s="1"/>
  <c r="AO108" i="65" s="1"/>
  <c r="AP108" i="65" s="1"/>
  <c r="AQ108" i="65" s="1"/>
  <c r="AR108" i="65" s="1"/>
  <c r="AS108" i="65" s="1"/>
  <c r="AT108" i="65" s="1"/>
  <c r="AU108" i="65" s="1"/>
  <c r="AV108" i="65" s="1"/>
  <c r="AW108" i="65" s="1"/>
  <c r="AX108" i="65" s="1"/>
  <c r="AY108" i="65" s="1"/>
  <c r="AZ108" i="65" s="1"/>
  <c r="BA108" i="65" s="1"/>
  <c r="BB108" i="65" s="1"/>
  <c r="BC108" i="65" s="1"/>
  <c r="BD108" i="65" s="1"/>
  <c r="BE108" i="65" s="1"/>
  <c r="BF108" i="65" s="1"/>
  <c r="BG108" i="65" s="1"/>
  <c r="BH108" i="65" s="1"/>
  <c r="BI108" i="65" s="1"/>
  <c r="BJ108" i="65" s="1"/>
  <c r="BK108" i="65" s="1"/>
  <c r="BL108" i="65" s="1"/>
  <c r="BM108" i="65" s="1"/>
  <c r="BN108" i="65" s="1"/>
  <c r="B19" i="65"/>
  <c r="D49" i="65" a="1"/>
  <c r="D20" i="65" a="1"/>
  <c r="D50" i="65" a="1"/>
  <c r="D19" i="65" a="1"/>
  <c r="D45" i="65" a="1"/>
  <c r="D48" i="65" a="1"/>
  <c r="D21" i="65" a="1"/>
  <c r="D22" i="65" a="1"/>
  <c r="D46" i="65" a="1"/>
  <c r="D17" i="65" a="1"/>
  <c r="D51" i="65" a="1"/>
  <c r="D16" i="65" a="1"/>
  <c r="D18" i="65" a="1"/>
  <c r="D47" i="65" a="1"/>
  <c r="D48" i="65" l="1"/>
  <c r="D19" i="65"/>
  <c r="D50" i="65"/>
  <c r="D21" i="65"/>
  <c r="D51" i="65"/>
  <c r="D22" i="65"/>
  <c r="D47" i="65"/>
  <c r="D18" i="65"/>
  <c r="D49" i="65"/>
  <c r="D20" i="65"/>
  <c r="D46" i="65"/>
  <c r="D17" i="65"/>
  <c r="D45" i="65"/>
  <c r="D16" i="65"/>
  <c r="C46" i="65"/>
  <c r="C48" i="65"/>
  <c r="C49" i="65"/>
  <c r="C51" i="65"/>
  <c r="C47" i="65"/>
  <c r="C50" i="65"/>
  <c r="C45" i="65"/>
  <c r="E44" i="65" s="1"/>
  <c r="D5" i="68" s="1"/>
  <c r="DP1" i="65"/>
  <c r="DP2" i="65" s="1"/>
  <c r="DJ1" i="65"/>
  <c r="DJ2" i="65" s="1"/>
  <c r="DD1" i="65"/>
  <c r="DD2" i="65" s="1"/>
  <c r="CX1" i="65"/>
  <c r="CX2" i="65" s="1"/>
  <c r="CR1" i="65"/>
  <c r="CR2" i="65" s="1"/>
  <c r="CL1" i="65"/>
  <c r="CL2" i="65" s="1"/>
  <c r="CF1" i="65"/>
  <c r="CF2" i="65" s="1"/>
  <c r="BZ1" i="65"/>
  <c r="BZ2" i="65" s="1"/>
  <c r="DK1" i="65"/>
  <c r="DK2" i="65" s="1"/>
  <c r="CO1" i="65"/>
  <c r="CO2" i="65" s="1"/>
  <c r="DQ1" i="65"/>
  <c r="DQ2" i="65" s="1"/>
  <c r="CU1" i="65"/>
  <c r="CU2" i="65" s="1"/>
  <c r="CG1" i="65"/>
  <c r="CG2" i="65" s="1"/>
  <c r="DA1" i="65"/>
  <c r="DA2" i="65" s="1"/>
  <c r="CE1" i="65"/>
  <c r="CE2" i="65" s="1"/>
  <c r="DH1" i="65"/>
  <c r="DH2" i="65" s="1"/>
  <c r="CM1" i="65"/>
  <c r="CM2" i="65" s="1"/>
  <c r="BX1" i="65"/>
  <c r="BX2" i="65" s="1"/>
  <c r="DO1" i="65"/>
  <c r="DO2" i="65" s="1"/>
  <c r="CT1" i="65"/>
  <c r="CT2" i="65" s="1"/>
  <c r="D12" i="65"/>
  <c r="DN1" i="65"/>
  <c r="DN2" i="65" s="1"/>
  <c r="DG1" i="65"/>
  <c r="DG2" i="65" s="1"/>
  <c r="CZ1" i="65"/>
  <c r="CZ2" i="65" s="1"/>
  <c r="CS1" i="65"/>
  <c r="CS2" i="65" s="1"/>
  <c r="CK1" i="65"/>
  <c r="CK2" i="65" s="1"/>
  <c r="CD1" i="65"/>
  <c r="CD2" i="65" s="1"/>
  <c r="BW1" i="65"/>
  <c r="BW2" i="65" s="1"/>
  <c r="DM1" i="65"/>
  <c r="DM2" i="65" s="1"/>
  <c r="DF1" i="65"/>
  <c r="DF2" i="65" s="1"/>
  <c r="CY1" i="65"/>
  <c r="CY2" i="65" s="1"/>
  <c r="CQ1" i="65"/>
  <c r="CQ2" i="65" s="1"/>
  <c r="CJ1" i="65"/>
  <c r="CJ2" i="65" s="1"/>
  <c r="CC1" i="65"/>
  <c r="CC2" i="65" s="1"/>
  <c r="BV1" i="65"/>
  <c r="BV2" i="65" s="1"/>
  <c r="DL1" i="65"/>
  <c r="DL2" i="65" s="1"/>
  <c r="DE1" i="65"/>
  <c r="DE2" i="65" s="1"/>
  <c r="CW1" i="65"/>
  <c r="CW2" i="65" s="1"/>
  <c r="CP1" i="65"/>
  <c r="CP2" i="65" s="1"/>
  <c r="CI1" i="65"/>
  <c r="CI2" i="65" s="1"/>
  <c r="CB1" i="65"/>
  <c r="CB2" i="65" s="1"/>
  <c r="BU1" i="65"/>
  <c r="BU2" i="65" s="1"/>
  <c r="DR1" i="65"/>
  <c r="DR2" i="65" s="1"/>
  <c r="DC1" i="65"/>
  <c r="DC2" i="65" s="1"/>
  <c r="CV1" i="65"/>
  <c r="CV2" i="65" s="1"/>
  <c r="CH1" i="65"/>
  <c r="CH2" i="65" s="1"/>
  <c r="CA1" i="65"/>
  <c r="CA2" i="65" s="1"/>
  <c r="DI1" i="65"/>
  <c r="DI2" i="65" s="1"/>
  <c r="DB1" i="65"/>
  <c r="DB2" i="65" s="1"/>
  <c r="CN1" i="65"/>
  <c r="CN2" i="65" s="1"/>
  <c r="BY1" i="65"/>
  <c r="BY2" i="65" s="1"/>
  <c r="C21" i="65"/>
  <c r="BN221" i="65"/>
  <c r="C16" i="65"/>
  <c r="BM221" i="65"/>
  <c r="C22" i="65"/>
  <c r="C17" i="65"/>
  <c r="BJ15" i="65"/>
  <c r="BJ19" i="65" s="1"/>
  <c r="BJ23" i="65" s="1"/>
  <c r="BJ110" i="65" s="1"/>
  <c r="BI3" i="65"/>
  <c r="BL166" i="65"/>
  <c r="C18" i="65"/>
  <c r="BK166" i="65"/>
  <c r="C19" i="65"/>
  <c r="C20" i="65"/>
  <c r="G45" i="65" a="1"/>
  <c r="G51" i="65" a="1"/>
  <c r="G49" i="65" a="1"/>
  <c r="G48" i="65" a="1"/>
  <c r="G47" i="65" a="1"/>
  <c r="G46" i="65" a="1"/>
  <c r="G50" i="65" a="1"/>
  <c r="G46" i="65" l="1"/>
  <c r="G51" i="65"/>
  <c r="G50" i="65"/>
  <c r="G49" i="65"/>
  <c r="G45" i="65"/>
  <c r="G47" i="65"/>
  <c r="G48" i="65"/>
  <c r="E23" i="65"/>
  <c r="E52" i="65"/>
  <c r="E15" i="65"/>
  <c r="BL221" i="65"/>
  <c r="BK221" i="65"/>
  <c r="D10" i="65"/>
  <c r="D9" i="65"/>
  <c r="BH3" i="65"/>
  <c r="BI15" i="65"/>
  <c r="BI19" i="65" s="1"/>
  <c r="BI23" i="65" s="1"/>
  <c r="BI110" i="65" s="1"/>
  <c r="BJ166" i="65"/>
  <c r="BT1" i="65"/>
  <c r="BT2" i="65" s="1"/>
  <c r="BK8" i="65" a="1"/>
  <c r="Y4" i="65" a="1"/>
  <c r="BN4" i="65" a="1"/>
  <c r="X8" i="65" a="1"/>
  <c r="Z4" i="65" a="1"/>
  <c r="BI8" i="65" a="1"/>
  <c r="AX8" i="65" a="1"/>
  <c r="S4" i="65" a="1"/>
  <c r="V8" i="65" a="1"/>
  <c r="AW4" i="65" a="1"/>
  <c r="BM4" i="65" a="1"/>
  <c r="AD8" i="65" a="1"/>
  <c r="BJ4" i="65" a="1"/>
  <c r="BA4" i="65" a="1"/>
  <c r="R8" i="65" a="1"/>
  <c r="R4" i="65" a="1"/>
  <c r="AB4" i="65" a="1"/>
  <c r="AP8" i="65" a="1"/>
  <c r="BG4" i="65" a="1"/>
  <c r="AI8" i="65" a="1"/>
  <c r="Y8" i="65" a="1"/>
  <c r="AZ4" i="65" a="1"/>
  <c r="AQ4" i="65" a="1"/>
  <c r="BJ8" i="65" a="1"/>
  <c r="P8" i="65" a="1"/>
  <c r="AY4" i="65" a="1"/>
  <c r="AL8" i="65" a="1"/>
  <c r="AB8" i="65" a="1"/>
  <c r="AH4" i="65" a="1"/>
  <c r="BL4" i="65" a="1"/>
  <c r="AN4" i="65" a="1"/>
  <c r="BC8" i="65" a="1"/>
  <c r="AD4" i="65" a="1"/>
  <c r="AO8" i="65" a="1"/>
  <c r="T8" i="65" a="1"/>
  <c r="BB8" i="65" a="1"/>
  <c r="Q4" i="65" a="1"/>
  <c r="AJ4" i="65" a="1"/>
  <c r="AU8" i="65" a="1"/>
  <c r="AK8" i="65" a="1"/>
  <c r="AS4" i="65" a="1"/>
  <c r="W8" i="65" a="1"/>
  <c r="BD4" i="65" a="1"/>
  <c r="AC4" i="65" a="1"/>
  <c r="U8" i="65" a="1"/>
  <c r="AN8" i="65" a="1"/>
  <c r="AA4" i="65" a="1"/>
  <c r="U4" i="65" a="1"/>
  <c r="BN8" i="65" a="1"/>
  <c r="AL4" i="65" a="1"/>
  <c r="AA8" i="65" a="1"/>
  <c r="V4" i="65" a="1"/>
  <c r="BL8" i="65" a="1"/>
  <c r="BA8" i="65" a="1"/>
  <c r="BK4" i="65" a="1"/>
  <c r="AQ8" i="65" a="1"/>
  <c r="AF8" i="65" a="1"/>
  <c r="BC4" i="65" a="1"/>
  <c r="AM8" i="65" a="1"/>
  <c r="BE4" i="65" a="1"/>
  <c r="AI4" i="65" a="1"/>
  <c r="AJ8" i="65" a="1"/>
  <c r="AU4" i="65" a="1"/>
  <c r="P4" i="65" a="1"/>
  <c r="AG8" i="65" a="1"/>
  <c r="BB4" i="65" a="1"/>
  <c r="X4" i="65" a="1"/>
  <c r="BD8" i="65" a="1"/>
  <c r="AT8" i="65" a="1"/>
  <c r="AV4" i="65" a="1"/>
  <c r="AE4" i="65" a="1"/>
  <c r="AS8" i="65" a="1"/>
  <c r="BI4" i="65" a="1"/>
  <c r="AR4" i="65" a="1"/>
  <c r="BG8" i="65" a="1"/>
  <c r="AW8" i="65" a="1"/>
  <c r="AO4" i="65" a="1"/>
  <c r="Q8" i="65" a="1"/>
  <c r="AV8" i="65" a="1"/>
  <c r="AX4" i="65" a="1"/>
  <c r="BM8" i="65" a="1"/>
  <c r="AR8" i="65" a="1"/>
  <c r="AZ8" i="65" a="1"/>
  <c r="AK4" i="65" a="1"/>
  <c r="AE8" i="65" a="1"/>
  <c r="T4" i="65" a="1"/>
  <c r="AT4" i="65" a="1"/>
  <c r="AY8" i="65" a="1"/>
  <c r="BF8" i="65" a="1"/>
  <c r="W4" i="65" a="1"/>
  <c r="Z8" i="65" a="1"/>
  <c r="AH8" i="65" a="1"/>
  <c r="BH4" i="65" a="1"/>
  <c r="BH8" i="65" a="1"/>
  <c r="AM4" i="65" a="1"/>
  <c r="BE8" i="65" a="1"/>
  <c r="BF4" i="65" a="1"/>
  <c r="AG4" i="65" a="1"/>
  <c r="AC8" i="65" a="1"/>
  <c r="S8" i="65" a="1"/>
  <c r="AP4" i="65" a="1"/>
  <c r="AF4" i="65" a="1"/>
  <c r="Q8" i="65" l="1"/>
  <c r="T8" i="65"/>
  <c r="W8" i="65"/>
  <c r="Z8" i="65"/>
  <c r="AC8" i="65"/>
  <c r="AF8" i="65"/>
  <c r="AI8" i="65"/>
  <c r="AL8" i="65"/>
  <c r="AO8" i="65"/>
  <c r="AR8" i="65"/>
  <c r="AU8" i="65"/>
  <c r="AX8" i="65"/>
  <c r="BA8" i="65"/>
  <c r="BD8" i="65"/>
  <c r="BG8" i="65"/>
  <c r="BJ8" i="65"/>
  <c r="BM8" i="65"/>
  <c r="U8" i="65"/>
  <c r="X8" i="65"/>
  <c r="AA8" i="65"/>
  <c r="AG8" i="65"/>
  <c r="AJ8" i="65"/>
  <c r="AS8" i="65"/>
  <c r="AY8" i="65"/>
  <c r="BE8" i="65"/>
  <c r="BK8" i="65"/>
  <c r="R8" i="65"/>
  <c r="AD8" i="65"/>
  <c r="AM8" i="65"/>
  <c r="AV8" i="65"/>
  <c r="BB8" i="65"/>
  <c r="BH8" i="65"/>
  <c r="BN8" i="65"/>
  <c r="S8" i="65"/>
  <c r="V8" i="65"/>
  <c r="Y8" i="65"/>
  <c r="AB8" i="65"/>
  <c r="AE8" i="65"/>
  <c r="AH8" i="65"/>
  <c r="AK8" i="65"/>
  <c r="AN8" i="65"/>
  <c r="AQ8" i="65"/>
  <c r="AT8" i="65"/>
  <c r="AW8" i="65"/>
  <c r="AZ8" i="65"/>
  <c r="BC8" i="65"/>
  <c r="BF8" i="65"/>
  <c r="BI8" i="65"/>
  <c r="BL8" i="65"/>
  <c r="AP8" i="65"/>
  <c r="P8" i="65"/>
  <c r="P4" i="65"/>
  <c r="P5" i="65" s="1"/>
  <c r="BI4" i="65"/>
  <c r="BI5" i="65" s="1"/>
  <c r="BL4" i="65"/>
  <c r="BL5" i="65" s="1"/>
  <c r="BF4" i="65"/>
  <c r="BF5" i="65" s="1"/>
  <c r="BN4" i="65"/>
  <c r="BN6" i="65" s="1"/>
  <c r="AB4" i="65"/>
  <c r="AB6" i="65" s="1"/>
  <c r="BA4" i="65"/>
  <c r="BA6" i="65" s="1"/>
  <c r="AI4" i="65"/>
  <c r="AI6" i="65" s="1"/>
  <c r="X4" i="65"/>
  <c r="X6" i="65" s="1"/>
  <c r="Q4" i="65"/>
  <c r="Q6" i="65" s="1"/>
  <c r="BD4" i="65"/>
  <c r="BD5" i="65" s="1"/>
  <c r="AL4" i="65"/>
  <c r="AL6" i="65" s="1"/>
  <c r="AP4" i="65"/>
  <c r="AP5" i="65" s="1"/>
  <c r="BM4" i="65"/>
  <c r="BM6" i="65" s="1"/>
  <c r="AZ4" i="65"/>
  <c r="AZ5" i="65" s="1"/>
  <c r="AH4" i="65"/>
  <c r="T4" i="65"/>
  <c r="T5" i="65" s="1"/>
  <c r="BH4" i="65"/>
  <c r="BH5" i="65" s="1"/>
  <c r="AS4" i="65"/>
  <c r="AS5" i="65" s="1"/>
  <c r="AA4" i="65"/>
  <c r="AA5" i="65" s="1"/>
  <c r="BC4" i="65"/>
  <c r="BC5" i="65" s="1"/>
  <c r="AV4" i="65"/>
  <c r="AV5" i="65" s="1"/>
  <c r="AO4" i="65"/>
  <c r="AO6" i="65" s="1"/>
  <c r="AK4" i="65"/>
  <c r="AK6" i="65" s="1"/>
  <c r="AD4" i="65"/>
  <c r="AD6" i="65" s="1"/>
  <c r="W4" i="65"/>
  <c r="W6" i="65" s="1"/>
  <c r="S4" i="65"/>
  <c r="S6" i="65" s="1"/>
  <c r="BK4" i="65"/>
  <c r="BK6" i="65" s="1"/>
  <c r="BG4" i="65"/>
  <c r="BG5" i="65" s="1"/>
  <c r="AY4" i="65"/>
  <c r="AY5" i="65" s="1"/>
  <c r="AR4" i="65"/>
  <c r="AR6" i="65" s="1"/>
  <c r="AN4" i="65"/>
  <c r="AN6" i="65" s="1"/>
  <c r="AG4" i="65"/>
  <c r="AG6" i="65" s="1"/>
  <c r="Z4" i="65"/>
  <c r="V4" i="65"/>
  <c r="V5" i="65" s="1"/>
  <c r="BB4" i="65"/>
  <c r="BB5" i="65" s="1"/>
  <c r="AU4" i="65"/>
  <c r="AU5" i="65" s="1"/>
  <c r="AQ4" i="65"/>
  <c r="AQ5" i="65" s="1"/>
  <c r="AJ4" i="65"/>
  <c r="AJ5" i="65" s="1"/>
  <c r="AC4" i="65"/>
  <c r="AC5" i="65" s="1"/>
  <c r="Y4" i="65"/>
  <c r="Y6" i="65" s="1"/>
  <c r="R4" i="65"/>
  <c r="R5" i="65" s="1"/>
  <c r="BJ4" i="65"/>
  <c r="BJ5" i="65" s="1"/>
  <c r="BE4" i="65"/>
  <c r="BE6" i="65" s="1"/>
  <c r="AX4" i="65"/>
  <c r="AX6" i="65" s="1"/>
  <c r="AT4" i="65"/>
  <c r="AT6" i="65" s="1"/>
  <c r="AM4" i="65"/>
  <c r="AM6" i="65" s="1"/>
  <c r="AF4" i="65"/>
  <c r="AF5" i="65" s="1"/>
  <c r="U4" i="65"/>
  <c r="U5" i="65" s="1"/>
  <c r="AW4" i="65"/>
  <c r="AW6" i="65" s="1"/>
  <c r="AE4" i="65"/>
  <c r="AE6" i="65" s="1"/>
  <c r="AH5" i="65"/>
  <c r="AH6" i="65"/>
  <c r="Z6" i="65"/>
  <c r="Z5" i="65"/>
  <c r="BJ221" i="65"/>
  <c r="BI166" i="65"/>
  <c r="BG3" i="65"/>
  <c r="BH15" i="65"/>
  <c r="BH19" i="65" s="1"/>
  <c r="BH23" i="65" s="1"/>
  <c r="BH110" i="65" s="1"/>
  <c r="BN11" i="39"/>
  <c r="BN14" i="39" s="1"/>
  <c r="BN17" i="39" s="1"/>
  <c r="BN110" i="39" s="1"/>
  <c r="BN166" i="39" s="1"/>
  <c r="BN221" i="39" s="1"/>
  <c r="Q7" i="39"/>
  <c r="R7" i="39"/>
  <c r="S7" i="39"/>
  <c r="T7" i="39"/>
  <c r="U7" i="39"/>
  <c r="V7" i="39"/>
  <c r="W7" i="39"/>
  <c r="X7" i="39"/>
  <c r="Y7" i="39"/>
  <c r="Z7" i="39"/>
  <c r="AA7" i="39"/>
  <c r="AB7" i="39"/>
  <c r="AC7" i="39"/>
  <c r="AD7" i="39"/>
  <c r="AE7" i="39"/>
  <c r="AF7" i="39"/>
  <c r="AG7" i="39"/>
  <c r="AH7" i="39"/>
  <c r="AI7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Z7" i="39"/>
  <c r="BA7" i="39"/>
  <c r="BB7" i="39"/>
  <c r="BC7" i="39"/>
  <c r="BD7" i="39"/>
  <c r="BE7" i="39"/>
  <c r="BF7" i="39"/>
  <c r="BG7" i="39"/>
  <c r="BH7" i="39"/>
  <c r="BI7" i="39"/>
  <c r="BJ7" i="39"/>
  <c r="BK7" i="39"/>
  <c r="BL7" i="39"/>
  <c r="BM7" i="39"/>
  <c r="BN7" i="39"/>
  <c r="BM3" i="39"/>
  <c r="BL3" i="39" s="1"/>
  <c r="BK3" i="39" s="1"/>
  <c r="BJ3" i="39" s="1"/>
  <c r="BI3" i="39" s="1"/>
  <c r="BH3" i="39" s="1"/>
  <c r="BG3" i="39" s="1"/>
  <c r="BF3" i="39" s="1"/>
  <c r="BE3" i="39" s="1"/>
  <c r="BD3" i="39" s="1"/>
  <c r="BC3" i="39" s="1"/>
  <c r="BB3" i="39" s="1"/>
  <c r="BA3" i="39" s="1"/>
  <c r="AZ3" i="39" s="1"/>
  <c r="AY3" i="39" s="1"/>
  <c r="AX3" i="39" s="1"/>
  <c r="AW3" i="39" s="1"/>
  <c r="AV3" i="39" s="1"/>
  <c r="AU3" i="39" s="1"/>
  <c r="AT3" i="39" s="1"/>
  <c r="AS3" i="39" s="1"/>
  <c r="AR3" i="39" s="1"/>
  <c r="AQ3" i="39" s="1"/>
  <c r="AP3" i="39" s="1"/>
  <c r="AO3" i="39" s="1"/>
  <c r="AN3" i="39" s="1"/>
  <c r="AM3" i="39" s="1"/>
  <c r="AL3" i="39" s="1"/>
  <c r="AK3" i="39" s="1"/>
  <c r="AJ3" i="39" s="1"/>
  <c r="AI3" i="39" s="1"/>
  <c r="AH3" i="39" s="1"/>
  <c r="AG3" i="39" s="1"/>
  <c r="AF3" i="39" s="1"/>
  <c r="AE3" i="39" s="1"/>
  <c r="AD3" i="39" s="1"/>
  <c r="AC3" i="39" s="1"/>
  <c r="AB3" i="39" s="1"/>
  <c r="AA3" i="39" s="1"/>
  <c r="Z3" i="39" s="1"/>
  <c r="Y3" i="39" s="1"/>
  <c r="X3" i="39" s="1"/>
  <c r="W3" i="39" s="1"/>
  <c r="V3" i="39" s="1"/>
  <c r="U3" i="39" s="1"/>
  <c r="T3" i="39" s="1"/>
  <c r="S3" i="39" s="1"/>
  <c r="R3" i="39" s="1"/>
  <c r="Q3" i="39" s="1"/>
  <c r="P3" i="39" s="1"/>
  <c r="AU6" i="65" l="1"/>
  <c r="AU24" i="65" s="1"/>
  <c r="AX5" i="65"/>
  <c r="AX20" i="65" s="1"/>
  <c r="AY6" i="65"/>
  <c r="AY24" i="65" s="1"/>
  <c r="BH6" i="65"/>
  <c r="BH24" i="65" s="1"/>
  <c r="S5" i="65"/>
  <c r="S24" i="65" s="1"/>
  <c r="BJ6" i="65"/>
  <c r="BJ16" i="65" s="1"/>
  <c r="W5" i="65"/>
  <c r="W20" i="65" s="1"/>
  <c r="AR5" i="65"/>
  <c r="AR20" i="65" s="1"/>
  <c r="AS6" i="65"/>
  <c r="AS16" i="65" s="1"/>
  <c r="AP6" i="65"/>
  <c r="AP16" i="65" s="1"/>
  <c r="P6" i="65"/>
  <c r="P24" i="65" s="1"/>
  <c r="AF6" i="65"/>
  <c r="AF24" i="65" s="1"/>
  <c r="AN5" i="65"/>
  <c r="AN20" i="65" s="1"/>
  <c r="R6" i="65"/>
  <c r="R24" i="65" s="1"/>
  <c r="AK5" i="65"/>
  <c r="AK20" i="65" s="1"/>
  <c r="AI5" i="65"/>
  <c r="AI24" i="65" s="1"/>
  <c r="U6" i="65"/>
  <c r="U16" i="65" s="1"/>
  <c r="AB5" i="65"/>
  <c r="AB20" i="65" s="1"/>
  <c r="AD5" i="65"/>
  <c r="AD16" i="65" s="1"/>
  <c r="BA5" i="65"/>
  <c r="BA24" i="65" s="1"/>
  <c r="BI9" i="65"/>
  <c r="BI10" i="65"/>
  <c r="AQ9" i="65"/>
  <c r="AQ10" i="65"/>
  <c r="Y9" i="65"/>
  <c r="Y10" i="65"/>
  <c r="AV10" i="65"/>
  <c r="AV9" i="65"/>
  <c r="AY10" i="65"/>
  <c r="AY9" i="65"/>
  <c r="U9" i="65"/>
  <c r="U10" i="65"/>
  <c r="AX9" i="65"/>
  <c r="AX10" i="65"/>
  <c r="AF9" i="65"/>
  <c r="AF10" i="65"/>
  <c r="AK9" i="65"/>
  <c r="AK10" i="65"/>
  <c r="BF10" i="65"/>
  <c r="BF9" i="65"/>
  <c r="AN10" i="65"/>
  <c r="AN9" i="65"/>
  <c r="V10" i="65"/>
  <c r="V9" i="65"/>
  <c r="AM9" i="65"/>
  <c r="AM10" i="65"/>
  <c r="AS10" i="65"/>
  <c r="AS9" i="65"/>
  <c r="BM10" i="65"/>
  <c r="BM9" i="65"/>
  <c r="AU10" i="65"/>
  <c r="AU9" i="65"/>
  <c r="AC10" i="65"/>
  <c r="AC9" i="65"/>
  <c r="BJ9" i="65"/>
  <c r="BJ10" i="65"/>
  <c r="P9" i="65"/>
  <c r="P10" i="65"/>
  <c r="AZ10" i="65"/>
  <c r="AZ9" i="65"/>
  <c r="AH10" i="65"/>
  <c r="AH9" i="65"/>
  <c r="BN10" i="65"/>
  <c r="BN9" i="65"/>
  <c r="R10" i="65"/>
  <c r="R9" i="65"/>
  <c r="AG9" i="65"/>
  <c r="AG10" i="65"/>
  <c r="BG10" i="65"/>
  <c r="BG9" i="65"/>
  <c r="AO10" i="65"/>
  <c r="AO9" i="65"/>
  <c r="W10" i="65"/>
  <c r="W9" i="65"/>
  <c r="S9" i="65"/>
  <c r="S10" i="65"/>
  <c r="Z9" i="65"/>
  <c r="Z10" i="65"/>
  <c r="AP10" i="65"/>
  <c r="AP9" i="65"/>
  <c r="AW9" i="65"/>
  <c r="AW10" i="65"/>
  <c r="AE9" i="65"/>
  <c r="AE10" i="65"/>
  <c r="BH10" i="65"/>
  <c r="BH9" i="65"/>
  <c r="BK10" i="65"/>
  <c r="BK9" i="65"/>
  <c r="AA10" i="65"/>
  <c r="AA9" i="65"/>
  <c r="BD9" i="65"/>
  <c r="BD10" i="65"/>
  <c r="AL9" i="65"/>
  <c r="AL10" i="65"/>
  <c r="T9" i="65"/>
  <c r="T10" i="65"/>
  <c r="BC9" i="65"/>
  <c r="BC10" i="65"/>
  <c r="AD10" i="65"/>
  <c r="AD9" i="65"/>
  <c r="AJ10" i="65"/>
  <c r="AJ9" i="65"/>
  <c r="AR9" i="65"/>
  <c r="AR10" i="65"/>
  <c r="BL10" i="65"/>
  <c r="BL9" i="65"/>
  <c r="AT10" i="65"/>
  <c r="AT9" i="65"/>
  <c r="AB10" i="65"/>
  <c r="AB9" i="65"/>
  <c r="BB10" i="65"/>
  <c r="BB9" i="65"/>
  <c r="BE10" i="65"/>
  <c r="BE9" i="65"/>
  <c r="X10" i="65"/>
  <c r="X9" i="65"/>
  <c r="BA10" i="65"/>
  <c r="BA9" i="65"/>
  <c r="AI10" i="65"/>
  <c r="AI9" i="65"/>
  <c r="Q10" i="65"/>
  <c r="Q9" i="65"/>
  <c r="AL5" i="65"/>
  <c r="AL24" i="65" s="1"/>
  <c r="BB6" i="65"/>
  <c r="BB16" i="65" s="1"/>
  <c r="BE5" i="65"/>
  <c r="BE24" i="65" s="1"/>
  <c r="AE5" i="65"/>
  <c r="AE24" i="65" s="1"/>
  <c r="AW5" i="65"/>
  <c r="AW24" i="65" s="1"/>
  <c r="BM5" i="65"/>
  <c r="BM24" i="65" s="1"/>
  <c r="AG5" i="65"/>
  <c r="AG20" i="65" s="1"/>
  <c r="AZ6" i="65"/>
  <c r="AZ24" i="65" s="1"/>
  <c r="X5" i="65"/>
  <c r="X20" i="65" s="1"/>
  <c r="AJ6" i="65"/>
  <c r="AJ24" i="65" s="1"/>
  <c r="BC6" i="65"/>
  <c r="BC24" i="65" s="1"/>
  <c r="BL6" i="65"/>
  <c r="BL24" i="65" s="1"/>
  <c r="AQ6" i="65"/>
  <c r="AQ16" i="65" s="1"/>
  <c r="AA6" i="65"/>
  <c r="AA16" i="65" s="1"/>
  <c r="BI6" i="65"/>
  <c r="BI16" i="65" s="1"/>
  <c r="T6" i="65"/>
  <c r="T16" i="65" s="1"/>
  <c r="V6" i="65"/>
  <c r="V24" i="65" s="1"/>
  <c r="AC6" i="65"/>
  <c r="AC24" i="65" s="1"/>
  <c r="AV6" i="65"/>
  <c r="AV16" i="65" s="1"/>
  <c r="BF6" i="65"/>
  <c r="BF24" i="65" s="1"/>
  <c r="AM5" i="65"/>
  <c r="AM20" i="65" s="1"/>
  <c r="BG6" i="65"/>
  <c r="BG16" i="65" s="1"/>
  <c r="BD6" i="65"/>
  <c r="BD24" i="65" s="1"/>
  <c r="AT5" i="65"/>
  <c r="AT24" i="65" s="1"/>
  <c r="BK5" i="65"/>
  <c r="BK24" i="65" s="1"/>
  <c r="Q5" i="65"/>
  <c r="Q24" i="65" s="1"/>
  <c r="Y5" i="65"/>
  <c r="Y20" i="65" s="1"/>
  <c r="AO5" i="65"/>
  <c r="AO20" i="65" s="1"/>
  <c r="BN5" i="65"/>
  <c r="BN16" i="65" s="1"/>
  <c r="AD20" i="65"/>
  <c r="X24" i="65"/>
  <c r="W16" i="65"/>
  <c r="V20" i="65"/>
  <c r="AJ20" i="65"/>
  <c r="AZ20" i="65"/>
  <c r="BF20" i="65"/>
  <c r="T20" i="65"/>
  <c r="U20" i="65"/>
  <c r="BH20" i="65"/>
  <c r="AW20" i="65"/>
  <c r="AN16" i="65"/>
  <c r="BH166" i="65"/>
  <c r="BN20" i="65"/>
  <c r="P20" i="65"/>
  <c r="AP20" i="65"/>
  <c r="AV20" i="65"/>
  <c r="AU20" i="65"/>
  <c r="BG15" i="65"/>
  <c r="BG19" i="65" s="1"/>
  <c r="BG23" i="65" s="1"/>
  <c r="BG110" i="65" s="1"/>
  <c r="BF3" i="65"/>
  <c r="AC20" i="65"/>
  <c r="AF20" i="65"/>
  <c r="Z16" i="65"/>
  <c r="Z24" i="65"/>
  <c r="Z20" i="65"/>
  <c r="BJ20" i="65"/>
  <c r="AS20" i="65"/>
  <c r="R20" i="65"/>
  <c r="BC16" i="65"/>
  <c r="BC20" i="65"/>
  <c r="BL20" i="65"/>
  <c r="AY20" i="65"/>
  <c r="AQ20" i="65"/>
  <c r="AA20" i="65"/>
  <c r="BI20" i="65"/>
  <c r="BG20" i="65"/>
  <c r="BD16" i="65"/>
  <c r="BD20" i="65"/>
  <c r="BI221" i="65"/>
  <c r="AH20" i="65"/>
  <c r="AH24" i="65"/>
  <c r="AH16" i="65"/>
  <c r="BB20" i="65"/>
  <c r="AE11" i="39"/>
  <c r="V11" i="39"/>
  <c r="BK11" i="39"/>
  <c r="BK14" i="39" s="1"/>
  <c r="BK17" i="39" s="1"/>
  <c r="BK110" i="39" s="1"/>
  <c r="BK166" i="39" s="1"/>
  <c r="BK221" i="39" s="1"/>
  <c r="BB11" i="39"/>
  <c r="BB14" i="39" s="1"/>
  <c r="BB17" i="39" s="1"/>
  <c r="BB110" i="39" s="1"/>
  <c r="BB166" i="39" s="1"/>
  <c r="BB221" i="39" s="1"/>
  <c r="AS11" i="39"/>
  <c r="AS14" i="39" s="1"/>
  <c r="AS17" i="39" s="1"/>
  <c r="AS110" i="39" s="1"/>
  <c r="AS166" i="39" s="1"/>
  <c r="AS221" i="39" s="1"/>
  <c r="AR11" i="39"/>
  <c r="AR14" i="39" s="1"/>
  <c r="AR17" i="39" s="1"/>
  <c r="AR110" i="39" s="1"/>
  <c r="AR166" i="39" s="1"/>
  <c r="AR221" i="39" s="1"/>
  <c r="BA11" i="39"/>
  <c r="BA14" i="39" s="1"/>
  <c r="BA17" i="39" s="1"/>
  <c r="BA110" i="39" s="1"/>
  <c r="BA166" i="39" s="1"/>
  <c r="BA221" i="39" s="1"/>
  <c r="AB11" i="39"/>
  <c r="S11" i="39"/>
  <c r="BH11" i="39"/>
  <c r="BH14" i="39" s="1"/>
  <c r="BH17" i="39" s="1"/>
  <c r="BH110" i="39" s="1"/>
  <c r="BH166" i="39" s="1"/>
  <c r="BH221" i="39" s="1"/>
  <c r="AY11" i="39"/>
  <c r="AY14" i="39" s="1"/>
  <c r="AY17" i="39" s="1"/>
  <c r="AY110" i="39" s="1"/>
  <c r="AY166" i="39" s="1"/>
  <c r="AY221" i="39" s="1"/>
  <c r="AP11" i="39"/>
  <c r="AP14" i="39" s="1"/>
  <c r="AP17" i="39" s="1"/>
  <c r="AP110" i="39" s="1"/>
  <c r="AP166" i="39" s="1"/>
  <c r="AP221" i="39" s="1"/>
  <c r="BJ11" i="39"/>
  <c r="BJ14" i="39" s="1"/>
  <c r="BJ17" i="39" s="1"/>
  <c r="BJ110" i="39" s="1"/>
  <c r="BJ166" i="39" s="1"/>
  <c r="BJ221" i="39" s="1"/>
  <c r="AJ11" i="39"/>
  <c r="AA11" i="39"/>
  <c r="R11" i="39"/>
  <c r="BG11" i="39"/>
  <c r="BG14" i="39" s="1"/>
  <c r="BG17" i="39" s="1"/>
  <c r="BG110" i="39" s="1"/>
  <c r="BG166" i="39" s="1"/>
  <c r="BG221" i="39" s="1"/>
  <c r="AX11" i="39"/>
  <c r="AX14" i="39" s="1"/>
  <c r="AX17" i="39" s="1"/>
  <c r="AX110" i="39" s="1"/>
  <c r="AX166" i="39" s="1"/>
  <c r="AX221" i="39" s="1"/>
  <c r="AO11" i="39"/>
  <c r="AO14" i="39" s="1"/>
  <c r="AO17" i="39" s="1"/>
  <c r="AO110" i="39" s="1"/>
  <c r="AO166" i="39" s="1"/>
  <c r="AO221" i="39" s="1"/>
  <c r="U11" i="39"/>
  <c r="AH11" i="39"/>
  <c r="Y11" i="39"/>
  <c r="BE11" i="39"/>
  <c r="BE14" i="39" s="1"/>
  <c r="BE17" i="39" s="1"/>
  <c r="BE110" i="39" s="1"/>
  <c r="BE166" i="39" s="1"/>
  <c r="BE221" i="39" s="1"/>
  <c r="AV11" i="39"/>
  <c r="AV14" i="39" s="1"/>
  <c r="AV17" i="39" s="1"/>
  <c r="AV110" i="39" s="1"/>
  <c r="AV166" i="39" s="1"/>
  <c r="AV221" i="39" s="1"/>
  <c r="AM11" i="39"/>
  <c r="AM14" i="39" s="1"/>
  <c r="AM17" i="39" s="1"/>
  <c r="AM110" i="39" s="1"/>
  <c r="AM166" i="39" s="1"/>
  <c r="AM221" i="39" s="1"/>
  <c r="AD11" i="39"/>
  <c r="AG11" i="39"/>
  <c r="X11" i="39"/>
  <c r="BM11" i="39"/>
  <c r="BM14" i="39" s="1"/>
  <c r="BM17" i="39" s="1"/>
  <c r="BM110" i="39" s="1"/>
  <c r="BM166" i="39" s="1"/>
  <c r="BM221" i="39" s="1"/>
  <c r="BD11" i="39"/>
  <c r="BD14" i="39" s="1"/>
  <c r="BD17" i="39" s="1"/>
  <c r="BD110" i="39" s="1"/>
  <c r="BD166" i="39" s="1"/>
  <c r="BD221" i="39" s="1"/>
  <c r="AU11" i="39"/>
  <c r="AU14" i="39" s="1"/>
  <c r="AU17" i="39" s="1"/>
  <c r="AU110" i="39" s="1"/>
  <c r="AU166" i="39" s="1"/>
  <c r="AU221" i="39" s="1"/>
  <c r="AL11" i="39"/>
  <c r="AL14" i="39" s="1"/>
  <c r="AL17" i="39" s="1"/>
  <c r="AL110" i="39" s="1"/>
  <c r="AL166" i="39" s="1"/>
  <c r="AL221" i="39" s="1"/>
  <c r="AF11" i="39"/>
  <c r="Z11" i="39"/>
  <c r="T11" i="39"/>
  <c r="BL11" i="39"/>
  <c r="BL14" i="39" s="1"/>
  <c r="BL17" i="39" s="1"/>
  <c r="BL110" i="39" s="1"/>
  <c r="BL166" i="39" s="1"/>
  <c r="BL221" i="39" s="1"/>
  <c r="BF11" i="39"/>
  <c r="BF14" i="39" s="1"/>
  <c r="BF17" i="39" s="1"/>
  <c r="BF110" i="39" s="1"/>
  <c r="BF166" i="39" s="1"/>
  <c r="BF221" i="39" s="1"/>
  <c r="AZ11" i="39"/>
  <c r="AZ14" i="39" s="1"/>
  <c r="AZ17" i="39" s="1"/>
  <c r="AZ110" i="39" s="1"/>
  <c r="AZ166" i="39" s="1"/>
  <c r="AZ221" i="39" s="1"/>
  <c r="AT11" i="39"/>
  <c r="AT14" i="39" s="1"/>
  <c r="AT17" i="39" s="1"/>
  <c r="AT110" i="39" s="1"/>
  <c r="AT166" i="39" s="1"/>
  <c r="AT221" i="39" s="1"/>
  <c r="AN11" i="39"/>
  <c r="AN14" i="39" s="1"/>
  <c r="AN17" i="39" s="1"/>
  <c r="AN110" i="39" s="1"/>
  <c r="AN166" i="39" s="1"/>
  <c r="AN221" i="39" s="1"/>
  <c r="AI11" i="39"/>
  <c r="AC11" i="39"/>
  <c r="W11" i="39"/>
  <c r="Q11" i="39"/>
  <c r="BI11" i="39"/>
  <c r="BI14" i="39" s="1"/>
  <c r="BI17" i="39" s="1"/>
  <c r="BI110" i="39" s="1"/>
  <c r="BI166" i="39" s="1"/>
  <c r="BI221" i="39" s="1"/>
  <c r="BC11" i="39"/>
  <c r="BC14" i="39" s="1"/>
  <c r="BC17" i="39" s="1"/>
  <c r="BC110" i="39" s="1"/>
  <c r="BC166" i="39" s="1"/>
  <c r="BC221" i="39" s="1"/>
  <c r="AW11" i="39"/>
  <c r="AW14" i="39" s="1"/>
  <c r="AW17" i="39" s="1"/>
  <c r="AW110" i="39" s="1"/>
  <c r="AW166" i="39" s="1"/>
  <c r="AW221" i="39" s="1"/>
  <c r="AQ11" i="39"/>
  <c r="AQ14" i="39" s="1"/>
  <c r="AQ17" i="39" s="1"/>
  <c r="AQ110" i="39" s="1"/>
  <c r="AQ166" i="39" s="1"/>
  <c r="AQ221" i="39" s="1"/>
  <c r="AK11" i="39"/>
  <c r="AK14" i="39" s="1"/>
  <c r="AK17" i="39" s="1"/>
  <c r="AK110" i="39" s="1"/>
  <c r="AK166" i="39" s="1"/>
  <c r="AK221" i="39" s="1"/>
  <c r="AU16" i="65" l="1"/>
  <c r="AW16" i="65"/>
  <c r="W24" i="65"/>
  <c r="AN24" i="65"/>
  <c r="V16" i="65"/>
  <c r="AD24" i="65"/>
  <c r="AX24" i="65"/>
  <c r="AX16" i="65"/>
  <c r="S20" i="65"/>
  <c r="S16" i="65"/>
  <c r="AE16" i="65"/>
  <c r="AB24" i="65"/>
  <c r="BJ24" i="65"/>
  <c r="AQ24" i="65"/>
  <c r="AR24" i="65"/>
  <c r="BA16" i="65"/>
  <c r="AR16" i="65"/>
  <c r="BK20" i="65"/>
  <c r="AL16" i="65"/>
  <c r="AS24" i="65"/>
  <c r="AY16" i="65"/>
  <c r="AV24" i="65"/>
  <c r="AK16" i="65"/>
  <c r="AL20" i="65"/>
  <c r="AG16" i="65"/>
  <c r="AK24" i="65"/>
  <c r="BH16" i="65"/>
  <c r="BI24" i="65"/>
  <c r="AI20" i="65"/>
  <c r="AI16" i="65"/>
  <c r="AC16" i="65"/>
  <c r="BE16" i="65"/>
  <c r="AP24" i="65"/>
  <c r="U24" i="65"/>
  <c r="Q20" i="65"/>
  <c r="X16" i="65"/>
  <c r="BB24" i="65"/>
  <c r="Y24" i="65"/>
  <c r="AB16" i="65"/>
  <c r="R16" i="65"/>
  <c r="AF16" i="65"/>
  <c r="AG24" i="65"/>
  <c r="BA20" i="65"/>
  <c r="AE20" i="65"/>
  <c r="BM16" i="65"/>
  <c r="BK16" i="65"/>
  <c r="T24" i="65"/>
  <c r="AR21" i="65"/>
  <c r="AR25" i="65"/>
  <c r="AR17" i="65"/>
  <c r="BC21" i="65"/>
  <c r="BC25" i="65"/>
  <c r="BC17" i="65"/>
  <c r="BD21" i="65"/>
  <c r="BD25" i="65"/>
  <c r="BD17" i="65"/>
  <c r="AG25" i="65"/>
  <c r="AG17" i="65"/>
  <c r="AG21" i="65"/>
  <c r="BJ21" i="65"/>
  <c r="BJ25" i="65"/>
  <c r="BJ17" i="65"/>
  <c r="AK21" i="65"/>
  <c r="AK25" i="65"/>
  <c r="AK17" i="65"/>
  <c r="U25" i="65"/>
  <c r="U17" i="65"/>
  <c r="U21" i="65"/>
  <c r="Y21" i="65"/>
  <c r="Y25" i="65"/>
  <c r="Y17" i="65"/>
  <c r="AI17" i="65"/>
  <c r="AI21" i="65"/>
  <c r="AI25" i="65"/>
  <c r="BE25" i="65"/>
  <c r="BE17" i="65"/>
  <c r="BE21" i="65"/>
  <c r="AT25" i="65"/>
  <c r="AT17" i="65"/>
  <c r="AT21" i="65"/>
  <c r="AJ17" i="65"/>
  <c r="AJ21" i="65"/>
  <c r="AJ25" i="65"/>
  <c r="AA25" i="65"/>
  <c r="AA17" i="65"/>
  <c r="AA21" i="65"/>
  <c r="AO17" i="65"/>
  <c r="AO21" i="65"/>
  <c r="AO25" i="65"/>
  <c r="R17" i="65"/>
  <c r="R21" i="65"/>
  <c r="R25" i="65"/>
  <c r="AZ25" i="65"/>
  <c r="AZ17" i="65"/>
  <c r="AZ21" i="65"/>
  <c r="AC17" i="65"/>
  <c r="AC21" i="65"/>
  <c r="AC25" i="65"/>
  <c r="AS25" i="65"/>
  <c r="AS17" i="65"/>
  <c r="AS21" i="65"/>
  <c r="AN25" i="65"/>
  <c r="AN17" i="65"/>
  <c r="AN21" i="65"/>
  <c r="AY25" i="65"/>
  <c r="AY17" i="65"/>
  <c r="AY21" i="65"/>
  <c r="T21" i="65"/>
  <c r="T25" i="65"/>
  <c r="T17" i="65"/>
  <c r="AE21" i="65"/>
  <c r="AE25" i="65"/>
  <c r="AE17" i="65"/>
  <c r="Z21" i="65"/>
  <c r="Z25" i="65"/>
  <c r="Z17" i="65"/>
  <c r="AF21" i="65"/>
  <c r="AF25" i="65"/>
  <c r="AF17" i="65"/>
  <c r="AQ21" i="65"/>
  <c r="AQ25" i="65"/>
  <c r="AQ17" i="65"/>
  <c r="BA17" i="65"/>
  <c r="BA21" i="65"/>
  <c r="BA25" i="65"/>
  <c r="BB17" i="65"/>
  <c r="BB21" i="65"/>
  <c r="BB25" i="65"/>
  <c r="BL25" i="65"/>
  <c r="BL17" i="65"/>
  <c r="BL21" i="65"/>
  <c r="AD17" i="65"/>
  <c r="AD21" i="65"/>
  <c r="AD25" i="65"/>
  <c r="BK25" i="65"/>
  <c r="BK17" i="65"/>
  <c r="BK21" i="65"/>
  <c r="BG17" i="65"/>
  <c r="BG21" i="65"/>
  <c r="BG25" i="65"/>
  <c r="BN17" i="65"/>
  <c r="BN21" i="65"/>
  <c r="AU17" i="65"/>
  <c r="AU21" i="65"/>
  <c r="AU25" i="65"/>
  <c r="BF25" i="65"/>
  <c r="BF17" i="65"/>
  <c r="BF21" i="65"/>
  <c r="AV17" i="65"/>
  <c r="AV21" i="65"/>
  <c r="AV25" i="65"/>
  <c r="AL21" i="65"/>
  <c r="AL25" i="65"/>
  <c r="AL17" i="65"/>
  <c r="AW21" i="65"/>
  <c r="AW25" i="65"/>
  <c r="AW17" i="65"/>
  <c r="S21" i="65"/>
  <c r="S25" i="65"/>
  <c r="S17" i="65"/>
  <c r="P21" i="65"/>
  <c r="P25" i="65"/>
  <c r="AM25" i="65"/>
  <c r="AM17" i="65"/>
  <c r="AM21" i="65"/>
  <c r="AX21" i="65"/>
  <c r="AX25" i="65"/>
  <c r="AX17" i="65"/>
  <c r="BI21" i="65"/>
  <c r="BI25" i="65"/>
  <c r="BI17" i="65"/>
  <c r="Q21" i="65"/>
  <c r="Q17" i="65"/>
  <c r="Q25" i="65"/>
  <c r="X17" i="65"/>
  <c r="X21" i="65"/>
  <c r="X25" i="65"/>
  <c r="AB25" i="65"/>
  <c r="AB17" i="65"/>
  <c r="AB21" i="65"/>
  <c r="BH17" i="65"/>
  <c r="BH21" i="65"/>
  <c r="BH25" i="65"/>
  <c r="AP17" i="65"/>
  <c r="AP21" i="65"/>
  <c r="AP25" i="65"/>
  <c r="W17" i="65"/>
  <c r="W21" i="65"/>
  <c r="W25" i="65"/>
  <c r="AH25" i="65"/>
  <c r="AH17" i="65"/>
  <c r="AH21" i="65"/>
  <c r="BM17" i="65"/>
  <c r="BM21" i="65"/>
  <c r="BM25" i="65"/>
  <c r="V25" i="65"/>
  <c r="V17" i="65"/>
  <c r="V21" i="65"/>
  <c r="BE20" i="65"/>
  <c r="AZ16" i="65"/>
  <c r="AM24" i="65"/>
  <c r="AT20" i="65"/>
  <c r="BM20" i="65"/>
  <c r="Q16" i="65"/>
  <c r="AA24" i="65"/>
  <c r="BF16" i="65"/>
  <c r="BG24" i="65"/>
  <c r="BL16" i="65"/>
  <c r="AT16" i="65"/>
  <c r="AJ16" i="65"/>
  <c r="Y16" i="65"/>
  <c r="AM16" i="65"/>
  <c r="AO16" i="65"/>
  <c r="AO24" i="65"/>
  <c r="BG166" i="65"/>
  <c r="BH221" i="65"/>
  <c r="BE3" i="65"/>
  <c r="BF15" i="65"/>
  <c r="BF19" i="65" s="1"/>
  <c r="BF23" i="65" s="1"/>
  <c r="BF110" i="65" s="1"/>
  <c r="Q109" i="39"/>
  <c r="AJ14" i="39"/>
  <c r="AJ17" i="39" s="1"/>
  <c r="P7" i="39"/>
  <c r="B7" i="39"/>
  <c r="K7" i="39" a="1"/>
  <c r="L9" i="39" l="1"/>
  <c r="L15" i="39"/>
  <c r="L21" i="39"/>
  <c r="L10" i="39"/>
  <c r="L16" i="39"/>
  <c r="L22" i="39"/>
  <c r="L11" i="39"/>
  <c r="L17" i="39"/>
  <c r="L23" i="39"/>
  <c r="L12" i="39"/>
  <c r="L18" i="39"/>
  <c r="L24" i="39"/>
  <c r="L13" i="39"/>
  <c r="L19" i="39"/>
  <c r="L25" i="39"/>
  <c r="L14" i="39"/>
  <c r="L20" i="39"/>
  <c r="B8" i="39"/>
  <c r="B17" i="39" s="1"/>
  <c r="G3" i="68"/>
  <c r="BG221" i="65"/>
  <c r="BF166" i="65"/>
  <c r="BE15" i="65"/>
  <c r="BE19" i="65" s="1"/>
  <c r="BE23" i="65" s="1"/>
  <c r="BE110" i="65" s="1"/>
  <c r="BD3" i="65"/>
  <c r="BS15" i="39"/>
  <c r="BS16" i="39"/>
  <c r="BS17" i="39"/>
  <c r="BS20" i="39"/>
  <c r="BS18" i="39"/>
  <c r="BS19" i="39"/>
  <c r="BS3" i="39"/>
  <c r="BS9" i="39"/>
  <c r="BS14" i="39"/>
  <c r="BS4" i="39"/>
  <c r="BS10" i="39"/>
  <c r="BS5" i="39"/>
  <c r="BS11" i="39"/>
  <c r="BS6" i="39"/>
  <c r="BS12" i="39"/>
  <c r="BS7" i="39"/>
  <c r="BS13" i="39"/>
  <c r="BS8" i="39"/>
  <c r="D2" i="39"/>
  <c r="D4" i="39" s="1"/>
  <c r="D3" i="39"/>
  <c r="D5" i="39" s="1"/>
  <c r="K7" i="39"/>
  <c r="L8" i="39" s="1"/>
  <c r="D11" i="39" s="1"/>
  <c r="J2" i="68" a="1"/>
  <c r="D17" i="39" a="1"/>
  <c r="P2" i="39" a="1"/>
  <c r="B20" i="39" l="1"/>
  <c r="B18" i="39"/>
  <c r="B21" i="39"/>
  <c r="B15" i="39"/>
  <c r="C15" i="39" s="1"/>
  <c r="A5" i="68" s="1"/>
  <c r="B19" i="39"/>
  <c r="C19" i="39" s="1"/>
  <c r="A9" i="68" s="1"/>
  <c r="B22" i="39"/>
  <c r="B23" i="39"/>
  <c r="C23" i="39" s="1"/>
  <c r="B16" i="39"/>
  <c r="G4" i="68"/>
  <c r="J2" i="68"/>
  <c r="D17" i="39"/>
  <c r="C17" i="39"/>
  <c r="A7" i="68" s="1"/>
  <c r="C18" i="39"/>
  <c r="A8" i="68" s="1"/>
  <c r="C20" i="39"/>
  <c r="A10" i="68" s="1"/>
  <c r="BD15" i="65"/>
  <c r="BD19" i="65" s="1"/>
  <c r="BD23" i="65" s="1"/>
  <c r="BD110" i="65" s="1"/>
  <c r="BC3" i="65"/>
  <c r="BE166" i="65"/>
  <c r="BF221" i="65"/>
  <c r="BU1" i="39"/>
  <c r="BU2" i="39" s="1"/>
  <c r="CA1" i="39"/>
  <c r="CA2" i="39" s="1"/>
  <c r="CG1" i="39"/>
  <c r="CG2" i="39" s="1"/>
  <c r="CM1" i="39"/>
  <c r="CM2" i="39" s="1"/>
  <c r="CS1" i="39"/>
  <c r="CS2" i="39" s="1"/>
  <c r="CY1" i="39"/>
  <c r="CY2" i="39" s="1"/>
  <c r="DE1" i="39"/>
  <c r="DE2" i="39" s="1"/>
  <c r="DK1" i="39"/>
  <c r="DK2" i="39" s="1"/>
  <c r="DQ1" i="39"/>
  <c r="DQ2" i="39" s="1"/>
  <c r="CR1" i="39"/>
  <c r="CR2" i="39" s="1"/>
  <c r="BV1" i="39"/>
  <c r="BV2" i="39" s="1"/>
  <c r="CB1" i="39"/>
  <c r="CB2" i="39" s="1"/>
  <c r="CH1" i="39"/>
  <c r="CH2" i="39" s="1"/>
  <c r="CN1" i="39"/>
  <c r="CN2" i="39" s="1"/>
  <c r="CT1" i="39"/>
  <c r="CT2" i="39" s="1"/>
  <c r="CZ1" i="39"/>
  <c r="CZ2" i="39" s="1"/>
  <c r="DF1" i="39"/>
  <c r="DF2" i="39" s="1"/>
  <c r="DL1" i="39"/>
  <c r="DL2" i="39" s="1"/>
  <c r="DR1" i="39"/>
  <c r="DR2" i="39" s="1"/>
  <c r="CX1" i="39"/>
  <c r="CX2" i="39" s="1"/>
  <c r="BW1" i="39"/>
  <c r="BW2" i="39" s="1"/>
  <c r="CC1" i="39"/>
  <c r="CC2" i="39" s="1"/>
  <c r="CI1" i="39"/>
  <c r="CI2" i="39" s="1"/>
  <c r="CO1" i="39"/>
  <c r="CO2" i="39" s="1"/>
  <c r="CU1" i="39"/>
  <c r="CU2" i="39" s="1"/>
  <c r="DA1" i="39"/>
  <c r="DA2" i="39" s="1"/>
  <c r="DG1" i="39"/>
  <c r="DG2" i="39" s="1"/>
  <c r="DM1" i="39"/>
  <c r="DM2" i="39" s="1"/>
  <c r="CL1" i="39"/>
  <c r="CL2" i="39" s="1"/>
  <c r="BX1" i="39"/>
  <c r="BX2" i="39" s="1"/>
  <c r="CD1" i="39"/>
  <c r="CD2" i="39" s="1"/>
  <c r="CJ1" i="39"/>
  <c r="CJ2" i="39" s="1"/>
  <c r="CP1" i="39"/>
  <c r="CP2" i="39" s="1"/>
  <c r="CV1" i="39"/>
  <c r="CV2" i="39" s="1"/>
  <c r="DB1" i="39"/>
  <c r="DB2" i="39" s="1"/>
  <c r="DH1" i="39"/>
  <c r="DH2" i="39" s="1"/>
  <c r="DN1" i="39"/>
  <c r="DN2" i="39" s="1"/>
  <c r="CF1" i="39"/>
  <c r="CF2" i="39" s="1"/>
  <c r="DJ1" i="39"/>
  <c r="DJ2" i="39" s="1"/>
  <c r="BY1" i="39"/>
  <c r="BY2" i="39" s="1"/>
  <c r="CE1" i="39"/>
  <c r="CE2" i="39" s="1"/>
  <c r="CK1" i="39"/>
  <c r="CK2" i="39" s="1"/>
  <c r="CQ1" i="39"/>
  <c r="CQ2" i="39" s="1"/>
  <c r="CW1" i="39"/>
  <c r="CW2" i="39" s="1"/>
  <c r="DC1" i="39"/>
  <c r="DC2" i="39" s="1"/>
  <c r="DI1" i="39"/>
  <c r="DI2" i="39" s="1"/>
  <c r="DO1" i="39"/>
  <c r="DO2" i="39" s="1"/>
  <c r="BZ1" i="39"/>
  <c r="BZ2" i="39" s="1"/>
  <c r="DD1" i="39"/>
  <c r="DD2" i="39" s="1"/>
  <c r="DP1" i="39"/>
  <c r="DP2" i="39" s="1"/>
  <c r="BS2" i="39"/>
  <c r="P2" i="39"/>
  <c r="D20" i="39" a="1"/>
  <c r="D18" i="39" a="1"/>
  <c r="D21" i="39" a="1"/>
  <c r="D19" i="39" a="1"/>
  <c r="D22" i="39" a="1"/>
  <c r="D16" i="39" a="1"/>
  <c r="G17" i="39" a="1"/>
  <c r="D22" i="39" l="1"/>
  <c r="D19" i="39"/>
  <c r="D21" i="39"/>
  <c r="D18" i="39"/>
  <c r="D20" i="39"/>
  <c r="C21" i="39"/>
  <c r="A11" i="68" s="1"/>
  <c r="C22" i="39"/>
  <c r="A12" i="68" s="1"/>
  <c r="D16" i="39"/>
  <c r="C16" i="39"/>
  <c r="G17" i="39"/>
  <c r="E23" i="39"/>
  <c r="BE221" i="65"/>
  <c r="BC15" i="65"/>
  <c r="BC19" i="65" s="1"/>
  <c r="BC23" i="65" s="1"/>
  <c r="BC110" i="65" s="1"/>
  <c r="BB3" i="65"/>
  <c r="BD166" i="65"/>
  <c r="D12" i="39"/>
  <c r="BT1" i="39"/>
  <c r="G20" i="39" a="1"/>
  <c r="G22" i="39" a="1"/>
  <c r="G19" i="39" a="1"/>
  <c r="G21" i="39" a="1"/>
  <c r="G18" i="39" a="1"/>
  <c r="G16" i="39" a="1"/>
  <c r="G18" i="39" l="1"/>
  <c r="G21" i="39"/>
  <c r="G19" i="39"/>
  <c r="G22" i="39"/>
  <c r="G20" i="39"/>
  <c r="G16" i="39"/>
  <c r="A6" i="68"/>
  <c r="E15" i="39"/>
  <c r="BA3" i="65"/>
  <c r="BB15" i="65"/>
  <c r="BB19" i="65" s="1"/>
  <c r="BB23" i="65" s="1"/>
  <c r="BB110" i="65" s="1"/>
  <c r="BC166" i="65"/>
  <c r="BD221" i="65"/>
  <c r="D10" i="39"/>
  <c r="D9" i="39"/>
  <c r="BK4" i="39" a="1"/>
  <c r="W4" i="39" a="1"/>
  <c r="BH4" i="39" a="1"/>
  <c r="AL4" i="39" a="1"/>
  <c r="BD4" i="39" a="1"/>
  <c r="AO4" i="39" a="1"/>
  <c r="BN4" i="39" a="1"/>
  <c r="AR4" i="39" a="1"/>
  <c r="AE4" i="39" a="1"/>
  <c r="AH4" i="39" a="1"/>
  <c r="BB4" i="39" a="1"/>
  <c r="AU4" i="39" a="1"/>
  <c r="P4" i="39" a="1"/>
  <c r="V4" i="39" a="1"/>
  <c r="U4" i="39" a="1"/>
  <c r="AI4" i="39" a="1"/>
  <c r="BE4" i="39" a="1"/>
  <c r="Y4" i="39" a="1"/>
  <c r="AG4" i="39" a="1"/>
  <c r="AS4" i="39" a="1"/>
  <c r="BG4" i="39" a="1"/>
  <c r="T4" i="39" a="1"/>
  <c r="BL4" i="39" a="1"/>
  <c r="AN4" i="39" a="1"/>
  <c r="Z4" i="39" a="1"/>
  <c r="AK4" i="39" a="1"/>
  <c r="AY4" i="39" a="1"/>
  <c r="BJ4" i="39" a="1"/>
  <c r="AV4" i="39" a="1"/>
  <c r="AD4" i="39" a="1"/>
  <c r="AJ4" i="39" a="1"/>
  <c r="BI4" i="39" a="1"/>
  <c r="Q4" i="39" a="1"/>
  <c r="AM4" i="39" a="1"/>
  <c r="AZ4" i="39" a="1"/>
  <c r="AX4" i="39" a="1"/>
  <c r="BM4" i="39" a="1"/>
  <c r="BC4" i="39" a="1"/>
  <c r="AP4" i="39" a="1"/>
  <c r="BA4" i="39" a="1"/>
  <c r="AT4" i="39" a="1"/>
  <c r="BF4" i="39" a="1"/>
  <c r="AB4" i="39" a="1"/>
  <c r="AC4" i="39" a="1"/>
  <c r="S4" i="39" a="1"/>
  <c r="AW4" i="39" a="1"/>
  <c r="X4" i="39" a="1"/>
  <c r="AF4" i="39" a="1"/>
  <c r="AA4" i="39" a="1"/>
  <c r="AQ4" i="39" a="1"/>
  <c r="R4" i="39" a="1"/>
  <c r="R4" i="39" l="1"/>
  <c r="R6" i="39" s="1"/>
  <c r="AQ4" i="39"/>
  <c r="AQ6" i="39" s="1"/>
  <c r="AA4" i="39"/>
  <c r="AA6" i="39" s="1"/>
  <c r="AF4" i="39"/>
  <c r="AF6" i="39" s="1"/>
  <c r="X4" i="39"/>
  <c r="X6" i="39" s="1"/>
  <c r="AW4" i="39"/>
  <c r="AW5" i="39" s="1"/>
  <c r="S4" i="39"/>
  <c r="S6" i="39" s="1"/>
  <c r="AC4" i="39"/>
  <c r="AC5" i="39" s="1"/>
  <c r="AC15" i="39" s="1"/>
  <c r="AB4" i="39"/>
  <c r="AB6" i="39" s="1"/>
  <c r="BF4" i="39"/>
  <c r="BF5" i="39" s="1"/>
  <c r="AT4" i="39"/>
  <c r="AT6" i="39" s="1"/>
  <c r="BA4" i="39"/>
  <c r="BA5" i="39" s="1"/>
  <c r="AP4" i="39"/>
  <c r="AP5" i="39" s="1"/>
  <c r="BC4" i="39"/>
  <c r="BC6" i="39" s="1"/>
  <c r="BM4" i="39"/>
  <c r="BM5" i="39" s="1"/>
  <c r="AX4" i="39"/>
  <c r="AX5" i="39" s="1"/>
  <c r="AZ4" i="39"/>
  <c r="AZ5" i="39" s="1"/>
  <c r="AM4" i="39"/>
  <c r="AM5" i="39" s="1"/>
  <c r="Q4" i="39"/>
  <c r="Q6" i="39" s="1"/>
  <c r="BI4" i="39"/>
  <c r="BI5" i="39" s="1"/>
  <c r="AJ4" i="39"/>
  <c r="AJ6" i="39" s="1"/>
  <c r="AD4" i="39"/>
  <c r="AD5" i="39" s="1"/>
  <c r="AV4" i="39"/>
  <c r="AV6" i="39" s="1"/>
  <c r="BJ4" i="39"/>
  <c r="BJ6" i="39" s="1"/>
  <c r="AY4" i="39"/>
  <c r="AY5" i="39" s="1"/>
  <c r="AK4" i="39"/>
  <c r="AK5" i="39" s="1"/>
  <c r="Z4" i="39"/>
  <c r="Z5" i="39" s="1"/>
  <c r="AN4" i="39"/>
  <c r="AN6" i="39" s="1"/>
  <c r="BL4" i="39"/>
  <c r="BL6" i="39" s="1"/>
  <c r="T4" i="39"/>
  <c r="T5" i="39" s="1"/>
  <c r="BG4" i="39"/>
  <c r="BG6" i="39" s="1"/>
  <c r="AS4" i="39"/>
  <c r="AS6" i="39" s="1"/>
  <c r="AG4" i="39"/>
  <c r="AG5" i="39" s="1"/>
  <c r="Y4" i="39"/>
  <c r="Y5" i="39" s="1"/>
  <c r="BE4" i="39"/>
  <c r="BE5" i="39" s="1"/>
  <c r="AI4" i="39"/>
  <c r="AI5" i="39" s="1"/>
  <c r="U4" i="39"/>
  <c r="U5" i="39" s="1"/>
  <c r="V4" i="39"/>
  <c r="V5" i="39" s="1"/>
  <c r="P4" i="39"/>
  <c r="P8" i="39" s="1"/>
  <c r="AU4" i="39"/>
  <c r="AU6" i="39" s="1"/>
  <c r="BB4" i="39"/>
  <c r="BB6" i="39" s="1"/>
  <c r="AH4" i="39"/>
  <c r="AH6" i="39" s="1"/>
  <c r="AE4" i="39"/>
  <c r="AE6" i="39" s="1"/>
  <c r="AR4" i="39"/>
  <c r="AR5" i="39" s="1"/>
  <c r="BN4" i="39"/>
  <c r="BN6" i="39" s="1"/>
  <c r="AO4" i="39"/>
  <c r="AO6" i="39" s="1"/>
  <c r="BD4" i="39"/>
  <c r="BD6" i="39" s="1"/>
  <c r="AL4" i="39"/>
  <c r="AL5" i="39" s="1"/>
  <c r="BH4" i="39"/>
  <c r="BH5" i="39" s="1"/>
  <c r="BH15" i="39" s="1"/>
  <c r="W4" i="39"/>
  <c r="W5" i="39" s="1"/>
  <c r="BK4" i="39"/>
  <c r="BK6" i="39" s="1"/>
  <c r="B5" i="68"/>
  <c r="BC221" i="65"/>
  <c r="BB166" i="65"/>
  <c r="BA15" i="65"/>
  <c r="BA19" i="65" s="1"/>
  <c r="BA23" i="65" s="1"/>
  <c r="BA110" i="65" s="1"/>
  <c r="AZ3" i="65"/>
  <c r="L2" i="68" a="1"/>
  <c r="BJ5" i="39" l="1"/>
  <c r="BJ18" i="39" s="1"/>
  <c r="X5" i="39"/>
  <c r="X12" i="39" s="1"/>
  <c r="AM6" i="39"/>
  <c r="AM12" i="39" s="1"/>
  <c r="AW6" i="39"/>
  <c r="AW12" i="39" s="1"/>
  <c r="AI6" i="39"/>
  <c r="AI18" i="39" s="1"/>
  <c r="AT5" i="39"/>
  <c r="AT18" i="39" s="1"/>
  <c r="BL5" i="39"/>
  <c r="BL18" i="39" s="1"/>
  <c r="AV5" i="39"/>
  <c r="AV18" i="39" s="1"/>
  <c r="BB5" i="39"/>
  <c r="BB15" i="39" s="1"/>
  <c r="BE6" i="39"/>
  <c r="BE18" i="39" s="1"/>
  <c r="AZ6" i="39"/>
  <c r="AZ18" i="39" s="1"/>
  <c r="BD5" i="39"/>
  <c r="BD15" i="39" s="1"/>
  <c r="BH6" i="39"/>
  <c r="BH18" i="39" s="1"/>
  <c r="AY6" i="39"/>
  <c r="AY12" i="39" s="1"/>
  <c r="Q5" i="39"/>
  <c r="Q15" i="39" s="1"/>
  <c r="U6" i="39"/>
  <c r="U18" i="39" s="1"/>
  <c r="R5" i="39"/>
  <c r="R18" i="39" s="1"/>
  <c r="AL6" i="39"/>
  <c r="AL12" i="39" s="1"/>
  <c r="AH5" i="39"/>
  <c r="AH18" i="39" s="1"/>
  <c r="BA6" i="39"/>
  <c r="BA12" i="39" s="1"/>
  <c r="T6" i="39"/>
  <c r="T18" i="39" s="1"/>
  <c r="BG5" i="39"/>
  <c r="BG15" i="39" s="1"/>
  <c r="AS5" i="39"/>
  <c r="AS15" i="39" s="1"/>
  <c r="AX6" i="39"/>
  <c r="AX18" i="39" s="1"/>
  <c r="AU5" i="39"/>
  <c r="AU18" i="39" s="1"/>
  <c r="BC5" i="39"/>
  <c r="BC15" i="39" s="1"/>
  <c r="AE5" i="39"/>
  <c r="AE12" i="39" s="1"/>
  <c r="S5" i="39"/>
  <c r="S15" i="39" s="1"/>
  <c r="AP6" i="39"/>
  <c r="AP18" i="39" s="1"/>
  <c r="AD6" i="39"/>
  <c r="AD12" i="39" s="1"/>
  <c r="W6" i="39"/>
  <c r="W18" i="39" s="1"/>
  <c r="AG6" i="39"/>
  <c r="AG18" i="39" s="1"/>
  <c r="BN5" i="39"/>
  <c r="BN15" i="39" s="1"/>
  <c r="AC6" i="39"/>
  <c r="AC18" i="39" s="1"/>
  <c r="V6" i="39"/>
  <c r="V18" i="39" s="1"/>
  <c r="AB5" i="39"/>
  <c r="AB18" i="39" s="1"/>
  <c r="BK5" i="39"/>
  <c r="BK18" i="39" s="1"/>
  <c r="AK6" i="39"/>
  <c r="AK12" i="39" s="1"/>
  <c r="AR6" i="39"/>
  <c r="AR12" i="39" s="1"/>
  <c r="L2" i="68"/>
  <c r="K3" i="68" s="1"/>
  <c r="AO5" i="39"/>
  <c r="AO18" i="39" s="1"/>
  <c r="AN5" i="39"/>
  <c r="AN18" i="39" s="1"/>
  <c r="BF6" i="39"/>
  <c r="BF18" i="39" s="1"/>
  <c r="P6" i="39"/>
  <c r="AA5" i="39"/>
  <c r="AA12" i="39" s="1"/>
  <c r="AQ5" i="39"/>
  <c r="AQ18" i="39" s="1"/>
  <c r="BI6" i="39"/>
  <c r="BI18" i="39" s="1"/>
  <c r="Y6" i="39"/>
  <c r="Y12" i="39" s="1"/>
  <c r="AJ5" i="39"/>
  <c r="AJ15" i="39" s="1"/>
  <c r="AF5" i="39"/>
  <c r="AF18" i="39" s="1"/>
  <c r="Z6" i="39"/>
  <c r="Z18" i="39" s="1"/>
  <c r="BM6" i="39"/>
  <c r="BM18" i="39" s="1"/>
  <c r="P5" i="39"/>
  <c r="P15" i="39" s="1"/>
  <c r="AZ15" i="65"/>
  <c r="AZ19" i="65" s="1"/>
  <c r="AZ23" i="65" s="1"/>
  <c r="AZ110" i="65" s="1"/>
  <c r="AY3" i="65"/>
  <c r="BA166" i="65"/>
  <c r="BB221" i="65"/>
  <c r="BI15" i="39"/>
  <c r="AL15" i="39"/>
  <c r="U15" i="39"/>
  <c r="AG15" i="39"/>
  <c r="Y15" i="39"/>
  <c r="AI15" i="39"/>
  <c r="V15" i="39"/>
  <c r="BE15" i="39"/>
  <c r="AR15" i="39"/>
  <c r="BJ15" i="39"/>
  <c r="AK15" i="39"/>
  <c r="BA15" i="39"/>
  <c r="AY15" i="39"/>
  <c r="W15" i="39"/>
  <c r="AZ15" i="39"/>
  <c r="AP15" i="39"/>
  <c r="BF15" i="39"/>
  <c r="AM15" i="39"/>
  <c r="AX15" i="39"/>
  <c r="T15" i="39"/>
  <c r="AW15" i="39"/>
  <c r="BM15" i="39"/>
  <c r="Z15" i="39"/>
  <c r="AD15" i="39"/>
  <c r="L3" i="68" a="1"/>
  <c r="X15" i="39" l="1"/>
  <c r="AZ12" i="39"/>
  <c r="BB18" i="39"/>
  <c r="X18" i="39"/>
  <c r="AT15" i="39"/>
  <c r="AT12" i="39"/>
  <c r="BD18" i="39"/>
  <c r="AM18" i="39"/>
  <c r="AS18" i="39"/>
  <c r="AW18" i="39"/>
  <c r="BB12" i="39"/>
  <c r="BE12" i="39"/>
  <c r="V12" i="39"/>
  <c r="R12" i="39"/>
  <c r="AA18" i="39"/>
  <c r="BL15" i="39"/>
  <c r="AV12" i="39"/>
  <c r="AV15" i="39"/>
  <c r="AY18" i="39"/>
  <c r="AQ15" i="39"/>
  <c r="AE15" i="39"/>
  <c r="U12" i="39"/>
  <c r="BH12" i="39"/>
  <c r="AC12" i="39"/>
  <c r="S12" i="39"/>
  <c r="R15" i="39"/>
  <c r="BG18" i="39"/>
  <c r="AR18" i="39"/>
  <c r="Q12" i="39"/>
  <c r="Q18" i="39"/>
  <c r="AL18" i="39"/>
  <c r="BC18" i="39"/>
  <c r="AH15" i="39"/>
  <c r="BA18" i="39"/>
  <c r="AU12" i="39"/>
  <c r="BG12" i="39"/>
  <c r="S18" i="39"/>
  <c r="AU15" i="39"/>
  <c r="AD18" i="39"/>
  <c r="P18" i="39"/>
  <c r="AB15" i="39"/>
  <c r="W12" i="39"/>
  <c r="AO12" i="39"/>
  <c r="AO15" i="39"/>
  <c r="AK18" i="39"/>
  <c r="AE18" i="39"/>
  <c r="BK15" i="39"/>
  <c r="AG12" i="39"/>
  <c r="AN15" i="39"/>
  <c r="AF15" i="39"/>
  <c r="BK12" i="39"/>
  <c r="AA15" i="39"/>
  <c r="AJ18" i="39"/>
  <c r="BN12" i="39"/>
  <c r="AF12" i="39"/>
  <c r="L3" i="68"/>
  <c r="K4" i="68" s="1"/>
  <c r="BF12" i="39"/>
  <c r="AN12" i="39"/>
  <c r="AJ12" i="39"/>
  <c r="Y18" i="39"/>
  <c r="BA221" i="65"/>
  <c r="AY15" i="65"/>
  <c r="AY19" i="65" s="1"/>
  <c r="AY23" i="65" s="1"/>
  <c r="AY110" i="65" s="1"/>
  <c r="AX3" i="65"/>
  <c r="AZ166" i="65"/>
  <c r="BI12" i="39"/>
  <c r="BC12" i="39"/>
  <c r="BJ12" i="39"/>
  <c r="AQ12" i="39"/>
  <c r="BD12" i="39"/>
  <c r="AB12" i="39"/>
  <c r="BL12" i="39"/>
  <c r="AX12" i="39"/>
  <c r="AS12" i="39"/>
  <c r="AH12" i="39"/>
  <c r="BM12" i="39"/>
  <c r="T12" i="39"/>
  <c r="AI12" i="39"/>
  <c r="AP12" i="39"/>
  <c r="Z12" i="39"/>
  <c r="L4" i="68" a="1"/>
  <c r="L4" i="68" l="1"/>
  <c r="K5" i="68" s="1"/>
  <c r="AX15" i="65"/>
  <c r="AX19" i="65" s="1"/>
  <c r="AX23" i="65" s="1"/>
  <c r="AX110" i="65" s="1"/>
  <c r="AW3" i="65"/>
  <c r="AY166" i="65"/>
  <c r="AZ221" i="65"/>
  <c r="BF109" i="63"/>
  <c r="BG109" i="63" s="1"/>
  <c r="AH109" i="63"/>
  <c r="AI109" i="63" s="1"/>
  <c r="K109" i="63"/>
  <c r="L109" i="63" s="1"/>
  <c r="J108" i="63" s="1"/>
  <c r="K108" i="63" s="1"/>
  <c r="L108" i="63" s="1"/>
  <c r="M108" i="63" s="1"/>
  <c r="N108" i="63" s="1"/>
  <c r="O108" i="63" s="1"/>
  <c r="P108" i="63" s="1"/>
  <c r="Q108" i="63" s="1"/>
  <c r="R108" i="63" s="1"/>
  <c r="S108" i="63" s="1"/>
  <c r="T108" i="63" s="1"/>
  <c r="U108" i="63" s="1"/>
  <c r="V108" i="63" s="1"/>
  <c r="W108" i="63" s="1"/>
  <c r="X108" i="63" s="1"/>
  <c r="Y108" i="63" s="1"/>
  <c r="Z108" i="63" s="1"/>
  <c r="AA108" i="63" s="1"/>
  <c r="AB108" i="63" s="1"/>
  <c r="AC108" i="63" s="1"/>
  <c r="AD108" i="63" s="1"/>
  <c r="AH107" i="63"/>
  <c r="AI107" i="63" s="1"/>
  <c r="AJ107" i="63" s="1"/>
  <c r="AK107" i="63" s="1"/>
  <c r="AL107" i="63" s="1"/>
  <c r="AM107" i="63" s="1"/>
  <c r="AN107" i="63" s="1"/>
  <c r="AO107" i="63" s="1"/>
  <c r="AP107" i="63" s="1"/>
  <c r="AQ107" i="63" s="1"/>
  <c r="AR107" i="63" s="1"/>
  <c r="AS107" i="63" s="1"/>
  <c r="AT107" i="63" s="1"/>
  <c r="AU107" i="63" s="1"/>
  <c r="AV107" i="63" s="1"/>
  <c r="AW107" i="63" s="1"/>
  <c r="AX107" i="63" s="1"/>
  <c r="AY107" i="63" s="1"/>
  <c r="AZ107" i="63" s="1"/>
  <c r="BA107" i="63" s="1"/>
  <c r="BB107" i="63" s="1"/>
  <c r="J107" i="63"/>
  <c r="K107" i="63" s="1"/>
  <c r="L107" i="63" s="1"/>
  <c r="M107" i="63" s="1"/>
  <c r="N107" i="63" s="1"/>
  <c r="O107" i="63" s="1"/>
  <c r="P107" i="63" s="1"/>
  <c r="Q107" i="63" s="1"/>
  <c r="R107" i="63" s="1"/>
  <c r="S107" i="63" s="1"/>
  <c r="T107" i="63" s="1"/>
  <c r="U107" i="63" s="1"/>
  <c r="V107" i="63" s="1"/>
  <c r="W107" i="63" s="1"/>
  <c r="X107" i="63" s="1"/>
  <c r="Y107" i="63" s="1"/>
  <c r="Z107" i="63" s="1"/>
  <c r="AA107" i="63" s="1"/>
  <c r="AB107" i="63" s="1"/>
  <c r="AC107" i="63" s="1"/>
  <c r="AD107" i="63" s="1"/>
  <c r="BB91" i="63"/>
  <c r="AS91" i="63"/>
  <c r="AK91" i="63"/>
  <c r="AY85" i="63"/>
  <c r="AQ85" i="63"/>
  <c r="AP85" i="63"/>
  <c r="AH85" i="63"/>
  <c r="BB78" i="63"/>
  <c r="AP78" i="63"/>
  <c r="AZ72" i="63"/>
  <c r="AR72" i="63"/>
  <c r="AK72" i="63"/>
  <c r="AX70" i="63"/>
  <c r="AI70" i="63"/>
  <c r="BB60" i="63"/>
  <c r="BB94" i="63" s="1"/>
  <c r="BA60" i="63"/>
  <c r="BA94" i="63" s="1"/>
  <c r="AZ60" i="63"/>
  <c r="AZ94" i="63" s="1"/>
  <c r="AY60" i="63"/>
  <c r="AY94" i="63" s="1"/>
  <c r="AX60" i="63"/>
  <c r="AX94" i="63" s="1"/>
  <c r="AW60" i="63"/>
  <c r="AW94" i="63" s="1"/>
  <c r="AV60" i="63"/>
  <c r="AV94" i="63" s="1"/>
  <c r="AU60" i="63"/>
  <c r="AU94" i="63" s="1"/>
  <c r="AT60" i="63"/>
  <c r="AT94" i="63" s="1"/>
  <c r="AS60" i="63"/>
  <c r="AS94" i="63" s="1"/>
  <c r="AR60" i="63"/>
  <c r="AR94" i="63" s="1"/>
  <c r="AQ60" i="63"/>
  <c r="AQ94" i="63" s="1"/>
  <c r="AP60" i="63"/>
  <c r="AP94" i="63" s="1"/>
  <c r="AO60" i="63"/>
  <c r="AO94" i="63" s="1"/>
  <c r="AN60" i="63"/>
  <c r="AN94" i="63" s="1"/>
  <c r="AM60" i="63"/>
  <c r="AM94" i="63" s="1"/>
  <c r="AL60" i="63"/>
  <c r="AL94" i="63" s="1"/>
  <c r="AK60" i="63"/>
  <c r="AK94" i="63" s="1"/>
  <c r="AJ60" i="63"/>
  <c r="AJ94" i="63" s="1"/>
  <c r="AI60" i="63"/>
  <c r="AI94" i="63" s="1"/>
  <c r="AH60" i="63"/>
  <c r="AH94" i="63" s="1"/>
  <c r="BB57" i="63"/>
  <c r="BA57" i="63"/>
  <c r="BA91" i="63" s="1"/>
  <c r="AZ57" i="63"/>
  <c r="AZ91" i="63" s="1"/>
  <c r="AY57" i="63"/>
  <c r="AY91" i="63" s="1"/>
  <c r="AX57" i="63"/>
  <c r="AX91" i="63" s="1"/>
  <c r="AW57" i="63"/>
  <c r="AW91" i="63" s="1"/>
  <c r="AV57" i="63"/>
  <c r="AV91" i="63" s="1"/>
  <c r="AU57" i="63"/>
  <c r="AU91" i="63" s="1"/>
  <c r="AT57" i="63"/>
  <c r="AT91" i="63" s="1"/>
  <c r="AS57" i="63"/>
  <c r="AR57" i="63"/>
  <c r="AR91" i="63" s="1"/>
  <c r="AQ57" i="63"/>
  <c r="AQ91" i="63" s="1"/>
  <c r="AP57" i="63"/>
  <c r="AP91" i="63" s="1"/>
  <c r="AO57" i="63"/>
  <c r="AO91" i="63" s="1"/>
  <c r="AN57" i="63"/>
  <c r="AN91" i="63" s="1"/>
  <c r="AM57" i="63"/>
  <c r="AM91" i="63" s="1"/>
  <c r="AL57" i="63"/>
  <c r="AL91" i="63" s="1"/>
  <c r="AK57" i="63"/>
  <c r="AJ57" i="63"/>
  <c r="AJ91" i="63" s="1"/>
  <c r="AI57" i="63"/>
  <c r="AI91" i="63" s="1"/>
  <c r="AH57" i="63"/>
  <c r="AH91" i="63" s="1"/>
  <c r="BB54" i="63"/>
  <c r="BB88" i="63" s="1"/>
  <c r="BA54" i="63"/>
  <c r="BA88" i="63" s="1"/>
  <c r="AZ54" i="63"/>
  <c r="AZ88" i="63" s="1"/>
  <c r="AY54" i="63"/>
  <c r="AY88" i="63" s="1"/>
  <c r="AX54" i="63"/>
  <c r="AX88" i="63" s="1"/>
  <c r="AW54" i="63"/>
  <c r="AW88" i="63" s="1"/>
  <c r="AV54" i="63"/>
  <c r="AV88" i="63" s="1"/>
  <c r="AU54" i="63"/>
  <c r="AU88" i="63" s="1"/>
  <c r="AT54" i="63"/>
  <c r="AT88" i="63" s="1"/>
  <c r="AS54" i="63"/>
  <c r="AS88" i="63" s="1"/>
  <c r="AR54" i="63"/>
  <c r="AR88" i="63" s="1"/>
  <c r="AQ54" i="63"/>
  <c r="AQ88" i="63" s="1"/>
  <c r="AP54" i="63"/>
  <c r="AP88" i="63" s="1"/>
  <c r="AO54" i="63"/>
  <c r="AO88" i="63" s="1"/>
  <c r="AN54" i="63"/>
  <c r="AN88" i="63" s="1"/>
  <c r="AM54" i="63"/>
  <c r="AM88" i="63" s="1"/>
  <c r="AL54" i="63"/>
  <c r="AL88" i="63" s="1"/>
  <c r="AK54" i="63"/>
  <c r="AK88" i="63" s="1"/>
  <c r="AJ54" i="63"/>
  <c r="AJ88" i="63" s="1"/>
  <c r="AI54" i="63"/>
  <c r="AI88" i="63" s="1"/>
  <c r="AH54" i="63"/>
  <c r="AH88" i="63" s="1"/>
  <c r="BB51" i="63"/>
  <c r="BB85" i="63" s="1"/>
  <c r="BA51" i="63"/>
  <c r="BA85" i="63" s="1"/>
  <c r="AZ51" i="63"/>
  <c r="AZ85" i="63" s="1"/>
  <c r="AY51" i="63"/>
  <c r="AX51" i="63"/>
  <c r="AX85" i="63" s="1"/>
  <c r="AW51" i="63"/>
  <c r="AW85" i="63" s="1"/>
  <c r="AV51" i="63"/>
  <c r="AV85" i="63" s="1"/>
  <c r="AU51" i="63"/>
  <c r="AU85" i="63" s="1"/>
  <c r="AT51" i="63"/>
  <c r="AT85" i="63" s="1"/>
  <c r="AS51" i="63"/>
  <c r="AS85" i="63" s="1"/>
  <c r="AR51" i="63"/>
  <c r="AR85" i="63" s="1"/>
  <c r="AQ51" i="63"/>
  <c r="AP51" i="63"/>
  <c r="AO51" i="63"/>
  <c r="AO85" i="63" s="1"/>
  <c r="AN51" i="63"/>
  <c r="AN85" i="63" s="1"/>
  <c r="AM51" i="63"/>
  <c r="AM85" i="63" s="1"/>
  <c r="AL51" i="63"/>
  <c r="AL85" i="63" s="1"/>
  <c r="AK51" i="63"/>
  <c r="AK85" i="63" s="1"/>
  <c r="AJ51" i="63"/>
  <c r="AJ85" i="63" s="1"/>
  <c r="AI51" i="63"/>
  <c r="AI85" i="63" s="1"/>
  <c r="AH51" i="63"/>
  <c r="BB48" i="63"/>
  <c r="BB82" i="63" s="1"/>
  <c r="BA48" i="63"/>
  <c r="BA82" i="63" s="1"/>
  <c r="AZ48" i="63"/>
  <c r="AZ82" i="63" s="1"/>
  <c r="AY48" i="63"/>
  <c r="AY82" i="63" s="1"/>
  <c r="AX48" i="63"/>
  <c r="AX82" i="63" s="1"/>
  <c r="AW48" i="63"/>
  <c r="AW82" i="63" s="1"/>
  <c r="AV48" i="63"/>
  <c r="AV82" i="63" s="1"/>
  <c r="AU48" i="63"/>
  <c r="AU82" i="63" s="1"/>
  <c r="AT48" i="63"/>
  <c r="AT82" i="63" s="1"/>
  <c r="AS48" i="63"/>
  <c r="AS82" i="63" s="1"/>
  <c r="AR48" i="63"/>
  <c r="AR82" i="63" s="1"/>
  <c r="AQ48" i="63"/>
  <c r="AQ82" i="63" s="1"/>
  <c r="AP48" i="63"/>
  <c r="AP82" i="63" s="1"/>
  <c r="AO48" i="63"/>
  <c r="AO82" i="63" s="1"/>
  <c r="AN48" i="63"/>
  <c r="AN82" i="63" s="1"/>
  <c r="AM48" i="63"/>
  <c r="AM82" i="63" s="1"/>
  <c r="AL48" i="63"/>
  <c r="AL82" i="63" s="1"/>
  <c r="AK48" i="63"/>
  <c r="AK82" i="63" s="1"/>
  <c r="AJ48" i="63"/>
  <c r="AJ82" i="63" s="1"/>
  <c r="AI48" i="63"/>
  <c r="AI82" i="63" s="1"/>
  <c r="AH48" i="63"/>
  <c r="AH82" i="63" s="1"/>
  <c r="BB44" i="63"/>
  <c r="BA44" i="63"/>
  <c r="BA78" i="63" s="1"/>
  <c r="AZ44" i="63"/>
  <c r="AZ78" i="63" s="1"/>
  <c r="AY44" i="63"/>
  <c r="AY78" i="63" s="1"/>
  <c r="AX44" i="63"/>
  <c r="AX78" i="63" s="1"/>
  <c r="AW44" i="63"/>
  <c r="AW78" i="63" s="1"/>
  <c r="AV44" i="63"/>
  <c r="AV78" i="63" s="1"/>
  <c r="AU44" i="63"/>
  <c r="AU78" i="63" s="1"/>
  <c r="AT44" i="63"/>
  <c r="AT78" i="63" s="1"/>
  <c r="AS44" i="63"/>
  <c r="AS78" i="63" s="1"/>
  <c r="AR44" i="63"/>
  <c r="AR78" i="63" s="1"/>
  <c r="AQ44" i="63"/>
  <c r="AQ78" i="63" s="1"/>
  <c r="AP44" i="63"/>
  <c r="AO44" i="63"/>
  <c r="AO78" i="63" s="1"/>
  <c r="AN44" i="63"/>
  <c r="AN78" i="63" s="1"/>
  <c r="AM44" i="63"/>
  <c r="AM78" i="63" s="1"/>
  <c r="AL44" i="63"/>
  <c r="AL78" i="63" s="1"/>
  <c r="AK44" i="63"/>
  <c r="AK78" i="63" s="1"/>
  <c r="AJ44" i="63"/>
  <c r="AJ78" i="63" s="1"/>
  <c r="AI44" i="63"/>
  <c r="AI78" i="63" s="1"/>
  <c r="AH44" i="63"/>
  <c r="AH78" i="63" s="1"/>
  <c r="BB42" i="63"/>
  <c r="BB76" i="63" s="1"/>
  <c r="BA42" i="63"/>
  <c r="BA76" i="63" s="1"/>
  <c r="AZ42" i="63"/>
  <c r="AZ76" i="63" s="1"/>
  <c r="AY42" i="63"/>
  <c r="AY76" i="63" s="1"/>
  <c r="AX42" i="63"/>
  <c r="AX76" i="63" s="1"/>
  <c r="AW42" i="63"/>
  <c r="AW76" i="63" s="1"/>
  <c r="AV42" i="63"/>
  <c r="AV76" i="63" s="1"/>
  <c r="AU42" i="63"/>
  <c r="AU76" i="63" s="1"/>
  <c r="AT42" i="63"/>
  <c r="AT76" i="63" s="1"/>
  <c r="AS42" i="63"/>
  <c r="AS76" i="63" s="1"/>
  <c r="AR42" i="63"/>
  <c r="AR76" i="63" s="1"/>
  <c r="AQ42" i="63"/>
  <c r="AQ76" i="63" s="1"/>
  <c r="AP42" i="63"/>
  <c r="AP76" i="63" s="1"/>
  <c r="AO42" i="63"/>
  <c r="AO76" i="63" s="1"/>
  <c r="AN42" i="63"/>
  <c r="AN76" i="63" s="1"/>
  <c r="AM42" i="63"/>
  <c r="AM76" i="63" s="1"/>
  <c r="AL42" i="63"/>
  <c r="AL76" i="63" s="1"/>
  <c r="AK42" i="63"/>
  <c r="AK76" i="63" s="1"/>
  <c r="AJ42" i="63"/>
  <c r="AJ76" i="63" s="1"/>
  <c r="AI42" i="63"/>
  <c r="AI76" i="63" s="1"/>
  <c r="AH42" i="63"/>
  <c r="AH76" i="63" s="1"/>
  <c r="BB38" i="63"/>
  <c r="BB72" i="63" s="1"/>
  <c r="BA38" i="63"/>
  <c r="BA72" i="63" s="1"/>
  <c r="AZ38" i="63"/>
  <c r="AY38" i="63"/>
  <c r="AY72" i="63" s="1"/>
  <c r="AX38" i="63"/>
  <c r="AX72" i="63" s="1"/>
  <c r="AW38" i="63"/>
  <c r="AW72" i="63" s="1"/>
  <c r="AV38" i="63"/>
  <c r="AV72" i="63" s="1"/>
  <c r="AU38" i="63"/>
  <c r="AU72" i="63" s="1"/>
  <c r="AT38" i="63"/>
  <c r="AT72" i="63" s="1"/>
  <c r="AS38" i="63"/>
  <c r="AS72" i="63" s="1"/>
  <c r="AR38" i="63"/>
  <c r="AQ38" i="63"/>
  <c r="AQ72" i="63" s="1"/>
  <c r="AP38" i="63"/>
  <c r="AP72" i="63" s="1"/>
  <c r="AO38" i="63"/>
  <c r="AO72" i="63" s="1"/>
  <c r="AN38" i="63"/>
  <c r="AN72" i="63" s="1"/>
  <c r="AM38" i="63"/>
  <c r="AM72" i="63" s="1"/>
  <c r="AL38" i="63"/>
  <c r="AL72" i="63" s="1"/>
  <c r="AK38" i="63"/>
  <c r="AJ38" i="63"/>
  <c r="AJ72" i="63" s="1"/>
  <c r="AI38" i="63"/>
  <c r="AI72" i="63" s="1"/>
  <c r="AH38" i="63"/>
  <c r="AH72" i="63" s="1"/>
  <c r="BC37" i="63"/>
  <c r="BC38" i="63" s="1"/>
  <c r="BC39" i="63" s="1"/>
  <c r="BB36" i="63"/>
  <c r="BB70" i="63" s="1"/>
  <c r="BA36" i="63"/>
  <c r="BA70" i="63" s="1"/>
  <c r="AZ36" i="63"/>
  <c r="AZ70" i="63" s="1"/>
  <c r="AY36" i="63"/>
  <c r="AY70" i="63" s="1"/>
  <c r="AX36" i="63"/>
  <c r="AW36" i="63"/>
  <c r="AW70" i="63" s="1"/>
  <c r="AV36" i="63"/>
  <c r="AV70" i="63" s="1"/>
  <c r="AU36" i="63"/>
  <c r="AU70" i="63" s="1"/>
  <c r="AT36" i="63"/>
  <c r="AT70" i="63" s="1"/>
  <c r="AS36" i="63"/>
  <c r="AS70" i="63" s="1"/>
  <c r="AR36" i="63"/>
  <c r="AR70" i="63" s="1"/>
  <c r="AQ36" i="63"/>
  <c r="AQ70" i="63" s="1"/>
  <c r="AP36" i="63"/>
  <c r="AP70" i="63" s="1"/>
  <c r="AO36" i="63"/>
  <c r="AO70" i="63" s="1"/>
  <c r="AN36" i="63"/>
  <c r="AN70" i="63" s="1"/>
  <c r="AM36" i="63"/>
  <c r="AM70" i="63" s="1"/>
  <c r="AL36" i="63"/>
  <c r="AL70" i="63" s="1"/>
  <c r="AK36" i="63"/>
  <c r="AK70" i="63" s="1"/>
  <c r="AJ36" i="63"/>
  <c r="AJ70" i="63" s="1"/>
  <c r="AI36" i="63"/>
  <c r="AH36" i="63"/>
  <c r="AH70" i="63" s="1"/>
  <c r="AV35" i="63"/>
  <c r="AV69" i="63" s="1"/>
  <c r="G25" i="63"/>
  <c r="F25" i="63"/>
  <c r="F24" i="63"/>
  <c r="C24" i="63"/>
  <c r="G9" i="63" s="1"/>
  <c r="F23" i="63"/>
  <c r="C23" i="63"/>
  <c r="G22" i="63"/>
  <c r="F22" i="63"/>
  <c r="C22" i="63"/>
  <c r="G24" i="63" s="1"/>
  <c r="G21" i="63"/>
  <c r="F21" i="63"/>
  <c r="C21" i="63"/>
  <c r="F20" i="63"/>
  <c r="G19" i="63"/>
  <c r="F19" i="63"/>
  <c r="F18" i="63"/>
  <c r="G17" i="63"/>
  <c r="F17" i="63"/>
  <c r="G16" i="63"/>
  <c r="F16" i="63"/>
  <c r="G15" i="63"/>
  <c r="F15" i="63"/>
  <c r="G14" i="63"/>
  <c r="F14" i="63"/>
  <c r="G13" i="63"/>
  <c r="F13" i="63"/>
  <c r="G12" i="63"/>
  <c r="F12" i="63"/>
  <c r="F11" i="63"/>
  <c r="F10" i="63"/>
  <c r="B10" i="63"/>
  <c r="F9" i="63"/>
  <c r="B9" i="63"/>
  <c r="F8" i="63"/>
  <c r="AD7" i="63"/>
  <c r="AD27" i="63" s="1"/>
  <c r="AD47" i="63" s="1"/>
  <c r="AD110" i="63" s="1"/>
  <c r="AC3" i="63"/>
  <c r="AB3" i="63" s="1"/>
  <c r="B2" i="63"/>
  <c r="BC35" i="63" s="1"/>
  <c r="BB1" i="63"/>
  <c r="BB35" i="63" s="1"/>
  <c r="BB69" i="63" s="1"/>
  <c r="BA1" i="63"/>
  <c r="BA35" i="63" s="1"/>
  <c r="BA69" i="63" s="1"/>
  <c r="AZ1" i="63"/>
  <c r="AZ35" i="63" s="1"/>
  <c r="AZ69" i="63" s="1"/>
  <c r="AY1" i="63"/>
  <c r="AY35" i="63" s="1"/>
  <c r="AY69" i="63" s="1"/>
  <c r="AX1" i="63"/>
  <c r="AX35" i="63" s="1"/>
  <c r="AX69" i="63" s="1"/>
  <c r="AW1" i="63"/>
  <c r="AW35" i="63" s="1"/>
  <c r="AW69" i="63" s="1"/>
  <c r="AV1" i="63"/>
  <c r="AU1" i="63"/>
  <c r="AU35" i="63" s="1"/>
  <c r="AU69" i="63" s="1"/>
  <c r="AT1" i="63"/>
  <c r="AT35" i="63" s="1"/>
  <c r="AT69" i="63" s="1"/>
  <c r="AS1" i="63"/>
  <c r="AS35" i="63" s="1"/>
  <c r="AS69" i="63" s="1"/>
  <c r="AR1" i="63"/>
  <c r="AR35" i="63" s="1"/>
  <c r="AR69" i="63" s="1"/>
  <c r="AQ1" i="63"/>
  <c r="AQ35" i="63" s="1"/>
  <c r="AQ69" i="63" s="1"/>
  <c r="AP1" i="63"/>
  <c r="AP35" i="63" s="1"/>
  <c r="AP69" i="63" s="1"/>
  <c r="AO1" i="63"/>
  <c r="AO35" i="63" s="1"/>
  <c r="AO69" i="63" s="1"/>
  <c r="AN1" i="63"/>
  <c r="AN35" i="63" s="1"/>
  <c r="AN69" i="63" s="1"/>
  <c r="AM1" i="63"/>
  <c r="AM35" i="63" s="1"/>
  <c r="AM69" i="63" s="1"/>
  <c r="AL1" i="63"/>
  <c r="AL35" i="63" s="1"/>
  <c r="AL69" i="63" s="1"/>
  <c r="AK1" i="63"/>
  <c r="AK35" i="63" s="1"/>
  <c r="AK69" i="63" s="1"/>
  <c r="AJ1" i="63"/>
  <c r="AJ35" i="63" s="1"/>
  <c r="AJ69" i="63" s="1"/>
  <c r="AI1" i="63"/>
  <c r="AI35" i="63" s="1"/>
  <c r="AI69" i="63" s="1"/>
  <c r="AH1" i="63"/>
  <c r="AH35" i="63" s="1"/>
  <c r="AH69" i="63" s="1"/>
  <c r="L5" i="68" a="1"/>
  <c r="L5" i="68" l="1"/>
  <c r="K6" i="68" s="1"/>
  <c r="AY221" i="65"/>
  <c r="AW15" i="65"/>
  <c r="AW19" i="65" s="1"/>
  <c r="AW23" i="65" s="1"/>
  <c r="AW110" i="65" s="1"/>
  <c r="AV3" i="65"/>
  <c r="AX166" i="65"/>
  <c r="AI14" i="39"/>
  <c r="AI17" i="39" s="1"/>
  <c r="G10" i="63"/>
  <c r="G20" i="63"/>
  <c r="BC40" i="63"/>
  <c r="AJ109" i="63"/>
  <c r="AH108" i="63" s="1"/>
  <c r="AI108" i="63" s="1"/>
  <c r="AJ108" i="63" s="1"/>
  <c r="AK108" i="63" s="1"/>
  <c r="AL108" i="63" s="1"/>
  <c r="AM108" i="63" s="1"/>
  <c r="AN108" i="63" s="1"/>
  <c r="AO108" i="63" s="1"/>
  <c r="AP108" i="63" s="1"/>
  <c r="AQ108" i="63" s="1"/>
  <c r="AR108" i="63" s="1"/>
  <c r="AS108" i="63" s="1"/>
  <c r="AT108" i="63" s="1"/>
  <c r="AU108" i="63" s="1"/>
  <c r="AV108" i="63" s="1"/>
  <c r="AW108" i="63" s="1"/>
  <c r="AX108" i="63" s="1"/>
  <c r="AY108" i="63" s="1"/>
  <c r="AZ108" i="63" s="1"/>
  <c r="BA108" i="63" s="1"/>
  <c r="BB108" i="63" s="1"/>
  <c r="G8" i="63"/>
  <c r="AB7" i="63"/>
  <c r="AB27" i="63" s="1"/>
  <c r="AB47" i="63" s="1"/>
  <c r="AB110" i="63" s="1"/>
  <c r="AA3" i="63"/>
  <c r="AD174" i="63"/>
  <c r="BB110" i="63"/>
  <c r="BH109" i="63"/>
  <c r="BF108" i="63" s="1"/>
  <c r="BG108" i="63" s="1"/>
  <c r="BH108" i="63" s="1"/>
  <c r="BI108" i="63" s="1"/>
  <c r="BJ108" i="63" s="1"/>
  <c r="BK108" i="63" s="1"/>
  <c r="BL108" i="63" s="1"/>
  <c r="BM108" i="63" s="1"/>
  <c r="BN108" i="63" s="1"/>
  <c r="BO108" i="63" s="1"/>
  <c r="BP108" i="63" s="1"/>
  <c r="BQ108" i="63" s="1"/>
  <c r="BR108" i="63" s="1"/>
  <c r="BS108" i="63" s="1"/>
  <c r="BT108" i="63" s="1"/>
  <c r="BU108" i="63" s="1"/>
  <c r="BV108" i="63" s="1"/>
  <c r="BW108" i="63" s="1"/>
  <c r="BX108" i="63" s="1"/>
  <c r="BY108" i="63" s="1"/>
  <c r="BZ108" i="63" s="1"/>
  <c r="BF107" i="63"/>
  <c r="BG107" i="63" s="1"/>
  <c r="BH107" i="63" s="1"/>
  <c r="BI107" i="63" s="1"/>
  <c r="BJ107" i="63" s="1"/>
  <c r="BK107" i="63" s="1"/>
  <c r="BL107" i="63" s="1"/>
  <c r="BM107" i="63" s="1"/>
  <c r="BN107" i="63" s="1"/>
  <c r="BO107" i="63" s="1"/>
  <c r="BP107" i="63" s="1"/>
  <c r="BQ107" i="63" s="1"/>
  <c r="BR107" i="63" s="1"/>
  <c r="BS107" i="63" s="1"/>
  <c r="BT107" i="63" s="1"/>
  <c r="BU107" i="63" s="1"/>
  <c r="BV107" i="63" s="1"/>
  <c r="BW107" i="63" s="1"/>
  <c r="BX107" i="63" s="1"/>
  <c r="BY107" i="63" s="1"/>
  <c r="BZ107" i="63" s="1"/>
  <c r="AC7" i="63"/>
  <c r="AC27" i="63" s="1"/>
  <c r="AC47" i="63" s="1"/>
  <c r="AC110" i="63" s="1"/>
  <c r="G11" i="63"/>
  <c r="G23" i="63"/>
  <c r="CD109" i="63"/>
  <c r="G18" i="63"/>
  <c r="L6" i="68" a="1"/>
  <c r="L6" i="68" l="1"/>
  <c r="K7" i="68" s="1"/>
  <c r="AU3" i="65"/>
  <c r="AV15" i="65"/>
  <c r="AV19" i="65" s="1"/>
  <c r="AV23" i="65" s="1"/>
  <c r="AV110" i="65" s="1"/>
  <c r="AW166" i="65"/>
  <c r="AX221" i="65"/>
  <c r="AH14" i="39"/>
  <c r="AH17" i="39" s="1"/>
  <c r="DB109" i="63"/>
  <c r="CD107" i="63"/>
  <c r="CE107" i="63" s="1"/>
  <c r="CF107" i="63" s="1"/>
  <c r="CG107" i="63" s="1"/>
  <c r="CH107" i="63" s="1"/>
  <c r="CI107" i="63" s="1"/>
  <c r="CJ107" i="63" s="1"/>
  <c r="CK107" i="63" s="1"/>
  <c r="CL107" i="63" s="1"/>
  <c r="CM107" i="63" s="1"/>
  <c r="CN107" i="63" s="1"/>
  <c r="CO107" i="63" s="1"/>
  <c r="CP107" i="63" s="1"/>
  <c r="CQ107" i="63" s="1"/>
  <c r="CR107" i="63" s="1"/>
  <c r="CS107" i="63" s="1"/>
  <c r="CT107" i="63" s="1"/>
  <c r="CU107" i="63" s="1"/>
  <c r="CV107" i="63" s="1"/>
  <c r="CW107" i="63" s="1"/>
  <c r="CX107" i="63" s="1"/>
  <c r="CE109" i="63"/>
  <c r="AA7" i="63"/>
  <c r="AA27" i="63" s="1"/>
  <c r="AA47" i="63" s="1"/>
  <c r="AA110" i="63" s="1"/>
  <c r="Z3" i="63"/>
  <c r="AD237" i="63"/>
  <c r="BB237" i="63" s="1"/>
  <c r="BZ237" i="63" s="1"/>
  <c r="CX237" i="63" s="1"/>
  <c r="DV237" i="63" s="1"/>
  <c r="ET237" i="63" s="1"/>
  <c r="FR237" i="63" s="1"/>
  <c r="GP237" i="63" s="1"/>
  <c r="HN237" i="63" s="1"/>
  <c r="IL237" i="63" s="1"/>
  <c r="JJ237" i="63" s="1"/>
  <c r="KH237" i="63" s="1"/>
  <c r="LF237" i="63" s="1"/>
  <c r="MD237" i="63" s="1"/>
  <c r="NB237" i="63" s="1"/>
  <c r="NZ237" i="63" s="1"/>
  <c r="OX237" i="63" s="1"/>
  <c r="PV237" i="63" s="1"/>
  <c r="BB174" i="63"/>
  <c r="AC174" i="63"/>
  <c r="BA110" i="63"/>
  <c r="AB174" i="63"/>
  <c r="AZ110" i="63"/>
  <c r="BZ110" i="63"/>
  <c r="BC41" i="63"/>
  <c r="L7" i="68" a="1"/>
  <c r="L7" i="68" l="1"/>
  <c r="K8" i="68" s="1"/>
  <c r="AW221" i="65"/>
  <c r="AV166" i="65"/>
  <c r="AU15" i="65"/>
  <c r="AU19" i="65" s="1"/>
  <c r="AU23" i="65" s="1"/>
  <c r="AU110" i="65" s="1"/>
  <c r="AT3" i="65"/>
  <c r="AG14" i="39"/>
  <c r="AG17" i="39" s="1"/>
  <c r="BC42" i="63"/>
  <c r="BC43" i="63" s="1"/>
  <c r="CF109" i="63"/>
  <c r="CD108" i="63" s="1"/>
  <c r="CE108" i="63" s="1"/>
  <c r="CF108" i="63" s="1"/>
  <c r="CG108" i="63" s="1"/>
  <c r="CH108" i="63" s="1"/>
  <c r="CI108" i="63" s="1"/>
  <c r="CJ108" i="63" s="1"/>
  <c r="CK108" i="63" s="1"/>
  <c r="CL108" i="63" s="1"/>
  <c r="CM108" i="63" s="1"/>
  <c r="CN108" i="63" s="1"/>
  <c r="CO108" i="63" s="1"/>
  <c r="CP108" i="63" s="1"/>
  <c r="CQ108" i="63" s="1"/>
  <c r="CR108" i="63" s="1"/>
  <c r="CS108" i="63" s="1"/>
  <c r="CT108" i="63" s="1"/>
  <c r="CU108" i="63" s="1"/>
  <c r="CV108" i="63" s="1"/>
  <c r="CW108" i="63" s="1"/>
  <c r="CX108" i="63" s="1"/>
  <c r="AZ174" i="63"/>
  <c r="AB237" i="63"/>
  <c r="AZ237" i="63" s="1"/>
  <c r="BX237" i="63" s="1"/>
  <c r="CV237" i="63" s="1"/>
  <c r="DT237" i="63" s="1"/>
  <c r="ER237" i="63" s="1"/>
  <c r="FP237" i="63" s="1"/>
  <c r="GN237" i="63" s="1"/>
  <c r="HL237" i="63" s="1"/>
  <c r="IJ237" i="63" s="1"/>
  <c r="JH237" i="63" s="1"/>
  <c r="KF237" i="63" s="1"/>
  <c r="LD237" i="63" s="1"/>
  <c r="MB237" i="63" s="1"/>
  <c r="MZ237" i="63" s="1"/>
  <c r="NX237" i="63" s="1"/>
  <c r="OV237" i="63" s="1"/>
  <c r="PT237" i="63" s="1"/>
  <c r="BY110" i="63"/>
  <c r="Y3" i="63"/>
  <c r="Z7" i="63"/>
  <c r="Z27" i="63" s="1"/>
  <c r="Z47" i="63" s="1"/>
  <c r="Z110" i="63" s="1"/>
  <c r="CX110" i="63"/>
  <c r="AC237" i="63"/>
  <c r="BA237" i="63" s="1"/>
  <c r="BY237" i="63" s="1"/>
  <c r="CW237" i="63" s="1"/>
  <c r="DU237" i="63" s="1"/>
  <c r="ES237" i="63" s="1"/>
  <c r="FQ237" i="63" s="1"/>
  <c r="GO237" i="63" s="1"/>
  <c r="HM237" i="63" s="1"/>
  <c r="IK237" i="63" s="1"/>
  <c r="JI237" i="63" s="1"/>
  <c r="KG237" i="63" s="1"/>
  <c r="LE237" i="63" s="1"/>
  <c r="MC237" i="63" s="1"/>
  <c r="NA237" i="63" s="1"/>
  <c r="NY237" i="63" s="1"/>
  <c r="OW237" i="63" s="1"/>
  <c r="PU237" i="63" s="1"/>
  <c r="BA174" i="63"/>
  <c r="BZ174" i="63"/>
  <c r="BX110" i="63"/>
  <c r="AA174" i="63"/>
  <c r="AY110" i="63"/>
  <c r="DZ109" i="63"/>
  <c r="DC109" i="63"/>
  <c r="DB107" i="63"/>
  <c r="DC107" i="63" s="1"/>
  <c r="DD107" i="63" s="1"/>
  <c r="DE107" i="63" s="1"/>
  <c r="DF107" i="63" s="1"/>
  <c r="DG107" i="63" s="1"/>
  <c r="DH107" i="63" s="1"/>
  <c r="DI107" i="63" s="1"/>
  <c r="DJ107" i="63" s="1"/>
  <c r="DK107" i="63" s="1"/>
  <c r="DL107" i="63" s="1"/>
  <c r="DM107" i="63" s="1"/>
  <c r="DN107" i="63" s="1"/>
  <c r="DO107" i="63" s="1"/>
  <c r="DP107" i="63" s="1"/>
  <c r="DQ107" i="63" s="1"/>
  <c r="DR107" i="63" s="1"/>
  <c r="DS107" i="63" s="1"/>
  <c r="DT107" i="63" s="1"/>
  <c r="DU107" i="63" s="1"/>
  <c r="DV107" i="63" s="1"/>
  <c r="L8" i="68" a="1"/>
  <c r="L8" i="68" l="1"/>
  <c r="K9" i="68" s="1"/>
  <c r="AT15" i="65"/>
  <c r="AT19" i="65" s="1"/>
  <c r="AT23" i="65" s="1"/>
  <c r="AT110" i="65" s="1"/>
  <c r="AS3" i="65"/>
  <c r="AU166" i="65"/>
  <c r="AV221" i="65"/>
  <c r="AF14" i="39"/>
  <c r="AF17" i="39" s="1"/>
  <c r="AA237" i="63"/>
  <c r="AY237" i="63" s="1"/>
  <c r="BW237" i="63" s="1"/>
  <c r="CU237" i="63" s="1"/>
  <c r="DS237" i="63" s="1"/>
  <c r="EQ237" i="63" s="1"/>
  <c r="FO237" i="63" s="1"/>
  <c r="GM237" i="63" s="1"/>
  <c r="HK237" i="63" s="1"/>
  <c r="II237" i="63" s="1"/>
  <c r="JG237" i="63" s="1"/>
  <c r="KE237" i="63" s="1"/>
  <c r="LC237" i="63" s="1"/>
  <c r="MA237" i="63" s="1"/>
  <c r="MY237" i="63" s="1"/>
  <c r="NW237" i="63" s="1"/>
  <c r="OU237" i="63" s="1"/>
  <c r="PS237" i="63" s="1"/>
  <c r="AY174" i="63"/>
  <c r="X3" i="63"/>
  <c r="Y7" i="63"/>
  <c r="Y27" i="63" s="1"/>
  <c r="Y47" i="63" s="1"/>
  <c r="Y110" i="63" s="1"/>
  <c r="BC44" i="63"/>
  <c r="BC45" i="63" s="1"/>
  <c r="DD109" i="63"/>
  <c r="DB108" i="63" s="1"/>
  <c r="DC108" i="63" s="1"/>
  <c r="DD108" i="63" s="1"/>
  <c r="DE108" i="63" s="1"/>
  <c r="DF108" i="63" s="1"/>
  <c r="DG108" i="63" s="1"/>
  <c r="DH108" i="63" s="1"/>
  <c r="DI108" i="63" s="1"/>
  <c r="DJ108" i="63" s="1"/>
  <c r="DK108" i="63" s="1"/>
  <c r="DL108" i="63" s="1"/>
  <c r="DM108" i="63" s="1"/>
  <c r="DN108" i="63" s="1"/>
  <c r="DO108" i="63" s="1"/>
  <c r="DP108" i="63" s="1"/>
  <c r="DQ108" i="63" s="1"/>
  <c r="DR108" i="63" s="1"/>
  <c r="DS108" i="63" s="1"/>
  <c r="DT108" i="63" s="1"/>
  <c r="DU108" i="63" s="1"/>
  <c r="DV108" i="63" s="1"/>
  <c r="BX174" i="63"/>
  <c r="EA109" i="63"/>
  <c r="EX109" i="63"/>
  <c r="DZ107" i="63"/>
  <c r="EA107" i="63" s="1"/>
  <c r="EB107" i="63" s="1"/>
  <c r="EC107" i="63" s="1"/>
  <c r="ED107" i="63" s="1"/>
  <c r="EE107" i="63" s="1"/>
  <c r="EF107" i="63" s="1"/>
  <c r="EG107" i="63" s="1"/>
  <c r="EH107" i="63" s="1"/>
  <c r="EI107" i="63" s="1"/>
  <c r="EJ107" i="63" s="1"/>
  <c r="EK107" i="63" s="1"/>
  <c r="EL107" i="63" s="1"/>
  <c r="EM107" i="63" s="1"/>
  <c r="EN107" i="63" s="1"/>
  <c r="EO107" i="63" s="1"/>
  <c r="EP107" i="63" s="1"/>
  <c r="EQ107" i="63" s="1"/>
  <c r="ER107" i="63" s="1"/>
  <c r="ES107" i="63" s="1"/>
  <c r="ET107" i="63" s="1"/>
  <c r="BW110" i="63"/>
  <c r="CV110" i="63"/>
  <c r="CX174" i="63"/>
  <c r="BY174" i="63"/>
  <c r="DV110" i="63"/>
  <c r="Z174" i="63"/>
  <c r="AX110" i="63"/>
  <c r="CW110" i="63"/>
  <c r="L9" i="68" a="1"/>
  <c r="L9" i="68" l="1"/>
  <c r="K10" i="68" s="1"/>
  <c r="AU221" i="65"/>
  <c r="AS15" i="65"/>
  <c r="AS19" i="65" s="1"/>
  <c r="AS23" i="65" s="1"/>
  <c r="AS110" i="65" s="1"/>
  <c r="AR3" i="65"/>
  <c r="AT166" i="65"/>
  <c r="AE14" i="39"/>
  <c r="AE17" i="39" s="1"/>
  <c r="X7" i="63"/>
  <c r="X27" i="63" s="1"/>
  <c r="X47" i="63" s="1"/>
  <c r="X110" i="63" s="1"/>
  <c r="W3" i="63"/>
  <c r="BW174" i="63"/>
  <c r="BV110" i="63"/>
  <c r="ET110" i="63"/>
  <c r="BC46" i="63"/>
  <c r="Z237" i="63"/>
  <c r="AX237" i="63" s="1"/>
  <c r="BV237" i="63" s="1"/>
  <c r="CT237" i="63" s="1"/>
  <c r="DR237" i="63" s="1"/>
  <c r="EP237" i="63" s="1"/>
  <c r="FN237" i="63" s="1"/>
  <c r="GL237" i="63" s="1"/>
  <c r="HJ237" i="63" s="1"/>
  <c r="IH237" i="63" s="1"/>
  <c r="JF237" i="63" s="1"/>
  <c r="KD237" i="63" s="1"/>
  <c r="LB237" i="63" s="1"/>
  <c r="LZ237" i="63" s="1"/>
  <c r="MX237" i="63" s="1"/>
  <c r="NV237" i="63" s="1"/>
  <c r="OT237" i="63" s="1"/>
  <c r="PR237" i="63" s="1"/>
  <c r="AX174" i="63"/>
  <c r="CU110" i="63"/>
  <c r="EB109" i="63"/>
  <c r="DZ108" i="63" s="1"/>
  <c r="EA108" i="63" s="1"/>
  <c r="EB108" i="63" s="1"/>
  <c r="EC108" i="63" s="1"/>
  <c r="ED108" i="63" s="1"/>
  <c r="EE108" i="63" s="1"/>
  <c r="EF108" i="63" s="1"/>
  <c r="EG108" i="63" s="1"/>
  <c r="EH108" i="63" s="1"/>
  <c r="EI108" i="63" s="1"/>
  <c r="EJ108" i="63" s="1"/>
  <c r="EK108" i="63" s="1"/>
  <c r="EL108" i="63" s="1"/>
  <c r="EM108" i="63" s="1"/>
  <c r="EN108" i="63" s="1"/>
  <c r="EO108" i="63" s="1"/>
  <c r="EP108" i="63" s="1"/>
  <c r="EQ108" i="63" s="1"/>
  <c r="ER108" i="63" s="1"/>
  <c r="ES108" i="63" s="1"/>
  <c r="ET108" i="63" s="1"/>
  <c r="DV174" i="63"/>
  <c r="DU110" i="63"/>
  <c r="CW174" i="63"/>
  <c r="DT110" i="63"/>
  <c r="FV109" i="63"/>
  <c r="EY109" i="63"/>
  <c r="EX107" i="63"/>
  <c r="EY107" i="63" s="1"/>
  <c r="EZ107" i="63" s="1"/>
  <c r="FA107" i="63" s="1"/>
  <c r="FB107" i="63" s="1"/>
  <c r="FC107" i="63" s="1"/>
  <c r="FD107" i="63" s="1"/>
  <c r="FE107" i="63" s="1"/>
  <c r="FF107" i="63" s="1"/>
  <c r="FG107" i="63" s="1"/>
  <c r="FH107" i="63" s="1"/>
  <c r="FI107" i="63" s="1"/>
  <c r="FJ107" i="63" s="1"/>
  <c r="FK107" i="63" s="1"/>
  <c r="FL107" i="63" s="1"/>
  <c r="FM107" i="63" s="1"/>
  <c r="FN107" i="63" s="1"/>
  <c r="FO107" i="63" s="1"/>
  <c r="FP107" i="63" s="1"/>
  <c r="FQ107" i="63" s="1"/>
  <c r="FR107" i="63" s="1"/>
  <c r="CV174" i="63"/>
  <c r="Y174" i="63"/>
  <c r="AW110" i="63"/>
  <c r="L10" i="68" a="1"/>
  <c r="L10" i="68" l="1"/>
  <c r="K11" i="68" s="1"/>
  <c r="AR15" i="65"/>
  <c r="AR19" i="65" s="1"/>
  <c r="AR23" i="65" s="1"/>
  <c r="AR110" i="65" s="1"/>
  <c r="AQ3" i="65"/>
  <c r="AS166" i="65"/>
  <c r="AT221" i="65"/>
  <c r="AD14" i="39"/>
  <c r="AD17" i="39" s="1"/>
  <c r="Y237" i="63"/>
  <c r="AW237" i="63" s="1"/>
  <c r="BU237" i="63" s="1"/>
  <c r="CS237" i="63" s="1"/>
  <c r="DQ237" i="63" s="1"/>
  <c r="EO237" i="63" s="1"/>
  <c r="FM237" i="63" s="1"/>
  <c r="GK237" i="63" s="1"/>
  <c r="HI237" i="63" s="1"/>
  <c r="IG237" i="63" s="1"/>
  <c r="JE237" i="63" s="1"/>
  <c r="KC237" i="63" s="1"/>
  <c r="LA237" i="63" s="1"/>
  <c r="LY237" i="63" s="1"/>
  <c r="MW237" i="63" s="1"/>
  <c r="NU237" i="63" s="1"/>
  <c r="OS237" i="63" s="1"/>
  <c r="PQ237" i="63" s="1"/>
  <c r="AW174" i="63"/>
  <c r="BU110" i="63"/>
  <c r="DT174" i="63"/>
  <c r="DU174" i="63"/>
  <c r="DS110" i="63"/>
  <c r="BV174" i="63"/>
  <c r="CT110" i="63"/>
  <c r="EZ109" i="63"/>
  <c r="EX108" i="63" s="1"/>
  <c r="EY108" i="63" s="1"/>
  <c r="EZ108" i="63" s="1"/>
  <c r="FA108" i="63" s="1"/>
  <c r="FB108" i="63" s="1"/>
  <c r="FC108" i="63" s="1"/>
  <c r="FD108" i="63" s="1"/>
  <c r="FE108" i="63" s="1"/>
  <c r="FF108" i="63" s="1"/>
  <c r="FG108" i="63" s="1"/>
  <c r="FH108" i="63" s="1"/>
  <c r="FI108" i="63" s="1"/>
  <c r="FJ108" i="63" s="1"/>
  <c r="FK108" i="63" s="1"/>
  <c r="FL108" i="63" s="1"/>
  <c r="FM108" i="63" s="1"/>
  <c r="FN108" i="63" s="1"/>
  <c r="FO108" i="63" s="1"/>
  <c r="FP108" i="63" s="1"/>
  <c r="FQ108" i="63" s="1"/>
  <c r="FR108" i="63" s="1"/>
  <c r="ES110" i="63"/>
  <c r="GT109" i="63"/>
  <c r="FV107" i="63"/>
  <c r="FW107" i="63" s="1"/>
  <c r="FX107" i="63" s="1"/>
  <c r="FY107" i="63" s="1"/>
  <c r="FZ107" i="63" s="1"/>
  <c r="GA107" i="63" s="1"/>
  <c r="GB107" i="63" s="1"/>
  <c r="GC107" i="63" s="1"/>
  <c r="GD107" i="63" s="1"/>
  <c r="GE107" i="63" s="1"/>
  <c r="GF107" i="63" s="1"/>
  <c r="GG107" i="63" s="1"/>
  <c r="GH107" i="63" s="1"/>
  <c r="GI107" i="63" s="1"/>
  <c r="GJ107" i="63" s="1"/>
  <c r="GK107" i="63" s="1"/>
  <c r="GL107" i="63" s="1"/>
  <c r="GM107" i="63" s="1"/>
  <c r="GN107" i="63" s="1"/>
  <c r="GO107" i="63" s="1"/>
  <c r="GP107" i="63" s="1"/>
  <c r="FW109" i="63"/>
  <c r="FR110" i="63"/>
  <c r="CU174" i="63"/>
  <c r="W7" i="63"/>
  <c r="W27" i="63" s="1"/>
  <c r="W47" i="63" s="1"/>
  <c r="W110" i="63" s="1"/>
  <c r="V3" i="63"/>
  <c r="ER110" i="63"/>
  <c r="ET174" i="63"/>
  <c r="BC47" i="63"/>
  <c r="X174" i="63"/>
  <c r="AV110" i="63"/>
  <c r="L11" i="68" a="1"/>
  <c r="L11" i="68" l="1"/>
  <c r="K12" i="68" s="1"/>
  <c r="AS221" i="65"/>
  <c r="AP3" i="65"/>
  <c r="AQ15" i="65"/>
  <c r="AQ19" i="65" s="1"/>
  <c r="AQ23" i="65" s="1"/>
  <c r="AQ110" i="65" s="1"/>
  <c r="AR166" i="65"/>
  <c r="AC14" i="39"/>
  <c r="AC17" i="39" s="1"/>
  <c r="W174" i="63"/>
  <c r="AU110" i="63"/>
  <c r="CT174" i="63"/>
  <c r="ES174" i="63"/>
  <c r="GP110" i="63"/>
  <c r="DR110" i="63"/>
  <c r="CS110" i="63"/>
  <c r="X237" i="63"/>
  <c r="AV237" i="63" s="1"/>
  <c r="BT237" i="63" s="1"/>
  <c r="CR237" i="63" s="1"/>
  <c r="DP237" i="63" s="1"/>
  <c r="EN237" i="63" s="1"/>
  <c r="FL237" i="63" s="1"/>
  <c r="GJ237" i="63" s="1"/>
  <c r="HH237" i="63" s="1"/>
  <c r="IF237" i="63" s="1"/>
  <c r="JD237" i="63" s="1"/>
  <c r="KB237" i="63" s="1"/>
  <c r="KZ237" i="63" s="1"/>
  <c r="LX237" i="63" s="1"/>
  <c r="MV237" i="63" s="1"/>
  <c r="NT237" i="63" s="1"/>
  <c r="OR237" i="63" s="1"/>
  <c r="PP237" i="63" s="1"/>
  <c r="AV174" i="63"/>
  <c r="FR174" i="63"/>
  <c r="U3" i="63"/>
  <c r="V7" i="63"/>
  <c r="V27" i="63" s="1"/>
  <c r="V47" i="63" s="1"/>
  <c r="V110" i="63" s="1"/>
  <c r="GU109" i="63"/>
  <c r="GT107" i="63"/>
  <c r="GU107" i="63" s="1"/>
  <c r="GV107" i="63" s="1"/>
  <c r="GW107" i="63" s="1"/>
  <c r="GX107" i="63" s="1"/>
  <c r="GY107" i="63" s="1"/>
  <c r="GZ107" i="63" s="1"/>
  <c r="HA107" i="63" s="1"/>
  <c r="HB107" i="63" s="1"/>
  <c r="HC107" i="63" s="1"/>
  <c r="HD107" i="63" s="1"/>
  <c r="HE107" i="63" s="1"/>
  <c r="HF107" i="63" s="1"/>
  <c r="HG107" i="63" s="1"/>
  <c r="HH107" i="63" s="1"/>
  <c r="HI107" i="63" s="1"/>
  <c r="HJ107" i="63" s="1"/>
  <c r="HK107" i="63" s="1"/>
  <c r="HL107" i="63" s="1"/>
  <c r="HM107" i="63" s="1"/>
  <c r="HN107" i="63" s="1"/>
  <c r="HR109" i="63"/>
  <c r="BU174" i="63"/>
  <c r="FQ110" i="63"/>
  <c r="BT110" i="63"/>
  <c r="BC48" i="63"/>
  <c r="BC49" i="63" s="1"/>
  <c r="FX109" i="63"/>
  <c r="FV108" i="63" s="1"/>
  <c r="FW108" i="63" s="1"/>
  <c r="FX108" i="63" s="1"/>
  <c r="FY108" i="63" s="1"/>
  <c r="FZ108" i="63" s="1"/>
  <c r="GA108" i="63" s="1"/>
  <c r="GB108" i="63" s="1"/>
  <c r="GC108" i="63" s="1"/>
  <c r="GD108" i="63" s="1"/>
  <c r="GE108" i="63" s="1"/>
  <c r="GF108" i="63" s="1"/>
  <c r="GG108" i="63" s="1"/>
  <c r="GH108" i="63" s="1"/>
  <c r="GI108" i="63" s="1"/>
  <c r="GJ108" i="63" s="1"/>
  <c r="GK108" i="63" s="1"/>
  <c r="GL108" i="63" s="1"/>
  <c r="GM108" i="63" s="1"/>
  <c r="GN108" i="63" s="1"/>
  <c r="GO108" i="63" s="1"/>
  <c r="GP108" i="63" s="1"/>
  <c r="FP110" i="63"/>
  <c r="DS174" i="63"/>
  <c r="EQ110" i="63"/>
  <c r="ER174" i="63"/>
  <c r="L12" i="68" a="1"/>
  <c r="L12" i="68" l="1"/>
  <c r="K13" i="68" s="1"/>
  <c r="AQ166" i="65"/>
  <c r="AO3" i="65"/>
  <c r="AP15" i="65"/>
  <c r="AP19" i="65" s="1"/>
  <c r="AP23" i="65" s="1"/>
  <c r="AP110" i="65" s="1"/>
  <c r="AR221" i="65"/>
  <c r="AB14" i="39"/>
  <c r="AB17" i="39" s="1"/>
  <c r="FP174" i="63"/>
  <c r="GO110" i="63"/>
  <c r="HS109" i="63"/>
  <c r="IP109" i="63"/>
  <c r="HR107" i="63"/>
  <c r="HS107" i="63" s="1"/>
  <c r="HT107" i="63" s="1"/>
  <c r="HU107" i="63" s="1"/>
  <c r="HV107" i="63" s="1"/>
  <c r="HW107" i="63" s="1"/>
  <c r="HX107" i="63" s="1"/>
  <c r="HY107" i="63" s="1"/>
  <c r="HZ107" i="63" s="1"/>
  <c r="IA107" i="63" s="1"/>
  <c r="IB107" i="63" s="1"/>
  <c r="IC107" i="63" s="1"/>
  <c r="ID107" i="63" s="1"/>
  <c r="IE107" i="63" s="1"/>
  <c r="IF107" i="63" s="1"/>
  <c r="IG107" i="63" s="1"/>
  <c r="IH107" i="63" s="1"/>
  <c r="II107" i="63" s="1"/>
  <c r="IJ107" i="63" s="1"/>
  <c r="IK107" i="63" s="1"/>
  <c r="IL107" i="63" s="1"/>
  <c r="EP110" i="63"/>
  <c r="HN110" i="63"/>
  <c r="FO110" i="63"/>
  <c r="EQ174" i="63"/>
  <c r="GN110" i="63"/>
  <c r="BC50" i="63"/>
  <c r="AT110" i="63"/>
  <c r="V174" i="63"/>
  <c r="GP174" i="63"/>
  <c r="FQ174" i="63"/>
  <c r="DR174" i="63"/>
  <c r="BS110" i="63"/>
  <c r="T3" i="63"/>
  <c r="U7" i="63"/>
  <c r="U27" i="63" s="1"/>
  <c r="U47" i="63" s="1"/>
  <c r="U110" i="63" s="1"/>
  <c r="BT174" i="63"/>
  <c r="CR110" i="63"/>
  <c r="CS174" i="63"/>
  <c r="GV109" i="63"/>
  <c r="GT108" i="63" s="1"/>
  <c r="GU108" i="63" s="1"/>
  <c r="GV108" i="63" s="1"/>
  <c r="GW108" i="63" s="1"/>
  <c r="GX108" i="63" s="1"/>
  <c r="GY108" i="63" s="1"/>
  <c r="GZ108" i="63" s="1"/>
  <c r="HA108" i="63" s="1"/>
  <c r="HB108" i="63" s="1"/>
  <c r="HC108" i="63" s="1"/>
  <c r="HD108" i="63" s="1"/>
  <c r="HE108" i="63" s="1"/>
  <c r="HF108" i="63" s="1"/>
  <c r="HG108" i="63" s="1"/>
  <c r="HH108" i="63" s="1"/>
  <c r="HI108" i="63" s="1"/>
  <c r="HJ108" i="63" s="1"/>
  <c r="HK108" i="63" s="1"/>
  <c r="HL108" i="63" s="1"/>
  <c r="HM108" i="63" s="1"/>
  <c r="HN108" i="63" s="1"/>
  <c r="DQ110" i="63"/>
  <c r="AU174" i="63"/>
  <c r="W237" i="63"/>
  <c r="AU237" i="63" s="1"/>
  <c r="BS237" i="63" s="1"/>
  <c r="CQ237" i="63" s="1"/>
  <c r="DO237" i="63" s="1"/>
  <c r="EM237" i="63" s="1"/>
  <c r="FK237" i="63" s="1"/>
  <c r="GI237" i="63" s="1"/>
  <c r="HG237" i="63" s="1"/>
  <c r="IE237" i="63" s="1"/>
  <c r="JC237" i="63" s="1"/>
  <c r="KA237" i="63" s="1"/>
  <c r="KY237" i="63" s="1"/>
  <c r="LW237" i="63" s="1"/>
  <c r="MU237" i="63" s="1"/>
  <c r="NS237" i="63" s="1"/>
  <c r="OQ237" i="63" s="1"/>
  <c r="PO237" i="63" s="1"/>
  <c r="P107" i="39"/>
  <c r="L13" i="68" a="1"/>
  <c r="L13" i="68" l="1"/>
  <c r="K14" i="68" s="1"/>
  <c r="AP166" i="65"/>
  <c r="AN3" i="65"/>
  <c r="AO15" i="65"/>
  <c r="AO19" i="65" s="1"/>
  <c r="AO23" i="65" s="1"/>
  <c r="AO110" i="65" s="1"/>
  <c r="AQ221" i="65"/>
  <c r="AA14" i="39"/>
  <c r="AA17" i="39" s="1"/>
  <c r="CR174" i="63"/>
  <c r="T7" i="63"/>
  <c r="T27" i="63" s="1"/>
  <c r="T47" i="63" s="1"/>
  <c r="T110" i="63" s="1"/>
  <c r="S3" i="63"/>
  <c r="FO174" i="63"/>
  <c r="IL110" i="63"/>
  <c r="HM110" i="63"/>
  <c r="EO110" i="63"/>
  <c r="DP110" i="63"/>
  <c r="BC51" i="63"/>
  <c r="BC52" i="63" s="1"/>
  <c r="GM110" i="63"/>
  <c r="IQ109" i="63"/>
  <c r="IP107" i="63"/>
  <c r="IQ107" i="63" s="1"/>
  <c r="IR107" i="63" s="1"/>
  <c r="IS107" i="63" s="1"/>
  <c r="IT107" i="63" s="1"/>
  <c r="IU107" i="63" s="1"/>
  <c r="IV107" i="63" s="1"/>
  <c r="IW107" i="63" s="1"/>
  <c r="IX107" i="63" s="1"/>
  <c r="IY107" i="63" s="1"/>
  <c r="IZ107" i="63" s="1"/>
  <c r="JA107" i="63" s="1"/>
  <c r="JB107" i="63" s="1"/>
  <c r="JC107" i="63" s="1"/>
  <c r="JD107" i="63" s="1"/>
  <c r="JE107" i="63" s="1"/>
  <c r="JF107" i="63" s="1"/>
  <c r="JG107" i="63" s="1"/>
  <c r="JH107" i="63" s="1"/>
  <c r="JI107" i="63" s="1"/>
  <c r="JJ107" i="63" s="1"/>
  <c r="JN109" i="63"/>
  <c r="DQ174" i="63"/>
  <c r="U174" i="63"/>
  <c r="AS110" i="63"/>
  <c r="EP174" i="63"/>
  <c r="GO174" i="63"/>
  <c r="BR110" i="63"/>
  <c r="FN110" i="63"/>
  <c r="BS174" i="63"/>
  <c r="CQ110" i="63"/>
  <c r="HN174" i="63"/>
  <c r="V237" i="63"/>
  <c r="AT237" i="63" s="1"/>
  <c r="BR237" i="63" s="1"/>
  <c r="CP237" i="63" s="1"/>
  <c r="DN237" i="63" s="1"/>
  <c r="EL237" i="63" s="1"/>
  <c r="FJ237" i="63" s="1"/>
  <c r="GH237" i="63" s="1"/>
  <c r="HF237" i="63" s="1"/>
  <c r="ID237" i="63" s="1"/>
  <c r="JB237" i="63" s="1"/>
  <c r="JZ237" i="63" s="1"/>
  <c r="KX237" i="63" s="1"/>
  <c r="LV237" i="63" s="1"/>
  <c r="MT237" i="63" s="1"/>
  <c r="NR237" i="63" s="1"/>
  <c r="OP237" i="63" s="1"/>
  <c r="PN237" i="63" s="1"/>
  <c r="AT174" i="63"/>
  <c r="HL110" i="63"/>
  <c r="HT109" i="63"/>
  <c r="HR108" i="63" s="1"/>
  <c r="HS108" i="63" s="1"/>
  <c r="HT108" i="63" s="1"/>
  <c r="HU108" i="63" s="1"/>
  <c r="HV108" i="63" s="1"/>
  <c r="HW108" i="63" s="1"/>
  <c r="HX108" i="63" s="1"/>
  <c r="HY108" i="63" s="1"/>
  <c r="HZ108" i="63" s="1"/>
  <c r="IA108" i="63" s="1"/>
  <c r="IB108" i="63" s="1"/>
  <c r="IC108" i="63" s="1"/>
  <c r="ID108" i="63" s="1"/>
  <c r="IE108" i="63" s="1"/>
  <c r="IF108" i="63" s="1"/>
  <c r="IG108" i="63" s="1"/>
  <c r="IH108" i="63" s="1"/>
  <c r="II108" i="63" s="1"/>
  <c r="IJ108" i="63" s="1"/>
  <c r="IK108" i="63" s="1"/>
  <c r="IL108" i="63" s="1"/>
  <c r="GN174" i="63"/>
  <c r="L14" i="68" a="1"/>
  <c r="L14" i="68" l="1"/>
  <c r="K15" i="68" s="1"/>
  <c r="AO166" i="65"/>
  <c r="AN15" i="65"/>
  <c r="AN19" i="65" s="1"/>
  <c r="AN23" i="65" s="1"/>
  <c r="AN110" i="65" s="1"/>
  <c r="AM3" i="65"/>
  <c r="AP221" i="65"/>
  <c r="Z14" i="39"/>
  <c r="Z17" i="39" s="1"/>
  <c r="GM174" i="63"/>
  <c r="S7" i="63"/>
  <c r="S27" i="63" s="1"/>
  <c r="S47" i="63" s="1"/>
  <c r="S110" i="63" s="1"/>
  <c r="R3" i="63"/>
  <c r="DP174" i="63"/>
  <c r="BR174" i="63"/>
  <c r="DO110" i="63"/>
  <c r="CQ174" i="63"/>
  <c r="CP110" i="63"/>
  <c r="HM174" i="63"/>
  <c r="FN174" i="63"/>
  <c r="BQ110" i="63"/>
  <c r="HK110" i="63"/>
  <c r="IK110" i="63"/>
  <c r="GL110" i="63"/>
  <c r="U237" i="63"/>
  <c r="AS237" i="63" s="1"/>
  <c r="BQ237" i="63" s="1"/>
  <c r="CO237" i="63" s="1"/>
  <c r="DM237" i="63" s="1"/>
  <c r="EK237" i="63" s="1"/>
  <c r="FI237" i="63" s="1"/>
  <c r="GG237" i="63" s="1"/>
  <c r="HE237" i="63" s="1"/>
  <c r="IC237" i="63" s="1"/>
  <c r="JA237" i="63" s="1"/>
  <c r="JY237" i="63" s="1"/>
  <c r="KW237" i="63" s="1"/>
  <c r="LU237" i="63" s="1"/>
  <c r="MS237" i="63" s="1"/>
  <c r="NQ237" i="63" s="1"/>
  <c r="OO237" i="63" s="1"/>
  <c r="PM237" i="63" s="1"/>
  <c r="AS174" i="63"/>
  <c r="IJ110" i="63"/>
  <c r="IR109" i="63"/>
  <c r="IP108" i="63" s="1"/>
  <c r="IQ108" i="63" s="1"/>
  <c r="IR108" i="63" s="1"/>
  <c r="IS108" i="63" s="1"/>
  <c r="IT108" i="63" s="1"/>
  <c r="IU108" i="63" s="1"/>
  <c r="IV108" i="63" s="1"/>
  <c r="IW108" i="63" s="1"/>
  <c r="IX108" i="63" s="1"/>
  <c r="IY108" i="63" s="1"/>
  <c r="IZ108" i="63" s="1"/>
  <c r="JA108" i="63" s="1"/>
  <c r="JB108" i="63" s="1"/>
  <c r="JC108" i="63" s="1"/>
  <c r="JD108" i="63" s="1"/>
  <c r="JE108" i="63" s="1"/>
  <c r="JF108" i="63" s="1"/>
  <c r="JG108" i="63" s="1"/>
  <c r="JH108" i="63" s="1"/>
  <c r="JI108" i="63" s="1"/>
  <c r="JJ108" i="63" s="1"/>
  <c r="BC53" i="63"/>
  <c r="FM110" i="63"/>
  <c r="JJ110" i="63"/>
  <c r="T174" i="63"/>
  <c r="AR110" i="63"/>
  <c r="HL174" i="63"/>
  <c r="IL174" i="63"/>
  <c r="EO174" i="63"/>
  <c r="KL109" i="63"/>
  <c r="JN107" i="63"/>
  <c r="JO107" i="63" s="1"/>
  <c r="JP107" i="63" s="1"/>
  <c r="JQ107" i="63" s="1"/>
  <c r="JR107" i="63" s="1"/>
  <c r="JS107" i="63" s="1"/>
  <c r="JT107" i="63" s="1"/>
  <c r="JU107" i="63" s="1"/>
  <c r="JV107" i="63" s="1"/>
  <c r="JW107" i="63" s="1"/>
  <c r="JX107" i="63" s="1"/>
  <c r="JY107" i="63" s="1"/>
  <c r="JZ107" i="63" s="1"/>
  <c r="KA107" i="63" s="1"/>
  <c r="KB107" i="63" s="1"/>
  <c r="KC107" i="63" s="1"/>
  <c r="KD107" i="63" s="1"/>
  <c r="KE107" i="63" s="1"/>
  <c r="KF107" i="63" s="1"/>
  <c r="KG107" i="63" s="1"/>
  <c r="KH107" i="63" s="1"/>
  <c r="JO109" i="63"/>
  <c r="EN110" i="63"/>
  <c r="L15" i="68" a="1"/>
  <c r="L15" i="68" l="1"/>
  <c r="K16" i="68" s="1"/>
  <c r="AM15" i="65"/>
  <c r="AM19" i="65" s="1"/>
  <c r="AM23" i="65" s="1"/>
  <c r="AM110" i="65" s="1"/>
  <c r="AL3" i="65"/>
  <c r="AN166" i="65"/>
  <c r="AO221" i="65"/>
  <c r="Y14" i="39"/>
  <c r="Y17" i="39" s="1"/>
  <c r="FL110" i="63"/>
  <c r="JP109" i="63"/>
  <c r="JN108" i="63" s="1"/>
  <c r="JO108" i="63" s="1"/>
  <c r="JP108" i="63" s="1"/>
  <c r="JQ108" i="63" s="1"/>
  <c r="JR108" i="63" s="1"/>
  <c r="JS108" i="63" s="1"/>
  <c r="JT108" i="63" s="1"/>
  <c r="JU108" i="63" s="1"/>
  <c r="JV108" i="63" s="1"/>
  <c r="JW108" i="63" s="1"/>
  <c r="JX108" i="63" s="1"/>
  <c r="JY108" i="63" s="1"/>
  <c r="JZ108" i="63" s="1"/>
  <c r="KA108" i="63" s="1"/>
  <c r="KB108" i="63" s="1"/>
  <c r="KC108" i="63" s="1"/>
  <c r="KD108" i="63" s="1"/>
  <c r="KE108" i="63" s="1"/>
  <c r="KF108" i="63" s="1"/>
  <c r="KG108" i="63" s="1"/>
  <c r="KH108" i="63" s="1"/>
  <c r="FM174" i="63"/>
  <c r="IJ174" i="63"/>
  <c r="BP110" i="63"/>
  <c r="JJ174" i="63"/>
  <c r="GK110" i="63"/>
  <c r="BQ174" i="63"/>
  <c r="HJ110" i="63"/>
  <c r="JI110" i="63"/>
  <c r="II110" i="63"/>
  <c r="CO110" i="63"/>
  <c r="EM110" i="63"/>
  <c r="CP174" i="63"/>
  <c r="Q3" i="63"/>
  <c r="R7" i="63"/>
  <c r="R27" i="63" s="1"/>
  <c r="R47" i="63" s="1"/>
  <c r="R110" i="63" s="1"/>
  <c r="GL174" i="63"/>
  <c r="S174" i="63"/>
  <c r="AQ110" i="63"/>
  <c r="KH110" i="63"/>
  <c r="BC54" i="63"/>
  <c r="BC55" i="63" s="1"/>
  <c r="JH110" i="63"/>
  <c r="IK174" i="63"/>
  <c r="DO174" i="63"/>
  <c r="EN174" i="63"/>
  <c r="HK174" i="63"/>
  <c r="LJ109" i="63"/>
  <c r="KM109" i="63"/>
  <c r="KL107" i="63"/>
  <c r="KM107" i="63" s="1"/>
  <c r="KN107" i="63" s="1"/>
  <c r="KO107" i="63" s="1"/>
  <c r="KP107" i="63" s="1"/>
  <c r="KQ107" i="63" s="1"/>
  <c r="KR107" i="63" s="1"/>
  <c r="KS107" i="63" s="1"/>
  <c r="KT107" i="63" s="1"/>
  <c r="KU107" i="63" s="1"/>
  <c r="KV107" i="63" s="1"/>
  <c r="KW107" i="63" s="1"/>
  <c r="KX107" i="63" s="1"/>
  <c r="KY107" i="63" s="1"/>
  <c r="KZ107" i="63" s="1"/>
  <c r="LA107" i="63" s="1"/>
  <c r="LB107" i="63" s="1"/>
  <c r="LC107" i="63" s="1"/>
  <c r="LD107" i="63" s="1"/>
  <c r="LE107" i="63" s="1"/>
  <c r="LF107" i="63" s="1"/>
  <c r="AR174" i="63"/>
  <c r="T237" i="63"/>
  <c r="AR237" i="63" s="1"/>
  <c r="BP237" i="63" s="1"/>
  <c r="CN237" i="63" s="1"/>
  <c r="DL237" i="63" s="1"/>
  <c r="EJ237" i="63" s="1"/>
  <c r="FH237" i="63" s="1"/>
  <c r="GF237" i="63" s="1"/>
  <c r="HD237" i="63" s="1"/>
  <c r="IB237" i="63" s="1"/>
  <c r="IZ237" i="63" s="1"/>
  <c r="JX237" i="63" s="1"/>
  <c r="KV237" i="63" s="1"/>
  <c r="LT237" i="63" s="1"/>
  <c r="MR237" i="63" s="1"/>
  <c r="NP237" i="63" s="1"/>
  <c r="ON237" i="63" s="1"/>
  <c r="PL237" i="63" s="1"/>
  <c r="DN110" i="63"/>
  <c r="L16" i="68" a="1"/>
  <c r="L16" i="68" l="1"/>
  <c r="K17" i="68" s="1"/>
  <c r="AN221" i="65"/>
  <c r="AL15" i="65"/>
  <c r="AL19" i="65" s="1"/>
  <c r="AL23" i="65" s="1"/>
  <c r="AL110" i="65" s="1"/>
  <c r="AK3" i="65"/>
  <c r="AM166" i="65"/>
  <c r="BT2" i="39"/>
  <c r="X14" i="39"/>
  <c r="X17" i="39" s="1"/>
  <c r="X110" i="39" s="1"/>
  <c r="AH110" i="39"/>
  <c r="AB110" i="39"/>
  <c r="AG110" i="39"/>
  <c r="AA110" i="39"/>
  <c r="AF110" i="39"/>
  <c r="Z110" i="39"/>
  <c r="AE110" i="39"/>
  <c r="Y110" i="39"/>
  <c r="AJ110" i="39"/>
  <c r="AD110" i="39"/>
  <c r="AI110" i="39"/>
  <c r="AC110" i="39"/>
  <c r="EL110" i="63"/>
  <c r="KN109" i="63"/>
  <c r="KL108" i="63" s="1"/>
  <c r="KM108" i="63" s="1"/>
  <c r="KN108" i="63" s="1"/>
  <c r="KO108" i="63" s="1"/>
  <c r="KP108" i="63" s="1"/>
  <c r="KQ108" i="63" s="1"/>
  <c r="KR108" i="63" s="1"/>
  <c r="KS108" i="63" s="1"/>
  <c r="KT108" i="63" s="1"/>
  <c r="KU108" i="63" s="1"/>
  <c r="KV108" i="63" s="1"/>
  <c r="KW108" i="63" s="1"/>
  <c r="KX108" i="63" s="1"/>
  <c r="KY108" i="63" s="1"/>
  <c r="KZ108" i="63" s="1"/>
  <c r="LA108" i="63" s="1"/>
  <c r="LB108" i="63" s="1"/>
  <c r="LC108" i="63" s="1"/>
  <c r="LD108" i="63" s="1"/>
  <c r="LE108" i="63" s="1"/>
  <c r="LF108" i="63" s="1"/>
  <c r="JI174" i="63"/>
  <c r="LF110" i="63"/>
  <c r="HJ174" i="63"/>
  <c r="DN174" i="63"/>
  <c r="FK110" i="63"/>
  <c r="JG110" i="63"/>
  <c r="CO174" i="63"/>
  <c r="JH174" i="63"/>
  <c r="LK109" i="63"/>
  <c r="MH109" i="63"/>
  <c r="LJ107" i="63"/>
  <c r="LK107" i="63" s="1"/>
  <c r="LL107" i="63" s="1"/>
  <c r="LM107" i="63" s="1"/>
  <c r="LN107" i="63" s="1"/>
  <c r="LO107" i="63" s="1"/>
  <c r="LP107" i="63" s="1"/>
  <c r="LQ107" i="63" s="1"/>
  <c r="LR107" i="63" s="1"/>
  <c r="LS107" i="63" s="1"/>
  <c r="LT107" i="63" s="1"/>
  <c r="LU107" i="63" s="1"/>
  <c r="LV107" i="63" s="1"/>
  <c r="LW107" i="63" s="1"/>
  <c r="LX107" i="63" s="1"/>
  <c r="LY107" i="63" s="1"/>
  <c r="LZ107" i="63" s="1"/>
  <c r="MA107" i="63" s="1"/>
  <c r="MB107" i="63" s="1"/>
  <c r="MC107" i="63" s="1"/>
  <c r="MD107" i="63" s="1"/>
  <c r="BC56" i="63"/>
  <c r="IH110" i="63"/>
  <c r="GJ110" i="63"/>
  <c r="II174" i="63"/>
  <c r="KH174" i="63"/>
  <c r="FL174" i="63"/>
  <c r="S237" i="63"/>
  <c r="AQ237" i="63" s="1"/>
  <c r="BO237" i="63" s="1"/>
  <c r="CM237" i="63" s="1"/>
  <c r="DK237" i="63" s="1"/>
  <c r="EI237" i="63" s="1"/>
  <c r="FG237" i="63" s="1"/>
  <c r="GE237" i="63" s="1"/>
  <c r="HC237" i="63" s="1"/>
  <c r="IA237" i="63" s="1"/>
  <c r="IY237" i="63" s="1"/>
  <c r="JW237" i="63" s="1"/>
  <c r="KU237" i="63" s="1"/>
  <c r="LS237" i="63" s="1"/>
  <c r="MQ237" i="63" s="1"/>
  <c r="NO237" i="63" s="1"/>
  <c r="OM237" i="63" s="1"/>
  <c r="PK237" i="63" s="1"/>
  <c r="AQ174" i="63"/>
  <c r="R174" i="63"/>
  <c r="AP110" i="63"/>
  <c r="DM110" i="63"/>
  <c r="KG110" i="63"/>
  <c r="BP174" i="63"/>
  <c r="EM174" i="63"/>
  <c r="KF110" i="63"/>
  <c r="BO110" i="63"/>
  <c r="P3" i="63"/>
  <c r="Q7" i="63"/>
  <c r="Q27" i="63" s="1"/>
  <c r="Q47" i="63" s="1"/>
  <c r="Q110" i="63" s="1"/>
  <c r="HI110" i="63"/>
  <c r="CN110" i="63"/>
  <c r="GK174" i="63"/>
  <c r="L17" i="68" a="1"/>
  <c r="L17" i="68" l="1"/>
  <c r="K18" i="68" s="1"/>
  <c r="AJ3" i="65"/>
  <c r="AK15" i="65"/>
  <c r="AK19" i="65" s="1"/>
  <c r="AK23" i="65" s="1"/>
  <c r="AK110" i="65" s="1"/>
  <c r="AL166" i="65"/>
  <c r="AM221" i="65"/>
  <c r="AI166" i="39"/>
  <c r="AI221" i="39" s="1"/>
  <c r="W14" i="39"/>
  <c r="W17" i="39" s="1"/>
  <c r="W110" i="39" s="1"/>
  <c r="W166" i="39" s="1"/>
  <c r="AD166" i="39"/>
  <c r="AJ166" i="39"/>
  <c r="AA166" i="39"/>
  <c r="AG166" i="39"/>
  <c r="Z166" i="39"/>
  <c r="AF166" i="39"/>
  <c r="AF221" i="39" s="1"/>
  <c r="AE166" i="39"/>
  <c r="AB166" i="39"/>
  <c r="X166" i="39"/>
  <c r="AC166" i="39"/>
  <c r="AH166" i="39"/>
  <c r="AH221" i="39" s="1"/>
  <c r="Y166" i="39"/>
  <c r="Y221" i="39" s="1"/>
  <c r="FJ110" i="63"/>
  <c r="P7" i="63"/>
  <c r="P27" i="63" s="1"/>
  <c r="P47" i="63" s="1"/>
  <c r="P110" i="63" s="1"/>
  <c r="O3" i="63"/>
  <c r="KF174" i="63"/>
  <c r="KG174" i="63"/>
  <c r="CM110" i="63"/>
  <c r="LE110" i="63"/>
  <c r="EK110" i="63"/>
  <c r="HI174" i="63"/>
  <c r="LD110" i="63"/>
  <c r="BN110" i="63"/>
  <c r="HH110" i="63"/>
  <c r="BC57" i="63"/>
  <c r="BC58" i="63" s="1"/>
  <c r="KE110" i="63"/>
  <c r="GI110" i="63"/>
  <c r="IG110" i="63"/>
  <c r="Q174" i="63"/>
  <c r="AO110" i="63"/>
  <c r="CN174" i="63"/>
  <c r="R237" i="63"/>
  <c r="AP237" i="63" s="1"/>
  <c r="BN237" i="63" s="1"/>
  <c r="CL237" i="63" s="1"/>
  <c r="DJ237" i="63" s="1"/>
  <c r="EH237" i="63" s="1"/>
  <c r="FF237" i="63" s="1"/>
  <c r="GD237" i="63" s="1"/>
  <c r="HB237" i="63" s="1"/>
  <c r="HZ237" i="63" s="1"/>
  <c r="IX237" i="63" s="1"/>
  <c r="JV237" i="63" s="1"/>
  <c r="KT237" i="63" s="1"/>
  <c r="LR237" i="63" s="1"/>
  <c r="MP237" i="63" s="1"/>
  <c r="NN237" i="63" s="1"/>
  <c r="OL237" i="63" s="1"/>
  <c r="PJ237" i="63" s="1"/>
  <c r="AP174" i="63"/>
  <c r="BO174" i="63"/>
  <c r="LF174" i="63"/>
  <c r="JF110" i="63"/>
  <c r="IH174" i="63"/>
  <c r="MD110" i="63"/>
  <c r="DL110" i="63"/>
  <c r="NF109" i="63"/>
  <c r="MI109" i="63"/>
  <c r="MH107" i="63"/>
  <c r="MI107" i="63" s="1"/>
  <c r="MJ107" i="63" s="1"/>
  <c r="MK107" i="63" s="1"/>
  <c r="ML107" i="63" s="1"/>
  <c r="MM107" i="63" s="1"/>
  <c r="MN107" i="63" s="1"/>
  <c r="MO107" i="63" s="1"/>
  <c r="MP107" i="63" s="1"/>
  <c r="MQ107" i="63" s="1"/>
  <c r="MR107" i="63" s="1"/>
  <c r="MS107" i="63" s="1"/>
  <c r="MT107" i="63" s="1"/>
  <c r="MU107" i="63" s="1"/>
  <c r="MV107" i="63" s="1"/>
  <c r="MW107" i="63" s="1"/>
  <c r="MX107" i="63" s="1"/>
  <c r="MY107" i="63" s="1"/>
  <c r="MZ107" i="63" s="1"/>
  <c r="NA107" i="63" s="1"/>
  <c r="NB107" i="63" s="1"/>
  <c r="EL174" i="63"/>
  <c r="FK174" i="63"/>
  <c r="GJ174" i="63"/>
  <c r="JG174" i="63"/>
  <c r="LL109" i="63"/>
  <c r="LJ108" i="63" s="1"/>
  <c r="LK108" i="63" s="1"/>
  <c r="LL108" i="63" s="1"/>
  <c r="LM108" i="63" s="1"/>
  <c r="LN108" i="63" s="1"/>
  <c r="LO108" i="63" s="1"/>
  <c r="LP108" i="63" s="1"/>
  <c r="LQ108" i="63" s="1"/>
  <c r="LR108" i="63" s="1"/>
  <c r="LS108" i="63" s="1"/>
  <c r="LT108" i="63" s="1"/>
  <c r="LU108" i="63" s="1"/>
  <c r="LV108" i="63" s="1"/>
  <c r="LW108" i="63" s="1"/>
  <c r="LX108" i="63" s="1"/>
  <c r="LY108" i="63" s="1"/>
  <c r="LZ108" i="63" s="1"/>
  <c r="MA108" i="63" s="1"/>
  <c r="MB108" i="63" s="1"/>
  <c r="MC108" i="63" s="1"/>
  <c r="MD108" i="63" s="1"/>
  <c r="DM174" i="63"/>
  <c r="Q107" i="39"/>
  <c r="R107" i="39" s="1"/>
  <c r="S107" i="39" s="1"/>
  <c r="T107" i="39" s="1"/>
  <c r="L18" i="68" a="1"/>
  <c r="L18" i="68" l="1"/>
  <c r="K19" i="68" s="1"/>
  <c r="AL221" i="65"/>
  <c r="AK166" i="65"/>
  <c r="AI3" i="65"/>
  <c r="AJ15" i="65"/>
  <c r="AJ19" i="65" s="1"/>
  <c r="AJ23" i="65" s="1"/>
  <c r="AJ110" i="65" s="1"/>
  <c r="AG221" i="39"/>
  <c r="AD221" i="39"/>
  <c r="AC221" i="39"/>
  <c r="X221" i="39"/>
  <c r="Z221" i="39"/>
  <c r="AJ221" i="39"/>
  <c r="V14" i="39"/>
  <c r="V17" i="39" s="1"/>
  <c r="V110" i="39" s="1"/>
  <c r="AB221" i="39"/>
  <c r="AE221" i="39"/>
  <c r="AA221" i="39"/>
  <c r="W221" i="39"/>
  <c r="O7" i="63"/>
  <c r="O27" i="63" s="1"/>
  <c r="O47" i="63" s="1"/>
  <c r="O110" i="63" s="1"/>
  <c r="N3" i="63"/>
  <c r="GH110" i="63"/>
  <c r="EK174" i="63"/>
  <c r="OD109" i="63"/>
  <c r="NF107" i="63"/>
  <c r="NG107" i="63" s="1"/>
  <c r="NH107" i="63" s="1"/>
  <c r="NI107" i="63" s="1"/>
  <c r="NJ107" i="63" s="1"/>
  <c r="NK107" i="63" s="1"/>
  <c r="NL107" i="63" s="1"/>
  <c r="NM107" i="63" s="1"/>
  <c r="NN107" i="63" s="1"/>
  <c r="NO107" i="63" s="1"/>
  <c r="NP107" i="63" s="1"/>
  <c r="NQ107" i="63" s="1"/>
  <c r="NR107" i="63" s="1"/>
  <c r="NS107" i="63" s="1"/>
  <c r="NT107" i="63" s="1"/>
  <c r="NU107" i="63" s="1"/>
  <c r="NV107" i="63" s="1"/>
  <c r="NW107" i="63" s="1"/>
  <c r="NX107" i="63" s="1"/>
  <c r="NY107" i="63" s="1"/>
  <c r="NZ107" i="63" s="1"/>
  <c r="NG109" i="63"/>
  <c r="JF174" i="63"/>
  <c r="BM110" i="63"/>
  <c r="Q237" i="63"/>
  <c r="AO237" i="63" s="1"/>
  <c r="BM237" i="63" s="1"/>
  <c r="CK237" i="63" s="1"/>
  <c r="DI237" i="63" s="1"/>
  <c r="EG237" i="63" s="1"/>
  <c r="FE237" i="63" s="1"/>
  <c r="GC237" i="63" s="1"/>
  <c r="HA237" i="63" s="1"/>
  <c r="HY237" i="63" s="1"/>
  <c r="IW237" i="63" s="1"/>
  <c r="JU237" i="63" s="1"/>
  <c r="KS237" i="63" s="1"/>
  <c r="LQ237" i="63" s="1"/>
  <c r="MO237" i="63" s="1"/>
  <c r="NM237" i="63" s="1"/>
  <c r="OK237" i="63" s="1"/>
  <c r="PI237" i="63" s="1"/>
  <c r="AO174" i="63"/>
  <c r="HH174" i="63"/>
  <c r="CM174" i="63"/>
  <c r="BN174" i="63"/>
  <c r="DL174" i="63"/>
  <c r="JE110" i="63"/>
  <c r="CL110" i="63"/>
  <c r="IG174" i="63"/>
  <c r="FI110" i="63"/>
  <c r="MC110" i="63"/>
  <c r="DK110" i="63"/>
  <c r="LE174" i="63"/>
  <c r="LD174" i="63"/>
  <c r="MJ109" i="63"/>
  <c r="MH108" i="63" s="1"/>
  <c r="MI108" i="63" s="1"/>
  <c r="MJ108" i="63" s="1"/>
  <c r="MK108" i="63" s="1"/>
  <c r="ML108" i="63" s="1"/>
  <c r="MM108" i="63" s="1"/>
  <c r="MN108" i="63" s="1"/>
  <c r="MO108" i="63" s="1"/>
  <c r="MP108" i="63" s="1"/>
  <c r="MQ108" i="63" s="1"/>
  <c r="MR108" i="63" s="1"/>
  <c r="MS108" i="63" s="1"/>
  <c r="MT108" i="63" s="1"/>
  <c r="MU108" i="63" s="1"/>
  <c r="MV108" i="63" s="1"/>
  <c r="MW108" i="63" s="1"/>
  <c r="MX108" i="63" s="1"/>
  <c r="MY108" i="63" s="1"/>
  <c r="MZ108" i="63" s="1"/>
  <c r="NA108" i="63" s="1"/>
  <c r="NB108" i="63" s="1"/>
  <c r="HG110" i="63"/>
  <c r="KE174" i="63"/>
  <c r="GI174" i="63"/>
  <c r="FJ174" i="63"/>
  <c r="EJ110" i="63"/>
  <c r="KD110" i="63"/>
  <c r="BC59" i="63"/>
  <c r="P174" i="63"/>
  <c r="AN110" i="63"/>
  <c r="NB110" i="63"/>
  <c r="MD174" i="63"/>
  <c r="LC110" i="63"/>
  <c r="IF110" i="63"/>
  <c r="MB110" i="63"/>
  <c r="U107" i="39"/>
  <c r="V107" i="39" s="1"/>
  <c r="W107" i="39" s="1"/>
  <c r="X107" i="39" s="1"/>
  <c r="Y107" i="39" s="1"/>
  <c r="Z107" i="39" s="1"/>
  <c r="AA107" i="39" s="1"/>
  <c r="AB107" i="39" s="1"/>
  <c r="AC107" i="39" s="1"/>
  <c r="AD107" i="39" s="1"/>
  <c r="AE107" i="39" s="1"/>
  <c r="AF107" i="39" s="1"/>
  <c r="AG107" i="39" s="1"/>
  <c r="AH107" i="39" s="1"/>
  <c r="AI107" i="39" s="1"/>
  <c r="AJ107" i="39" s="1"/>
  <c r="AK107" i="39" s="1"/>
  <c r="AL107" i="39" s="1"/>
  <c r="AM107" i="39" s="1"/>
  <c r="AN107" i="39" s="1"/>
  <c r="AO107" i="39" s="1"/>
  <c r="AP107" i="39" s="1"/>
  <c r="AQ107" i="39" s="1"/>
  <c r="AR107" i="39" s="1"/>
  <c r="AS107" i="39" s="1"/>
  <c r="AT107" i="39" s="1"/>
  <c r="AU107" i="39" s="1"/>
  <c r="AV107" i="39" s="1"/>
  <c r="AW107" i="39" s="1"/>
  <c r="AX107" i="39" s="1"/>
  <c r="AY107" i="39" s="1"/>
  <c r="AZ107" i="39" s="1"/>
  <c r="BA107" i="39" s="1"/>
  <c r="BB107" i="39" s="1"/>
  <c r="BC107" i="39" s="1"/>
  <c r="BD107" i="39" s="1"/>
  <c r="BE107" i="39" s="1"/>
  <c r="BF107" i="39" s="1"/>
  <c r="BG107" i="39" s="1"/>
  <c r="BH107" i="39" s="1"/>
  <c r="BI107" i="39" s="1"/>
  <c r="BJ107" i="39" s="1"/>
  <c r="BK107" i="39" s="1"/>
  <c r="BL107" i="39" s="1"/>
  <c r="BM107" i="39" s="1"/>
  <c r="BN107" i="39" s="1"/>
  <c r="R109" i="39"/>
  <c r="P108" i="39" s="1"/>
  <c r="L19" i="68" a="1"/>
  <c r="L19" i="68" l="1"/>
  <c r="K20" i="68" s="1"/>
  <c r="AK221" i="65"/>
  <c r="AJ166" i="65"/>
  <c r="AH3" i="65"/>
  <c r="AI15" i="65"/>
  <c r="AI19" i="65" s="1"/>
  <c r="AI23" i="65" s="1"/>
  <c r="AI110" i="65" s="1"/>
  <c r="V166" i="39"/>
  <c r="U14" i="39"/>
  <c r="U17" i="39" s="1"/>
  <c r="U110" i="39" s="1"/>
  <c r="BC60" i="63"/>
  <c r="BC61" i="63" s="1"/>
  <c r="IE110" i="63"/>
  <c r="CL174" i="63"/>
  <c r="OE109" i="63"/>
  <c r="OD107" i="63"/>
  <c r="OE107" i="63" s="1"/>
  <c r="OF107" i="63" s="1"/>
  <c r="OG107" i="63" s="1"/>
  <c r="OH107" i="63" s="1"/>
  <c r="OI107" i="63" s="1"/>
  <c r="OJ107" i="63" s="1"/>
  <c r="OK107" i="63" s="1"/>
  <c r="OL107" i="63" s="1"/>
  <c r="OM107" i="63" s="1"/>
  <c r="ON107" i="63" s="1"/>
  <c r="OO107" i="63" s="1"/>
  <c r="OP107" i="63" s="1"/>
  <c r="OQ107" i="63" s="1"/>
  <c r="OR107" i="63" s="1"/>
  <c r="OS107" i="63" s="1"/>
  <c r="OT107" i="63" s="1"/>
  <c r="OU107" i="63" s="1"/>
  <c r="OV107" i="63" s="1"/>
  <c r="OW107" i="63" s="1"/>
  <c r="OX107" i="63" s="1"/>
  <c r="PB109" i="63"/>
  <c r="FI174" i="63"/>
  <c r="JD110" i="63"/>
  <c r="FH110" i="63"/>
  <c r="MB174" i="63"/>
  <c r="KD174" i="63"/>
  <c r="MA110" i="63"/>
  <c r="NZ110" i="63"/>
  <c r="LB110" i="63"/>
  <c r="HG174" i="63"/>
  <c r="MC174" i="63"/>
  <c r="EI110" i="63"/>
  <c r="KC110" i="63"/>
  <c r="CK110" i="63"/>
  <c r="HF110" i="63"/>
  <c r="NB174" i="63"/>
  <c r="AN174" i="63"/>
  <c r="P237" i="63"/>
  <c r="AN237" i="63" s="1"/>
  <c r="BL237" i="63" s="1"/>
  <c r="CJ237" i="63" s="1"/>
  <c r="DH237" i="63" s="1"/>
  <c r="EF237" i="63" s="1"/>
  <c r="FD237" i="63" s="1"/>
  <c r="GB237" i="63" s="1"/>
  <c r="GZ237" i="63" s="1"/>
  <c r="HX237" i="63" s="1"/>
  <c r="IV237" i="63" s="1"/>
  <c r="JT237" i="63" s="1"/>
  <c r="KR237" i="63" s="1"/>
  <c r="LP237" i="63" s="1"/>
  <c r="MN237" i="63" s="1"/>
  <c r="NL237" i="63" s="1"/>
  <c r="OJ237" i="63" s="1"/>
  <c r="PH237" i="63" s="1"/>
  <c r="EJ174" i="63"/>
  <c r="BL110" i="63"/>
  <c r="NA110" i="63"/>
  <c r="JE174" i="63"/>
  <c r="DJ110" i="63"/>
  <c r="DK174" i="63"/>
  <c r="M3" i="63"/>
  <c r="N7" i="63"/>
  <c r="N27" i="63" s="1"/>
  <c r="N47" i="63" s="1"/>
  <c r="N110" i="63" s="1"/>
  <c r="MZ110" i="63"/>
  <c r="GH174" i="63"/>
  <c r="LC174" i="63"/>
  <c r="GG110" i="63"/>
  <c r="IF174" i="63"/>
  <c r="BM174" i="63"/>
  <c r="NH109" i="63"/>
  <c r="NF108" i="63" s="1"/>
  <c r="NG108" i="63" s="1"/>
  <c r="NH108" i="63" s="1"/>
  <c r="NI108" i="63" s="1"/>
  <c r="NJ108" i="63" s="1"/>
  <c r="NK108" i="63" s="1"/>
  <c r="NL108" i="63" s="1"/>
  <c r="NM108" i="63" s="1"/>
  <c r="NN108" i="63" s="1"/>
  <c r="NO108" i="63" s="1"/>
  <c r="NP108" i="63" s="1"/>
  <c r="NQ108" i="63" s="1"/>
  <c r="NR108" i="63" s="1"/>
  <c r="NS108" i="63" s="1"/>
  <c r="NT108" i="63" s="1"/>
  <c r="NU108" i="63" s="1"/>
  <c r="NV108" i="63" s="1"/>
  <c r="NW108" i="63" s="1"/>
  <c r="NX108" i="63" s="1"/>
  <c r="NY108" i="63" s="1"/>
  <c r="NZ108" i="63" s="1"/>
  <c r="AM110" i="63"/>
  <c r="O174" i="63"/>
  <c r="Q108" i="39"/>
  <c r="L20" i="68" a="1"/>
  <c r="L20" i="68" l="1"/>
  <c r="K21" i="68" s="1"/>
  <c r="AI166" i="65"/>
  <c r="AJ221" i="65"/>
  <c r="AH15" i="65"/>
  <c r="AH19" i="65" s="1"/>
  <c r="AH23" i="65" s="1"/>
  <c r="AH110" i="65" s="1"/>
  <c r="AG3" i="65"/>
  <c r="T14" i="39"/>
  <c r="T17" i="39" s="1"/>
  <c r="T110" i="39" s="1"/>
  <c r="V221" i="39"/>
  <c r="U166" i="39"/>
  <c r="HF174" i="63"/>
  <c r="NY110" i="63"/>
  <c r="OF109" i="63"/>
  <c r="OD108" i="63" s="1"/>
  <c r="OE108" i="63" s="1"/>
  <c r="OF108" i="63" s="1"/>
  <c r="OG108" i="63" s="1"/>
  <c r="OH108" i="63" s="1"/>
  <c r="OI108" i="63" s="1"/>
  <c r="OJ108" i="63" s="1"/>
  <c r="OK108" i="63" s="1"/>
  <c r="OL108" i="63" s="1"/>
  <c r="OM108" i="63" s="1"/>
  <c r="ON108" i="63" s="1"/>
  <c r="OO108" i="63" s="1"/>
  <c r="OP108" i="63" s="1"/>
  <c r="OQ108" i="63" s="1"/>
  <c r="OR108" i="63" s="1"/>
  <c r="OS108" i="63" s="1"/>
  <c r="OT108" i="63" s="1"/>
  <c r="OU108" i="63" s="1"/>
  <c r="OV108" i="63" s="1"/>
  <c r="OW108" i="63" s="1"/>
  <c r="OX108" i="63" s="1"/>
  <c r="HE110" i="63"/>
  <c r="N174" i="63"/>
  <c r="AL110" i="63"/>
  <c r="EH110" i="63"/>
  <c r="BL174" i="63"/>
  <c r="DI110" i="63"/>
  <c r="LA110" i="63"/>
  <c r="L3" i="63"/>
  <c r="M7" i="63"/>
  <c r="M27" i="63" s="1"/>
  <c r="M47" i="63" s="1"/>
  <c r="M110" i="63" s="1"/>
  <c r="FH174" i="63"/>
  <c r="NZ174" i="63"/>
  <c r="FG110" i="63"/>
  <c r="MY110" i="63"/>
  <c r="O237" i="63"/>
  <c r="AM237" i="63" s="1"/>
  <c r="BK237" i="63" s="1"/>
  <c r="CI237" i="63" s="1"/>
  <c r="DG237" i="63" s="1"/>
  <c r="EE237" i="63" s="1"/>
  <c r="FC237" i="63" s="1"/>
  <c r="GA237" i="63" s="1"/>
  <c r="GY237" i="63" s="1"/>
  <c r="HW237" i="63" s="1"/>
  <c r="IU237" i="63" s="1"/>
  <c r="JS237" i="63" s="1"/>
  <c r="KQ237" i="63" s="1"/>
  <c r="LO237" i="63" s="1"/>
  <c r="MM237" i="63" s="1"/>
  <c r="NK237" i="63" s="1"/>
  <c r="OI237" i="63" s="1"/>
  <c r="PG237" i="63" s="1"/>
  <c r="AM174" i="63"/>
  <c r="NX110" i="63"/>
  <c r="EI174" i="63"/>
  <c r="KC174" i="63"/>
  <c r="CJ110" i="63"/>
  <c r="IE174" i="63"/>
  <c r="OX110" i="63"/>
  <c r="KB110" i="63"/>
  <c r="JC110" i="63"/>
  <c r="BK110" i="63"/>
  <c r="CK174" i="63"/>
  <c r="JD174" i="63"/>
  <c r="MA174" i="63"/>
  <c r="ID110" i="63"/>
  <c r="NA174" i="63"/>
  <c r="LZ110" i="63"/>
  <c r="LB174" i="63"/>
  <c r="MZ174" i="63"/>
  <c r="GF110" i="63"/>
  <c r="GG174" i="63"/>
  <c r="PC109" i="63"/>
  <c r="PB107" i="63"/>
  <c r="PC107" i="63" s="1"/>
  <c r="PD107" i="63" s="1"/>
  <c r="PE107" i="63" s="1"/>
  <c r="PF107" i="63" s="1"/>
  <c r="PG107" i="63" s="1"/>
  <c r="PH107" i="63" s="1"/>
  <c r="PI107" i="63" s="1"/>
  <c r="PJ107" i="63" s="1"/>
  <c r="PK107" i="63" s="1"/>
  <c r="PL107" i="63" s="1"/>
  <c r="PM107" i="63" s="1"/>
  <c r="PN107" i="63" s="1"/>
  <c r="PO107" i="63" s="1"/>
  <c r="PP107" i="63" s="1"/>
  <c r="PQ107" i="63" s="1"/>
  <c r="PR107" i="63" s="1"/>
  <c r="PS107" i="63" s="1"/>
  <c r="PT107" i="63" s="1"/>
  <c r="PU107" i="63" s="1"/>
  <c r="PV107" i="63" s="1"/>
  <c r="DJ174" i="63"/>
  <c r="BC62" i="63"/>
  <c r="R108" i="39"/>
  <c r="AG15" i="65" l="1"/>
  <c r="AG19" i="65" s="1"/>
  <c r="AG23" i="65" s="1"/>
  <c r="AG110" i="65" s="1"/>
  <c r="AF3" i="65"/>
  <c r="AH166" i="65"/>
  <c r="AI221" i="65"/>
  <c r="U221" i="39"/>
  <c r="T166" i="39"/>
  <c r="S14" i="39"/>
  <c r="S17" i="39" s="1"/>
  <c r="S110" i="39" s="1"/>
  <c r="PD109" i="63"/>
  <c r="PB108" i="63" s="1"/>
  <c r="PC108" i="63" s="1"/>
  <c r="PD108" i="63" s="1"/>
  <c r="PE108" i="63" s="1"/>
  <c r="PF108" i="63" s="1"/>
  <c r="PG108" i="63" s="1"/>
  <c r="PH108" i="63" s="1"/>
  <c r="PI108" i="63" s="1"/>
  <c r="PJ108" i="63" s="1"/>
  <c r="PK108" i="63" s="1"/>
  <c r="PL108" i="63" s="1"/>
  <c r="PM108" i="63" s="1"/>
  <c r="PN108" i="63" s="1"/>
  <c r="PO108" i="63" s="1"/>
  <c r="PP108" i="63" s="1"/>
  <c r="PQ108" i="63" s="1"/>
  <c r="PR108" i="63" s="1"/>
  <c r="PS108" i="63" s="1"/>
  <c r="PT108" i="63" s="1"/>
  <c r="PU108" i="63" s="1"/>
  <c r="PV108" i="63" s="1"/>
  <c r="HE174" i="63"/>
  <c r="FG174" i="63"/>
  <c r="OX174" i="63"/>
  <c r="GF174" i="63"/>
  <c r="CJ174" i="63"/>
  <c r="N237" i="63"/>
  <c r="AL237" i="63" s="1"/>
  <c r="BJ237" i="63" s="1"/>
  <c r="CH237" i="63" s="1"/>
  <c r="DF237" i="63" s="1"/>
  <c r="ED237" i="63" s="1"/>
  <c r="FB237" i="63" s="1"/>
  <c r="FZ237" i="63" s="1"/>
  <c r="GX237" i="63" s="1"/>
  <c r="HV237" i="63" s="1"/>
  <c r="IT237" i="63" s="1"/>
  <c r="JR237" i="63" s="1"/>
  <c r="KP237" i="63" s="1"/>
  <c r="LN237" i="63" s="1"/>
  <c r="ML237" i="63" s="1"/>
  <c r="NJ237" i="63" s="1"/>
  <c r="OH237" i="63" s="1"/>
  <c r="PF237" i="63" s="1"/>
  <c r="AL174" i="63"/>
  <c r="KB174" i="63"/>
  <c r="CI110" i="63"/>
  <c r="LA174" i="63"/>
  <c r="BJ110" i="63"/>
  <c r="ID174" i="63"/>
  <c r="BC63" i="63"/>
  <c r="BC64" i="63" s="1"/>
  <c r="BC65" i="63" s="1"/>
  <c r="BC66" i="63" s="1"/>
  <c r="BC67" i="63" s="1"/>
  <c r="HD110" i="63"/>
  <c r="LZ174" i="63"/>
  <c r="KA110" i="63"/>
  <c r="JC174" i="63"/>
  <c r="BK174" i="63"/>
  <c r="L7" i="63"/>
  <c r="L27" i="63" s="1"/>
  <c r="L47" i="63" s="1"/>
  <c r="L110" i="63" s="1"/>
  <c r="K3" i="63"/>
  <c r="FF110" i="63"/>
  <c r="OW110" i="63"/>
  <c r="EH174" i="63"/>
  <c r="NX174" i="63"/>
  <c r="PV110" i="63"/>
  <c r="MY174" i="63"/>
  <c r="DI174" i="63"/>
  <c r="NW110" i="63"/>
  <c r="LY110" i="63"/>
  <c r="MX110" i="63"/>
  <c r="NY174" i="63"/>
  <c r="JB110" i="63"/>
  <c r="KZ110" i="63"/>
  <c r="DH110" i="63"/>
  <c r="OV110" i="63"/>
  <c r="GE110" i="63"/>
  <c r="M174" i="63"/>
  <c r="AK110" i="63"/>
  <c r="EG110" i="63"/>
  <c r="IC110" i="63"/>
  <c r="S108" i="39"/>
  <c r="AH221" i="65" l="1"/>
  <c r="AF15" i="65"/>
  <c r="AF19" i="65" s="1"/>
  <c r="AF23" i="65" s="1"/>
  <c r="AF110" i="65" s="1"/>
  <c r="AE3" i="65"/>
  <c r="AG166" i="65"/>
  <c r="R14" i="39"/>
  <c r="R17" i="39" s="1"/>
  <c r="R110" i="39" s="1"/>
  <c r="T221" i="39"/>
  <c r="S166" i="39"/>
  <c r="HC110" i="63"/>
  <c r="EF110" i="63"/>
  <c r="MW110" i="63"/>
  <c r="EG174" i="63"/>
  <c r="PU110" i="63"/>
  <c r="GD110" i="63"/>
  <c r="K7" i="63"/>
  <c r="K27" i="63" s="1"/>
  <c r="K47" i="63" s="1"/>
  <c r="K110" i="63" s="1"/>
  <c r="J3" i="63"/>
  <c r="CI174" i="63"/>
  <c r="MX174" i="63"/>
  <c r="JB174" i="63"/>
  <c r="LY174" i="63"/>
  <c r="DG110" i="63"/>
  <c r="HD174" i="63"/>
  <c r="BI110" i="63"/>
  <c r="JZ110" i="63"/>
  <c r="NV110" i="63"/>
  <c r="NW174" i="63"/>
  <c r="OV174" i="63"/>
  <c r="L174" i="63"/>
  <c r="AJ110" i="63"/>
  <c r="IC174" i="63"/>
  <c r="JA110" i="63"/>
  <c r="KA174" i="63"/>
  <c r="KY110" i="63"/>
  <c r="CH110" i="63"/>
  <c r="BJ174" i="63"/>
  <c r="FE110" i="63"/>
  <c r="M237" i="63"/>
  <c r="AK237" i="63" s="1"/>
  <c r="BI237" i="63" s="1"/>
  <c r="CG237" i="63" s="1"/>
  <c r="DE237" i="63" s="1"/>
  <c r="EC237" i="63" s="1"/>
  <c r="FA237" i="63" s="1"/>
  <c r="FY237" i="63" s="1"/>
  <c r="GW237" i="63" s="1"/>
  <c r="HU237" i="63" s="1"/>
  <c r="IS237" i="63" s="1"/>
  <c r="JQ237" i="63" s="1"/>
  <c r="KO237" i="63" s="1"/>
  <c r="LM237" i="63" s="1"/>
  <c r="MK237" i="63" s="1"/>
  <c r="NI237" i="63" s="1"/>
  <c r="OG237" i="63" s="1"/>
  <c r="PE237" i="63" s="1"/>
  <c r="AK174" i="63"/>
  <c r="PT110" i="63"/>
  <c r="LX110" i="63"/>
  <c r="OW174" i="63"/>
  <c r="OU110" i="63"/>
  <c r="FF174" i="63"/>
  <c r="IB110" i="63"/>
  <c r="KZ174" i="63"/>
  <c r="DH174" i="63"/>
  <c r="PV174" i="63"/>
  <c r="GE174" i="63"/>
  <c r="T108" i="39"/>
  <c r="AE15" i="65" l="1"/>
  <c r="AE19" i="65" s="1"/>
  <c r="AE23" i="65" s="1"/>
  <c r="AE110" i="65" s="1"/>
  <c r="AD3" i="65"/>
  <c r="AF166" i="65"/>
  <c r="AG221" i="65"/>
  <c r="S221" i="39"/>
  <c r="R166" i="39"/>
  <c r="Q14" i="39"/>
  <c r="Q17" i="39" s="1"/>
  <c r="Q110" i="39" s="1"/>
  <c r="HC174" i="63"/>
  <c r="GD174" i="63"/>
  <c r="MV110" i="63"/>
  <c r="BI174" i="63"/>
  <c r="GC110" i="63"/>
  <c r="KY174" i="63"/>
  <c r="PT174" i="63"/>
  <c r="MW174" i="63"/>
  <c r="JZ174" i="63"/>
  <c r="DG174" i="63"/>
  <c r="FE174" i="63"/>
  <c r="FD110" i="63"/>
  <c r="LX174" i="63"/>
  <c r="IZ110" i="63"/>
  <c r="CH174" i="63"/>
  <c r="JA174" i="63"/>
  <c r="BH110" i="63"/>
  <c r="AJ174" i="63"/>
  <c r="L237" i="63"/>
  <c r="AJ237" i="63" s="1"/>
  <c r="BH237" i="63" s="1"/>
  <c r="CF237" i="63" s="1"/>
  <c r="DD237" i="63" s="1"/>
  <c r="EB237" i="63" s="1"/>
  <c r="EZ237" i="63" s="1"/>
  <c r="FX237" i="63" s="1"/>
  <c r="GV237" i="63" s="1"/>
  <c r="HT237" i="63" s="1"/>
  <c r="IR237" i="63" s="1"/>
  <c r="JP237" i="63" s="1"/>
  <c r="KN237" i="63" s="1"/>
  <c r="LL237" i="63" s="1"/>
  <c r="MJ237" i="63" s="1"/>
  <c r="NH237" i="63" s="1"/>
  <c r="OF237" i="63" s="1"/>
  <c r="PD237" i="63" s="1"/>
  <c r="IB174" i="63"/>
  <c r="HB110" i="63"/>
  <c r="NU110" i="63"/>
  <c r="LW110" i="63"/>
  <c r="JY110" i="63"/>
  <c r="OU174" i="63"/>
  <c r="OT110" i="63"/>
  <c r="CG110" i="63"/>
  <c r="NV174" i="63"/>
  <c r="B11" i="63"/>
  <c r="B17" i="63" s="1"/>
  <c r="J7" i="63"/>
  <c r="J27" i="63" s="1"/>
  <c r="J47" i="63" s="1"/>
  <c r="J110" i="63" s="1"/>
  <c r="EF174" i="63"/>
  <c r="PS110" i="63"/>
  <c r="PU174" i="63"/>
  <c r="DF110" i="63"/>
  <c r="KX110" i="63"/>
  <c r="EE110" i="63"/>
  <c r="AI110" i="63"/>
  <c r="K174" i="63"/>
  <c r="IA110" i="63"/>
  <c r="U108" i="39"/>
  <c r="AF221" i="65" l="1"/>
  <c r="AC3" i="65"/>
  <c r="AD15" i="65"/>
  <c r="AD19" i="65" s="1"/>
  <c r="AD23" i="65" s="1"/>
  <c r="AD110" i="65" s="1"/>
  <c r="AE166" i="65"/>
  <c r="Q166" i="39"/>
  <c r="P11" i="39"/>
  <c r="P14" i="39" s="1"/>
  <c r="P17" i="39" s="1"/>
  <c r="P110" i="39" s="1"/>
  <c r="R221" i="39"/>
  <c r="OT174" i="63"/>
  <c r="HB174" i="63"/>
  <c r="BG110" i="63"/>
  <c r="FC110" i="63"/>
  <c r="KX111" i="63"/>
  <c r="LV110" i="63"/>
  <c r="I111" i="63"/>
  <c r="AH110" i="63"/>
  <c r="J174" i="63"/>
  <c r="DE110" i="63"/>
  <c r="PS174" i="63"/>
  <c r="IZ174" i="63"/>
  <c r="JY174" i="63"/>
  <c r="MV174" i="63"/>
  <c r="NU174" i="63"/>
  <c r="CG174" i="63"/>
  <c r="NT110" i="63"/>
  <c r="MV111" i="63"/>
  <c r="OT111" i="63"/>
  <c r="PR110" i="63"/>
  <c r="KW110" i="63"/>
  <c r="JY111" i="63"/>
  <c r="LW111" i="63"/>
  <c r="MU110" i="63"/>
  <c r="IZ111" i="63"/>
  <c r="JX110" i="63"/>
  <c r="FD111" i="63"/>
  <c r="GB110" i="63"/>
  <c r="KX174" i="63"/>
  <c r="IA174" i="63"/>
  <c r="IA111" i="63"/>
  <c r="IY110" i="63"/>
  <c r="AI174" i="63"/>
  <c r="K237" i="63"/>
  <c r="AI237" i="63" s="1"/>
  <c r="BG237" i="63" s="1"/>
  <c r="CE237" i="63" s="1"/>
  <c r="DC237" i="63" s="1"/>
  <c r="EA237" i="63" s="1"/>
  <c r="EY237" i="63" s="1"/>
  <c r="FW237" i="63" s="1"/>
  <c r="GU237" i="63" s="1"/>
  <c r="HS237" i="63" s="1"/>
  <c r="IQ237" i="63" s="1"/>
  <c r="JO237" i="63" s="1"/>
  <c r="KM237" i="63" s="1"/>
  <c r="LK237" i="63" s="1"/>
  <c r="MI237" i="63" s="1"/>
  <c r="NG237" i="63" s="1"/>
  <c r="OE237" i="63" s="1"/>
  <c r="PC237" i="63" s="1"/>
  <c r="HZ110" i="63"/>
  <c r="HB111" i="63"/>
  <c r="BH174" i="63"/>
  <c r="ED110" i="63"/>
  <c r="DF111" i="63"/>
  <c r="FD174" i="63"/>
  <c r="AA55" i="63"/>
  <c r="S55" i="63"/>
  <c r="K55" i="63"/>
  <c r="AB53" i="63"/>
  <c r="T53" i="63"/>
  <c r="L53" i="63"/>
  <c r="AD42" i="63"/>
  <c r="Z35" i="63"/>
  <c r="R35" i="63"/>
  <c r="J35" i="63"/>
  <c r="AB33" i="63"/>
  <c r="T33" i="63"/>
  <c r="L33" i="63"/>
  <c r="J31" i="63"/>
  <c r="T13" i="63"/>
  <c r="L13" i="63"/>
  <c r="J65" i="63"/>
  <c r="J53" i="63"/>
  <c r="AD33" i="63"/>
  <c r="J33" i="63"/>
  <c r="AD23" i="63"/>
  <c r="AD15" i="63"/>
  <c r="AD13" i="63"/>
  <c r="AD11" i="63"/>
  <c r="W55" i="63"/>
  <c r="O55" i="63"/>
  <c r="X53" i="63"/>
  <c r="P53" i="63"/>
  <c r="J42" i="63"/>
  <c r="AD39" i="63"/>
  <c r="J39" i="63"/>
  <c r="AD35" i="63"/>
  <c r="V35" i="63"/>
  <c r="N35" i="63"/>
  <c r="X33" i="63"/>
  <c r="P33" i="63"/>
  <c r="AD31" i="63"/>
  <c r="AB15" i="63"/>
  <c r="X15" i="63"/>
  <c r="T15" i="63"/>
  <c r="P15" i="63"/>
  <c r="L15" i="63"/>
  <c r="AB13" i="63"/>
  <c r="X13" i="63"/>
  <c r="P13" i="63"/>
  <c r="R55" i="63"/>
  <c r="AB54" i="63"/>
  <c r="L54" i="63"/>
  <c r="W53" i="63"/>
  <c r="Y41" i="63"/>
  <c r="Q35" i="63"/>
  <c r="V34" i="63"/>
  <c r="AA33" i="63"/>
  <c r="K33" i="63"/>
  <c r="J30" i="63"/>
  <c r="AD25" i="63"/>
  <c r="Q21" i="63"/>
  <c r="P20" i="63"/>
  <c r="AD17" i="63"/>
  <c r="S15" i="63"/>
  <c r="Q14" i="63"/>
  <c r="AA13" i="63"/>
  <c r="K13" i="63"/>
  <c r="AD10" i="63"/>
  <c r="X54" i="63"/>
  <c r="Q40" i="63"/>
  <c r="M39" i="63"/>
  <c r="AC35" i="63"/>
  <c r="M35" i="63"/>
  <c r="R34" i="63"/>
  <c r="W33" i="63"/>
  <c r="T24" i="63"/>
  <c r="AD22" i="63"/>
  <c r="AC21" i="63"/>
  <c r="M21" i="63"/>
  <c r="AB20" i="63"/>
  <c r="L20" i="63"/>
  <c r="V19" i="63"/>
  <c r="O15" i="63"/>
  <c r="AC14" i="63"/>
  <c r="M14" i="63"/>
  <c r="W13" i="63"/>
  <c r="O59" i="63"/>
  <c r="J58" i="63"/>
  <c r="T57" i="63"/>
  <c r="O56" i="63"/>
  <c r="Z55" i="63"/>
  <c r="J55" i="63"/>
  <c r="T54" i="63"/>
  <c r="O53" i="63"/>
  <c r="Z52" i="63"/>
  <c r="J52" i="63"/>
  <c r="O50" i="63"/>
  <c r="Z49" i="63"/>
  <c r="J49" i="63"/>
  <c r="S45" i="63"/>
  <c r="AD44" i="63"/>
  <c r="N44" i="63"/>
  <c r="J43" i="63"/>
  <c r="Q41" i="63"/>
  <c r="AC40" i="63"/>
  <c r="Y39" i="63"/>
  <c r="T37" i="63"/>
  <c r="N36" i="63"/>
  <c r="AD34" i="63"/>
  <c r="X32" i="63"/>
  <c r="W29" i="63"/>
  <c r="V25" i="63"/>
  <c r="P24" i="63"/>
  <c r="AA15" i="63"/>
  <c r="Y14" i="63"/>
  <c r="V10" i="63"/>
  <c r="U9" i="63"/>
  <c r="V55" i="63"/>
  <c r="AA53" i="63"/>
  <c r="K53" i="63"/>
  <c r="J44" i="63"/>
  <c r="U35" i="63"/>
  <c r="O33" i="63"/>
  <c r="AD30" i="63"/>
  <c r="AD19" i="63"/>
  <c r="W15" i="63"/>
  <c r="O13" i="63"/>
  <c r="S59" i="63"/>
  <c r="N55" i="63"/>
  <c r="S53" i="63"/>
  <c r="R44" i="63"/>
  <c r="AD43" i="63"/>
  <c r="U41" i="63"/>
  <c r="AC39" i="63"/>
  <c r="M40" i="63"/>
  <c r="AD36" i="63"/>
  <c r="Y35" i="63"/>
  <c r="N34" i="63"/>
  <c r="S33" i="63"/>
  <c r="R30" i="63"/>
  <c r="Y21" i="63"/>
  <c r="X20" i="63"/>
  <c r="R19" i="63"/>
  <c r="V17" i="63"/>
  <c r="Q16" i="63"/>
  <c r="K15" i="63"/>
  <c r="S13" i="63"/>
  <c r="Q12" i="63"/>
  <c r="AA56" i="63"/>
  <c r="P57" i="63"/>
  <c r="Z22" i="63"/>
  <c r="N49" i="63"/>
  <c r="X57" i="63"/>
  <c r="M9" i="63"/>
  <c r="Q9" i="63"/>
  <c r="M12" i="63"/>
  <c r="R54" i="63"/>
  <c r="X34" i="63"/>
  <c r="AA14" i="63"/>
  <c r="K14" i="63"/>
  <c r="O34" i="63"/>
  <c r="S54" i="63"/>
  <c r="Y34" i="63"/>
  <c r="AB14" i="63"/>
  <c r="L14" i="63"/>
  <c r="AA34" i="63"/>
  <c r="Z14" i="63"/>
  <c r="AB35" i="63"/>
  <c r="X61" i="63"/>
  <c r="AA41" i="63"/>
  <c r="K41" i="63"/>
  <c r="O21" i="63"/>
  <c r="Z41" i="63"/>
  <c r="V21" i="63"/>
  <c r="Y61" i="63"/>
  <c r="AB41" i="63"/>
  <c r="L41" i="63"/>
  <c r="P21" i="63"/>
  <c r="K61" i="63"/>
  <c r="Z21" i="63"/>
  <c r="N61" i="63"/>
  <c r="V22" i="63"/>
  <c r="R25" i="63"/>
  <c r="J34" i="63"/>
  <c r="P37" i="63"/>
  <c r="K50" i="63"/>
  <c r="AC53" i="63"/>
  <c r="P62" i="63"/>
  <c r="O22" i="63"/>
  <c r="T62" i="63"/>
  <c r="N42" i="63"/>
  <c r="S62" i="63"/>
  <c r="T49" i="63"/>
  <c r="Y29" i="63"/>
  <c r="AA9" i="63"/>
  <c r="K9" i="63"/>
  <c r="AB29" i="63"/>
  <c r="AC49" i="63"/>
  <c r="M49" i="63"/>
  <c r="R29" i="63"/>
  <c r="X9" i="63"/>
  <c r="W49" i="63"/>
  <c r="AD9" i="63"/>
  <c r="Y9" i="63"/>
  <c r="W30" i="63"/>
  <c r="AA30" i="63"/>
  <c r="W10" i="63"/>
  <c r="Z10" i="63"/>
  <c r="P52" i="63"/>
  <c r="V32" i="63"/>
  <c r="AA12" i="63"/>
  <c r="K12" i="63"/>
  <c r="U32" i="63"/>
  <c r="AC52" i="63"/>
  <c r="M52" i="63"/>
  <c r="O32" i="63"/>
  <c r="T12" i="63"/>
  <c r="O52" i="63"/>
  <c r="AD12" i="63"/>
  <c r="Z53" i="63"/>
  <c r="Q56" i="63"/>
  <c r="T36" i="63"/>
  <c r="W16" i="63"/>
  <c r="X56" i="63"/>
  <c r="O36" i="63"/>
  <c r="V56" i="63"/>
  <c r="V52" i="63"/>
  <c r="Z44" i="63"/>
  <c r="S56" i="63"/>
  <c r="R10" i="63"/>
  <c r="V54" i="63"/>
  <c r="T34" i="63"/>
  <c r="S14" i="63"/>
  <c r="W34" i="63"/>
  <c r="O54" i="63"/>
  <c r="Q34" i="63"/>
  <c r="P14" i="63"/>
  <c r="S34" i="63"/>
  <c r="N14" i="63"/>
  <c r="R17" i="63"/>
  <c r="T61" i="63"/>
  <c r="S41" i="63"/>
  <c r="S21" i="63"/>
  <c r="V41" i="63"/>
  <c r="R61" i="63"/>
  <c r="M61" i="63"/>
  <c r="AB21" i="63"/>
  <c r="AA61" i="63"/>
  <c r="J41" i="63"/>
  <c r="J61" i="63"/>
  <c r="L24" i="63"/>
  <c r="T32" i="63"/>
  <c r="U39" i="63"/>
  <c r="K56" i="63"/>
  <c r="X62" i="63"/>
  <c r="W62" i="63"/>
  <c r="Z42" i="63"/>
  <c r="AA62" i="63"/>
  <c r="L49" i="63"/>
  <c r="M29" i="63"/>
  <c r="AA49" i="63"/>
  <c r="L29" i="63"/>
  <c r="Q49" i="63"/>
  <c r="N29" i="63"/>
  <c r="P9" i="63"/>
  <c r="P29" i="63"/>
  <c r="AB50" i="63"/>
  <c r="X50" i="63"/>
  <c r="AA10" i="63"/>
  <c r="AB52" i="63"/>
  <c r="AD32" i="63"/>
  <c r="J32" i="63"/>
  <c r="AA52" i="63"/>
  <c r="V12" i="63"/>
  <c r="Q52" i="63"/>
  <c r="K32" i="63"/>
  <c r="L12" i="63"/>
  <c r="Q32" i="63"/>
  <c r="AC56" i="63"/>
  <c r="AB36" i="63"/>
  <c r="AA16" i="63"/>
  <c r="P56" i="63"/>
  <c r="R16" i="63"/>
  <c r="J56" i="63"/>
  <c r="Q36" i="63"/>
  <c r="T16" i="63"/>
  <c r="T56" i="63"/>
  <c r="AD16" i="63"/>
  <c r="Y57" i="63"/>
  <c r="Q37" i="63"/>
  <c r="K17" i="63"/>
  <c r="U37" i="63"/>
  <c r="AC59" i="63"/>
  <c r="O65" i="63"/>
  <c r="W25" i="63"/>
  <c r="K65" i="63"/>
  <c r="S25" i="63"/>
  <c r="N65" i="63"/>
  <c r="V30" i="63"/>
  <c r="X37" i="63"/>
  <c r="Y12" i="63"/>
  <c r="X59" i="63"/>
  <c r="V39" i="63"/>
  <c r="AB59" i="63"/>
  <c r="S19" i="63"/>
  <c r="T60" i="63"/>
  <c r="AA64" i="63"/>
  <c r="R22" i="63"/>
  <c r="O29" i="63"/>
  <c r="L37" i="63"/>
  <c r="M42" i="63"/>
  <c r="AA45" i="63"/>
  <c r="W56" i="63"/>
  <c r="L60" i="63"/>
  <c r="M28" i="63"/>
  <c r="O44" i="63"/>
  <c r="L64" i="63"/>
  <c r="K8" i="63"/>
  <c r="AA8" i="63"/>
  <c r="Y10" i="63"/>
  <c r="R13" i="63"/>
  <c r="R15" i="63"/>
  <c r="Q17" i="63"/>
  <c r="Y19" i="63"/>
  <c r="S20" i="63"/>
  <c r="Q22" i="63"/>
  <c r="W24" i="63"/>
  <c r="U25" i="63"/>
  <c r="O28" i="63"/>
  <c r="M30" i="63"/>
  <c r="AC30" i="63"/>
  <c r="Z33" i="63"/>
  <c r="X35" i="63"/>
  <c r="W37" i="63"/>
  <c r="S38" i="63"/>
  <c r="P39" i="63"/>
  <c r="L40" i="63"/>
  <c r="AB40" i="63"/>
  <c r="X42" i="63"/>
  <c r="U44" i="63"/>
  <c r="N45" i="63"/>
  <c r="AD45" i="63"/>
  <c r="W48" i="63"/>
  <c r="Y40" i="63"/>
  <c r="AA50" i="63"/>
  <c r="O45" i="63"/>
  <c r="Y42" i="63"/>
  <c r="N54" i="63"/>
  <c r="P34" i="63"/>
  <c r="O14" i="63"/>
  <c r="V14" i="63"/>
  <c r="K54" i="63"/>
  <c r="M34" i="63"/>
  <c r="AC54" i="63"/>
  <c r="K34" i="63"/>
  <c r="U14" i="63"/>
  <c r="N19" i="63"/>
  <c r="P61" i="63"/>
  <c r="O41" i="63"/>
  <c r="K21" i="63"/>
  <c r="N41" i="63"/>
  <c r="AC61" i="63"/>
  <c r="X41" i="63"/>
  <c r="X21" i="63"/>
  <c r="S61" i="63"/>
  <c r="R21" i="63"/>
  <c r="U21" i="63"/>
  <c r="AB24" i="63"/>
  <c r="Z34" i="63"/>
  <c r="M41" i="63"/>
  <c r="K59" i="63"/>
  <c r="R42" i="63"/>
  <c r="O62" i="63"/>
  <c r="V42" i="63"/>
  <c r="K62" i="63"/>
  <c r="AB49" i="63"/>
  <c r="AC29" i="63"/>
  <c r="W9" i="63"/>
  <c r="S49" i="63"/>
  <c r="R9" i="63"/>
  <c r="AD29" i="63"/>
  <c r="J29" i="63"/>
  <c r="L9" i="63"/>
  <c r="Z9" i="63"/>
  <c r="T50" i="63"/>
  <c r="P50" i="63"/>
  <c r="S10" i="63"/>
  <c r="X52" i="63"/>
  <c r="Z32" i="63"/>
  <c r="W12" i="63"/>
  <c r="S52" i="63"/>
  <c r="N12" i="63"/>
  <c r="AA32" i="63"/>
  <c r="AB12" i="63"/>
  <c r="W52" i="63"/>
  <c r="Z12" i="63"/>
  <c r="Y56" i="63"/>
  <c r="X36" i="63"/>
  <c r="S16" i="63"/>
  <c r="AA36" i="63"/>
  <c r="Z56" i="63"/>
  <c r="AC36" i="63"/>
  <c r="M36" i="63"/>
  <c r="P16" i="63"/>
  <c r="L56" i="63"/>
  <c r="V16" i="63"/>
  <c r="Q57" i="63"/>
  <c r="M37" i="63"/>
  <c r="AC57" i="63"/>
  <c r="W17" i="63"/>
  <c r="N22" i="63"/>
  <c r="X45" i="63"/>
  <c r="O25" i="63"/>
  <c r="AB45" i="63"/>
  <c r="K25" i="63"/>
  <c r="Z25" i="63"/>
  <c r="L32" i="63"/>
  <c r="W45" i="63"/>
  <c r="AB55" i="63"/>
  <c r="T59" i="63"/>
  <c r="N39" i="63"/>
  <c r="P59" i="63"/>
  <c r="K19" i="63"/>
  <c r="X60" i="63"/>
  <c r="W64" i="63"/>
  <c r="AC64" i="63"/>
  <c r="Z30" i="63"/>
  <c r="AB37" i="63"/>
  <c r="AC42" i="63"/>
  <c r="R49" i="63"/>
  <c r="L57" i="63"/>
  <c r="U28" i="63"/>
  <c r="J40" i="63"/>
  <c r="W44" i="63"/>
  <c r="X64" i="63"/>
  <c r="O8" i="63"/>
  <c r="M10" i="63"/>
  <c r="AC10" i="63"/>
  <c r="V13" i="63"/>
  <c r="V15" i="63"/>
  <c r="U17" i="63"/>
  <c r="M19" i="63"/>
  <c r="AC19" i="63"/>
  <c r="W20" i="63"/>
  <c r="U22" i="63"/>
  <c r="K24" i="63"/>
  <c r="AA24" i="63"/>
  <c r="Y25" i="63"/>
  <c r="S28" i="63"/>
  <c r="Q30" i="63"/>
  <c r="N33" i="63"/>
  <c r="L35" i="63"/>
  <c r="K37" i="63"/>
  <c r="AA37" i="63"/>
  <c r="T39" i="63"/>
  <c r="P40" i="63"/>
  <c r="L42" i="63"/>
  <c r="AB42" i="63"/>
  <c r="Y44" i="63"/>
  <c r="R45" i="63"/>
  <c r="K48" i="63"/>
  <c r="AA48" i="63"/>
  <c r="V50" i="63"/>
  <c r="V53" i="63"/>
  <c r="Y55" i="63"/>
  <c r="S57" i="63"/>
  <c r="J59" i="63"/>
  <c r="Z59" i="63"/>
  <c r="W60" i="63"/>
  <c r="R62" i="63"/>
  <c r="J64" i="63"/>
  <c r="Z64" i="63"/>
  <c r="Y65" i="63"/>
  <c r="M8" i="63"/>
  <c r="Q20" i="63"/>
  <c r="M24" i="63"/>
  <c r="Y28" i="63"/>
  <c r="N40" i="63"/>
  <c r="S44" i="63"/>
  <c r="Y48" i="63"/>
  <c r="M60" i="63"/>
  <c r="T64" i="63"/>
  <c r="V8" i="63"/>
  <c r="P10" i="63"/>
  <c r="Y13" i="63"/>
  <c r="U15" i="63"/>
  <c r="P17" i="63"/>
  <c r="Z18" i="63"/>
  <c r="T19" i="63"/>
  <c r="R20" i="63"/>
  <c r="L22" i="63"/>
  <c r="AB22" i="63"/>
  <c r="Y23" i="63"/>
  <c r="V24" i="63"/>
  <c r="P25" i="63"/>
  <c r="J28" i="63"/>
  <c r="J111" i="63" s="1"/>
  <c r="Z28" i="63"/>
  <c r="Q42" i="63"/>
  <c r="V49" i="63"/>
  <c r="N52" i="63"/>
  <c r="Z54" i="63"/>
  <c r="W14" i="63"/>
  <c r="W54" i="63"/>
  <c r="T14" i="63"/>
  <c r="R14" i="63"/>
  <c r="AB61" i="63"/>
  <c r="W21" i="63"/>
  <c r="N21" i="63"/>
  <c r="P41" i="63"/>
  <c r="R41" i="63"/>
  <c r="Z63" i="63"/>
  <c r="Z36" i="63"/>
  <c r="Z60" i="63"/>
  <c r="L62" i="63"/>
  <c r="Q29" i="63"/>
  <c r="T29" i="63"/>
  <c r="V29" i="63"/>
  <c r="X29" i="63"/>
  <c r="O30" i="63"/>
  <c r="K10" i="63"/>
  <c r="N32" i="63"/>
  <c r="M32" i="63"/>
  <c r="S32" i="63"/>
  <c r="Y32" i="63"/>
  <c r="M56" i="63"/>
  <c r="K16" i="63"/>
  <c r="N56" i="63"/>
  <c r="X16" i="63"/>
  <c r="K36" i="63"/>
  <c r="Y37" i="63"/>
  <c r="M57" i="63"/>
  <c r="W65" i="63"/>
  <c r="S65" i="63"/>
  <c r="R65" i="63"/>
  <c r="R36" i="63"/>
  <c r="N17" i="63"/>
  <c r="O19" i="63"/>
  <c r="AB60" i="63"/>
  <c r="K64" i="63"/>
  <c r="V36" i="63"/>
  <c r="K45" i="63"/>
  <c r="W59" i="63"/>
  <c r="Y24" i="63"/>
  <c r="AD40" i="63"/>
  <c r="Y60" i="63"/>
  <c r="W8" i="63"/>
  <c r="N13" i="63"/>
  <c r="M17" i="63"/>
  <c r="W18" i="63"/>
  <c r="O20" i="63"/>
  <c r="AC22" i="63"/>
  <c r="W28" i="63"/>
  <c r="R33" i="63"/>
  <c r="O37" i="63"/>
  <c r="AA38" i="63"/>
  <c r="M44" i="63"/>
  <c r="J50" i="63"/>
  <c r="W57" i="63"/>
  <c r="AA60" i="63"/>
  <c r="M65" i="63"/>
  <c r="AC8" i="63"/>
  <c r="U20" i="63"/>
  <c r="AC24" i="63"/>
  <c r="AC38" i="63"/>
  <c r="AA44" i="63"/>
  <c r="S58" i="63"/>
  <c r="P64" i="63"/>
  <c r="Z8" i="63"/>
  <c r="X10" i="63"/>
  <c r="Y11" i="63"/>
  <c r="AC13" i="63"/>
  <c r="AC15" i="63"/>
  <c r="AB17" i="63"/>
  <c r="V18" i="63"/>
  <c r="X19" i="63"/>
  <c r="Z20" i="63"/>
  <c r="X22" i="63"/>
  <c r="AC23" i="63"/>
  <c r="AD24" i="63"/>
  <c r="AB25" i="63"/>
  <c r="AD28" i="63"/>
  <c r="X30" i="63"/>
  <c r="S31" i="63"/>
  <c r="Q33" i="63"/>
  <c r="K35" i="63"/>
  <c r="AA35" i="63"/>
  <c r="V37" i="63"/>
  <c r="N38" i="63"/>
  <c r="AD38" i="63"/>
  <c r="W39" i="63"/>
  <c r="S40" i="63"/>
  <c r="O42" i="63"/>
  <c r="L43" i="63"/>
  <c r="AB43" i="63"/>
  <c r="X44" i="63"/>
  <c r="U45" i="63"/>
  <c r="N48" i="63"/>
  <c r="Q50" i="63"/>
  <c r="N51" i="63"/>
  <c r="Q53" i="63"/>
  <c r="P55" i="63"/>
  <c r="N57" i="63"/>
  <c r="P58" i="63"/>
  <c r="Q59" i="63"/>
  <c r="N60" i="63"/>
  <c r="Q62" i="63"/>
  <c r="N63" i="63"/>
  <c r="Q64" i="63"/>
  <c r="P65" i="63"/>
  <c r="Q10" i="63"/>
  <c r="Q25" i="63"/>
  <c r="V33" i="63"/>
  <c r="X40" i="63"/>
  <c r="Z45" i="63"/>
  <c r="R53" i="63"/>
  <c r="AA57" i="63"/>
  <c r="K60" i="63"/>
  <c r="K63" i="63"/>
  <c r="Q65" i="63"/>
  <c r="U18" i="63"/>
  <c r="Q28" i="63"/>
  <c r="AA58" i="63"/>
  <c r="AD8" i="63"/>
  <c r="M13" i="63"/>
  <c r="L17" i="63"/>
  <c r="AB19" i="63"/>
  <c r="M23" i="63"/>
  <c r="N28" i="63"/>
  <c r="AB30" i="63"/>
  <c r="U33" i="63"/>
  <c r="J37" i="63"/>
  <c r="K39" i="63"/>
  <c r="W40" i="63"/>
  <c r="P43" i="63"/>
  <c r="AB44" i="63"/>
  <c r="R48" i="63"/>
  <c r="R51" i="63"/>
  <c r="T55" i="63"/>
  <c r="T58" i="63"/>
  <c r="R60" i="63"/>
  <c r="R63" i="63"/>
  <c r="T65" i="63"/>
  <c r="AB65" i="63"/>
  <c r="AC16" i="63"/>
  <c r="O61" i="63"/>
  <c r="L21" i="63"/>
  <c r="N30" i="63"/>
  <c r="W22" i="63"/>
  <c r="P49" i="63"/>
  <c r="U49" i="63"/>
  <c r="K30" i="63"/>
  <c r="O12" i="63"/>
  <c r="P12" i="63"/>
  <c r="L36" i="63"/>
  <c r="U36" i="63"/>
  <c r="U16" i="63"/>
  <c r="Z17" i="63"/>
  <c r="AA25" i="63"/>
  <c r="N10" i="63"/>
  <c r="AA19" i="63"/>
  <c r="N25" i="63"/>
  <c r="R52" i="63"/>
  <c r="Q38" i="63"/>
  <c r="U19" i="63"/>
  <c r="O24" i="63"/>
  <c r="U30" i="63"/>
  <c r="K38" i="63"/>
  <c r="P42" i="63"/>
  <c r="O48" i="63"/>
  <c r="M55" i="63"/>
  <c r="M58" i="63"/>
  <c r="O60" i="63"/>
  <c r="S63" i="63"/>
  <c r="U65" i="63"/>
  <c r="AC18" i="63"/>
  <c r="M38" i="63"/>
  <c r="Q48" i="63"/>
  <c r="N8" i="63"/>
  <c r="Q11" i="63"/>
  <c r="Q15" i="63"/>
  <c r="N18" i="63"/>
  <c r="N20" i="63"/>
  <c r="Q23" i="63"/>
  <c r="T25" i="63"/>
  <c r="K31" i="63"/>
  <c r="Y33" i="63"/>
  <c r="N37" i="63"/>
  <c r="V38" i="63"/>
  <c r="O39" i="63"/>
  <c r="AA40" i="63"/>
  <c r="T43" i="63"/>
  <c r="M45" i="63"/>
  <c r="V48" i="63"/>
  <c r="V51" i="63"/>
  <c r="X55" i="63"/>
  <c r="X58" i="63"/>
  <c r="V60" i="63"/>
  <c r="V63" i="63"/>
  <c r="X65" i="63"/>
  <c r="AA59" i="63"/>
  <c r="S50" i="63"/>
  <c r="AC12" i="63"/>
  <c r="L34" i="63"/>
  <c r="AA54" i="63"/>
  <c r="X14" i="63"/>
  <c r="AD14" i="63"/>
  <c r="T20" i="63"/>
  <c r="AA21" i="63"/>
  <c r="AD21" i="63"/>
  <c r="T41" i="63"/>
  <c r="AD41" i="63"/>
  <c r="AC62" i="63"/>
  <c r="J36" i="63"/>
  <c r="Z57" i="63"/>
  <c r="AB62" i="63"/>
  <c r="U42" i="63"/>
  <c r="U29" i="63"/>
  <c r="K49" i="63"/>
  <c r="Z29" i="63"/>
  <c r="O49" i="63"/>
  <c r="L50" i="63"/>
  <c r="O10" i="63"/>
  <c r="R32" i="63"/>
  <c r="K52" i="63"/>
  <c r="W32" i="63"/>
  <c r="AC32" i="63"/>
  <c r="U56" i="63"/>
  <c r="O16" i="63"/>
  <c r="R56" i="63"/>
  <c r="AB16" i="63"/>
  <c r="S36" i="63"/>
  <c r="AC37" i="63"/>
  <c r="U57" i="63"/>
  <c r="AA65" i="63"/>
  <c r="V65" i="63"/>
  <c r="Z65" i="63"/>
  <c r="AB32" i="63"/>
  <c r="Y16" i="63"/>
  <c r="W19" i="63"/>
  <c r="Z19" i="63"/>
  <c r="S64" i="63"/>
  <c r="P32" i="63"/>
  <c r="V44" i="63"/>
  <c r="AB57" i="63"/>
  <c r="Q24" i="63"/>
  <c r="R40" i="63"/>
  <c r="Q60" i="63"/>
  <c r="S8" i="63"/>
  <c r="Z15" i="63"/>
  <c r="S18" i="63"/>
  <c r="K20" i="63"/>
  <c r="Y22" i="63"/>
  <c r="S24" i="63"/>
  <c r="K28" i="63"/>
  <c r="Y30" i="63"/>
  <c r="T35" i="63"/>
  <c r="O38" i="63"/>
  <c r="AB39" i="63"/>
  <c r="T42" i="63"/>
  <c r="J45" i="63"/>
  <c r="S48" i="63"/>
  <c r="Z50" i="63"/>
  <c r="Q55" i="63"/>
  <c r="O57" i="63"/>
  <c r="U58" i="63"/>
  <c r="R59" i="63"/>
  <c r="S60" i="63"/>
  <c r="V62" i="63"/>
  <c r="W63" i="63"/>
  <c r="V64" i="63"/>
  <c r="AC65" i="63"/>
  <c r="Y8" i="63"/>
  <c r="M20" i="63"/>
  <c r="U24" i="63"/>
  <c r="U38" i="63"/>
  <c r="K44" i="63"/>
  <c r="K58" i="63"/>
  <c r="AC60" i="63"/>
  <c r="R8" i="63"/>
  <c r="T10" i="63"/>
  <c r="U11" i="63"/>
  <c r="U13" i="63"/>
  <c r="Y15" i="63"/>
  <c r="X17" i="63"/>
  <c r="R18" i="63"/>
  <c r="P19" i="63"/>
  <c r="V20" i="63"/>
  <c r="T22" i="63"/>
  <c r="U23" i="63"/>
  <c r="Z24" i="63"/>
  <c r="X25" i="63"/>
  <c r="V28" i="63"/>
  <c r="T30" i="63"/>
  <c r="O31" i="63"/>
  <c r="M33" i="63"/>
  <c r="AC33" i="63"/>
  <c r="W35" i="63"/>
  <c r="R37" i="63"/>
  <c r="J38" i="63"/>
  <c r="Z38" i="63"/>
  <c r="S39" i="63"/>
  <c r="O40" i="63"/>
  <c r="K42" i="63"/>
  <c r="AA42" i="63"/>
  <c r="X43" i="63"/>
  <c r="T44" i="63"/>
  <c r="Q45" i="63"/>
  <c r="J48" i="63"/>
  <c r="M50" i="63"/>
  <c r="J51" i="63"/>
  <c r="M53" i="63"/>
  <c r="L55" i="63"/>
  <c r="J57" i="63"/>
  <c r="L58" i="63"/>
  <c r="M59" i="63"/>
  <c r="J60" i="63"/>
  <c r="M62" i="63"/>
  <c r="J63" i="63"/>
  <c r="M64" i="63"/>
  <c r="L65" i="63"/>
  <c r="M25" i="63"/>
  <c r="T40" i="63"/>
  <c r="V45" i="63"/>
  <c r="N53" i="63"/>
  <c r="U55" i="63"/>
  <c r="Y58" i="63"/>
  <c r="V59" i="63"/>
  <c r="Z62" i="63"/>
  <c r="AA63" i="63"/>
  <c r="AC50" i="63"/>
  <c r="J54" i="63"/>
  <c r="Y54" i="63"/>
  <c r="AC34" i="63"/>
  <c r="U54" i="63"/>
  <c r="M16" i="63"/>
  <c r="L61" i="63"/>
  <c r="W61" i="63"/>
  <c r="U61" i="63"/>
  <c r="T21" i="63"/>
  <c r="Z61" i="63"/>
  <c r="S29" i="63"/>
  <c r="AC41" i="63"/>
  <c r="AA22" i="63"/>
  <c r="S22" i="63"/>
  <c r="X49" i="63"/>
  <c r="S9" i="63"/>
  <c r="Y49" i="63"/>
  <c r="AB9" i="63"/>
  <c r="V9" i="63"/>
  <c r="S30" i="63"/>
  <c r="T52" i="63"/>
  <c r="S12" i="63"/>
  <c r="Y52" i="63"/>
  <c r="X12" i="63"/>
  <c r="R12" i="63"/>
  <c r="P36" i="63"/>
  <c r="W36" i="63"/>
  <c r="Y36" i="63"/>
  <c r="L16" i="63"/>
  <c r="N16" i="63"/>
  <c r="AA17" i="63"/>
  <c r="O17" i="63"/>
  <c r="P45" i="63"/>
  <c r="T45" i="63"/>
  <c r="K29" i="63"/>
  <c r="AC9" i="63"/>
  <c r="L59" i="63"/>
  <c r="R39" i="63"/>
  <c r="P60" i="63"/>
  <c r="X24" i="63"/>
  <c r="Q39" i="63"/>
  <c r="W50" i="63"/>
  <c r="AC28" i="63"/>
  <c r="U48" i="63"/>
  <c r="Z13" i="63"/>
  <c r="Y17" i="63"/>
  <c r="Q19" i="63"/>
  <c r="AA20" i="63"/>
  <c r="AA28" i="63"/>
  <c r="S37" i="63"/>
  <c r="L39" i="63"/>
  <c r="Q44" i="63"/>
  <c r="N50" i="63"/>
  <c r="AC55" i="63"/>
  <c r="AC58" i="63"/>
  <c r="J62" i="63"/>
  <c r="N64" i="63"/>
  <c r="Y20" i="63"/>
  <c r="V40" i="63"/>
  <c r="M48" i="63"/>
  <c r="AB64" i="63"/>
  <c r="AB10" i="63"/>
  <c r="M15" i="63"/>
  <c r="AD18" i="63"/>
  <c r="AD20" i="63"/>
  <c r="N24" i="63"/>
  <c r="L25" i="63"/>
  <c r="L30" i="63"/>
  <c r="W31" i="63"/>
  <c r="O35" i="63"/>
  <c r="Z37" i="63"/>
  <c r="R38" i="63"/>
  <c r="AA39" i="63"/>
  <c r="S42" i="63"/>
  <c r="L44" i="63"/>
  <c r="Y45" i="63"/>
  <c r="U50" i="63"/>
  <c r="U53" i="63"/>
  <c r="R57" i="63"/>
  <c r="U59" i="63"/>
  <c r="U62" i="63"/>
  <c r="U64" i="63"/>
  <c r="Z48" i="63"/>
  <c r="AB34" i="63"/>
  <c r="Q54" i="63"/>
  <c r="U34" i="63"/>
  <c r="M54" i="63"/>
  <c r="W41" i="63"/>
  <c r="Q61" i="63"/>
  <c r="V61" i="63"/>
  <c r="P54" i="63"/>
  <c r="K22" i="63"/>
  <c r="O9" i="63"/>
  <c r="T9" i="63"/>
  <c r="N9" i="63"/>
  <c r="L52" i="63"/>
  <c r="U52" i="63"/>
  <c r="U12" i="63"/>
  <c r="Z16" i="63"/>
  <c r="AB56" i="63"/>
  <c r="S17" i="63"/>
  <c r="L45" i="63"/>
  <c r="AA29" i="63"/>
  <c r="Z39" i="63"/>
  <c r="O64" i="63"/>
  <c r="U40" i="63"/>
  <c r="Q8" i="63"/>
  <c r="AC48" i="63"/>
  <c r="U10" i="63"/>
  <c r="N15" i="63"/>
  <c r="AC17" i="63"/>
  <c r="M22" i="63"/>
  <c r="AC25" i="63"/>
  <c r="P35" i="63"/>
  <c r="X39" i="63"/>
  <c r="AC44" i="63"/>
  <c r="R50" i="63"/>
  <c r="K57" i="63"/>
  <c r="N59" i="63"/>
  <c r="N62" i="63"/>
  <c r="R64" i="63"/>
  <c r="U8" i="63"/>
  <c r="AC20" i="63"/>
  <c r="Z40" i="63"/>
  <c r="U60" i="63"/>
  <c r="L10" i="63"/>
  <c r="Q13" i="63"/>
  <c r="T17" i="63"/>
  <c r="L19" i="63"/>
  <c r="P22" i="63"/>
  <c r="R24" i="63"/>
  <c r="R28" i="63"/>
  <c r="P30" i="63"/>
  <c r="AA31" i="63"/>
  <c r="S35" i="63"/>
  <c r="AD37" i="63"/>
  <c r="K40" i="63"/>
  <c r="W42" i="63"/>
  <c r="P44" i="63"/>
  <c r="AC45" i="63"/>
  <c r="Y50" i="63"/>
  <c r="Y53" i="63"/>
  <c r="V57" i="63"/>
  <c r="Y59" i="63"/>
  <c r="Y62" i="63"/>
  <c r="Y64" i="63"/>
  <c r="Z31" i="63"/>
  <c r="T11" i="63"/>
  <c r="S51" i="63"/>
  <c r="X31" i="63"/>
  <c r="Z11" i="63"/>
  <c r="AC51" i="63"/>
  <c r="N31" i="63"/>
  <c r="U31" i="63"/>
  <c r="O11" i="63"/>
  <c r="P51" i="63"/>
  <c r="K11" i="63"/>
  <c r="L38" i="63"/>
  <c r="Z58" i="63"/>
  <c r="X18" i="63"/>
  <c r="AB58" i="63"/>
  <c r="O18" i="63"/>
  <c r="M63" i="63"/>
  <c r="L23" i="63"/>
  <c r="AC43" i="63"/>
  <c r="M43" i="63"/>
  <c r="N23" i="63"/>
  <c r="W43" i="63"/>
  <c r="P23" i="63"/>
  <c r="S23" i="63"/>
  <c r="K23" i="63"/>
  <c r="AA18" i="63"/>
  <c r="Q18" i="63"/>
  <c r="X8" i="63"/>
  <c r="T48" i="63"/>
  <c r="AB8" i="63"/>
  <c r="O63" i="63"/>
  <c r="Q51" i="63"/>
  <c r="X11" i="63"/>
  <c r="W51" i="63"/>
  <c r="AB31" i="63"/>
  <c r="L31" i="63"/>
  <c r="N11" i="63"/>
  <c r="V31" i="63"/>
  <c r="L51" i="63"/>
  <c r="Q31" i="63"/>
  <c r="AA11" i="63"/>
  <c r="AC31" i="63"/>
  <c r="AC11" i="63"/>
  <c r="AB38" i="63"/>
  <c r="P18" i="63"/>
  <c r="P38" i="63"/>
  <c r="AB18" i="63"/>
  <c r="W38" i="63"/>
  <c r="U63" i="63"/>
  <c r="T23" i="63"/>
  <c r="L63" i="63"/>
  <c r="Q43" i="63"/>
  <c r="R23" i="63"/>
  <c r="AA43" i="63"/>
  <c r="X23" i="63"/>
  <c r="R43" i="63"/>
  <c r="Z43" i="63"/>
  <c r="AA23" i="63"/>
  <c r="Y38" i="63"/>
  <c r="T28" i="63"/>
  <c r="T8" i="63"/>
  <c r="X28" i="63"/>
  <c r="P8" i="63"/>
  <c r="R31" i="63"/>
  <c r="P11" i="63"/>
  <c r="O51" i="63"/>
  <c r="T31" i="63"/>
  <c r="V11" i="63"/>
  <c r="U51" i="63"/>
  <c r="L11" i="63"/>
  <c r="S11" i="63"/>
  <c r="T51" i="63"/>
  <c r="Y31" i="63"/>
  <c r="Z51" i="63"/>
  <c r="T18" i="63"/>
  <c r="L18" i="63"/>
  <c r="N58" i="63"/>
  <c r="M18" i="63"/>
  <c r="W58" i="63"/>
  <c r="O43" i="63"/>
  <c r="AB63" i="63"/>
  <c r="Y43" i="63"/>
  <c r="Z23" i="63"/>
  <c r="Y63" i="63"/>
  <c r="S43" i="63"/>
  <c r="X63" i="63"/>
  <c r="N43" i="63"/>
  <c r="V43" i="63"/>
  <c r="K18" i="63"/>
  <c r="AB48" i="63"/>
  <c r="X48" i="63"/>
  <c r="L28" i="63"/>
  <c r="L8" i="63"/>
  <c r="Y51" i="63"/>
  <c r="AB11" i="63"/>
  <c r="AA51" i="63"/>
  <c r="K51" i="63"/>
  <c r="P31" i="63"/>
  <c r="R11" i="63"/>
  <c r="M51" i="63"/>
  <c r="AB51" i="63"/>
  <c r="X51" i="63"/>
  <c r="M31" i="63"/>
  <c r="W11" i="63"/>
  <c r="M11" i="63"/>
  <c r="R58" i="63"/>
  <c r="X38" i="63"/>
  <c r="V58" i="63"/>
  <c r="T38" i="63"/>
  <c r="Q58" i="63"/>
  <c r="Y18" i="63"/>
  <c r="AC63" i="63"/>
  <c r="AB23" i="63"/>
  <c r="T63" i="63"/>
  <c r="U43" i="63"/>
  <c r="V23" i="63"/>
  <c r="Q63" i="63"/>
  <c r="K43" i="63"/>
  <c r="P63" i="63"/>
  <c r="O23" i="63"/>
  <c r="W23" i="63"/>
  <c r="O58" i="63"/>
  <c r="L48" i="63"/>
  <c r="P28" i="63"/>
  <c r="P48" i="63"/>
  <c r="AB28" i="63"/>
  <c r="NU111" i="63"/>
  <c r="OS110" i="63"/>
  <c r="BH111" i="63"/>
  <c r="CF110" i="63"/>
  <c r="DF174" i="63"/>
  <c r="GC174" i="63"/>
  <c r="EE174" i="63"/>
  <c r="LW174" i="63"/>
  <c r="GC111" i="63"/>
  <c r="HA110" i="63"/>
  <c r="V108" i="39"/>
  <c r="AD166" i="65" l="1"/>
  <c r="AB3" i="65"/>
  <c r="AC15" i="65"/>
  <c r="AC19" i="65" s="1"/>
  <c r="AC23" i="65" s="1"/>
  <c r="AC110" i="65" s="1"/>
  <c r="AE221" i="65"/>
  <c r="P166" i="39"/>
  <c r="O111" i="39"/>
  <c r="Q221" i="39"/>
  <c r="FB110" i="63"/>
  <c r="ED111" i="63"/>
  <c r="MU111" i="63"/>
  <c r="NS110" i="63"/>
  <c r="MU174" i="63"/>
  <c r="BG174" i="63"/>
  <c r="GZ110" i="63"/>
  <c r="GB111" i="63"/>
  <c r="KW111" i="63"/>
  <c r="LU110" i="63"/>
  <c r="BG111" i="63"/>
  <c r="CE110" i="63"/>
  <c r="FC174" i="63"/>
  <c r="HA174" i="63"/>
  <c r="JW110" i="63"/>
  <c r="IY111" i="63"/>
  <c r="KV110" i="63"/>
  <c r="JX111" i="63"/>
  <c r="FC111" i="63"/>
  <c r="GA110" i="63"/>
  <c r="IY174" i="63"/>
  <c r="PR174" i="63"/>
  <c r="IX110" i="63"/>
  <c r="HZ111" i="63"/>
  <c r="KX175" i="63"/>
  <c r="LV174" i="63"/>
  <c r="DE174" i="63"/>
  <c r="JX174" i="63"/>
  <c r="J175" i="63"/>
  <c r="J237" i="63"/>
  <c r="I175" i="63"/>
  <c r="AI175" i="63" s="1"/>
  <c r="AH174" i="63"/>
  <c r="I112" i="63"/>
  <c r="MU112" i="63" s="1"/>
  <c r="AD111" i="63"/>
  <c r="BB111" i="63"/>
  <c r="AC111" i="63"/>
  <c r="AB111" i="63"/>
  <c r="AZ111" i="63"/>
  <c r="BA111" i="63"/>
  <c r="BZ111" i="63"/>
  <c r="AA111" i="63"/>
  <c r="BX111" i="63"/>
  <c r="BY111" i="63"/>
  <c r="AY111" i="63"/>
  <c r="Z111" i="63"/>
  <c r="CX111" i="63"/>
  <c r="DV111" i="63"/>
  <c r="CW111" i="63"/>
  <c r="AX111" i="63"/>
  <c r="BW111" i="63"/>
  <c r="CV111" i="63"/>
  <c r="Y111" i="63"/>
  <c r="AW111" i="63"/>
  <c r="BV111" i="63"/>
  <c r="DU111" i="63"/>
  <c r="DT111" i="63"/>
  <c r="CU111" i="63"/>
  <c r="ET111" i="63"/>
  <c r="X111" i="63"/>
  <c r="ES111" i="63"/>
  <c r="ER111" i="63"/>
  <c r="DS111" i="63"/>
  <c r="BU111" i="63"/>
  <c r="AV111" i="63"/>
  <c r="FR111" i="63"/>
  <c r="CT111" i="63"/>
  <c r="W111" i="63"/>
  <c r="AU111" i="63"/>
  <c r="V111" i="63"/>
  <c r="EQ111" i="63"/>
  <c r="FP111" i="63"/>
  <c r="BT111" i="63"/>
  <c r="FQ111" i="63"/>
  <c r="DR111" i="63"/>
  <c r="CS111" i="63"/>
  <c r="GP111" i="63"/>
  <c r="HN111" i="63"/>
  <c r="FO111" i="63"/>
  <c r="U111" i="63"/>
  <c r="AT111" i="63"/>
  <c r="GO111" i="63"/>
  <c r="DQ111" i="63"/>
  <c r="CR111" i="63"/>
  <c r="EP111" i="63"/>
  <c r="BS111" i="63"/>
  <c r="GN111" i="63"/>
  <c r="HM111" i="63"/>
  <c r="DP111" i="63"/>
  <c r="CQ111" i="63"/>
  <c r="FN111" i="63"/>
  <c r="BR111" i="63"/>
  <c r="AS111" i="63"/>
  <c r="GM111" i="63"/>
  <c r="HL111" i="63"/>
  <c r="EO111" i="63"/>
  <c r="IL111" i="63"/>
  <c r="T111" i="63"/>
  <c r="AR111" i="63"/>
  <c r="IK111" i="63"/>
  <c r="BQ111" i="63"/>
  <c r="IJ111" i="63"/>
  <c r="CP111" i="63"/>
  <c r="JJ111" i="63"/>
  <c r="EN111" i="63"/>
  <c r="FM111" i="63"/>
  <c r="DO111" i="63"/>
  <c r="GL111" i="63"/>
  <c r="HK111" i="63"/>
  <c r="S111" i="63"/>
  <c r="KH111" i="63"/>
  <c r="GK111" i="63"/>
  <c r="HJ111" i="63"/>
  <c r="JH111" i="63"/>
  <c r="EM111" i="63"/>
  <c r="R111" i="63"/>
  <c r="CO111" i="63"/>
  <c r="JI111" i="63"/>
  <c r="AQ111" i="63"/>
  <c r="DN111" i="63"/>
  <c r="II111" i="63"/>
  <c r="FL111" i="63"/>
  <c r="BP111" i="63"/>
  <c r="BO111" i="63"/>
  <c r="KG111" i="63"/>
  <c r="DM111" i="63"/>
  <c r="GJ111" i="63"/>
  <c r="CN111" i="63"/>
  <c r="KF111" i="63"/>
  <c r="AP111" i="63"/>
  <c r="Q111" i="63"/>
  <c r="IH111" i="63"/>
  <c r="EL111" i="63"/>
  <c r="JG111" i="63"/>
  <c r="HI111" i="63"/>
  <c r="FK111" i="63"/>
  <c r="LF111" i="63"/>
  <c r="BN111" i="63"/>
  <c r="KE111" i="63"/>
  <c r="FJ111" i="63"/>
  <c r="GI111" i="63"/>
  <c r="DL111" i="63"/>
  <c r="JF111" i="63"/>
  <c r="P111" i="63"/>
  <c r="HH111" i="63"/>
  <c r="EK111" i="63"/>
  <c r="LE111" i="63"/>
  <c r="MD111" i="63"/>
  <c r="LD111" i="63"/>
  <c r="IG111" i="63"/>
  <c r="AO111" i="63"/>
  <c r="CM111" i="63"/>
  <c r="LC111" i="63"/>
  <c r="NB111" i="63"/>
  <c r="O111" i="63"/>
  <c r="HG111" i="63"/>
  <c r="EJ111" i="63"/>
  <c r="JE111" i="63"/>
  <c r="BM111" i="63"/>
  <c r="FI111" i="63"/>
  <c r="IF111" i="63"/>
  <c r="KD111" i="63"/>
  <c r="GH111" i="63"/>
  <c r="AN111" i="63"/>
  <c r="MC111" i="63"/>
  <c r="CL111" i="63"/>
  <c r="MB111" i="63"/>
  <c r="DK111" i="63"/>
  <c r="CK111" i="63"/>
  <c r="NZ111" i="63"/>
  <c r="AM111" i="63"/>
  <c r="LB111" i="63"/>
  <c r="MZ111" i="63"/>
  <c r="IE111" i="63"/>
  <c r="NA111" i="63"/>
  <c r="KC111" i="63"/>
  <c r="HF111" i="63"/>
  <c r="GG111" i="63"/>
  <c r="N111" i="63"/>
  <c r="EI111" i="63"/>
  <c r="MA111" i="63"/>
  <c r="BL111" i="63"/>
  <c r="JD111" i="63"/>
  <c r="DJ111" i="63"/>
  <c r="FH111" i="63"/>
  <c r="EH111" i="63"/>
  <c r="OX111" i="63"/>
  <c r="LZ111" i="63"/>
  <c r="NX111" i="63"/>
  <c r="DI111" i="63"/>
  <c r="HE111" i="63"/>
  <c r="GF111" i="63"/>
  <c r="JC111" i="63"/>
  <c r="KB111" i="63"/>
  <c r="M111" i="63"/>
  <c r="BK111" i="63"/>
  <c r="AL111" i="63"/>
  <c r="CJ111" i="63"/>
  <c r="FG111" i="63"/>
  <c r="NY111" i="63"/>
  <c r="MY111" i="63"/>
  <c r="LA111" i="63"/>
  <c r="ID111" i="63"/>
  <c r="LY111" i="63"/>
  <c r="MX111" i="63"/>
  <c r="L111" i="63"/>
  <c r="KZ111" i="63"/>
  <c r="HD111" i="63"/>
  <c r="FF111" i="63"/>
  <c r="CI111" i="63"/>
  <c r="OV111" i="63"/>
  <c r="GE111" i="63"/>
  <c r="DH111" i="63"/>
  <c r="EG111" i="63"/>
  <c r="NW111" i="63"/>
  <c r="OW111" i="63"/>
  <c r="AK111" i="63"/>
  <c r="JB111" i="63"/>
  <c r="IC111" i="63"/>
  <c r="PV111" i="63"/>
  <c r="KA111" i="63"/>
  <c r="BJ111" i="63"/>
  <c r="EF111" i="63"/>
  <c r="GD111" i="63"/>
  <c r="BI111" i="63"/>
  <c r="OU111" i="63"/>
  <c r="K111" i="63"/>
  <c r="HC111" i="63"/>
  <c r="PU111" i="63"/>
  <c r="FE111" i="63"/>
  <c r="IB111" i="63"/>
  <c r="AJ111" i="63"/>
  <c r="MW111" i="63"/>
  <c r="CH111" i="63"/>
  <c r="LX111" i="63"/>
  <c r="KY111" i="63"/>
  <c r="NV111" i="63"/>
  <c r="DG111" i="63"/>
  <c r="PT111" i="63"/>
  <c r="JA111" i="63"/>
  <c r="JZ111" i="63"/>
  <c r="PS111" i="63"/>
  <c r="EE111" i="63"/>
  <c r="AI111" i="63"/>
  <c r="HA111" i="63"/>
  <c r="HY110" i="63"/>
  <c r="DF175" i="63"/>
  <c r="ED174" i="63"/>
  <c r="DD110" i="63"/>
  <c r="CF111" i="63"/>
  <c r="OS112" i="63"/>
  <c r="OS111" i="63"/>
  <c r="PQ110" i="63"/>
  <c r="GB174" i="63"/>
  <c r="FD175" i="63"/>
  <c r="BH175" i="63"/>
  <c r="CF174" i="63"/>
  <c r="OR110" i="63"/>
  <c r="NT111" i="63"/>
  <c r="KW174" i="63"/>
  <c r="JY175" i="63"/>
  <c r="MT110" i="63"/>
  <c r="LV112" i="63"/>
  <c r="LV111" i="63"/>
  <c r="HB175" i="63"/>
  <c r="HZ174" i="63"/>
  <c r="PR111" i="63"/>
  <c r="OS174" i="63"/>
  <c r="NU175" i="63"/>
  <c r="MV175" i="63"/>
  <c r="NT174" i="63"/>
  <c r="CG111" i="63"/>
  <c r="DE112" i="63"/>
  <c r="DE111" i="63"/>
  <c r="EC110" i="63"/>
  <c r="BF110" i="63"/>
  <c r="AG111" i="63"/>
  <c r="AG112" i="63" s="1"/>
  <c r="AG113" i="63" s="1"/>
  <c r="AG114" i="63" s="1"/>
  <c r="AG115" i="63" s="1"/>
  <c r="AG116" i="63" s="1"/>
  <c r="AG117" i="63" s="1"/>
  <c r="AG118" i="63" s="1"/>
  <c r="AG119" i="63" s="1"/>
  <c r="AG120" i="63" s="1"/>
  <c r="AG121" i="63" s="1"/>
  <c r="AG122" i="63" s="1"/>
  <c r="AG123" i="63" s="1"/>
  <c r="AG124" i="63" s="1"/>
  <c r="AG125" i="63" s="1"/>
  <c r="AG126" i="63" s="1"/>
  <c r="AG127" i="63" s="1"/>
  <c r="AG128" i="63" s="1"/>
  <c r="AG129" i="63" s="1"/>
  <c r="AG130" i="63" s="1"/>
  <c r="AG131" i="63" s="1"/>
  <c r="AH111" i="63"/>
  <c r="W108" i="39"/>
  <c r="AC166" i="65" l="1"/>
  <c r="AA3" i="65"/>
  <c r="AB15" i="65"/>
  <c r="AB19" i="65" s="1"/>
  <c r="AB23" i="65" s="1"/>
  <c r="AB110" i="65" s="1"/>
  <c r="AD221" i="65"/>
  <c r="BN111" i="39"/>
  <c r="AP111" i="39"/>
  <c r="AW111" i="39"/>
  <c r="BD111" i="39"/>
  <c r="AQ111" i="39"/>
  <c r="BL111" i="39"/>
  <c r="AV111" i="39"/>
  <c r="BM111" i="39"/>
  <c r="BE111" i="39"/>
  <c r="BG111" i="39"/>
  <c r="BH111" i="39"/>
  <c r="AT111" i="39"/>
  <c r="AK111" i="39"/>
  <c r="AO111" i="39"/>
  <c r="AR111" i="39"/>
  <c r="AS111" i="39"/>
  <c r="BC111" i="39"/>
  <c r="BK111" i="39"/>
  <c r="AZ111" i="39"/>
  <c r="AX111" i="39"/>
  <c r="AN111" i="39"/>
  <c r="BB111" i="39"/>
  <c r="BJ111" i="39"/>
  <c r="AY111" i="39"/>
  <c r="BA111" i="39"/>
  <c r="BI111" i="39"/>
  <c r="AL111" i="39"/>
  <c r="BF111" i="39"/>
  <c r="AU111" i="39"/>
  <c r="AM111" i="39"/>
  <c r="Y111" i="39"/>
  <c r="AI111" i="39"/>
  <c r="AE111" i="39"/>
  <c r="AH111" i="39"/>
  <c r="AC111" i="39"/>
  <c r="Z111" i="39"/>
  <c r="X111" i="39"/>
  <c r="AB111" i="39"/>
  <c r="AJ111" i="39"/>
  <c r="AF111" i="39"/>
  <c r="AA111" i="39"/>
  <c r="AG111" i="39"/>
  <c r="AD111" i="39"/>
  <c r="W111" i="39"/>
  <c r="V111" i="39"/>
  <c r="U111" i="39"/>
  <c r="T111" i="39"/>
  <c r="S111" i="39"/>
  <c r="R111" i="39"/>
  <c r="Q111" i="39"/>
  <c r="P111" i="39"/>
  <c r="O112" i="39"/>
  <c r="P221" i="39"/>
  <c r="O167" i="39"/>
  <c r="GC175" i="63"/>
  <c r="LW175" i="63"/>
  <c r="EE175" i="63"/>
  <c r="CG175" i="63"/>
  <c r="OT175" i="63"/>
  <c r="PQ174" i="63"/>
  <c r="OS175" i="63"/>
  <c r="BG175" i="63"/>
  <c r="CE174" i="63"/>
  <c r="NT112" i="63"/>
  <c r="CF175" i="63"/>
  <c r="DD174" i="63"/>
  <c r="HA112" i="63"/>
  <c r="JX112" i="63"/>
  <c r="IY112" i="63"/>
  <c r="HZ175" i="63"/>
  <c r="IX174" i="63"/>
  <c r="KW175" i="63"/>
  <c r="LU174" i="63"/>
  <c r="GB175" i="63"/>
  <c r="GZ174" i="63"/>
  <c r="IW110" i="63"/>
  <c r="HY113" i="63"/>
  <c r="HY112" i="63"/>
  <c r="HY111" i="63"/>
  <c r="I113" i="63"/>
  <c r="PQ113" i="63" s="1"/>
  <c r="AD112" i="63"/>
  <c r="AC112" i="63"/>
  <c r="BB112" i="63"/>
  <c r="AB112" i="63"/>
  <c r="AZ112" i="63"/>
  <c r="BA112" i="63"/>
  <c r="BZ112" i="63"/>
  <c r="AA112" i="63"/>
  <c r="AY112" i="63"/>
  <c r="CX112" i="63"/>
  <c r="Z112" i="63"/>
  <c r="BX112" i="63"/>
  <c r="BY112" i="63"/>
  <c r="AX112" i="63"/>
  <c r="DV112" i="63"/>
  <c r="CW112" i="63"/>
  <c r="BW112" i="63"/>
  <c r="CV112" i="63"/>
  <c r="Y112" i="63"/>
  <c r="ET112" i="63"/>
  <c r="DT112" i="63"/>
  <c r="CU112" i="63"/>
  <c r="AW112" i="63"/>
  <c r="BV112" i="63"/>
  <c r="DU112" i="63"/>
  <c r="X112" i="63"/>
  <c r="FR112" i="63"/>
  <c r="ES112" i="63"/>
  <c r="W112" i="63"/>
  <c r="CT112" i="63"/>
  <c r="DS112" i="63"/>
  <c r="BU112" i="63"/>
  <c r="AV112" i="63"/>
  <c r="ER112" i="63"/>
  <c r="FQ112" i="63"/>
  <c r="DR112" i="63"/>
  <c r="GP112" i="63"/>
  <c r="CS112" i="63"/>
  <c r="AU112" i="63"/>
  <c r="V112" i="63"/>
  <c r="EQ112" i="63"/>
  <c r="FP112" i="63"/>
  <c r="BT112" i="63"/>
  <c r="GO112" i="63"/>
  <c r="DQ112" i="63"/>
  <c r="CR112" i="63"/>
  <c r="EP112" i="63"/>
  <c r="BS112" i="63"/>
  <c r="AT112" i="63"/>
  <c r="FO112" i="63"/>
  <c r="U112" i="63"/>
  <c r="GN112" i="63"/>
  <c r="HN112" i="63"/>
  <c r="CQ112" i="63"/>
  <c r="AS112" i="63"/>
  <c r="FN112" i="63"/>
  <c r="HL112" i="63"/>
  <c r="EO112" i="63"/>
  <c r="T112" i="63"/>
  <c r="HM112" i="63"/>
  <c r="DP112" i="63"/>
  <c r="IL112" i="63"/>
  <c r="BR112" i="63"/>
  <c r="GM112" i="63"/>
  <c r="JJ112" i="63"/>
  <c r="CP112" i="63"/>
  <c r="HK112" i="63"/>
  <c r="AR112" i="63"/>
  <c r="GL112" i="63"/>
  <c r="IK112" i="63"/>
  <c r="BQ112" i="63"/>
  <c r="IJ112" i="63"/>
  <c r="S112" i="63"/>
  <c r="EN112" i="63"/>
  <c r="FM112" i="63"/>
  <c r="DO112" i="63"/>
  <c r="DN112" i="63"/>
  <c r="II112" i="63"/>
  <c r="BP112" i="63"/>
  <c r="HJ112" i="63"/>
  <c r="KH112" i="63"/>
  <c r="EM112" i="63"/>
  <c r="R112" i="63"/>
  <c r="CO112" i="63"/>
  <c r="JI112" i="63"/>
  <c r="JH112" i="63"/>
  <c r="AQ112" i="63"/>
  <c r="FL112" i="63"/>
  <c r="GK112" i="63"/>
  <c r="EL112" i="63"/>
  <c r="HI112" i="63"/>
  <c r="BO112" i="63"/>
  <c r="KG112" i="63"/>
  <c r="DM112" i="63"/>
  <c r="AP112" i="63"/>
  <c r="GJ112" i="63"/>
  <c r="JG112" i="63"/>
  <c r="FK112" i="63"/>
  <c r="IH112" i="63"/>
  <c r="CN112" i="63"/>
  <c r="KF112" i="63"/>
  <c r="Q112" i="63"/>
  <c r="LF112" i="63"/>
  <c r="AO112" i="63"/>
  <c r="IG112" i="63"/>
  <c r="KE112" i="63"/>
  <c r="CM112" i="63"/>
  <c r="P112" i="63"/>
  <c r="LD112" i="63"/>
  <c r="EK112" i="63"/>
  <c r="BN112" i="63"/>
  <c r="FJ112" i="63"/>
  <c r="GI112" i="63"/>
  <c r="DL112" i="63"/>
  <c r="JF112" i="63"/>
  <c r="MD112" i="63"/>
  <c r="LE112" i="63"/>
  <c r="HH112" i="63"/>
  <c r="KD112" i="63"/>
  <c r="EJ112" i="63"/>
  <c r="DK112" i="63"/>
  <c r="JE112" i="63"/>
  <c r="BM112" i="63"/>
  <c r="FI112" i="63"/>
  <c r="IF112" i="63"/>
  <c r="AN112" i="63"/>
  <c r="MC112" i="63"/>
  <c r="CL112" i="63"/>
  <c r="HG112" i="63"/>
  <c r="NB112" i="63"/>
  <c r="O112" i="63"/>
  <c r="LC112" i="63"/>
  <c r="GH112" i="63"/>
  <c r="MB112" i="63"/>
  <c r="JD112" i="63"/>
  <c r="IE112" i="63"/>
  <c r="DJ112" i="63"/>
  <c r="GG112" i="63"/>
  <c r="EI112" i="63"/>
  <c r="MA112" i="63"/>
  <c r="CK112" i="63"/>
  <c r="MZ112" i="63"/>
  <c r="NZ112" i="63"/>
  <c r="AM112" i="63"/>
  <c r="LB112" i="63"/>
  <c r="NA112" i="63"/>
  <c r="KC112" i="63"/>
  <c r="HF112" i="63"/>
  <c r="FH112" i="63"/>
  <c r="N112" i="63"/>
  <c r="BL112" i="63"/>
  <c r="GF112" i="63"/>
  <c r="JC112" i="63"/>
  <c r="ID112" i="63"/>
  <c r="KB112" i="63"/>
  <c r="FG112" i="63"/>
  <c r="M112" i="63"/>
  <c r="BK112" i="63"/>
  <c r="CJ112" i="63"/>
  <c r="NY112" i="63"/>
  <c r="LA112" i="63"/>
  <c r="LZ112" i="63"/>
  <c r="AL112" i="63"/>
  <c r="EH112" i="63"/>
  <c r="OX112" i="63"/>
  <c r="MY112" i="63"/>
  <c r="NX112" i="63"/>
  <c r="DI112" i="63"/>
  <c r="HE112" i="63"/>
  <c r="FF112" i="63"/>
  <c r="CI112" i="63"/>
  <c r="OV112" i="63"/>
  <c r="KZ112" i="63"/>
  <c r="GE112" i="63"/>
  <c r="DH112" i="63"/>
  <c r="LY112" i="63"/>
  <c r="EG112" i="63"/>
  <c r="NW112" i="63"/>
  <c r="OW112" i="63"/>
  <c r="AK112" i="63"/>
  <c r="JB112" i="63"/>
  <c r="IC112" i="63"/>
  <c r="PV112" i="63"/>
  <c r="KA112" i="63"/>
  <c r="BJ112" i="63"/>
  <c r="HD112" i="63"/>
  <c r="MX112" i="63"/>
  <c r="L112" i="63"/>
  <c r="LX112" i="63"/>
  <c r="GD112" i="63"/>
  <c r="NV112" i="63"/>
  <c r="DG112" i="63"/>
  <c r="FE112" i="63"/>
  <c r="AJ112" i="63"/>
  <c r="MW112" i="63"/>
  <c r="CH112" i="63"/>
  <c r="EF112" i="63"/>
  <c r="BI112" i="63"/>
  <c r="OU112" i="63"/>
  <c r="PT112" i="63"/>
  <c r="KY112" i="63"/>
  <c r="JA112" i="63"/>
  <c r="PU112" i="63"/>
  <c r="JZ112" i="63"/>
  <c r="HC112" i="63"/>
  <c r="IB112" i="63"/>
  <c r="K112" i="63"/>
  <c r="MV112" i="63"/>
  <c r="AI112" i="63"/>
  <c r="EE112" i="63"/>
  <c r="PS112" i="63"/>
  <c r="J112" i="63"/>
  <c r="OT112" i="63"/>
  <c r="FD112" i="63"/>
  <c r="IA112" i="63"/>
  <c r="HB112" i="63"/>
  <c r="KX112" i="63"/>
  <c r="LW112" i="63"/>
  <c r="IZ112" i="63"/>
  <c r="DF112" i="63"/>
  <c r="NU112" i="63"/>
  <c r="CG112" i="63"/>
  <c r="GC112" i="63"/>
  <c r="JY112" i="63"/>
  <c r="BH112" i="63"/>
  <c r="GA174" i="63"/>
  <c r="FC175" i="63"/>
  <c r="CE113" i="63"/>
  <c r="CE112" i="63"/>
  <c r="CE111" i="63"/>
  <c r="DC110" i="63"/>
  <c r="NT175" i="63"/>
  <c r="OR174" i="63"/>
  <c r="PR112" i="63"/>
  <c r="MT113" i="63"/>
  <c r="MT112" i="63"/>
  <c r="MT111" i="63"/>
  <c r="NR110" i="63"/>
  <c r="PQ112" i="63"/>
  <c r="PQ111" i="63"/>
  <c r="CF112" i="63"/>
  <c r="DD112" i="63"/>
  <c r="DD111" i="63"/>
  <c r="EB110" i="63"/>
  <c r="DD113" i="63"/>
  <c r="AH175" i="63"/>
  <c r="AG175" i="63"/>
  <c r="AG176" i="63" s="1"/>
  <c r="AG177" i="63" s="1"/>
  <c r="AG178" i="63" s="1"/>
  <c r="AG179" i="63" s="1"/>
  <c r="AG180" i="63" s="1"/>
  <c r="AG181" i="63" s="1"/>
  <c r="AG182" i="63" s="1"/>
  <c r="AG183" i="63" s="1"/>
  <c r="AG184" i="63" s="1"/>
  <c r="AG185" i="63" s="1"/>
  <c r="AG186" i="63" s="1"/>
  <c r="AG187" i="63" s="1"/>
  <c r="AG188" i="63" s="1"/>
  <c r="AG189" i="63" s="1"/>
  <c r="AG190" i="63" s="1"/>
  <c r="AG191" i="63" s="1"/>
  <c r="AG192" i="63" s="1"/>
  <c r="AG193" i="63" s="1"/>
  <c r="AG194" i="63" s="1"/>
  <c r="AG195" i="63" s="1"/>
  <c r="BF174" i="63"/>
  <c r="I238" i="63"/>
  <c r="I239" i="63" s="1"/>
  <c r="I240" i="63" s="1"/>
  <c r="I241" i="63" s="1"/>
  <c r="I242" i="63" s="1"/>
  <c r="I243" i="63" s="1"/>
  <c r="I244" i="63" s="1"/>
  <c r="I245" i="63" s="1"/>
  <c r="I246" i="63" s="1"/>
  <c r="I247" i="63" s="1"/>
  <c r="I248" i="63" s="1"/>
  <c r="I249" i="63" s="1"/>
  <c r="I250" i="63" s="1"/>
  <c r="I251" i="63" s="1"/>
  <c r="I252" i="63" s="1"/>
  <c r="I253" i="63" s="1"/>
  <c r="I254" i="63" s="1"/>
  <c r="I255" i="63" s="1"/>
  <c r="I256" i="63" s="1"/>
  <c r="I257" i="63" s="1"/>
  <c r="I258" i="63" s="1"/>
  <c r="AH237" i="63"/>
  <c r="JX175" i="63"/>
  <c r="KV174" i="63"/>
  <c r="HZ112" i="63"/>
  <c r="IX113" i="63"/>
  <c r="IX112" i="63"/>
  <c r="IX111" i="63"/>
  <c r="JV110" i="63"/>
  <c r="GA113" i="63"/>
  <c r="GA112" i="63"/>
  <c r="GA111" i="63"/>
  <c r="GY110" i="63"/>
  <c r="KV112" i="63"/>
  <c r="LT110" i="63"/>
  <c r="KV113" i="63"/>
  <c r="KV111" i="63"/>
  <c r="KW112" i="63"/>
  <c r="GZ111" i="63"/>
  <c r="HX110" i="63"/>
  <c r="GZ113" i="63"/>
  <c r="GZ112" i="63"/>
  <c r="AH112" i="63"/>
  <c r="BE111" i="63"/>
  <c r="BE112" i="63" s="1"/>
  <c r="BE113" i="63" s="1"/>
  <c r="BE114" i="63" s="1"/>
  <c r="BE115" i="63" s="1"/>
  <c r="BE116" i="63" s="1"/>
  <c r="BE117" i="63" s="1"/>
  <c r="BE118" i="63" s="1"/>
  <c r="BE119" i="63" s="1"/>
  <c r="BE120" i="63" s="1"/>
  <c r="BE121" i="63" s="1"/>
  <c r="BE122" i="63" s="1"/>
  <c r="BE123" i="63" s="1"/>
  <c r="BE124" i="63" s="1"/>
  <c r="BE125" i="63" s="1"/>
  <c r="BE126" i="63" s="1"/>
  <c r="BE127" i="63" s="1"/>
  <c r="BE128" i="63" s="1"/>
  <c r="BE129" i="63" s="1"/>
  <c r="BE130" i="63" s="1"/>
  <c r="BE131" i="63" s="1"/>
  <c r="BF113" i="63"/>
  <c r="BF112" i="63"/>
  <c r="BF111" i="63"/>
  <c r="CD110" i="63"/>
  <c r="EC113" i="63"/>
  <c r="FA110" i="63"/>
  <c r="EC112" i="63"/>
  <c r="EC111" i="63"/>
  <c r="OR113" i="63"/>
  <c r="OR112" i="63"/>
  <c r="OR111" i="63"/>
  <c r="PP110" i="63"/>
  <c r="ED175" i="63"/>
  <c r="FB174" i="63"/>
  <c r="I176" i="63"/>
  <c r="KW176" i="63" s="1"/>
  <c r="AD175" i="63"/>
  <c r="AC175" i="63"/>
  <c r="AB175" i="63"/>
  <c r="BB175" i="63"/>
  <c r="AZ175" i="63"/>
  <c r="BA175" i="63"/>
  <c r="BZ175" i="63"/>
  <c r="AA175" i="63"/>
  <c r="AY175" i="63"/>
  <c r="CX175" i="63"/>
  <c r="Z175" i="63"/>
  <c r="BX175" i="63"/>
  <c r="BY175" i="63"/>
  <c r="CV175" i="63"/>
  <c r="CW175" i="63"/>
  <c r="AX175" i="63"/>
  <c r="BW175" i="63"/>
  <c r="Y175" i="63"/>
  <c r="DV175" i="63"/>
  <c r="CU175" i="63"/>
  <c r="DT175" i="63"/>
  <c r="X175" i="63"/>
  <c r="BV175" i="63"/>
  <c r="DU175" i="63"/>
  <c r="ET175" i="63"/>
  <c r="AW175" i="63"/>
  <c r="CT175" i="63"/>
  <c r="ES175" i="63"/>
  <c r="ER175" i="63"/>
  <c r="DS175" i="63"/>
  <c r="AV175" i="63"/>
  <c r="FR175" i="63"/>
  <c r="BU175" i="63"/>
  <c r="W175" i="63"/>
  <c r="EQ175" i="63"/>
  <c r="FP175" i="63"/>
  <c r="CS175" i="63"/>
  <c r="GP175" i="63"/>
  <c r="V175" i="63"/>
  <c r="DR175" i="63"/>
  <c r="AU175" i="63"/>
  <c r="FQ175" i="63"/>
  <c r="BT175" i="63"/>
  <c r="FO175" i="63"/>
  <c r="BS175" i="63"/>
  <c r="AT175" i="63"/>
  <c r="EP175" i="63"/>
  <c r="DQ175" i="63"/>
  <c r="U175" i="63"/>
  <c r="CR175" i="63"/>
  <c r="HN175" i="63"/>
  <c r="GN175" i="63"/>
  <c r="GO175" i="63"/>
  <c r="GM175" i="63"/>
  <c r="T175" i="63"/>
  <c r="EO175" i="63"/>
  <c r="HM175" i="63"/>
  <c r="HL175" i="63"/>
  <c r="IL175" i="63"/>
  <c r="BR175" i="63"/>
  <c r="FN175" i="63"/>
  <c r="AS175" i="63"/>
  <c r="CQ175" i="63"/>
  <c r="DP175" i="63"/>
  <c r="IJ175" i="63"/>
  <c r="GL175" i="63"/>
  <c r="JJ175" i="63"/>
  <c r="S175" i="63"/>
  <c r="IK175" i="63"/>
  <c r="CP175" i="63"/>
  <c r="HK175" i="63"/>
  <c r="FM175" i="63"/>
  <c r="EN175" i="63"/>
  <c r="AR175" i="63"/>
  <c r="BQ175" i="63"/>
  <c r="DO175" i="63"/>
  <c r="JH175" i="63"/>
  <c r="JI175" i="63"/>
  <c r="DN175" i="63"/>
  <c r="EM175" i="63"/>
  <c r="II175" i="63"/>
  <c r="GK175" i="63"/>
  <c r="BP175" i="63"/>
  <c r="R175" i="63"/>
  <c r="AQ175" i="63"/>
  <c r="HJ175" i="63"/>
  <c r="FL175" i="63"/>
  <c r="CO175" i="63"/>
  <c r="KH175" i="63"/>
  <c r="IH175" i="63"/>
  <c r="AP175" i="63"/>
  <c r="HI175" i="63"/>
  <c r="DM175" i="63"/>
  <c r="KG175" i="63"/>
  <c r="GJ175" i="63"/>
  <c r="BO175" i="63"/>
  <c r="JG175" i="63"/>
  <c r="FK175" i="63"/>
  <c r="EL175" i="63"/>
  <c r="LF175" i="63"/>
  <c r="Q175" i="63"/>
  <c r="CN175" i="63"/>
  <c r="KF175" i="63"/>
  <c r="LE175" i="63"/>
  <c r="MD175" i="63"/>
  <c r="FJ175" i="63"/>
  <c r="DL175" i="63"/>
  <c r="BN175" i="63"/>
  <c r="EK175" i="63"/>
  <c r="LD175" i="63"/>
  <c r="JF175" i="63"/>
  <c r="GI175" i="63"/>
  <c r="P175" i="63"/>
  <c r="IG175" i="63"/>
  <c r="CM175" i="63"/>
  <c r="KE175" i="63"/>
  <c r="HH175" i="63"/>
  <c r="AO175" i="63"/>
  <c r="AN175" i="63"/>
  <c r="EJ175" i="63"/>
  <c r="LC175" i="63"/>
  <c r="KD175" i="63"/>
  <c r="DK175" i="63"/>
  <c r="BM175" i="63"/>
  <c r="MB175" i="63"/>
  <c r="FI175" i="63"/>
  <c r="JE175" i="63"/>
  <c r="HG175" i="63"/>
  <c r="IF175" i="63"/>
  <c r="MC175" i="63"/>
  <c r="GH175" i="63"/>
  <c r="NB175" i="63"/>
  <c r="O175" i="63"/>
  <c r="CL175" i="63"/>
  <c r="KC175" i="63"/>
  <c r="LB175" i="63"/>
  <c r="N175" i="63"/>
  <c r="AM175" i="63"/>
  <c r="MA175" i="63"/>
  <c r="FH175" i="63"/>
  <c r="BL175" i="63"/>
  <c r="JD175" i="63"/>
  <c r="IE175" i="63"/>
  <c r="CK175" i="63"/>
  <c r="GG175" i="63"/>
  <c r="EI175" i="63"/>
  <c r="NZ175" i="63"/>
  <c r="HF175" i="63"/>
  <c r="DJ175" i="63"/>
  <c r="MZ175" i="63"/>
  <c r="NA175" i="63"/>
  <c r="LZ175" i="63"/>
  <c r="ID175" i="63"/>
  <c r="NX175" i="63"/>
  <c r="HE175" i="63"/>
  <c r="OX175" i="63"/>
  <c r="BK175" i="63"/>
  <c r="LA175" i="63"/>
  <c r="NY175" i="63"/>
  <c r="DI175" i="63"/>
  <c r="MY175" i="63"/>
  <c r="JC175" i="63"/>
  <c r="AL175" i="63"/>
  <c r="M175" i="63"/>
  <c r="EH175" i="63"/>
  <c r="CJ175" i="63"/>
  <c r="FG175" i="63"/>
  <c r="GF175" i="63"/>
  <c r="KB175" i="63"/>
  <c r="AK175" i="63"/>
  <c r="OV175" i="63"/>
  <c r="EG175" i="63"/>
  <c r="NW175" i="63"/>
  <c r="DH175" i="63"/>
  <c r="GE175" i="63"/>
  <c r="JB175" i="63"/>
  <c r="KA175" i="63"/>
  <c r="KZ175" i="63"/>
  <c r="BJ175" i="63"/>
  <c r="IC175" i="63"/>
  <c r="PV175" i="63"/>
  <c r="OW175" i="63"/>
  <c r="FF175" i="63"/>
  <c r="LY175" i="63"/>
  <c r="MX175" i="63"/>
  <c r="CI175" i="63"/>
  <c r="L175" i="63"/>
  <c r="HD175" i="63"/>
  <c r="JA175" i="63"/>
  <c r="MW175" i="63"/>
  <c r="GD175" i="63"/>
  <c r="OU175" i="63"/>
  <c r="LX175" i="63"/>
  <c r="PT175" i="63"/>
  <c r="EF175" i="63"/>
  <c r="DG175" i="63"/>
  <c r="NV175" i="63"/>
  <c r="IB175" i="63"/>
  <c r="BI175" i="63"/>
  <c r="HC175" i="63"/>
  <c r="K175" i="63"/>
  <c r="PU175" i="63"/>
  <c r="FE175" i="63"/>
  <c r="KY175" i="63"/>
  <c r="CH175" i="63"/>
  <c r="JZ175" i="63"/>
  <c r="AJ175" i="63"/>
  <c r="PS175" i="63"/>
  <c r="IZ175" i="63"/>
  <c r="DE175" i="63"/>
  <c r="EC174" i="63"/>
  <c r="MT174" i="63"/>
  <c r="LV175" i="63"/>
  <c r="PR175" i="63"/>
  <c r="IA175" i="63"/>
  <c r="JW174" i="63"/>
  <c r="IY175" i="63"/>
  <c r="FC112" i="63"/>
  <c r="JW113" i="63"/>
  <c r="JW112" i="63"/>
  <c r="JW111" i="63"/>
  <c r="KU110" i="63"/>
  <c r="HA175" i="63"/>
  <c r="HA176" i="63"/>
  <c r="HY174" i="63"/>
  <c r="BG112" i="63"/>
  <c r="LU113" i="63"/>
  <c r="LU112" i="63"/>
  <c r="MS110" i="63"/>
  <c r="LU111" i="63"/>
  <c r="GB112" i="63"/>
  <c r="NS174" i="63"/>
  <c r="MU175" i="63"/>
  <c r="NS113" i="63"/>
  <c r="NS112" i="63"/>
  <c r="NS111" i="63"/>
  <c r="OQ110" i="63"/>
  <c r="ED112" i="63"/>
  <c r="FB113" i="63"/>
  <c r="FB112" i="63"/>
  <c r="FB111" i="63"/>
  <c r="FZ110" i="63"/>
  <c r="X108" i="39"/>
  <c r="AB166" i="65" l="1"/>
  <c r="AA15" i="65"/>
  <c r="AA19" i="65" s="1"/>
  <c r="AA23" i="65" s="1"/>
  <c r="AA110" i="65" s="1"/>
  <c r="Z3" i="65"/>
  <c r="AC221" i="65"/>
  <c r="O168" i="39"/>
  <c r="BN167" i="39"/>
  <c r="AW167" i="39"/>
  <c r="BI167" i="39"/>
  <c r="BE167" i="39"/>
  <c r="BG167" i="39"/>
  <c r="BM167" i="39"/>
  <c r="AS167" i="39"/>
  <c r="BK167" i="39"/>
  <c r="AM167" i="39"/>
  <c r="BD167" i="39"/>
  <c r="AY167" i="39"/>
  <c r="BC167" i="39"/>
  <c r="AN167" i="39"/>
  <c r="BB167" i="39"/>
  <c r="AL167" i="39"/>
  <c r="BF167" i="39"/>
  <c r="AU167" i="39"/>
  <c r="AT167" i="39"/>
  <c r="BJ167" i="39"/>
  <c r="BH167" i="39"/>
  <c r="AZ167" i="39"/>
  <c r="AK167" i="39"/>
  <c r="AQ167" i="39"/>
  <c r="AX167" i="39"/>
  <c r="BL167" i="39"/>
  <c r="AR167" i="39"/>
  <c r="AV167" i="39"/>
  <c r="AO167" i="39"/>
  <c r="BA167" i="39"/>
  <c r="AP167" i="39"/>
  <c r="AJ167" i="39"/>
  <c r="AB167" i="39"/>
  <c r="AE167" i="39"/>
  <c r="W167" i="39"/>
  <c r="AD167" i="39"/>
  <c r="AG167" i="39"/>
  <c r="X167" i="39"/>
  <c r="Y167" i="39"/>
  <c r="AF167" i="39"/>
  <c r="Z167" i="39"/>
  <c r="AH167" i="39"/>
  <c r="AA167" i="39"/>
  <c r="AC167" i="39"/>
  <c r="AI167" i="39"/>
  <c r="V167" i="39"/>
  <c r="U167" i="39"/>
  <c r="T167" i="39"/>
  <c r="S167" i="39"/>
  <c r="R167" i="39"/>
  <c r="Q167" i="39"/>
  <c r="O169" i="39"/>
  <c r="P167" i="39"/>
  <c r="BN112" i="39"/>
  <c r="AQ112" i="39"/>
  <c r="BL112" i="39"/>
  <c r="AX112" i="39"/>
  <c r="AY112" i="39"/>
  <c r="AW112" i="39"/>
  <c r="BM112" i="39"/>
  <c r="BK112" i="39"/>
  <c r="AV112" i="39"/>
  <c r="BI112" i="39"/>
  <c r="BF112" i="39"/>
  <c r="AU112" i="39"/>
  <c r="BD112" i="39"/>
  <c r="BG112" i="39"/>
  <c r="AZ112" i="39"/>
  <c r="AL112" i="39"/>
  <c r="AM112" i="39"/>
  <c r="BA112" i="39"/>
  <c r="AR112" i="39"/>
  <c r="BE112" i="39"/>
  <c r="BC112" i="39"/>
  <c r="AS112" i="39"/>
  <c r="AT112" i="39"/>
  <c r="AO112" i="39"/>
  <c r="BB112" i="39"/>
  <c r="BJ112" i="39"/>
  <c r="AP112" i="39"/>
  <c r="AN112" i="39"/>
  <c r="BH112" i="39"/>
  <c r="AK112" i="39"/>
  <c r="Y112" i="39"/>
  <c r="AE112" i="39"/>
  <c r="AH112" i="39"/>
  <c r="X112" i="39"/>
  <c r="AI112" i="39"/>
  <c r="Z112" i="39"/>
  <c r="AC112" i="39"/>
  <c r="AB112" i="39"/>
  <c r="AA112" i="39"/>
  <c r="AJ112" i="39"/>
  <c r="AG112" i="39"/>
  <c r="AF112" i="39"/>
  <c r="AD112" i="39"/>
  <c r="W112" i="39"/>
  <c r="V112" i="39"/>
  <c r="U112" i="39"/>
  <c r="T112" i="39"/>
  <c r="S112" i="39"/>
  <c r="R112" i="39"/>
  <c r="Q112" i="39"/>
  <c r="P112" i="39"/>
  <c r="O113" i="39"/>
  <c r="O222" i="39"/>
  <c r="O223" i="39" s="1"/>
  <c r="O224" i="39" s="1"/>
  <c r="O225" i="39" s="1"/>
  <c r="O226" i="39" s="1"/>
  <c r="O227" i="39" s="1"/>
  <c r="O228" i="39" s="1"/>
  <c r="O229" i="39" s="1"/>
  <c r="O230" i="39" s="1"/>
  <c r="O231" i="39" s="1"/>
  <c r="O232" i="39" s="1"/>
  <c r="O233" i="39" s="1"/>
  <c r="O234" i="39" s="1"/>
  <c r="O235" i="39" s="1"/>
  <c r="PO110" i="63"/>
  <c r="OQ112" i="63"/>
  <c r="OQ113" i="63"/>
  <c r="OQ111" i="63"/>
  <c r="HY175" i="63"/>
  <c r="HY176" i="63"/>
  <c r="IW174" i="63"/>
  <c r="LS110" i="63"/>
  <c r="KU113" i="63"/>
  <c r="KU112" i="63"/>
  <c r="KU111" i="63"/>
  <c r="PR176" i="63"/>
  <c r="LV176" i="63"/>
  <c r="EC176" i="63"/>
  <c r="EC175" i="63"/>
  <c r="FA174" i="63"/>
  <c r="ED176" i="63"/>
  <c r="PP113" i="63"/>
  <c r="PP112" i="63"/>
  <c r="PP111" i="63"/>
  <c r="MR110" i="63"/>
  <c r="LT113" i="63"/>
  <c r="LT112" i="63"/>
  <c r="LT111" i="63"/>
  <c r="JV113" i="63"/>
  <c r="JV112" i="63"/>
  <c r="JV111" i="63"/>
  <c r="KT110" i="63"/>
  <c r="AG238" i="63"/>
  <c r="AG239" i="63" s="1"/>
  <c r="AG240" i="63" s="1"/>
  <c r="AG241" i="63" s="1"/>
  <c r="AG242" i="63" s="1"/>
  <c r="AG243" i="63" s="1"/>
  <c r="AG244" i="63" s="1"/>
  <c r="AG245" i="63" s="1"/>
  <c r="AG246" i="63" s="1"/>
  <c r="AG247" i="63" s="1"/>
  <c r="AG248" i="63" s="1"/>
  <c r="AG249" i="63" s="1"/>
  <c r="AG250" i="63" s="1"/>
  <c r="AG251" i="63" s="1"/>
  <c r="AG252" i="63" s="1"/>
  <c r="AG253" i="63" s="1"/>
  <c r="AG254" i="63" s="1"/>
  <c r="AG255" i="63" s="1"/>
  <c r="AG256" i="63" s="1"/>
  <c r="AG257" i="63" s="1"/>
  <c r="AG258" i="63" s="1"/>
  <c r="BF237" i="63"/>
  <c r="NT176" i="63"/>
  <c r="IW113" i="63"/>
  <c r="IW112" i="63"/>
  <c r="IW111" i="63"/>
  <c r="JU110" i="63"/>
  <c r="LU175" i="63"/>
  <c r="MS174" i="63"/>
  <c r="LU176" i="63"/>
  <c r="PQ175" i="63"/>
  <c r="PQ176" i="63"/>
  <c r="FZ111" i="63"/>
  <c r="FZ113" i="63"/>
  <c r="FZ112" i="63"/>
  <c r="GX110" i="63"/>
  <c r="MS113" i="63"/>
  <c r="MS112" i="63"/>
  <c r="MS111" i="63"/>
  <c r="NQ110" i="63"/>
  <c r="I177" i="63"/>
  <c r="EC177" i="63" s="1"/>
  <c r="AD176" i="63"/>
  <c r="AB176" i="63"/>
  <c r="AC176" i="63"/>
  <c r="BB176" i="63"/>
  <c r="AA176" i="63"/>
  <c r="BZ176" i="63"/>
  <c r="AZ176" i="63"/>
  <c r="BA176" i="63"/>
  <c r="AY176" i="63"/>
  <c r="Z176" i="63"/>
  <c r="BY176" i="63"/>
  <c r="BX176" i="63"/>
  <c r="CX176" i="63"/>
  <c r="DV176" i="63"/>
  <c r="AX176" i="63"/>
  <c r="CV176" i="63"/>
  <c r="CW176" i="63"/>
  <c r="Y176" i="63"/>
  <c r="BW176" i="63"/>
  <c r="DU176" i="63"/>
  <c r="AW176" i="63"/>
  <c r="CU176" i="63"/>
  <c r="DT176" i="63"/>
  <c r="BV176" i="63"/>
  <c r="X176" i="63"/>
  <c r="ET176" i="63"/>
  <c r="FR176" i="63"/>
  <c r="CT176" i="63"/>
  <c r="BU176" i="63"/>
  <c r="W176" i="63"/>
  <c r="DS176" i="63"/>
  <c r="ES176" i="63"/>
  <c r="ER176" i="63"/>
  <c r="AV176" i="63"/>
  <c r="CS176" i="63"/>
  <c r="DR176" i="63"/>
  <c r="AU176" i="63"/>
  <c r="FP176" i="63"/>
  <c r="FQ176" i="63"/>
  <c r="GP176" i="63"/>
  <c r="BT176" i="63"/>
  <c r="V176" i="63"/>
  <c r="EQ176" i="63"/>
  <c r="U176" i="63"/>
  <c r="GN176" i="63"/>
  <c r="EP176" i="63"/>
  <c r="GO176" i="63"/>
  <c r="FO176" i="63"/>
  <c r="AT176" i="63"/>
  <c r="BS176" i="63"/>
  <c r="DQ176" i="63"/>
  <c r="CR176" i="63"/>
  <c r="HN176" i="63"/>
  <c r="HL176" i="63"/>
  <c r="BR176" i="63"/>
  <c r="FN176" i="63"/>
  <c r="DP176" i="63"/>
  <c r="AS176" i="63"/>
  <c r="EO176" i="63"/>
  <c r="IL176" i="63"/>
  <c r="CQ176" i="63"/>
  <c r="GM176" i="63"/>
  <c r="T176" i="63"/>
  <c r="HM176" i="63"/>
  <c r="GL176" i="63"/>
  <c r="CP176" i="63"/>
  <c r="JJ176" i="63"/>
  <c r="IK176" i="63"/>
  <c r="BQ176" i="63"/>
  <c r="IJ176" i="63"/>
  <c r="HK176" i="63"/>
  <c r="EN176" i="63"/>
  <c r="AR176" i="63"/>
  <c r="DO176" i="63"/>
  <c r="FM176" i="63"/>
  <c r="S176" i="63"/>
  <c r="JH176" i="63"/>
  <c r="II176" i="63"/>
  <c r="EM176" i="63"/>
  <c r="JI176" i="63"/>
  <c r="AQ176" i="63"/>
  <c r="KH176" i="63"/>
  <c r="DN176" i="63"/>
  <c r="CO176" i="63"/>
  <c r="R176" i="63"/>
  <c r="FL176" i="63"/>
  <c r="GK176" i="63"/>
  <c r="BP176" i="63"/>
  <c r="HJ176" i="63"/>
  <c r="IH176" i="63"/>
  <c r="CN176" i="63"/>
  <c r="KF176" i="63"/>
  <c r="JG176" i="63"/>
  <c r="KG176" i="63"/>
  <c r="DM176" i="63"/>
  <c r="BO176" i="63"/>
  <c r="AP176" i="63"/>
  <c r="Q176" i="63"/>
  <c r="HI176" i="63"/>
  <c r="FK176" i="63"/>
  <c r="EL176" i="63"/>
  <c r="GJ176" i="63"/>
  <c r="LF176" i="63"/>
  <c r="LD176" i="63"/>
  <c r="DL176" i="63"/>
  <c r="CM176" i="63"/>
  <c r="FJ176" i="63"/>
  <c r="BN176" i="63"/>
  <c r="JF176" i="63"/>
  <c r="LE176" i="63"/>
  <c r="P176" i="63"/>
  <c r="AO176" i="63"/>
  <c r="EK176" i="63"/>
  <c r="MD176" i="63"/>
  <c r="KE176" i="63"/>
  <c r="HH176" i="63"/>
  <c r="GI176" i="63"/>
  <c r="IG176" i="63"/>
  <c r="NB176" i="63"/>
  <c r="O176" i="63"/>
  <c r="CL176" i="63"/>
  <c r="GH176" i="63"/>
  <c r="AN176" i="63"/>
  <c r="EJ176" i="63"/>
  <c r="JE176" i="63"/>
  <c r="LC176" i="63"/>
  <c r="KD176" i="63"/>
  <c r="DK176" i="63"/>
  <c r="MC176" i="63"/>
  <c r="MB176" i="63"/>
  <c r="FI176" i="63"/>
  <c r="HG176" i="63"/>
  <c r="BM176" i="63"/>
  <c r="IF176" i="63"/>
  <c r="GG176" i="63"/>
  <c r="FH176" i="63"/>
  <c r="N176" i="63"/>
  <c r="AM176" i="63"/>
  <c r="BL176" i="63"/>
  <c r="JD176" i="63"/>
  <c r="MZ176" i="63"/>
  <c r="EI176" i="63"/>
  <c r="NZ176" i="63"/>
  <c r="KC176" i="63"/>
  <c r="HF176" i="63"/>
  <c r="IE176" i="63"/>
  <c r="DJ176" i="63"/>
  <c r="CK176" i="63"/>
  <c r="LB176" i="63"/>
  <c r="MA176" i="63"/>
  <c r="NA176" i="63"/>
  <c r="BK176" i="63"/>
  <c r="LZ176" i="63"/>
  <c r="MY176" i="63"/>
  <c r="AL176" i="63"/>
  <c r="NY176" i="63"/>
  <c r="DI176" i="63"/>
  <c r="HE176" i="63"/>
  <c r="JC176" i="63"/>
  <c r="CJ176" i="63"/>
  <c r="FG176" i="63"/>
  <c r="ID176" i="63"/>
  <c r="LA176" i="63"/>
  <c r="GF176" i="63"/>
  <c r="EH176" i="63"/>
  <c r="KB176" i="63"/>
  <c r="NX176" i="63"/>
  <c r="M176" i="63"/>
  <c r="OX176" i="63"/>
  <c r="FF176" i="63"/>
  <c r="KZ176" i="63"/>
  <c r="IC176" i="63"/>
  <c r="NW176" i="63"/>
  <c r="MX176" i="63"/>
  <c r="GE176" i="63"/>
  <c r="OV176" i="63"/>
  <c r="CI176" i="63"/>
  <c r="OW176" i="63"/>
  <c r="AK176" i="63"/>
  <c r="KA176" i="63"/>
  <c r="LY176" i="63"/>
  <c r="JB176" i="63"/>
  <c r="L176" i="63"/>
  <c r="HD176" i="63"/>
  <c r="PV176" i="63"/>
  <c r="EG176" i="63"/>
  <c r="BJ176" i="63"/>
  <c r="DH176" i="63"/>
  <c r="OU176" i="63"/>
  <c r="JA176" i="63"/>
  <c r="LX176" i="63"/>
  <c r="PT176" i="63"/>
  <c r="NV176" i="63"/>
  <c r="IB176" i="63"/>
  <c r="BI176" i="63"/>
  <c r="K176" i="63"/>
  <c r="FE176" i="63"/>
  <c r="DG176" i="63"/>
  <c r="KY176" i="63"/>
  <c r="MW176" i="63"/>
  <c r="GD176" i="63"/>
  <c r="HC176" i="63"/>
  <c r="AJ176" i="63"/>
  <c r="EF176" i="63"/>
  <c r="JZ176" i="63"/>
  <c r="CH176" i="63"/>
  <c r="PU176" i="63"/>
  <c r="EE176" i="63"/>
  <c r="OT176" i="63"/>
  <c r="J176" i="63"/>
  <c r="BH176" i="63"/>
  <c r="MV176" i="63"/>
  <c r="GC176" i="63"/>
  <c r="KX176" i="63"/>
  <c r="IZ176" i="63"/>
  <c r="DF176" i="63"/>
  <c r="JY176" i="63"/>
  <c r="HB176" i="63"/>
  <c r="LW176" i="63"/>
  <c r="CG176" i="63"/>
  <c r="AI176" i="63"/>
  <c r="IA176" i="63"/>
  <c r="PS176" i="63"/>
  <c r="FD176" i="63"/>
  <c r="NU176" i="63"/>
  <c r="FA113" i="63"/>
  <c r="FA112" i="63"/>
  <c r="FA111" i="63"/>
  <c r="FY110" i="63"/>
  <c r="LT174" i="63"/>
  <c r="KV175" i="63"/>
  <c r="KV176" i="63"/>
  <c r="KV177" i="63"/>
  <c r="GB176" i="63"/>
  <c r="HZ176" i="63"/>
  <c r="EB174" i="63"/>
  <c r="DD176" i="63"/>
  <c r="DD175" i="63"/>
  <c r="BG176" i="63"/>
  <c r="OS176" i="63"/>
  <c r="NS175" i="63"/>
  <c r="OQ174" i="63"/>
  <c r="NS176" i="63"/>
  <c r="IY176" i="63"/>
  <c r="MT176" i="63"/>
  <c r="MT175" i="63"/>
  <c r="NR174" i="63"/>
  <c r="CD113" i="63"/>
  <c r="CD111" i="63"/>
  <c r="CD112" i="63"/>
  <c r="CC111" i="63"/>
  <c r="CC112" i="63" s="1"/>
  <c r="CC113" i="63" s="1"/>
  <c r="CC114" i="63" s="1"/>
  <c r="CC115" i="63" s="1"/>
  <c r="CC116" i="63" s="1"/>
  <c r="CC117" i="63" s="1"/>
  <c r="CC118" i="63" s="1"/>
  <c r="CC119" i="63" s="1"/>
  <c r="CC120" i="63" s="1"/>
  <c r="CC121" i="63" s="1"/>
  <c r="CC122" i="63" s="1"/>
  <c r="CC123" i="63" s="1"/>
  <c r="CC124" i="63" s="1"/>
  <c r="CC125" i="63" s="1"/>
  <c r="CC126" i="63" s="1"/>
  <c r="CC127" i="63" s="1"/>
  <c r="CC128" i="63" s="1"/>
  <c r="CC129" i="63" s="1"/>
  <c r="CC130" i="63" s="1"/>
  <c r="CC131" i="63" s="1"/>
  <c r="DB110" i="63"/>
  <c r="HW110" i="63"/>
  <c r="GY111" i="63"/>
  <c r="GY113" i="63"/>
  <c r="GY112" i="63"/>
  <c r="JX176" i="63"/>
  <c r="AH176" i="63"/>
  <c r="NR111" i="63"/>
  <c r="OP110" i="63"/>
  <c r="NR113" i="63"/>
  <c r="NR112" i="63"/>
  <c r="PP174" i="63"/>
  <c r="OR175" i="63"/>
  <c r="OR176" i="63"/>
  <c r="EA110" i="63"/>
  <c r="DC113" i="63"/>
  <c r="DC112" i="63"/>
  <c r="DC111" i="63"/>
  <c r="GA177" i="63"/>
  <c r="GY174" i="63"/>
  <c r="GA176" i="63"/>
  <c r="GA175" i="63"/>
  <c r="HX174" i="63"/>
  <c r="GZ176" i="63"/>
  <c r="GZ177" i="63"/>
  <c r="GZ175" i="63"/>
  <c r="IX176" i="63"/>
  <c r="IX175" i="63"/>
  <c r="JV174" i="63"/>
  <c r="MU176" i="63"/>
  <c r="JW176" i="63"/>
  <c r="JW177" i="63"/>
  <c r="KU174" i="63"/>
  <c r="JW175" i="63"/>
  <c r="DE176" i="63"/>
  <c r="FB177" i="63"/>
  <c r="FB176" i="63"/>
  <c r="FB175" i="63"/>
  <c r="FZ174" i="63"/>
  <c r="IV110" i="63"/>
  <c r="HX113" i="63"/>
  <c r="HX112" i="63"/>
  <c r="HX111" i="63"/>
  <c r="BF176" i="63"/>
  <c r="BF175" i="63"/>
  <c r="CD174" i="63"/>
  <c r="BE175" i="63"/>
  <c r="BE176" i="63" s="1"/>
  <c r="BE177" i="63" s="1"/>
  <c r="BE178" i="63" s="1"/>
  <c r="BE179" i="63" s="1"/>
  <c r="BE180" i="63" s="1"/>
  <c r="BE181" i="63" s="1"/>
  <c r="BE182" i="63" s="1"/>
  <c r="BE183" i="63" s="1"/>
  <c r="BE184" i="63" s="1"/>
  <c r="BE185" i="63" s="1"/>
  <c r="BE186" i="63" s="1"/>
  <c r="BE187" i="63" s="1"/>
  <c r="BE188" i="63" s="1"/>
  <c r="BE189" i="63" s="1"/>
  <c r="BE190" i="63" s="1"/>
  <c r="BE191" i="63" s="1"/>
  <c r="BE192" i="63" s="1"/>
  <c r="BE193" i="63" s="1"/>
  <c r="BE194" i="63" s="1"/>
  <c r="BE195" i="63" s="1"/>
  <c r="EZ110" i="63"/>
  <c r="EB113" i="63"/>
  <c r="EB112" i="63"/>
  <c r="EB111" i="63"/>
  <c r="FC176" i="63"/>
  <c r="I114" i="63"/>
  <c r="PP114" i="63" s="1"/>
  <c r="AD113" i="63"/>
  <c r="AB113" i="63"/>
  <c r="AC113" i="63"/>
  <c r="BB113" i="63"/>
  <c r="BZ113" i="63"/>
  <c r="AA113" i="63"/>
  <c r="AZ113" i="63"/>
  <c r="BA113" i="63"/>
  <c r="AY113" i="63"/>
  <c r="BX113" i="63"/>
  <c r="Z113" i="63"/>
  <c r="CX113" i="63"/>
  <c r="BY113" i="63"/>
  <c r="CW113" i="63"/>
  <c r="AX113" i="63"/>
  <c r="BW113" i="63"/>
  <c r="CV113" i="63"/>
  <c r="Y113" i="63"/>
  <c r="DV113" i="63"/>
  <c r="AW113" i="63"/>
  <c r="CU113" i="63"/>
  <c r="ET113" i="63"/>
  <c r="DT113" i="63"/>
  <c r="X113" i="63"/>
  <c r="BV113" i="63"/>
  <c r="DU113" i="63"/>
  <c r="W113" i="63"/>
  <c r="CT113" i="63"/>
  <c r="ER113" i="63"/>
  <c r="FR113" i="63"/>
  <c r="BU113" i="63"/>
  <c r="ES113" i="63"/>
  <c r="AV113" i="63"/>
  <c r="DS113" i="63"/>
  <c r="V113" i="63"/>
  <c r="BT113" i="63"/>
  <c r="CS113" i="63"/>
  <c r="AU113" i="63"/>
  <c r="FQ113" i="63"/>
  <c r="DR113" i="63"/>
  <c r="GP113" i="63"/>
  <c r="EQ113" i="63"/>
  <c r="FP113" i="63"/>
  <c r="GN113" i="63"/>
  <c r="HN113" i="63"/>
  <c r="U113" i="63"/>
  <c r="AT113" i="63"/>
  <c r="DQ113" i="63"/>
  <c r="CR113" i="63"/>
  <c r="EP113" i="63"/>
  <c r="BS113" i="63"/>
  <c r="FO113" i="63"/>
  <c r="GO113" i="63"/>
  <c r="FN113" i="63"/>
  <c r="HL113" i="63"/>
  <c r="EO113" i="63"/>
  <c r="IL113" i="63"/>
  <c r="T113" i="63"/>
  <c r="BR113" i="63"/>
  <c r="GM113" i="63"/>
  <c r="HM113" i="63"/>
  <c r="CQ113" i="63"/>
  <c r="AS113" i="63"/>
  <c r="DP113" i="63"/>
  <c r="HK113" i="63"/>
  <c r="S113" i="63"/>
  <c r="EN113" i="63"/>
  <c r="FM113" i="63"/>
  <c r="DO113" i="63"/>
  <c r="JJ113" i="63"/>
  <c r="CP113" i="63"/>
  <c r="AR113" i="63"/>
  <c r="GL113" i="63"/>
  <c r="IK113" i="63"/>
  <c r="BQ113" i="63"/>
  <c r="IJ113" i="63"/>
  <c r="BP113" i="63"/>
  <c r="R113" i="63"/>
  <c r="AQ113" i="63"/>
  <c r="CO113" i="63"/>
  <c r="DN113" i="63"/>
  <c r="II113" i="63"/>
  <c r="FL113" i="63"/>
  <c r="GK113" i="63"/>
  <c r="HJ113" i="63"/>
  <c r="KH113" i="63"/>
  <c r="EM113" i="63"/>
  <c r="JI113" i="63"/>
  <c r="JH113" i="63"/>
  <c r="KF113" i="63"/>
  <c r="JG113" i="63"/>
  <c r="Q113" i="63"/>
  <c r="LF113" i="63"/>
  <c r="FK113" i="63"/>
  <c r="IH113" i="63"/>
  <c r="CN113" i="63"/>
  <c r="EL113" i="63"/>
  <c r="HI113" i="63"/>
  <c r="BO113" i="63"/>
  <c r="AP113" i="63"/>
  <c r="DM113" i="63"/>
  <c r="GJ113" i="63"/>
  <c r="KG113" i="63"/>
  <c r="FJ113" i="63"/>
  <c r="CM113" i="63"/>
  <c r="GI113" i="63"/>
  <c r="JF113" i="63"/>
  <c r="P113" i="63"/>
  <c r="MD113" i="63"/>
  <c r="LD113" i="63"/>
  <c r="BN113" i="63"/>
  <c r="AO113" i="63"/>
  <c r="IG113" i="63"/>
  <c r="EK113" i="63"/>
  <c r="KE113" i="63"/>
  <c r="LE113" i="63"/>
  <c r="HH113" i="63"/>
  <c r="DL113" i="63"/>
  <c r="EJ113" i="63"/>
  <c r="JE113" i="63"/>
  <c r="BM113" i="63"/>
  <c r="FI113" i="63"/>
  <c r="IF113" i="63"/>
  <c r="LC113" i="63"/>
  <c r="DK113" i="63"/>
  <c r="GH113" i="63"/>
  <c r="AN113" i="63"/>
  <c r="MC113" i="63"/>
  <c r="MB113" i="63"/>
  <c r="HG113" i="63"/>
  <c r="CL113" i="63"/>
  <c r="O113" i="63"/>
  <c r="KD113" i="63"/>
  <c r="NB113" i="63"/>
  <c r="NA113" i="63"/>
  <c r="DJ113" i="63"/>
  <c r="MZ113" i="63"/>
  <c r="HF113" i="63"/>
  <c r="FH113" i="63"/>
  <c r="GG113" i="63"/>
  <c r="N113" i="63"/>
  <c r="EI113" i="63"/>
  <c r="MA113" i="63"/>
  <c r="BL113" i="63"/>
  <c r="AM113" i="63"/>
  <c r="CK113" i="63"/>
  <c r="KC113" i="63"/>
  <c r="JD113" i="63"/>
  <c r="IE113" i="63"/>
  <c r="NZ113" i="63"/>
  <c r="LB113" i="63"/>
  <c r="JC113" i="63"/>
  <c r="CJ113" i="63"/>
  <c r="AL113" i="63"/>
  <c r="NY113" i="63"/>
  <c r="LA113" i="63"/>
  <c r="LZ113" i="63"/>
  <c r="BK113" i="63"/>
  <c r="EH113" i="63"/>
  <c r="OX113" i="63"/>
  <c r="MY113" i="63"/>
  <c r="NX113" i="63"/>
  <c r="DI113" i="63"/>
  <c r="HE113" i="63"/>
  <c r="GF113" i="63"/>
  <c r="ID113" i="63"/>
  <c r="KB113" i="63"/>
  <c r="FG113" i="63"/>
  <c r="M113" i="63"/>
  <c r="GE113" i="63"/>
  <c r="LY113" i="63"/>
  <c r="NW113" i="63"/>
  <c r="DH113" i="63"/>
  <c r="OW113" i="63"/>
  <c r="AK113" i="63"/>
  <c r="JB113" i="63"/>
  <c r="IC113" i="63"/>
  <c r="PV113" i="63"/>
  <c r="KA113" i="63"/>
  <c r="BJ113" i="63"/>
  <c r="EG113" i="63"/>
  <c r="HD113" i="63"/>
  <c r="MX113" i="63"/>
  <c r="L113" i="63"/>
  <c r="FF113" i="63"/>
  <c r="CI113" i="63"/>
  <c r="OV113" i="63"/>
  <c r="KZ113" i="63"/>
  <c r="PT113" i="63"/>
  <c r="KY113" i="63"/>
  <c r="JA113" i="63"/>
  <c r="JZ113" i="63"/>
  <c r="HC113" i="63"/>
  <c r="EF113" i="63"/>
  <c r="BI113" i="63"/>
  <c r="CH113" i="63"/>
  <c r="K113" i="63"/>
  <c r="LX113" i="63"/>
  <c r="GD113" i="63"/>
  <c r="NV113" i="63"/>
  <c r="OU113" i="63"/>
  <c r="DG113" i="63"/>
  <c r="FE113" i="63"/>
  <c r="IB113" i="63"/>
  <c r="AJ113" i="63"/>
  <c r="MW113" i="63"/>
  <c r="PU113" i="63"/>
  <c r="AI113" i="63"/>
  <c r="EE113" i="63"/>
  <c r="PS113" i="63"/>
  <c r="J113" i="63"/>
  <c r="OT113" i="63"/>
  <c r="KX113" i="63"/>
  <c r="MV113" i="63"/>
  <c r="LW113" i="63"/>
  <c r="IZ113" i="63"/>
  <c r="DF113" i="63"/>
  <c r="BH113" i="63"/>
  <c r="GC113" i="63"/>
  <c r="JY113" i="63"/>
  <c r="IA113" i="63"/>
  <c r="CG113" i="63"/>
  <c r="HB113" i="63"/>
  <c r="NU113" i="63"/>
  <c r="FD113" i="63"/>
  <c r="KW113" i="63"/>
  <c r="HZ113" i="63"/>
  <c r="CF113" i="63"/>
  <c r="PR113" i="63"/>
  <c r="OS113" i="63"/>
  <c r="LV113" i="63"/>
  <c r="DE113" i="63"/>
  <c r="AH113" i="63"/>
  <c r="MU113" i="63"/>
  <c r="JX113" i="63"/>
  <c r="NT113" i="63"/>
  <c r="ED113" i="63"/>
  <c r="GB113" i="63"/>
  <c r="IY113" i="63"/>
  <c r="FC113" i="63"/>
  <c r="BG113" i="63"/>
  <c r="HA113" i="63"/>
  <c r="CF176" i="63"/>
  <c r="CE175" i="63"/>
  <c r="CE177" i="63"/>
  <c r="CE176" i="63"/>
  <c r="DC174" i="63"/>
  <c r="Y108" i="39"/>
  <c r="Z15" i="65" l="1"/>
  <c r="Z19" i="65" s="1"/>
  <c r="Z23" i="65" s="1"/>
  <c r="Z110" i="65" s="1"/>
  <c r="Y3" i="65"/>
  <c r="AA166" i="65"/>
  <c r="AB221" i="65"/>
  <c r="BN169" i="39"/>
  <c r="AN169" i="39"/>
  <c r="AW169" i="39"/>
  <c r="BM169" i="39"/>
  <c r="BE169" i="39"/>
  <c r="BG169" i="39"/>
  <c r="AS169" i="39"/>
  <c r="BH169" i="39"/>
  <c r="BI169" i="39"/>
  <c r="AZ169" i="39"/>
  <c r="AV169" i="39"/>
  <c r="AR169" i="39"/>
  <c r="BC169" i="39"/>
  <c r="BB169" i="39"/>
  <c r="AT169" i="39"/>
  <c r="AK169" i="39"/>
  <c r="BK169" i="39"/>
  <c r="AL169" i="39"/>
  <c r="AU169" i="39"/>
  <c r="AO169" i="39"/>
  <c r="BJ169" i="39"/>
  <c r="BA169" i="39"/>
  <c r="BD169" i="39"/>
  <c r="BF169" i="39"/>
  <c r="AM169" i="39"/>
  <c r="AQ169" i="39"/>
  <c r="AX169" i="39"/>
  <c r="BL169" i="39"/>
  <c r="AP169" i="39"/>
  <c r="AY169" i="39"/>
  <c r="AG169" i="39"/>
  <c r="W169" i="39"/>
  <c r="AH169" i="39"/>
  <c r="X169" i="39"/>
  <c r="AE169" i="39"/>
  <c r="AJ169" i="39"/>
  <c r="AB169" i="39"/>
  <c r="AD169" i="39"/>
  <c r="Y169" i="39"/>
  <c r="AF169" i="39"/>
  <c r="AA169" i="39"/>
  <c r="AC169" i="39"/>
  <c r="Z169" i="39"/>
  <c r="AI169" i="39"/>
  <c r="V169" i="39"/>
  <c r="U169" i="39"/>
  <c r="T169" i="39"/>
  <c r="S169" i="39"/>
  <c r="R169" i="39"/>
  <c r="Q169" i="39"/>
  <c r="P169" i="39"/>
  <c r="BN168" i="39"/>
  <c r="AW168" i="39"/>
  <c r="BE168" i="39"/>
  <c r="BH168" i="39"/>
  <c r="BI168" i="39"/>
  <c r="BC168" i="39"/>
  <c r="BG168" i="39"/>
  <c r="AS168" i="39"/>
  <c r="BB168" i="39"/>
  <c r="AK168" i="39"/>
  <c r="BM168" i="39"/>
  <c r="AZ168" i="39"/>
  <c r="AL168" i="39"/>
  <c r="AU168" i="39"/>
  <c r="AO168" i="39"/>
  <c r="AN168" i="39"/>
  <c r="BK168" i="39"/>
  <c r="BF168" i="39"/>
  <c r="AM168" i="39"/>
  <c r="BJ168" i="39"/>
  <c r="AT168" i="39"/>
  <c r="AQ168" i="39"/>
  <c r="BL168" i="39"/>
  <c r="AV168" i="39"/>
  <c r="BA168" i="39"/>
  <c r="BD168" i="39"/>
  <c r="AP168" i="39"/>
  <c r="AX168" i="39"/>
  <c r="AR168" i="39"/>
  <c r="AY168" i="39"/>
  <c r="AE168" i="39"/>
  <c r="AB168" i="39"/>
  <c r="Y168" i="39"/>
  <c r="AD168" i="39"/>
  <c r="X168" i="39"/>
  <c r="AG168" i="39"/>
  <c r="AJ168" i="39"/>
  <c r="W168" i="39"/>
  <c r="AA168" i="39"/>
  <c r="AF168" i="39"/>
  <c r="Z168" i="39"/>
  <c r="AI168" i="39"/>
  <c r="AC168" i="39"/>
  <c r="AH168" i="39"/>
  <c r="V168" i="39"/>
  <c r="U168" i="39"/>
  <c r="T168" i="39"/>
  <c r="S168" i="39"/>
  <c r="R168" i="39"/>
  <c r="Q168" i="39"/>
  <c r="P168" i="39"/>
  <c r="O170" i="39"/>
  <c r="BN113" i="39"/>
  <c r="AR113" i="39"/>
  <c r="BE113" i="39"/>
  <c r="AS113" i="39"/>
  <c r="AY113" i="39"/>
  <c r="AV113" i="39"/>
  <c r="AP113" i="39"/>
  <c r="AW113" i="39"/>
  <c r="BL113" i="39"/>
  <c r="AL113" i="39"/>
  <c r="AQ113" i="39"/>
  <c r="BM113" i="39"/>
  <c r="AT113" i="39"/>
  <c r="BJ113" i="39"/>
  <c r="AZ113" i="39"/>
  <c r="BH113" i="39"/>
  <c r="BF113" i="39"/>
  <c r="BD113" i="39"/>
  <c r="BG113" i="39"/>
  <c r="BC113" i="39"/>
  <c r="AN113" i="39"/>
  <c r="BB113" i="39"/>
  <c r="BK113" i="39"/>
  <c r="AX113" i="39"/>
  <c r="BI113" i="39"/>
  <c r="AU113" i="39"/>
  <c r="BA113" i="39"/>
  <c r="AK113" i="39"/>
  <c r="AM113" i="39"/>
  <c r="AO113" i="39"/>
  <c r="AE113" i="39"/>
  <c r="AH113" i="39"/>
  <c r="X113" i="39"/>
  <c r="AC113" i="39"/>
  <c r="AB113" i="39"/>
  <c r="Y113" i="39"/>
  <c r="AI113" i="39"/>
  <c r="Z113" i="39"/>
  <c r="AG113" i="39"/>
  <c r="AF113" i="39"/>
  <c r="AA113" i="39"/>
  <c r="AJ113" i="39"/>
  <c r="AD113" i="39"/>
  <c r="W113" i="39"/>
  <c r="V113" i="39"/>
  <c r="U113" i="39"/>
  <c r="T113" i="39"/>
  <c r="S113" i="39"/>
  <c r="R113" i="39"/>
  <c r="Q113" i="39"/>
  <c r="P113" i="39"/>
  <c r="O114" i="39"/>
  <c r="LT114" i="63"/>
  <c r="DC114" i="63"/>
  <c r="JV114" i="63"/>
  <c r="KU114" i="63"/>
  <c r="EB114" i="63"/>
  <c r="GY114" i="63"/>
  <c r="MS114" i="63"/>
  <c r="GX114" i="63"/>
  <c r="GX113" i="63"/>
  <c r="GX112" i="63"/>
  <c r="GX111" i="63"/>
  <c r="HV110" i="63"/>
  <c r="DC175" i="63"/>
  <c r="DC177" i="63"/>
  <c r="DC176" i="63"/>
  <c r="EA174" i="63"/>
  <c r="EZ114" i="63"/>
  <c r="EZ111" i="63"/>
  <c r="FX110" i="63"/>
  <c r="EZ113" i="63"/>
  <c r="EZ112" i="63"/>
  <c r="BF177" i="63"/>
  <c r="JV177" i="63"/>
  <c r="KT174" i="63"/>
  <c r="JV176" i="63"/>
  <c r="JV175" i="63"/>
  <c r="GY177" i="63"/>
  <c r="HW174" i="63"/>
  <c r="GY176" i="63"/>
  <c r="GY175" i="63"/>
  <c r="OR177" i="63"/>
  <c r="PN110" i="63"/>
  <c r="OP115" i="63"/>
  <c r="OP114" i="63"/>
  <c r="OP113" i="63"/>
  <c r="OP112" i="63"/>
  <c r="OP111" i="63"/>
  <c r="NR176" i="63"/>
  <c r="NR177" i="63"/>
  <c r="NR175" i="63"/>
  <c r="OP174" i="63"/>
  <c r="OQ175" i="63"/>
  <c r="PO174" i="63"/>
  <c r="OQ176" i="63"/>
  <c r="OQ177" i="63"/>
  <c r="OQ178" i="63"/>
  <c r="DD177" i="63"/>
  <c r="FY114" i="63"/>
  <c r="GW110" i="63"/>
  <c r="FY113" i="63"/>
  <c r="FY112" i="63"/>
  <c r="FY111" i="63"/>
  <c r="FA114" i="63"/>
  <c r="FZ114" i="63"/>
  <c r="PQ177" i="63"/>
  <c r="LU177" i="63"/>
  <c r="JU113" i="63"/>
  <c r="JU111" i="63"/>
  <c r="KS110" i="63"/>
  <c r="JU114" i="63"/>
  <c r="JU112" i="63"/>
  <c r="IW114" i="63"/>
  <c r="IW175" i="63"/>
  <c r="JU174" i="63"/>
  <c r="IW176" i="63"/>
  <c r="IW177" i="63"/>
  <c r="PO114" i="63"/>
  <c r="PO113" i="63"/>
  <c r="PO112" i="63"/>
  <c r="PO111" i="63"/>
  <c r="CD175" i="63"/>
  <c r="CD176" i="63"/>
  <c r="DB174" i="63"/>
  <c r="CC175" i="63"/>
  <c r="CC176" i="63" s="1"/>
  <c r="CC177" i="63" s="1"/>
  <c r="CC178" i="63" s="1"/>
  <c r="CC179" i="63" s="1"/>
  <c r="CC180" i="63" s="1"/>
  <c r="CC181" i="63" s="1"/>
  <c r="CC182" i="63" s="1"/>
  <c r="CC183" i="63" s="1"/>
  <c r="CC184" i="63" s="1"/>
  <c r="CC185" i="63" s="1"/>
  <c r="CC186" i="63" s="1"/>
  <c r="CC187" i="63" s="1"/>
  <c r="CC188" i="63" s="1"/>
  <c r="CC189" i="63" s="1"/>
  <c r="CC190" i="63" s="1"/>
  <c r="CC191" i="63" s="1"/>
  <c r="CC192" i="63" s="1"/>
  <c r="CC193" i="63" s="1"/>
  <c r="CC194" i="63" s="1"/>
  <c r="CC195" i="63" s="1"/>
  <c r="CD177" i="63"/>
  <c r="LT177" i="63"/>
  <c r="LT176" i="63"/>
  <c r="LT175" i="63"/>
  <c r="MR174" i="63"/>
  <c r="CD237" i="63"/>
  <c r="BE238" i="63"/>
  <c r="BE239" i="63" s="1"/>
  <c r="BE240" i="63" s="1"/>
  <c r="BE241" i="63" s="1"/>
  <c r="BE242" i="63" s="1"/>
  <c r="BE243" i="63" s="1"/>
  <c r="BE244" i="63" s="1"/>
  <c r="BE245" i="63" s="1"/>
  <c r="BE246" i="63" s="1"/>
  <c r="BE247" i="63" s="1"/>
  <c r="BE248" i="63" s="1"/>
  <c r="BE249" i="63" s="1"/>
  <c r="BE250" i="63" s="1"/>
  <c r="BE251" i="63" s="1"/>
  <c r="BE252" i="63" s="1"/>
  <c r="BE253" i="63" s="1"/>
  <c r="BE254" i="63" s="1"/>
  <c r="BE255" i="63" s="1"/>
  <c r="BE256" i="63" s="1"/>
  <c r="BE257" i="63" s="1"/>
  <c r="BE258" i="63" s="1"/>
  <c r="MR114" i="63"/>
  <c r="MR113" i="63"/>
  <c r="MR111" i="63"/>
  <c r="MR115" i="63"/>
  <c r="MR112" i="63"/>
  <c r="NP110" i="63"/>
  <c r="FZ175" i="63"/>
  <c r="FZ177" i="63"/>
  <c r="FZ176" i="63"/>
  <c r="GX174" i="63"/>
  <c r="KU176" i="63"/>
  <c r="KU177" i="63"/>
  <c r="LS174" i="63"/>
  <c r="KU175" i="63"/>
  <c r="HX177" i="63"/>
  <c r="HX176" i="63"/>
  <c r="HX175" i="63"/>
  <c r="IV174" i="63"/>
  <c r="EB177" i="63"/>
  <c r="EB176" i="63"/>
  <c r="EB175" i="63"/>
  <c r="EZ174" i="63"/>
  <c r="I178" i="63"/>
  <c r="LT178" i="63" s="1"/>
  <c r="AD177" i="63"/>
  <c r="AC177" i="63"/>
  <c r="AB177" i="63"/>
  <c r="BB177" i="63"/>
  <c r="AZ177" i="63"/>
  <c r="BA177" i="63"/>
  <c r="BZ177" i="63"/>
  <c r="AA177" i="63"/>
  <c r="AY177" i="63"/>
  <c r="Z177" i="63"/>
  <c r="CX177" i="63"/>
  <c r="BY177" i="63"/>
  <c r="BX177" i="63"/>
  <c r="Y177" i="63"/>
  <c r="CW177" i="63"/>
  <c r="AX177" i="63"/>
  <c r="BW177" i="63"/>
  <c r="DV177" i="63"/>
  <c r="CV177" i="63"/>
  <c r="BV177" i="63"/>
  <c r="CU177" i="63"/>
  <c r="DU177" i="63"/>
  <c r="X177" i="63"/>
  <c r="ET177" i="63"/>
  <c r="AW177" i="63"/>
  <c r="DT177" i="63"/>
  <c r="DS177" i="63"/>
  <c r="ES177" i="63"/>
  <c r="W177" i="63"/>
  <c r="FR177" i="63"/>
  <c r="ER177" i="63"/>
  <c r="CT177" i="63"/>
  <c r="AV177" i="63"/>
  <c r="BU177" i="63"/>
  <c r="BT177" i="63"/>
  <c r="CS177" i="63"/>
  <c r="DR177" i="63"/>
  <c r="AU177" i="63"/>
  <c r="FP177" i="63"/>
  <c r="FQ177" i="63"/>
  <c r="V177" i="63"/>
  <c r="GP177" i="63"/>
  <c r="EQ177" i="63"/>
  <c r="GO177" i="63"/>
  <c r="U177" i="63"/>
  <c r="CR177" i="63"/>
  <c r="AT177" i="63"/>
  <c r="HN177" i="63"/>
  <c r="FO177" i="63"/>
  <c r="BS177" i="63"/>
  <c r="EP177" i="63"/>
  <c r="GN177" i="63"/>
  <c r="DQ177" i="63"/>
  <c r="EO177" i="63"/>
  <c r="IL177" i="63"/>
  <c r="AS177" i="63"/>
  <c r="T177" i="63"/>
  <c r="BR177" i="63"/>
  <c r="FN177" i="63"/>
  <c r="HM177" i="63"/>
  <c r="HL177" i="63"/>
  <c r="CQ177" i="63"/>
  <c r="DP177" i="63"/>
  <c r="GM177" i="63"/>
  <c r="IK177" i="63"/>
  <c r="IJ177" i="63"/>
  <c r="EN177" i="63"/>
  <c r="AR177" i="63"/>
  <c r="CP177" i="63"/>
  <c r="BQ177" i="63"/>
  <c r="HK177" i="63"/>
  <c r="JJ177" i="63"/>
  <c r="S177" i="63"/>
  <c r="GL177" i="63"/>
  <c r="DO177" i="63"/>
  <c r="FM177" i="63"/>
  <c r="JI177" i="63"/>
  <c r="BP177" i="63"/>
  <c r="R177" i="63"/>
  <c r="KH177" i="63"/>
  <c r="AQ177" i="63"/>
  <c r="DN177" i="63"/>
  <c r="FL177" i="63"/>
  <c r="II177" i="63"/>
  <c r="JH177" i="63"/>
  <c r="HJ177" i="63"/>
  <c r="EM177" i="63"/>
  <c r="CO177" i="63"/>
  <c r="GK177" i="63"/>
  <c r="BO177" i="63"/>
  <c r="KG177" i="63"/>
  <c r="FK177" i="63"/>
  <c r="DM177" i="63"/>
  <c r="HI177" i="63"/>
  <c r="LF177" i="63"/>
  <c r="JG177" i="63"/>
  <c r="EL177" i="63"/>
  <c r="IH177" i="63"/>
  <c r="Q177" i="63"/>
  <c r="CN177" i="63"/>
  <c r="KF177" i="63"/>
  <c r="GJ177" i="63"/>
  <c r="AP177" i="63"/>
  <c r="CM177" i="63"/>
  <c r="BN177" i="63"/>
  <c r="JF177" i="63"/>
  <c r="MD177" i="63"/>
  <c r="DL177" i="63"/>
  <c r="EK177" i="63"/>
  <c r="LD177" i="63"/>
  <c r="KE177" i="63"/>
  <c r="LE177" i="63"/>
  <c r="P177" i="63"/>
  <c r="IG177" i="63"/>
  <c r="FJ177" i="63"/>
  <c r="HH177" i="63"/>
  <c r="AO177" i="63"/>
  <c r="GI177" i="63"/>
  <c r="GH177" i="63"/>
  <c r="DK177" i="63"/>
  <c r="HG177" i="63"/>
  <c r="BM177" i="63"/>
  <c r="KD177" i="63"/>
  <c r="MB177" i="63"/>
  <c r="IF177" i="63"/>
  <c r="AN177" i="63"/>
  <c r="JE177" i="63"/>
  <c r="CL177" i="63"/>
  <c r="NB177" i="63"/>
  <c r="MC177" i="63"/>
  <c r="FI177" i="63"/>
  <c r="O177" i="63"/>
  <c r="EJ177" i="63"/>
  <c r="LC177" i="63"/>
  <c r="EI177" i="63"/>
  <c r="NZ177" i="63"/>
  <c r="HF177" i="63"/>
  <c r="AM177" i="63"/>
  <c r="DJ177" i="63"/>
  <c r="MA177" i="63"/>
  <c r="GG177" i="63"/>
  <c r="FH177" i="63"/>
  <c r="JD177" i="63"/>
  <c r="KC177" i="63"/>
  <c r="LB177" i="63"/>
  <c r="BL177" i="63"/>
  <c r="N177" i="63"/>
  <c r="IE177" i="63"/>
  <c r="MZ177" i="63"/>
  <c r="CK177" i="63"/>
  <c r="NA177" i="63"/>
  <c r="EH177" i="63"/>
  <c r="CJ177" i="63"/>
  <c r="DI177" i="63"/>
  <c r="GF177" i="63"/>
  <c r="JC177" i="63"/>
  <c r="KB177" i="63"/>
  <c r="BK177" i="63"/>
  <c r="ID177" i="63"/>
  <c r="LA177" i="63"/>
  <c r="MY177" i="63"/>
  <c r="NX177" i="63"/>
  <c r="HE177" i="63"/>
  <c r="M177" i="63"/>
  <c r="OX177" i="63"/>
  <c r="FG177" i="63"/>
  <c r="LZ177" i="63"/>
  <c r="AL177" i="63"/>
  <c r="NY177" i="63"/>
  <c r="AK177" i="63"/>
  <c r="OV177" i="63"/>
  <c r="LY177" i="63"/>
  <c r="JB177" i="63"/>
  <c r="IC177" i="63"/>
  <c r="HD177" i="63"/>
  <c r="L177" i="63"/>
  <c r="NW177" i="63"/>
  <c r="PV177" i="63"/>
  <c r="DH177" i="63"/>
  <c r="FF177" i="63"/>
  <c r="MX177" i="63"/>
  <c r="GE177" i="63"/>
  <c r="KA177" i="63"/>
  <c r="EG177" i="63"/>
  <c r="BJ177" i="63"/>
  <c r="OW177" i="63"/>
  <c r="CI177" i="63"/>
  <c r="KZ177" i="63"/>
  <c r="IB177" i="63"/>
  <c r="BI177" i="63"/>
  <c r="JZ177" i="63"/>
  <c r="HC177" i="63"/>
  <c r="PU177" i="63"/>
  <c r="FE177" i="63"/>
  <c r="NV177" i="63"/>
  <c r="GD177" i="63"/>
  <c r="JA177" i="63"/>
  <c r="MW177" i="63"/>
  <c r="AJ177" i="63"/>
  <c r="PT177" i="63"/>
  <c r="EF177" i="63"/>
  <c r="OU177" i="63"/>
  <c r="K177" i="63"/>
  <c r="CH177" i="63"/>
  <c r="KY177" i="63"/>
  <c r="LX177" i="63"/>
  <c r="DG177" i="63"/>
  <c r="GC177" i="63"/>
  <c r="KX177" i="63"/>
  <c r="CG177" i="63"/>
  <c r="DF177" i="63"/>
  <c r="JY177" i="63"/>
  <c r="HB177" i="63"/>
  <c r="LW177" i="63"/>
  <c r="IA177" i="63"/>
  <c r="NU177" i="63"/>
  <c r="EE177" i="63"/>
  <c r="OT177" i="63"/>
  <c r="IZ177" i="63"/>
  <c r="J177" i="63"/>
  <c r="FD177" i="63"/>
  <c r="MV177" i="63"/>
  <c r="AI177" i="63"/>
  <c r="PS177" i="63"/>
  <c r="BH177" i="63"/>
  <c r="JX177" i="63"/>
  <c r="LV177" i="63"/>
  <c r="PR177" i="63"/>
  <c r="IY177" i="63"/>
  <c r="HZ177" i="63"/>
  <c r="GB177" i="63"/>
  <c r="ED177" i="63"/>
  <c r="MU177" i="63"/>
  <c r="KW177" i="63"/>
  <c r="NT177" i="63"/>
  <c r="DE177" i="63"/>
  <c r="OS177" i="63"/>
  <c r="BG177" i="63"/>
  <c r="CF177" i="63"/>
  <c r="FC177" i="63"/>
  <c r="AH177" i="63"/>
  <c r="HA177" i="63"/>
  <c r="NQ115" i="63"/>
  <c r="OO110" i="63"/>
  <c r="NQ114" i="63"/>
  <c r="NQ113" i="63"/>
  <c r="NQ112" i="63"/>
  <c r="NQ111" i="63"/>
  <c r="FA175" i="63"/>
  <c r="FA176" i="63"/>
  <c r="FA177" i="63"/>
  <c r="FY174" i="63"/>
  <c r="I115" i="63"/>
  <c r="JU115" i="63" s="1"/>
  <c r="AD114" i="63"/>
  <c r="AB114" i="63"/>
  <c r="AC114" i="63"/>
  <c r="BB114" i="63"/>
  <c r="BZ114" i="63"/>
  <c r="AA114" i="63"/>
  <c r="AZ114" i="63"/>
  <c r="BA114" i="63"/>
  <c r="CX114" i="63"/>
  <c r="BY114" i="63"/>
  <c r="AY114" i="63"/>
  <c r="BX114" i="63"/>
  <c r="Z114" i="63"/>
  <c r="AX114" i="63"/>
  <c r="BW114" i="63"/>
  <c r="CV114" i="63"/>
  <c r="Y114" i="63"/>
  <c r="DV114" i="63"/>
  <c r="CW114" i="63"/>
  <c r="DT114" i="63"/>
  <c r="BV114" i="63"/>
  <c r="DU114" i="63"/>
  <c r="ET114" i="63"/>
  <c r="AW114" i="63"/>
  <c r="CU114" i="63"/>
  <c r="X114" i="63"/>
  <c r="CT114" i="63"/>
  <c r="BU114" i="63"/>
  <c r="ES114" i="63"/>
  <c r="AV114" i="63"/>
  <c r="DS114" i="63"/>
  <c r="W114" i="63"/>
  <c r="ER114" i="63"/>
  <c r="FR114" i="63"/>
  <c r="EQ114" i="63"/>
  <c r="V114" i="63"/>
  <c r="CS114" i="63"/>
  <c r="AU114" i="63"/>
  <c r="BT114" i="63"/>
  <c r="FQ114" i="63"/>
  <c r="DR114" i="63"/>
  <c r="GP114" i="63"/>
  <c r="FP114" i="63"/>
  <c r="FO114" i="63"/>
  <c r="BS114" i="63"/>
  <c r="DQ114" i="63"/>
  <c r="CR114" i="63"/>
  <c r="EP114" i="63"/>
  <c r="GO114" i="63"/>
  <c r="GN114" i="63"/>
  <c r="HN114" i="63"/>
  <c r="U114" i="63"/>
  <c r="AT114" i="63"/>
  <c r="BR114" i="63"/>
  <c r="GM114" i="63"/>
  <c r="EO114" i="63"/>
  <c r="HM114" i="63"/>
  <c r="CQ114" i="63"/>
  <c r="FN114" i="63"/>
  <c r="HL114" i="63"/>
  <c r="T114" i="63"/>
  <c r="IL114" i="63"/>
  <c r="AS114" i="63"/>
  <c r="DP114" i="63"/>
  <c r="EN114" i="63"/>
  <c r="FM114" i="63"/>
  <c r="DO114" i="63"/>
  <c r="GL114" i="63"/>
  <c r="IJ114" i="63"/>
  <c r="HK114" i="63"/>
  <c r="S114" i="63"/>
  <c r="CP114" i="63"/>
  <c r="AR114" i="63"/>
  <c r="IK114" i="63"/>
  <c r="BQ114" i="63"/>
  <c r="JJ114" i="63"/>
  <c r="KH114" i="63"/>
  <c r="EM114" i="63"/>
  <c r="JI114" i="63"/>
  <c r="CO114" i="63"/>
  <c r="JH114" i="63"/>
  <c r="II114" i="63"/>
  <c r="FL114" i="63"/>
  <c r="HJ114" i="63"/>
  <c r="BP114" i="63"/>
  <c r="R114" i="63"/>
  <c r="AQ114" i="63"/>
  <c r="GK114" i="63"/>
  <c r="DN114" i="63"/>
  <c r="BO114" i="63"/>
  <c r="AP114" i="63"/>
  <c r="EL114" i="63"/>
  <c r="KG114" i="63"/>
  <c r="KF114" i="63"/>
  <c r="JG114" i="63"/>
  <c r="Q114" i="63"/>
  <c r="LF114" i="63"/>
  <c r="DM114" i="63"/>
  <c r="GJ114" i="63"/>
  <c r="FK114" i="63"/>
  <c r="IH114" i="63"/>
  <c r="CN114" i="63"/>
  <c r="HI114" i="63"/>
  <c r="LE114" i="63"/>
  <c r="DL114" i="63"/>
  <c r="HH114" i="63"/>
  <c r="AO114" i="63"/>
  <c r="MD114" i="63"/>
  <c r="KE114" i="63"/>
  <c r="FJ114" i="63"/>
  <c r="CM114" i="63"/>
  <c r="GI114" i="63"/>
  <c r="JF114" i="63"/>
  <c r="P114" i="63"/>
  <c r="LD114" i="63"/>
  <c r="BN114" i="63"/>
  <c r="IG114" i="63"/>
  <c r="EK114" i="63"/>
  <c r="HG114" i="63"/>
  <c r="IF114" i="63"/>
  <c r="LC114" i="63"/>
  <c r="DK114" i="63"/>
  <c r="GH114" i="63"/>
  <c r="AN114" i="63"/>
  <c r="MC114" i="63"/>
  <c r="MB114" i="63"/>
  <c r="NB114" i="63"/>
  <c r="CL114" i="63"/>
  <c r="O114" i="63"/>
  <c r="KD114" i="63"/>
  <c r="EJ114" i="63"/>
  <c r="JE114" i="63"/>
  <c r="BM114" i="63"/>
  <c r="FI114" i="63"/>
  <c r="N114" i="63"/>
  <c r="KC114" i="63"/>
  <c r="EI114" i="63"/>
  <c r="MA114" i="63"/>
  <c r="BL114" i="63"/>
  <c r="NZ114" i="63"/>
  <c r="LB114" i="63"/>
  <c r="IE114" i="63"/>
  <c r="FH114" i="63"/>
  <c r="NA114" i="63"/>
  <c r="GG114" i="63"/>
  <c r="DJ114" i="63"/>
  <c r="MZ114" i="63"/>
  <c r="HF114" i="63"/>
  <c r="AM114" i="63"/>
  <c r="CK114" i="63"/>
  <c r="JD114" i="63"/>
  <c r="AL114" i="63"/>
  <c r="NY114" i="63"/>
  <c r="LA114" i="63"/>
  <c r="BK114" i="63"/>
  <c r="EH114" i="63"/>
  <c r="OX114" i="63"/>
  <c r="MY114" i="63"/>
  <c r="NX114" i="63"/>
  <c r="DI114" i="63"/>
  <c r="HE114" i="63"/>
  <c r="GF114" i="63"/>
  <c r="ID114" i="63"/>
  <c r="KB114" i="63"/>
  <c r="FG114" i="63"/>
  <c r="M114" i="63"/>
  <c r="JC114" i="63"/>
  <c r="LZ114" i="63"/>
  <c r="CJ114" i="63"/>
  <c r="DH114" i="63"/>
  <c r="OW114" i="63"/>
  <c r="AK114" i="63"/>
  <c r="JB114" i="63"/>
  <c r="IC114" i="63"/>
  <c r="PV114" i="63"/>
  <c r="KA114" i="63"/>
  <c r="BJ114" i="63"/>
  <c r="EG114" i="63"/>
  <c r="HD114" i="63"/>
  <c r="MX114" i="63"/>
  <c r="L114" i="63"/>
  <c r="FF114" i="63"/>
  <c r="CI114" i="63"/>
  <c r="OV114" i="63"/>
  <c r="GE114" i="63"/>
  <c r="LY114" i="63"/>
  <c r="KZ114" i="63"/>
  <c r="NW114" i="63"/>
  <c r="FE114" i="63"/>
  <c r="IB114" i="63"/>
  <c r="AJ114" i="63"/>
  <c r="MW114" i="63"/>
  <c r="NV114" i="63"/>
  <c r="PU114" i="63"/>
  <c r="LX114" i="63"/>
  <c r="DG114" i="63"/>
  <c r="PT114" i="63"/>
  <c r="KY114" i="63"/>
  <c r="JA114" i="63"/>
  <c r="JZ114" i="63"/>
  <c r="HC114" i="63"/>
  <c r="EF114" i="63"/>
  <c r="BI114" i="63"/>
  <c r="CH114" i="63"/>
  <c r="K114" i="63"/>
  <c r="GD114" i="63"/>
  <c r="OU114" i="63"/>
  <c r="KX114" i="63"/>
  <c r="MV114" i="63"/>
  <c r="JY114" i="63"/>
  <c r="IZ114" i="63"/>
  <c r="NU114" i="63"/>
  <c r="CG114" i="63"/>
  <c r="HB114" i="63"/>
  <c r="GC114" i="63"/>
  <c r="AI114" i="63"/>
  <c r="OT114" i="63"/>
  <c r="LW114" i="63"/>
  <c r="DF114" i="63"/>
  <c r="BH114" i="63"/>
  <c r="EE114" i="63"/>
  <c r="PS114" i="63"/>
  <c r="IA114" i="63"/>
  <c r="J114" i="63"/>
  <c r="FD114" i="63"/>
  <c r="OS114" i="63"/>
  <c r="DE114" i="63"/>
  <c r="AH114" i="63"/>
  <c r="MU114" i="63"/>
  <c r="BG114" i="63"/>
  <c r="JX114" i="63"/>
  <c r="HA114" i="63"/>
  <c r="NT114" i="63"/>
  <c r="LV114" i="63"/>
  <c r="ED114" i="63"/>
  <c r="GB114" i="63"/>
  <c r="FC114" i="63"/>
  <c r="KW114" i="63"/>
  <c r="HZ114" i="63"/>
  <c r="CF114" i="63"/>
  <c r="PR114" i="63"/>
  <c r="IY114" i="63"/>
  <c r="HY114" i="63"/>
  <c r="PQ114" i="63"/>
  <c r="EC114" i="63"/>
  <c r="CE114" i="63"/>
  <c r="MT114" i="63"/>
  <c r="GZ114" i="63"/>
  <c r="BF114" i="63"/>
  <c r="JW114" i="63"/>
  <c r="OR114" i="63"/>
  <c r="DD114" i="63"/>
  <c r="IX114" i="63"/>
  <c r="GA114" i="63"/>
  <c r="KV114" i="63"/>
  <c r="LU114" i="63"/>
  <c r="NS114" i="63"/>
  <c r="FB114" i="63"/>
  <c r="HX114" i="63"/>
  <c r="IV113" i="63"/>
  <c r="IV112" i="63"/>
  <c r="IV115" i="63"/>
  <c r="IV114" i="63"/>
  <c r="IV111" i="63"/>
  <c r="JT110" i="63"/>
  <c r="IX177" i="63"/>
  <c r="EA115" i="63"/>
  <c r="EA114" i="63"/>
  <c r="EA113" i="63"/>
  <c r="EA112" i="63"/>
  <c r="EA111" i="63"/>
  <c r="EY110" i="63"/>
  <c r="PP178" i="63"/>
  <c r="PP177" i="63"/>
  <c r="PP176" i="63"/>
  <c r="PP175" i="63"/>
  <c r="NR114" i="63"/>
  <c r="HW115" i="63"/>
  <c r="HW114" i="63"/>
  <c r="HW113" i="63"/>
  <c r="HW112" i="63"/>
  <c r="HW111" i="63"/>
  <c r="IU110" i="63"/>
  <c r="DA111" i="63"/>
  <c r="DA112" i="63" s="1"/>
  <c r="DA113" i="63" s="1"/>
  <c r="DA114" i="63" s="1"/>
  <c r="DA115" i="63" s="1"/>
  <c r="DA116" i="63" s="1"/>
  <c r="DA117" i="63" s="1"/>
  <c r="DA118" i="63" s="1"/>
  <c r="DA119" i="63" s="1"/>
  <c r="DA120" i="63" s="1"/>
  <c r="DA121" i="63" s="1"/>
  <c r="DA122" i="63" s="1"/>
  <c r="DA123" i="63" s="1"/>
  <c r="DA124" i="63" s="1"/>
  <c r="DA125" i="63" s="1"/>
  <c r="DA126" i="63" s="1"/>
  <c r="DA127" i="63" s="1"/>
  <c r="DA128" i="63" s="1"/>
  <c r="DA129" i="63" s="1"/>
  <c r="DA130" i="63" s="1"/>
  <c r="DA131" i="63" s="1"/>
  <c r="DB115" i="63"/>
  <c r="DB114" i="63"/>
  <c r="DB113" i="63"/>
  <c r="DB112" i="63"/>
  <c r="DB111" i="63"/>
  <c r="DZ110" i="63"/>
  <c r="CD114" i="63"/>
  <c r="MT177" i="63"/>
  <c r="NS177" i="63"/>
  <c r="MS177" i="63"/>
  <c r="MS178" i="63"/>
  <c r="MS176" i="63"/>
  <c r="NQ174" i="63"/>
  <c r="MS175" i="63"/>
  <c r="LR110" i="63"/>
  <c r="KT115" i="63"/>
  <c r="KT114" i="63"/>
  <c r="KT113" i="63"/>
  <c r="KT112" i="63"/>
  <c r="KT111" i="63"/>
  <c r="LS115" i="63"/>
  <c r="LS114" i="63"/>
  <c r="LS113" i="63"/>
  <c r="LS112" i="63"/>
  <c r="LS111" i="63"/>
  <c r="MQ110" i="63"/>
  <c r="HY177" i="63"/>
  <c r="OQ114" i="63"/>
  <c r="Z108" i="39"/>
  <c r="O236" i="39"/>
  <c r="Y15" i="65" l="1"/>
  <c r="Y19" i="65" s="1"/>
  <c r="Y23" i="65" s="1"/>
  <c r="Y110" i="65" s="1"/>
  <c r="X3" i="65"/>
  <c r="AA221" i="65"/>
  <c r="Z166" i="65"/>
  <c r="BN170" i="39"/>
  <c r="BG170" i="39"/>
  <c r="AW170" i="39"/>
  <c r="BM170" i="39"/>
  <c r="BC170" i="39"/>
  <c r="BE170" i="39"/>
  <c r="AN170" i="39"/>
  <c r="BB170" i="39"/>
  <c r="AT170" i="39"/>
  <c r="BK170" i="39"/>
  <c r="AL170" i="39"/>
  <c r="AU170" i="39"/>
  <c r="AM170" i="39"/>
  <c r="BJ170" i="39"/>
  <c r="BA170" i="39"/>
  <c r="AQ170" i="39"/>
  <c r="BD170" i="39"/>
  <c r="AX170" i="39"/>
  <c r="AP170" i="39"/>
  <c r="AR170" i="39"/>
  <c r="AS170" i="39"/>
  <c r="BH170" i="39"/>
  <c r="BI170" i="39"/>
  <c r="AO170" i="39"/>
  <c r="AZ170" i="39"/>
  <c r="AK170" i="39"/>
  <c r="BF170" i="39"/>
  <c r="AY170" i="39"/>
  <c r="BL170" i="39"/>
  <c r="AV170" i="39"/>
  <c r="AG170" i="39"/>
  <c r="Y170" i="39"/>
  <c r="W170" i="39"/>
  <c r="AH170" i="39"/>
  <c r="X170" i="39"/>
  <c r="AB170" i="39"/>
  <c r="AE170" i="39"/>
  <c r="AJ170" i="39"/>
  <c r="AD170" i="39"/>
  <c r="AC170" i="39"/>
  <c r="AF170" i="39"/>
  <c r="AA170" i="39"/>
  <c r="Z170" i="39"/>
  <c r="AI170" i="39"/>
  <c r="V170" i="39"/>
  <c r="U170" i="39"/>
  <c r="T170" i="39"/>
  <c r="S170" i="39"/>
  <c r="R170" i="39"/>
  <c r="Q170" i="39"/>
  <c r="P170" i="39"/>
  <c r="O171" i="39"/>
  <c r="BN114" i="39"/>
  <c r="AV114" i="39"/>
  <c r="AW114" i="39"/>
  <c r="AS114" i="39"/>
  <c r="AQ114" i="39"/>
  <c r="AP114" i="39"/>
  <c r="AR114" i="39"/>
  <c r="BL114" i="39"/>
  <c r="AX114" i="39"/>
  <c r="BD114" i="39"/>
  <c r="BE114" i="39"/>
  <c r="AY114" i="39"/>
  <c r="BK114" i="39"/>
  <c r="AL114" i="39"/>
  <c r="AK114" i="39"/>
  <c r="AU114" i="39"/>
  <c r="AM114" i="39"/>
  <c r="BI114" i="39"/>
  <c r="BM114" i="39"/>
  <c r="AT114" i="39"/>
  <c r="AZ114" i="39"/>
  <c r="BA114" i="39"/>
  <c r="AN114" i="39"/>
  <c r="BH114" i="39"/>
  <c r="BF114" i="39"/>
  <c r="BG114" i="39"/>
  <c r="BC114" i="39"/>
  <c r="BB114" i="39"/>
  <c r="BJ114" i="39"/>
  <c r="AO114" i="39"/>
  <c r="Y114" i="39"/>
  <c r="AI114" i="39"/>
  <c r="X114" i="39"/>
  <c r="AB114" i="39"/>
  <c r="AH114" i="39"/>
  <c r="AE114" i="39"/>
  <c r="Z114" i="39"/>
  <c r="AC114" i="39"/>
  <c r="AJ114" i="39"/>
  <c r="AF114" i="39"/>
  <c r="AD114" i="39"/>
  <c r="AA114" i="39"/>
  <c r="AG114" i="39"/>
  <c r="W114" i="39"/>
  <c r="V114" i="39"/>
  <c r="U114" i="39"/>
  <c r="T114" i="39"/>
  <c r="S114" i="39"/>
  <c r="R114" i="39"/>
  <c r="Q114" i="39"/>
  <c r="P114" i="39"/>
  <c r="O115" i="39"/>
  <c r="PO115" i="63"/>
  <c r="FZ178" i="63"/>
  <c r="EX110" i="63"/>
  <c r="DZ115" i="63"/>
  <c r="DZ113" i="63"/>
  <c r="DZ112" i="63"/>
  <c r="DY111" i="63"/>
  <c r="DY112" i="63" s="1"/>
  <c r="DY113" i="63" s="1"/>
  <c r="DY114" i="63" s="1"/>
  <c r="DY115" i="63" s="1"/>
  <c r="DY116" i="63" s="1"/>
  <c r="DY117" i="63" s="1"/>
  <c r="DY118" i="63" s="1"/>
  <c r="DY119" i="63" s="1"/>
  <c r="DY120" i="63" s="1"/>
  <c r="DY121" i="63" s="1"/>
  <c r="DY122" i="63" s="1"/>
  <c r="DY123" i="63" s="1"/>
  <c r="DY124" i="63" s="1"/>
  <c r="DY125" i="63" s="1"/>
  <c r="DY126" i="63" s="1"/>
  <c r="DY127" i="63" s="1"/>
  <c r="DY128" i="63" s="1"/>
  <c r="DY129" i="63" s="1"/>
  <c r="DY130" i="63" s="1"/>
  <c r="DY131" i="63" s="1"/>
  <c r="DZ114" i="63"/>
  <c r="DZ111" i="63"/>
  <c r="IU114" i="63"/>
  <c r="IU113" i="63"/>
  <c r="IU111" i="63"/>
  <c r="IU115" i="63"/>
  <c r="IU112" i="63"/>
  <c r="JS110" i="63"/>
  <c r="DB178" i="63"/>
  <c r="DB177" i="63"/>
  <c r="DB176" i="63"/>
  <c r="DB175" i="63"/>
  <c r="DA175" i="63"/>
  <c r="DA176" i="63" s="1"/>
  <c r="DA177" i="63" s="1"/>
  <c r="DA178" i="63" s="1"/>
  <c r="DA179" i="63" s="1"/>
  <c r="DA180" i="63" s="1"/>
  <c r="DA181" i="63" s="1"/>
  <c r="DA182" i="63" s="1"/>
  <c r="DA183" i="63" s="1"/>
  <c r="DA184" i="63" s="1"/>
  <c r="DA185" i="63" s="1"/>
  <c r="DA186" i="63" s="1"/>
  <c r="DA187" i="63" s="1"/>
  <c r="DA188" i="63" s="1"/>
  <c r="DA189" i="63" s="1"/>
  <c r="DA190" i="63" s="1"/>
  <c r="DA191" i="63" s="1"/>
  <c r="DA192" i="63" s="1"/>
  <c r="DA193" i="63" s="1"/>
  <c r="DA194" i="63" s="1"/>
  <c r="DA195" i="63" s="1"/>
  <c r="DZ174" i="63"/>
  <c r="GV110" i="63"/>
  <c r="FX115" i="63"/>
  <c r="FX114" i="63"/>
  <c r="FX113" i="63"/>
  <c r="FX112" i="63"/>
  <c r="FX111" i="63"/>
  <c r="KR110" i="63"/>
  <c r="JT115" i="63"/>
  <c r="JT114" i="63"/>
  <c r="JT113" i="63"/>
  <c r="JT112" i="63"/>
  <c r="JT111" i="63"/>
  <c r="OO115" i="63"/>
  <c r="OO114" i="63"/>
  <c r="OO113" i="63"/>
  <c r="OO112" i="63"/>
  <c r="OO111" i="63"/>
  <c r="PM110" i="63"/>
  <c r="I179" i="63"/>
  <c r="HW179" i="63" s="1"/>
  <c r="AD178" i="63"/>
  <c r="BB178" i="63"/>
  <c r="AB178" i="63"/>
  <c r="AC178" i="63"/>
  <c r="AA178" i="63"/>
  <c r="BA178" i="63"/>
  <c r="AZ178" i="63"/>
  <c r="BZ178" i="63"/>
  <c r="AY178" i="63"/>
  <c r="CX178" i="63"/>
  <c r="BY178" i="63"/>
  <c r="Z178" i="63"/>
  <c r="BX178" i="63"/>
  <c r="BW178" i="63"/>
  <c r="CV178" i="63"/>
  <c r="CW178" i="63"/>
  <c r="AX178" i="63"/>
  <c r="Y178" i="63"/>
  <c r="DV178" i="63"/>
  <c r="X178" i="63"/>
  <c r="ET178" i="63"/>
  <c r="CU178" i="63"/>
  <c r="DT178" i="63"/>
  <c r="BV178" i="63"/>
  <c r="AW178" i="63"/>
  <c r="DU178" i="63"/>
  <c r="ER178" i="63"/>
  <c r="ES178" i="63"/>
  <c r="CT178" i="63"/>
  <c r="AV178" i="63"/>
  <c r="W178" i="63"/>
  <c r="FR178" i="63"/>
  <c r="BU178" i="63"/>
  <c r="DS178" i="63"/>
  <c r="BT178" i="63"/>
  <c r="CS178" i="63"/>
  <c r="AU178" i="63"/>
  <c r="GP178" i="63"/>
  <c r="V178" i="63"/>
  <c r="FP178" i="63"/>
  <c r="EQ178" i="63"/>
  <c r="DR178" i="63"/>
  <c r="FQ178" i="63"/>
  <c r="FO178" i="63"/>
  <c r="CR178" i="63"/>
  <c r="BS178" i="63"/>
  <c r="HN178" i="63"/>
  <c r="DQ178" i="63"/>
  <c r="U178" i="63"/>
  <c r="GO178" i="63"/>
  <c r="AT178" i="63"/>
  <c r="EP178" i="63"/>
  <c r="GN178" i="63"/>
  <c r="EO178" i="63"/>
  <c r="HM178" i="63"/>
  <c r="CQ178" i="63"/>
  <c r="IL178" i="63"/>
  <c r="AS178" i="63"/>
  <c r="DP178" i="63"/>
  <c r="HL178" i="63"/>
  <c r="GM178" i="63"/>
  <c r="BR178" i="63"/>
  <c r="FN178" i="63"/>
  <c r="T178" i="63"/>
  <c r="IK178" i="63"/>
  <c r="JJ178" i="63"/>
  <c r="S178" i="63"/>
  <c r="FM178" i="63"/>
  <c r="GL178" i="63"/>
  <c r="CP178" i="63"/>
  <c r="HK178" i="63"/>
  <c r="DO178" i="63"/>
  <c r="BQ178" i="63"/>
  <c r="IJ178" i="63"/>
  <c r="EN178" i="63"/>
  <c r="AR178" i="63"/>
  <c r="HJ178" i="63"/>
  <c r="II178" i="63"/>
  <c r="CO178" i="63"/>
  <c r="JH178" i="63"/>
  <c r="R178" i="63"/>
  <c r="KH178" i="63"/>
  <c r="EM178" i="63"/>
  <c r="FL178" i="63"/>
  <c r="BP178" i="63"/>
  <c r="AQ178" i="63"/>
  <c r="DN178" i="63"/>
  <c r="JI178" i="63"/>
  <c r="GK178" i="63"/>
  <c r="GJ178" i="63"/>
  <c r="LF178" i="63"/>
  <c r="DM178" i="63"/>
  <c r="AP178" i="63"/>
  <c r="FK178" i="63"/>
  <c r="Q178" i="63"/>
  <c r="HI178" i="63"/>
  <c r="EL178" i="63"/>
  <c r="BO178" i="63"/>
  <c r="JG178" i="63"/>
  <c r="IH178" i="63"/>
  <c r="CN178" i="63"/>
  <c r="KG178" i="63"/>
  <c r="KF178" i="63"/>
  <c r="BN178" i="63"/>
  <c r="JF178" i="63"/>
  <c r="MD178" i="63"/>
  <c r="P178" i="63"/>
  <c r="IG178" i="63"/>
  <c r="FJ178" i="63"/>
  <c r="EK178" i="63"/>
  <c r="LD178" i="63"/>
  <c r="GI178" i="63"/>
  <c r="LE178" i="63"/>
  <c r="DL178" i="63"/>
  <c r="KE178" i="63"/>
  <c r="HH178" i="63"/>
  <c r="AO178" i="63"/>
  <c r="CM178" i="63"/>
  <c r="GH178" i="63"/>
  <c r="O178" i="63"/>
  <c r="HG178" i="63"/>
  <c r="IF178" i="63"/>
  <c r="LC178" i="63"/>
  <c r="CL178" i="63"/>
  <c r="EJ178" i="63"/>
  <c r="NB178" i="63"/>
  <c r="DK178" i="63"/>
  <c r="JE178" i="63"/>
  <c r="BM178" i="63"/>
  <c r="MB178" i="63"/>
  <c r="AN178" i="63"/>
  <c r="MC178" i="63"/>
  <c r="FI178" i="63"/>
  <c r="KD178" i="63"/>
  <c r="GG178" i="63"/>
  <c r="KC178" i="63"/>
  <c r="HF178" i="63"/>
  <c r="AM178" i="63"/>
  <c r="DJ178" i="63"/>
  <c r="MA178" i="63"/>
  <c r="NZ178" i="63"/>
  <c r="LB178" i="63"/>
  <c r="MZ178" i="63"/>
  <c r="NA178" i="63"/>
  <c r="EI178" i="63"/>
  <c r="FH178" i="63"/>
  <c r="BL178" i="63"/>
  <c r="N178" i="63"/>
  <c r="IE178" i="63"/>
  <c r="JD178" i="63"/>
  <c r="CK178" i="63"/>
  <c r="DI178" i="63"/>
  <c r="ID178" i="63"/>
  <c r="GF178" i="63"/>
  <c r="KB178" i="63"/>
  <c r="FG178" i="63"/>
  <c r="LA178" i="63"/>
  <c r="MY178" i="63"/>
  <c r="NX178" i="63"/>
  <c r="AL178" i="63"/>
  <c r="EH178" i="63"/>
  <c r="OX178" i="63"/>
  <c r="LZ178" i="63"/>
  <c r="HE178" i="63"/>
  <c r="M178" i="63"/>
  <c r="NY178" i="63"/>
  <c r="BK178" i="63"/>
  <c r="JC178" i="63"/>
  <c r="CJ178" i="63"/>
  <c r="AK178" i="63"/>
  <c r="EG178" i="63"/>
  <c r="BJ178" i="63"/>
  <c r="L178" i="63"/>
  <c r="PV178" i="63"/>
  <c r="FF178" i="63"/>
  <c r="IC178" i="63"/>
  <c r="MX178" i="63"/>
  <c r="DH178" i="63"/>
  <c r="KA178" i="63"/>
  <c r="OV178" i="63"/>
  <c r="LY178" i="63"/>
  <c r="JB178" i="63"/>
  <c r="OW178" i="63"/>
  <c r="GE178" i="63"/>
  <c r="CI178" i="63"/>
  <c r="KZ178" i="63"/>
  <c r="HD178" i="63"/>
  <c r="NW178" i="63"/>
  <c r="NV178" i="63"/>
  <c r="MW178" i="63"/>
  <c r="JZ178" i="63"/>
  <c r="AJ178" i="63"/>
  <c r="KY178" i="63"/>
  <c r="OU178" i="63"/>
  <c r="JA178" i="63"/>
  <c r="LX178" i="63"/>
  <c r="PT178" i="63"/>
  <c r="BI178" i="63"/>
  <c r="HC178" i="63"/>
  <c r="CH178" i="63"/>
  <c r="DG178" i="63"/>
  <c r="K178" i="63"/>
  <c r="GD178" i="63"/>
  <c r="EF178" i="63"/>
  <c r="FE178" i="63"/>
  <c r="IB178" i="63"/>
  <c r="PU178" i="63"/>
  <c r="AI178" i="63"/>
  <c r="LW178" i="63"/>
  <c r="GC178" i="63"/>
  <c r="PS178" i="63"/>
  <c r="FD178" i="63"/>
  <c r="BH178" i="63"/>
  <c r="MV178" i="63"/>
  <c r="J178" i="63"/>
  <c r="IA178" i="63"/>
  <c r="KX178" i="63"/>
  <c r="IZ178" i="63"/>
  <c r="DF178" i="63"/>
  <c r="JY178" i="63"/>
  <c r="HB178" i="63"/>
  <c r="EE178" i="63"/>
  <c r="OT178" i="63"/>
  <c r="CG178" i="63"/>
  <c r="NU178" i="63"/>
  <c r="GB178" i="63"/>
  <c r="FC178" i="63"/>
  <c r="ED178" i="63"/>
  <c r="IY178" i="63"/>
  <c r="BG178" i="63"/>
  <c r="HZ178" i="63"/>
  <c r="NT178" i="63"/>
  <c r="DE178" i="63"/>
  <c r="OS178" i="63"/>
  <c r="CF178" i="63"/>
  <c r="KW178" i="63"/>
  <c r="AH178" i="63"/>
  <c r="JX178" i="63"/>
  <c r="PR178" i="63"/>
  <c r="LV178" i="63"/>
  <c r="HA178" i="63"/>
  <c r="MU178" i="63"/>
  <c r="KV178" i="63"/>
  <c r="GZ178" i="63"/>
  <c r="DD178" i="63"/>
  <c r="FB178" i="63"/>
  <c r="HY178" i="63"/>
  <c r="EC178" i="63"/>
  <c r="PQ178" i="63"/>
  <c r="NS178" i="63"/>
  <c r="GA178" i="63"/>
  <c r="JW178" i="63"/>
  <c r="BF178" i="63"/>
  <c r="MT178" i="63"/>
  <c r="OR178" i="63"/>
  <c r="IX178" i="63"/>
  <c r="CE178" i="63"/>
  <c r="LU178" i="63"/>
  <c r="HX178" i="63"/>
  <c r="MQ174" i="63"/>
  <c r="LS175" i="63"/>
  <c r="LS176" i="63"/>
  <c r="LS178" i="63"/>
  <c r="LS177" i="63"/>
  <c r="CC238" i="63"/>
  <c r="CC239" i="63" s="1"/>
  <c r="CC240" i="63" s="1"/>
  <c r="CC241" i="63" s="1"/>
  <c r="CC242" i="63" s="1"/>
  <c r="CC243" i="63" s="1"/>
  <c r="CC244" i="63" s="1"/>
  <c r="CC245" i="63" s="1"/>
  <c r="CC246" i="63" s="1"/>
  <c r="CC247" i="63" s="1"/>
  <c r="CC248" i="63" s="1"/>
  <c r="CC249" i="63" s="1"/>
  <c r="CC250" i="63" s="1"/>
  <c r="CC251" i="63" s="1"/>
  <c r="CC252" i="63" s="1"/>
  <c r="CC253" i="63" s="1"/>
  <c r="CC254" i="63" s="1"/>
  <c r="CC255" i="63" s="1"/>
  <c r="CC256" i="63" s="1"/>
  <c r="CC257" i="63" s="1"/>
  <c r="CC258" i="63" s="1"/>
  <c r="DB237" i="63"/>
  <c r="GW115" i="63"/>
  <c r="GW114" i="63"/>
  <c r="GW113" i="63"/>
  <c r="GW112" i="63"/>
  <c r="GW111" i="63"/>
  <c r="HU110" i="63"/>
  <c r="PO178" i="63"/>
  <c r="PO175" i="63"/>
  <c r="PO177" i="63"/>
  <c r="PO176" i="63"/>
  <c r="PN115" i="63"/>
  <c r="PN114" i="63"/>
  <c r="PN113" i="63"/>
  <c r="PN112" i="63"/>
  <c r="PN111" i="63"/>
  <c r="GY178" i="63"/>
  <c r="IU174" i="63"/>
  <c r="HW176" i="63"/>
  <c r="HW177" i="63"/>
  <c r="HW175" i="63"/>
  <c r="HW178" i="63"/>
  <c r="KT178" i="63"/>
  <c r="KT177" i="63"/>
  <c r="KT176" i="63"/>
  <c r="KT175" i="63"/>
  <c r="LR174" i="63"/>
  <c r="DC178" i="63"/>
  <c r="IT110" i="63"/>
  <c r="HV113" i="63"/>
  <c r="HV112" i="63"/>
  <c r="HV115" i="63"/>
  <c r="HV114" i="63"/>
  <c r="HV111" i="63"/>
  <c r="MQ115" i="63"/>
  <c r="MQ111" i="63"/>
  <c r="NO110" i="63"/>
  <c r="MQ114" i="63"/>
  <c r="MQ113" i="63"/>
  <c r="MQ112" i="63"/>
  <c r="I116" i="63"/>
  <c r="DZ116" i="63" s="1"/>
  <c r="AD115" i="63"/>
  <c r="AB115" i="63"/>
  <c r="AC115" i="63"/>
  <c r="BB115" i="63"/>
  <c r="BA115" i="63"/>
  <c r="AZ115" i="63"/>
  <c r="AA115" i="63"/>
  <c r="BZ115" i="63"/>
  <c r="BX115" i="63"/>
  <c r="CX115" i="63"/>
  <c r="BY115" i="63"/>
  <c r="AY115" i="63"/>
  <c r="Z115" i="63"/>
  <c r="DV115" i="63"/>
  <c r="CV115" i="63"/>
  <c r="Y115" i="63"/>
  <c r="BW115" i="63"/>
  <c r="AX115" i="63"/>
  <c r="CW115" i="63"/>
  <c r="BV115" i="63"/>
  <c r="DU115" i="63"/>
  <c r="DT115" i="63"/>
  <c r="X115" i="63"/>
  <c r="AW115" i="63"/>
  <c r="CU115" i="63"/>
  <c r="ET115" i="63"/>
  <c r="ER115" i="63"/>
  <c r="DS115" i="63"/>
  <c r="CT115" i="63"/>
  <c r="BU115" i="63"/>
  <c r="ES115" i="63"/>
  <c r="AV115" i="63"/>
  <c r="FR115" i="63"/>
  <c r="W115" i="63"/>
  <c r="AU115" i="63"/>
  <c r="BT115" i="63"/>
  <c r="V115" i="63"/>
  <c r="EQ115" i="63"/>
  <c r="CS115" i="63"/>
  <c r="FQ115" i="63"/>
  <c r="DR115" i="63"/>
  <c r="GP115" i="63"/>
  <c r="FP115" i="63"/>
  <c r="HN115" i="63"/>
  <c r="U115" i="63"/>
  <c r="GO115" i="63"/>
  <c r="FO115" i="63"/>
  <c r="EP115" i="63"/>
  <c r="BS115" i="63"/>
  <c r="DQ115" i="63"/>
  <c r="CR115" i="63"/>
  <c r="AT115" i="63"/>
  <c r="GN115" i="63"/>
  <c r="HM115" i="63"/>
  <c r="IL115" i="63"/>
  <c r="CQ115" i="63"/>
  <c r="HL115" i="63"/>
  <c r="DP115" i="63"/>
  <c r="AS115" i="63"/>
  <c r="BR115" i="63"/>
  <c r="GM115" i="63"/>
  <c r="EO115" i="63"/>
  <c r="FN115" i="63"/>
  <c r="T115" i="63"/>
  <c r="AR115" i="63"/>
  <c r="GL115" i="63"/>
  <c r="BQ115" i="63"/>
  <c r="IJ115" i="63"/>
  <c r="EN115" i="63"/>
  <c r="FM115" i="63"/>
  <c r="IK115" i="63"/>
  <c r="HK115" i="63"/>
  <c r="DO115" i="63"/>
  <c r="JJ115" i="63"/>
  <c r="S115" i="63"/>
  <c r="CP115" i="63"/>
  <c r="II115" i="63"/>
  <c r="HJ115" i="63"/>
  <c r="BP115" i="63"/>
  <c r="KH115" i="63"/>
  <c r="EM115" i="63"/>
  <c r="R115" i="63"/>
  <c r="JI115" i="63"/>
  <c r="AQ115" i="63"/>
  <c r="GK115" i="63"/>
  <c r="JH115" i="63"/>
  <c r="DN115" i="63"/>
  <c r="FL115" i="63"/>
  <c r="CO115" i="63"/>
  <c r="DM115" i="63"/>
  <c r="GJ115" i="63"/>
  <c r="CN115" i="63"/>
  <c r="LF115" i="63"/>
  <c r="EL115" i="63"/>
  <c r="FK115" i="63"/>
  <c r="HI115" i="63"/>
  <c r="BO115" i="63"/>
  <c r="KG115" i="63"/>
  <c r="KF115" i="63"/>
  <c r="AP115" i="63"/>
  <c r="JG115" i="63"/>
  <c r="Q115" i="63"/>
  <c r="IH115" i="63"/>
  <c r="IG115" i="63"/>
  <c r="BN115" i="63"/>
  <c r="EK115" i="63"/>
  <c r="DL115" i="63"/>
  <c r="FJ115" i="63"/>
  <c r="CM115" i="63"/>
  <c r="P115" i="63"/>
  <c r="LE115" i="63"/>
  <c r="MD115" i="63"/>
  <c r="AO115" i="63"/>
  <c r="KE115" i="63"/>
  <c r="HH115" i="63"/>
  <c r="GI115" i="63"/>
  <c r="JF115" i="63"/>
  <c r="LD115" i="63"/>
  <c r="NB115" i="63"/>
  <c r="DK115" i="63"/>
  <c r="CL115" i="63"/>
  <c r="O115" i="63"/>
  <c r="KD115" i="63"/>
  <c r="GH115" i="63"/>
  <c r="HG115" i="63"/>
  <c r="IF115" i="63"/>
  <c r="LC115" i="63"/>
  <c r="AN115" i="63"/>
  <c r="MC115" i="63"/>
  <c r="MB115" i="63"/>
  <c r="EJ115" i="63"/>
  <c r="JE115" i="63"/>
  <c r="BM115" i="63"/>
  <c r="FI115" i="63"/>
  <c r="AM115" i="63"/>
  <c r="LB115" i="63"/>
  <c r="JD115" i="63"/>
  <c r="FH115" i="63"/>
  <c r="DJ115" i="63"/>
  <c r="CK115" i="63"/>
  <c r="N115" i="63"/>
  <c r="KC115" i="63"/>
  <c r="EI115" i="63"/>
  <c r="MA115" i="63"/>
  <c r="BL115" i="63"/>
  <c r="NZ115" i="63"/>
  <c r="IE115" i="63"/>
  <c r="NA115" i="63"/>
  <c r="GG115" i="63"/>
  <c r="MZ115" i="63"/>
  <c r="HF115" i="63"/>
  <c r="BK115" i="63"/>
  <c r="OX115" i="63"/>
  <c r="LZ115" i="63"/>
  <c r="NX115" i="63"/>
  <c r="DI115" i="63"/>
  <c r="HE115" i="63"/>
  <c r="GF115" i="63"/>
  <c r="KB115" i="63"/>
  <c r="FG115" i="63"/>
  <c r="M115" i="63"/>
  <c r="AL115" i="63"/>
  <c r="JC115" i="63"/>
  <c r="EH115" i="63"/>
  <c r="NY115" i="63"/>
  <c r="MY115" i="63"/>
  <c r="ID115" i="63"/>
  <c r="CJ115" i="63"/>
  <c r="LA115" i="63"/>
  <c r="DH115" i="63"/>
  <c r="MX115" i="63"/>
  <c r="L115" i="63"/>
  <c r="EG115" i="63"/>
  <c r="FF115" i="63"/>
  <c r="CI115" i="63"/>
  <c r="GE115" i="63"/>
  <c r="LY115" i="63"/>
  <c r="IC115" i="63"/>
  <c r="PV115" i="63"/>
  <c r="OV115" i="63"/>
  <c r="KZ115" i="63"/>
  <c r="NW115" i="63"/>
  <c r="OW115" i="63"/>
  <c r="AK115" i="63"/>
  <c r="JB115" i="63"/>
  <c r="KA115" i="63"/>
  <c r="BJ115" i="63"/>
  <c r="HD115" i="63"/>
  <c r="EF115" i="63"/>
  <c r="KY115" i="63"/>
  <c r="BI115" i="63"/>
  <c r="CH115" i="63"/>
  <c r="K115" i="63"/>
  <c r="PT115" i="63"/>
  <c r="JA115" i="63"/>
  <c r="HC115" i="63"/>
  <c r="FE115" i="63"/>
  <c r="IB115" i="63"/>
  <c r="AJ115" i="63"/>
  <c r="GD115" i="63"/>
  <c r="MW115" i="63"/>
  <c r="PU115" i="63"/>
  <c r="LX115" i="63"/>
  <c r="OU115" i="63"/>
  <c r="NV115" i="63"/>
  <c r="JZ115" i="63"/>
  <c r="DG115" i="63"/>
  <c r="AI115" i="63"/>
  <c r="EE115" i="63"/>
  <c r="PS115" i="63"/>
  <c r="J115" i="63"/>
  <c r="CG115" i="63"/>
  <c r="OT115" i="63"/>
  <c r="JY115" i="63"/>
  <c r="FD115" i="63"/>
  <c r="IA115" i="63"/>
  <c r="HB115" i="63"/>
  <c r="LW115" i="63"/>
  <c r="DF115" i="63"/>
  <c r="BH115" i="63"/>
  <c r="MV115" i="63"/>
  <c r="IZ115" i="63"/>
  <c r="GC115" i="63"/>
  <c r="KX115" i="63"/>
  <c r="NU115" i="63"/>
  <c r="JX115" i="63"/>
  <c r="HA115" i="63"/>
  <c r="NT115" i="63"/>
  <c r="LV115" i="63"/>
  <c r="PR115" i="63"/>
  <c r="GB115" i="63"/>
  <c r="HZ115" i="63"/>
  <c r="ED115" i="63"/>
  <c r="MU115" i="63"/>
  <c r="KW115" i="63"/>
  <c r="BG115" i="63"/>
  <c r="FC115" i="63"/>
  <c r="OS115" i="63"/>
  <c r="DE115" i="63"/>
  <c r="AH115" i="63"/>
  <c r="IY115" i="63"/>
  <c r="CF115" i="63"/>
  <c r="CE115" i="63"/>
  <c r="MT115" i="63"/>
  <c r="GZ115" i="63"/>
  <c r="BF115" i="63"/>
  <c r="JW115" i="63"/>
  <c r="HY115" i="63"/>
  <c r="DD115" i="63"/>
  <c r="FB115" i="63"/>
  <c r="IX115" i="63"/>
  <c r="GA115" i="63"/>
  <c r="KV115" i="63"/>
  <c r="OR115" i="63"/>
  <c r="PQ115" i="63"/>
  <c r="EC115" i="63"/>
  <c r="LU115" i="63"/>
  <c r="NS115" i="63"/>
  <c r="LT115" i="63"/>
  <c r="FZ115" i="63"/>
  <c r="MS115" i="63"/>
  <c r="NR115" i="63"/>
  <c r="DC115" i="63"/>
  <c r="OQ115" i="63"/>
  <c r="KU115" i="63"/>
  <c r="GY115" i="63"/>
  <c r="EB115" i="63"/>
  <c r="PP115" i="63"/>
  <c r="IW115" i="63"/>
  <c r="FA115" i="63"/>
  <c r="CD115" i="63"/>
  <c r="HX115" i="63"/>
  <c r="JV115" i="63"/>
  <c r="IV179" i="63"/>
  <c r="IV175" i="63"/>
  <c r="JT174" i="63"/>
  <c r="IV176" i="63"/>
  <c r="IV178" i="63"/>
  <c r="IV177" i="63"/>
  <c r="KU178" i="63"/>
  <c r="ON110" i="63"/>
  <c r="NP115" i="63"/>
  <c r="NP114" i="63"/>
  <c r="NP113" i="63"/>
  <c r="NP112" i="63"/>
  <c r="NP111" i="63"/>
  <c r="CD178" i="63"/>
  <c r="KS174" i="63"/>
  <c r="JU178" i="63"/>
  <c r="JU175" i="63"/>
  <c r="JU176" i="63"/>
  <c r="JU177" i="63"/>
  <c r="KS115" i="63"/>
  <c r="KS114" i="63"/>
  <c r="KS113" i="63"/>
  <c r="KS112" i="63"/>
  <c r="KS111" i="63"/>
  <c r="LQ110" i="63"/>
  <c r="NR178" i="63"/>
  <c r="JV178" i="63"/>
  <c r="EY174" i="63"/>
  <c r="EA177" i="63"/>
  <c r="EA178" i="63"/>
  <c r="EA176" i="63"/>
  <c r="EA175" i="63"/>
  <c r="EY114" i="63"/>
  <c r="EY113" i="63"/>
  <c r="EY112" i="63"/>
  <c r="EY115" i="63"/>
  <c r="EY111" i="63"/>
  <c r="FW110" i="63"/>
  <c r="GX178" i="63"/>
  <c r="GX177" i="63"/>
  <c r="GX176" i="63"/>
  <c r="GX175" i="63"/>
  <c r="HV174" i="63"/>
  <c r="OP178" i="63"/>
  <c r="OP177" i="63"/>
  <c r="OP176" i="63"/>
  <c r="OP175" i="63"/>
  <c r="PN174" i="63"/>
  <c r="MP110" i="63"/>
  <c r="LR114" i="63"/>
  <c r="LR111" i="63"/>
  <c r="LR115" i="63"/>
  <c r="LR113" i="63"/>
  <c r="LR112" i="63"/>
  <c r="OO174" i="63"/>
  <c r="NQ177" i="63"/>
  <c r="NQ178" i="63"/>
  <c r="NQ176" i="63"/>
  <c r="NQ175" i="63"/>
  <c r="GW174" i="63"/>
  <c r="FY179" i="63"/>
  <c r="FY175" i="63"/>
  <c r="FY176" i="63"/>
  <c r="FY178" i="63"/>
  <c r="FY177" i="63"/>
  <c r="FA178" i="63"/>
  <c r="EZ176" i="63"/>
  <c r="EZ177" i="63"/>
  <c r="EZ178" i="63"/>
  <c r="EZ175" i="63"/>
  <c r="FX174" i="63"/>
  <c r="EB178" i="63"/>
  <c r="MR178" i="63"/>
  <c r="MR175" i="63"/>
  <c r="MR177" i="63"/>
  <c r="NP174" i="63"/>
  <c r="MR176" i="63"/>
  <c r="IW178" i="63"/>
  <c r="FY115" i="63"/>
  <c r="EZ115" i="63"/>
  <c r="GX115" i="63"/>
  <c r="AA108" i="39"/>
  <c r="O237" i="39"/>
  <c r="W3" i="65" l="1"/>
  <c r="X15" i="65"/>
  <c r="X19" i="65" s="1"/>
  <c r="X23" i="65" s="1"/>
  <c r="X110" i="65" s="1"/>
  <c r="Z221" i="65"/>
  <c r="Y166" i="65"/>
  <c r="BN171" i="39"/>
  <c r="AS171" i="39"/>
  <c r="AN171" i="39"/>
  <c r="AW171" i="39"/>
  <c r="BM171" i="39"/>
  <c r="BG171" i="39"/>
  <c r="BC171" i="39"/>
  <c r="BH171" i="39"/>
  <c r="BB171" i="39"/>
  <c r="BK171" i="39"/>
  <c r="BE171" i="39"/>
  <c r="BI171" i="39"/>
  <c r="AT171" i="39"/>
  <c r="AL171" i="39"/>
  <c r="AM171" i="39"/>
  <c r="BJ171" i="39"/>
  <c r="AZ171" i="39"/>
  <c r="AU171" i="39"/>
  <c r="AK171" i="39"/>
  <c r="AO171" i="39"/>
  <c r="BF171" i="39"/>
  <c r="BA171" i="39"/>
  <c r="AQ171" i="39"/>
  <c r="BD171" i="39"/>
  <c r="AY171" i="39"/>
  <c r="BL171" i="39"/>
  <c r="AX171" i="39"/>
  <c r="AV171" i="39"/>
  <c r="AR171" i="39"/>
  <c r="AP171" i="39"/>
  <c r="Y171" i="39"/>
  <c r="AD171" i="39"/>
  <c r="AE171" i="39"/>
  <c r="W171" i="39"/>
  <c r="AG171" i="39"/>
  <c r="AJ171" i="39"/>
  <c r="X171" i="39"/>
  <c r="AB171" i="39"/>
  <c r="AH171" i="39"/>
  <c r="Z171" i="39"/>
  <c r="AF171" i="39"/>
  <c r="AA171" i="39"/>
  <c r="AC171" i="39"/>
  <c r="AI171" i="39"/>
  <c r="V171" i="39"/>
  <c r="U171" i="39"/>
  <c r="T171" i="39"/>
  <c r="S171" i="39"/>
  <c r="R171" i="39"/>
  <c r="Q171" i="39"/>
  <c r="P171" i="39"/>
  <c r="O172" i="39"/>
  <c r="BN115" i="39"/>
  <c r="AQ115" i="39"/>
  <c r="AP115" i="39"/>
  <c r="BL115" i="39"/>
  <c r="BD115" i="39"/>
  <c r="AR115" i="39"/>
  <c r="AW115" i="39"/>
  <c r="BM115" i="39"/>
  <c r="BG115" i="39"/>
  <c r="AY115" i="39"/>
  <c r="AS115" i="39"/>
  <c r="BC115" i="39"/>
  <c r="BI115" i="39"/>
  <c r="BH115" i="39"/>
  <c r="BF115" i="39"/>
  <c r="BJ115" i="39"/>
  <c r="BA115" i="39"/>
  <c r="AT115" i="39"/>
  <c r="AV115" i="39"/>
  <c r="AU115" i="39"/>
  <c r="AL115" i="39"/>
  <c r="AN115" i="39"/>
  <c r="AZ115" i="39"/>
  <c r="BE115" i="39"/>
  <c r="AX115" i="39"/>
  <c r="BK115" i="39"/>
  <c r="AK115" i="39"/>
  <c r="BB115" i="39"/>
  <c r="AM115" i="39"/>
  <c r="AO115" i="39"/>
  <c r="AC115" i="39"/>
  <c r="Y115" i="39"/>
  <c r="AE115" i="39"/>
  <c r="AI115" i="39"/>
  <c r="AB115" i="39"/>
  <c r="AH115" i="39"/>
  <c r="Z115" i="39"/>
  <c r="X115" i="39"/>
  <c r="AF115" i="39"/>
  <c r="AD115" i="39"/>
  <c r="AG115" i="39"/>
  <c r="AA115" i="39"/>
  <c r="AJ115" i="39"/>
  <c r="W115" i="39"/>
  <c r="V115" i="39"/>
  <c r="U115" i="39"/>
  <c r="T115" i="39"/>
  <c r="S115" i="39"/>
  <c r="R115" i="39"/>
  <c r="Q115" i="39"/>
  <c r="P115" i="39"/>
  <c r="O116" i="39"/>
  <c r="OP179" i="63"/>
  <c r="GX179" i="63"/>
  <c r="JU179" i="63"/>
  <c r="PO179" i="63"/>
  <c r="DB179" i="63"/>
  <c r="NQ179" i="63"/>
  <c r="EA179" i="63"/>
  <c r="LS179" i="63"/>
  <c r="MR179" i="63"/>
  <c r="EZ179" i="63"/>
  <c r="DZ237" i="63"/>
  <c r="DA238" i="63"/>
  <c r="DA239" i="63" s="1"/>
  <c r="DA240" i="63" s="1"/>
  <c r="DA241" i="63" s="1"/>
  <c r="DA242" i="63" s="1"/>
  <c r="DA243" i="63" s="1"/>
  <c r="DA244" i="63" s="1"/>
  <c r="DA245" i="63" s="1"/>
  <c r="DA246" i="63" s="1"/>
  <c r="DA247" i="63" s="1"/>
  <c r="DA248" i="63" s="1"/>
  <c r="DA249" i="63" s="1"/>
  <c r="DA250" i="63" s="1"/>
  <c r="DA251" i="63" s="1"/>
  <c r="DA252" i="63" s="1"/>
  <c r="DA253" i="63" s="1"/>
  <c r="DA254" i="63" s="1"/>
  <c r="DA255" i="63" s="1"/>
  <c r="DA256" i="63" s="1"/>
  <c r="DA257" i="63" s="1"/>
  <c r="DA258" i="63" s="1"/>
  <c r="MQ179" i="63"/>
  <c r="MQ175" i="63"/>
  <c r="MQ176" i="63"/>
  <c r="NO174" i="63"/>
  <c r="MQ178" i="63"/>
  <c r="MQ177" i="63"/>
  <c r="PM116" i="63"/>
  <c r="PM113" i="63"/>
  <c r="PM115" i="63"/>
  <c r="PM114" i="63"/>
  <c r="PM112" i="63"/>
  <c r="PM111" i="63"/>
  <c r="KR113" i="63"/>
  <c r="KR111" i="63"/>
  <c r="KR116" i="63"/>
  <c r="LP110" i="63"/>
  <c r="KR115" i="63"/>
  <c r="KR114" i="63"/>
  <c r="KR112" i="63"/>
  <c r="DZ178" i="63"/>
  <c r="DY175" i="63"/>
  <c r="DY176" i="63" s="1"/>
  <c r="DY177" i="63" s="1"/>
  <c r="DY178" i="63" s="1"/>
  <c r="DY179" i="63" s="1"/>
  <c r="DY180" i="63" s="1"/>
  <c r="DY181" i="63" s="1"/>
  <c r="DY182" i="63" s="1"/>
  <c r="DY183" i="63" s="1"/>
  <c r="DY184" i="63" s="1"/>
  <c r="DY185" i="63" s="1"/>
  <c r="DY186" i="63" s="1"/>
  <c r="DY187" i="63" s="1"/>
  <c r="DY188" i="63" s="1"/>
  <c r="DY189" i="63" s="1"/>
  <c r="DY190" i="63" s="1"/>
  <c r="DY191" i="63" s="1"/>
  <c r="DY192" i="63" s="1"/>
  <c r="DY193" i="63" s="1"/>
  <c r="DY194" i="63" s="1"/>
  <c r="DY195" i="63" s="1"/>
  <c r="DZ179" i="63"/>
  <c r="DZ175" i="63"/>
  <c r="EX174" i="63"/>
  <c r="DZ177" i="63"/>
  <c r="DZ176" i="63"/>
  <c r="OO176" i="63"/>
  <c r="OO177" i="63"/>
  <c r="OO175" i="63"/>
  <c r="OO179" i="63"/>
  <c r="OO178" i="63"/>
  <c r="PM174" i="63"/>
  <c r="LR116" i="63"/>
  <c r="PN179" i="63"/>
  <c r="PN175" i="63"/>
  <c r="PN176" i="63"/>
  <c r="PN177" i="63"/>
  <c r="PN178" i="63"/>
  <c r="HV177" i="63"/>
  <c r="HV178" i="63"/>
  <c r="HV176" i="63"/>
  <c r="HV179" i="63"/>
  <c r="HV175" i="63"/>
  <c r="IT174" i="63"/>
  <c r="KS116" i="63"/>
  <c r="LQ116" i="63"/>
  <c r="MO110" i="63"/>
  <c r="LQ111" i="63"/>
  <c r="LQ115" i="63"/>
  <c r="LQ114" i="63"/>
  <c r="LQ113" i="63"/>
  <c r="LQ112" i="63"/>
  <c r="NP116" i="63"/>
  <c r="GW178" i="63"/>
  <c r="GW179" i="63"/>
  <c r="GW175" i="63"/>
  <c r="GW177" i="63"/>
  <c r="GW176" i="63"/>
  <c r="HU174" i="63"/>
  <c r="FW115" i="63"/>
  <c r="FW114" i="63"/>
  <c r="FW113" i="63"/>
  <c r="FW112" i="63"/>
  <c r="FW111" i="63"/>
  <c r="FW116" i="63"/>
  <c r="GU110" i="63"/>
  <c r="EY177" i="63"/>
  <c r="EY178" i="63"/>
  <c r="FW174" i="63"/>
  <c r="EY176" i="63"/>
  <c r="EY175" i="63"/>
  <c r="EY179" i="63"/>
  <c r="IU180" i="63"/>
  <c r="IU176" i="63"/>
  <c r="IU177" i="63"/>
  <c r="IU175" i="63"/>
  <c r="IU178" i="63"/>
  <c r="IU179" i="63"/>
  <c r="JS174" i="63"/>
  <c r="HU116" i="63"/>
  <c r="IS110" i="63"/>
  <c r="HU114" i="63"/>
  <c r="HU113" i="63"/>
  <c r="HU112" i="63"/>
  <c r="HU111" i="63"/>
  <c r="HU115" i="63"/>
  <c r="I180" i="63"/>
  <c r="MQ180" i="63" s="1"/>
  <c r="AD179" i="63"/>
  <c r="AB179" i="63"/>
  <c r="BB179" i="63"/>
  <c r="AC179" i="63"/>
  <c r="AZ179" i="63"/>
  <c r="BA179" i="63"/>
  <c r="AA179" i="63"/>
  <c r="BZ179" i="63"/>
  <c r="AY179" i="63"/>
  <c r="CX179" i="63"/>
  <c r="BY179" i="63"/>
  <c r="BX179" i="63"/>
  <c r="Z179" i="63"/>
  <c r="CV179" i="63"/>
  <c r="AX179" i="63"/>
  <c r="DV179" i="63"/>
  <c r="Y179" i="63"/>
  <c r="BW179" i="63"/>
  <c r="CW179" i="63"/>
  <c r="DU179" i="63"/>
  <c r="AW179" i="63"/>
  <c r="ET179" i="63"/>
  <c r="CU179" i="63"/>
  <c r="BV179" i="63"/>
  <c r="X179" i="63"/>
  <c r="DT179" i="63"/>
  <c r="W179" i="63"/>
  <c r="ES179" i="63"/>
  <c r="ER179" i="63"/>
  <c r="CT179" i="63"/>
  <c r="AV179" i="63"/>
  <c r="FR179" i="63"/>
  <c r="BU179" i="63"/>
  <c r="DS179" i="63"/>
  <c r="CS179" i="63"/>
  <c r="AU179" i="63"/>
  <c r="BT179" i="63"/>
  <c r="V179" i="63"/>
  <c r="DR179" i="63"/>
  <c r="FQ179" i="63"/>
  <c r="GP179" i="63"/>
  <c r="FP179" i="63"/>
  <c r="EQ179" i="63"/>
  <c r="AT179" i="63"/>
  <c r="EP179" i="63"/>
  <c r="DQ179" i="63"/>
  <c r="FO179" i="63"/>
  <c r="GO179" i="63"/>
  <c r="CR179" i="63"/>
  <c r="BS179" i="63"/>
  <c r="U179" i="63"/>
  <c r="HN179" i="63"/>
  <c r="GN179" i="63"/>
  <c r="HL179" i="63"/>
  <c r="AS179" i="63"/>
  <c r="CQ179" i="63"/>
  <c r="T179" i="63"/>
  <c r="BR179" i="63"/>
  <c r="DP179" i="63"/>
  <c r="FN179" i="63"/>
  <c r="EO179" i="63"/>
  <c r="IL179" i="63"/>
  <c r="HM179" i="63"/>
  <c r="GM179" i="63"/>
  <c r="GL179" i="63"/>
  <c r="BQ179" i="63"/>
  <c r="IJ179" i="63"/>
  <c r="S179" i="63"/>
  <c r="AR179" i="63"/>
  <c r="DO179" i="63"/>
  <c r="FM179" i="63"/>
  <c r="HK179" i="63"/>
  <c r="EN179" i="63"/>
  <c r="IK179" i="63"/>
  <c r="CP179" i="63"/>
  <c r="JJ179" i="63"/>
  <c r="DN179" i="63"/>
  <c r="FL179" i="63"/>
  <c r="HJ179" i="63"/>
  <c r="EM179" i="63"/>
  <c r="II179" i="63"/>
  <c r="JI179" i="63"/>
  <c r="GK179" i="63"/>
  <c r="AQ179" i="63"/>
  <c r="BP179" i="63"/>
  <c r="R179" i="63"/>
  <c r="KH179" i="63"/>
  <c r="CO179" i="63"/>
  <c r="JH179" i="63"/>
  <c r="DM179" i="63"/>
  <c r="Q179" i="63"/>
  <c r="IH179" i="63"/>
  <c r="CN179" i="63"/>
  <c r="KF179" i="63"/>
  <c r="JG179" i="63"/>
  <c r="GJ179" i="63"/>
  <c r="AP179" i="63"/>
  <c r="HI179" i="63"/>
  <c r="LF179" i="63"/>
  <c r="KG179" i="63"/>
  <c r="FK179" i="63"/>
  <c r="BO179" i="63"/>
  <c r="EL179" i="63"/>
  <c r="LD179" i="63"/>
  <c r="P179" i="63"/>
  <c r="DL179" i="63"/>
  <c r="IG179" i="63"/>
  <c r="CM179" i="63"/>
  <c r="HH179" i="63"/>
  <c r="AO179" i="63"/>
  <c r="EK179" i="63"/>
  <c r="GI179" i="63"/>
  <c r="BN179" i="63"/>
  <c r="JF179" i="63"/>
  <c r="MD179" i="63"/>
  <c r="FJ179" i="63"/>
  <c r="LE179" i="63"/>
  <c r="KE179" i="63"/>
  <c r="AN179" i="63"/>
  <c r="EJ179" i="63"/>
  <c r="FI179" i="63"/>
  <c r="CL179" i="63"/>
  <c r="NB179" i="63"/>
  <c r="GH179" i="63"/>
  <c r="O179" i="63"/>
  <c r="HG179" i="63"/>
  <c r="DK179" i="63"/>
  <c r="IF179" i="63"/>
  <c r="LC179" i="63"/>
  <c r="MC179" i="63"/>
  <c r="KD179" i="63"/>
  <c r="BM179" i="63"/>
  <c r="JE179" i="63"/>
  <c r="MB179" i="63"/>
  <c r="LB179" i="63"/>
  <c r="MZ179" i="63"/>
  <c r="MA179" i="63"/>
  <c r="GG179" i="63"/>
  <c r="FH179" i="63"/>
  <c r="BL179" i="63"/>
  <c r="N179" i="63"/>
  <c r="IE179" i="63"/>
  <c r="CK179" i="63"/>
  <c r="EI179" i="63"/>
  <c r="NZ179" i="63"/>
  <c r="KC179" i="63"/>
  <c r="AM179" i="63"/>
  <c r="NA179" i="63"/>
  <c r="JD179" i="63"/>
  <c r="HF179" i="63"/>
  <c r="DJ179" i="63"/>
  <c r="LA179" i="63"/>
  <c r="NX179" i="63"/>
  <c r="NY179" i="63"/>
  <c r="OX179" i="63"/>
  <c r="DI179" i="63"/>
  <c r="JC179" i="63"/>
  <c r="M179" i="63"/>
  <c r="FG179" i="63"/>
  <c r="BK179" i="63"/>
  <c r="EH179" i="63"/>
  <c r="CJ179" i="63"/>
  <c r="LZ179" i="63"/>
  <c r="ID179" i="63"/>
  <c r="GF179" i="63"/>
  <c r="MY179" i="63"/>
  <c r="HE179" i="63"/>
  <c r="AL179" i="63"/>
  <c r="KB179" i="63"/>
  <c r="LY179" i="63"/>
  <c r="KZ179" i="63"/>
  <c r="NW179" i="63"/>
  <c r="KA179" i="63"/>
  <c r="PV179" i="63"/>
  <c r="OW179" i="63"/>
  <c r="AK179" i="63"/>
  <c r="OV179" i="63"/>
  <c r="EG179" i="63"/>
  <c r="BJ179" i="63"/>
  <c r="HD179" i="63"/>
  <c r="DH179" i="63"/>
  <c r="GE179" i="63"/>
  <c r="FF179" i="63"/>
  <c r="CI179" i="63"/>
  <c r="L179" i="63"/>
  <c r="MX179" i="63"/>
  <c r="JB179" i="63"/>
  <c r="IC179" i="63"/>
  <c r="GD179" i="63"/>
  <c r="NV179" i="63"/>
  <c r="OU179" i="63"/>
  <c r="LX179" i="63"/>
  <c r="PT179" i="63"/>
  <c r="BI179" i="63"/>
  <c r="HC179" i="63"/>
  <c r="EF179" i="63"/>
  <c r="FE179" i="63"/>
  <c r="IB179" i="63"/>
  <c r="AJ179" i="63"/>
  <c r="JA179" i="63"/>
  <c r="JZ179" i="63"/>
  <c r="DG179" i="63"/>
  <c r="KY179" i="63"/>
  <c r="MW179" i="63"/>
  <c r="PU179" i="63"/>
  <c r="K179" i="63"/>
  <c r="CH179" i="63"/>
  <c r="LW179" i="63"/>
  <c r="EE179" i="63"/>
  <c r="IZ179" i="63"/>
  <c r="AI179" i="63"/>
  <c r="OT179" i="63"/>
  <c r="J179" i="63"/>
  <c r="FD179" i="63"/>
  <c r="JY179" i="63"/>
  <c r="NU179" i="63"/>
  <c r="MV179" i="63"/>
  <c r="KX179" i="63"/>
  <c r="DF179" i="63"/>
  <c r="BH179" i="63"/>
  <c r="HB179" i="63"/>
  <c r="PS179" i="63"/>
  <c r="GC179" i="63"/>
  <c r="IA179" i="63"/>
  <c r="CG179" i="63"/>
  <c r="OS179" i="63"/>
  <c r="KW179" i="63"/>
  <c r="NT179" i="63"/>
  <c r="DE179" i="63"/>
  <c r="MU179" i="63"/>
  <c r="BG179" i="63"/>
  <c r="CF179" i="63"/>
  <c r="AH179" i="63"/>
  <c r="LV179" i="63"/>
  <c r="JX179" i="63"/>
  <c r="ED179" i="63"/>
  <c r="HZ179" i="63"/>
  <c r="GB179" i="63"/>
  <c r="FC179" i="63"/>
  <c r="IY179" i="63"/>
  <c r="HA179" i="63"/>
  <c r="PR179" i="63"/>
  <c r="LU179" i="63"/>
  <c r="OR179" i="63"/>
  <c r="JW179" i="63"/>
  <c r="FB179" i="63"/>
  <c r="HY179" i="63"/>
  <c r="EC179" i="63"/>
  <c r="NS179" i="63"/>
  <c r="BF179" i="63"/>
  <c r="CE179" i="63"/>
  <c r="DD179" i="63"/>
  <c r="MT179" i="63"/>
  <c r="GA179" i="63"/>
  <c r="GZ179" i="63"/>
  <c r="IX179" i="63"/>
  <c r="PQ179" i="63"/>
  <c r="KV179" i="63"/>
  <c r="NR179" i="63"/>
  <c r="OQ179" i="63"/>
  <c r="FZ179" i="63"/>
  <c r="KU179" i="63"/>
  <c r="MS179" i="63"/>
  <c r="EB179" i="63"/>
  <c r="DC179" i="63"/>
  <c r="HX179" i="63"/>
  <c r="FA179" i="63"/>
  <c r="PP179" i="63"/>
  <c r="JV179" i="63"/>
  <c r="CD179" i="63"/>
  <c r="LT179" i="63"/>
  <c r="GY179" i="63"/>
  <c r="IW179" i="63"/>
  <c r="NP180" i="63"/>
  <c r="NP179" i="63"/>
  <c r="NP178" i="63"/>
  <c r="NP177" i="63"/>
  <c r="NP176" i="63"/>
  <c r="NP175" i="63"/>
  <c r="ON174" i="63"/>
  <c r="KS177" i="63"/>
  <c r="LQ174" i="63"/>
  <c r="KS178" i="63"/>
  <c r="KS180" i="63"/>
  <c r="KS176" i="63"/>
  <c r="KS175" i="63"/>
  <c r="KS179" i="63"/>
  <c r="I117" i="63"/>
  <c r="KR117" i="63" s="1"/>
  <c r="AD116" i="63"/>
  <c r="AC116" i="63"/>
  <c r="BB116" i="63"/>
  <c r="AB116" i="63"/>
  <c r="AA116" i="63"/>
  <c r="BA116" i="63"/>
  <c r="BZ116" i="63"/>
  <c r="AZ116" i="63"/>
  <c r="AY116" i="63"/>
  <c r="Z116" i="63"/>
  <c r="BX116" i="63"/>
  <c r="CX116" i="63"/>
  <c r="BY116" i="63"/>
  <c r="DV116" i="63"/>
  <c r="BW116" i="63"/>
  <c r="CV116" i="63"/>
  <c r="AX116" i="63"/>
  <c r="CW116" i="63"/>
  <c r="Y116" i="63"/>
  <c r="ET116" i="63"/>
  <c r="DU116" i="63"/>
  <c r="DT116" i="63"/>
  <c r="AW116" i="63"/>
  <c r="BV116" i="63"/>
  <c r="CU116" i="63"/>
  <c r="X116" i="63"/>
  <c r="FR116" i="63"/>
  <c r="DS116" i="63"/>
  <c r="ES116" i="63"/>
  <c r="CT116" i="63"/>
  <c r="W116" i="63"/>
  <c r="ER116" i="63"/>
  <c r="BU116" i="63"/>
  <c r="AV116" i="63"/>
  <c r="FQ116" i="63"/>
  <c r="DR116" i="63"/>
  <c r="EQ116" i="63"/>
  <c r="FP116" i="63"/>
  <c r="CS116" i="63"/>
  <c r="GP116" i="63"/>
  <c r="AU116" i="63"/>
  <c r="BT116" i="63"/>
  <c r="V116" i="63"/>
  <c r="DQ116" i="63"/>
  <c r="CR116" i="63"/>
  <c r="AT116" i="63"/>
  <c r="HN116" i="63"/>
  <c r="FO116" i="63"/>
  <c r="U116" i="63"/>
  <c r="BS116" i="63"/>
  <c r="GO116" i="63"/>
  <c r="GN116" i="63"/>
  <c r="EP116" i="63"/>
  <c r="CQ116" i="63"/>
  <c r="HL116" i="63"/>
  <c r="DP116" i="63"/>
  <c r="AS116" i="63"/>
  <c r="HM116" i="63"/>
  <c r="FN116" i="63"/>
  <c r="BR116" i="63"/>
  <c r="EO116" i="63"/>
  <c r="T116" i="63"/>
  <c r="GM116" i="63"/>
  <c r="IL116" i="63"/>
  <c r="GL116" i="63"/>
  <c r="IK116" i="63"/>
  <c r="DO116" i="63"/>
  <c r="FM116" i="63"/>
  <c r="S116" i="63"/>
  <c r="CP116" i="63"/>
  <c r="EN116" i="63"/>
  <c r="AR116" i="63"/>
  <c r="BQ116" i="63"/>
  <c r="JJ116" i="63"/>
  <c r="IJ116" i="63"/>
  <c r="HK116" i="63"/>
  <c r="DN116" i="63"/>
  <c r="II116" i="63"/>
  <c r="CO116" i="63"/>
  <c r="EM116" i="63"/>
  <c r="HJ116" i="63"/>
  <c r="JH116" i="63"/>
  <c r="BP116" i="63"/>
  <c r="KH116" i="63"/>
  <c r="FL116" i="63"/>
  <c r="R116" i="63"/>
  <c r="AQ116" i="63"/>
  <c r="JI116" i="63"/>
  <c r="GK116" i="63"/>
  <c r="KG116" i="63"/>
  <c r="HI116" i="63"/>
  <c r="EL116" i="63"/>
  <c r="AP116" i="63"/>
  <c r="FK116" i="63"/>
  <c r="CN116" i="63"/>
  <c r="KF116" i="63"/>
  <c r="JG116" i="63"/>
  <c r="Q116" i="63"/>
  <c r="IH116" i="63"/>
  <c r="LF116" i="63"/>
  <c r="BO116" i="63"/>
  <c r="DM116" i="63"/>
  <c r="GJ116" i="63"/>
  <c r="AO116" i="63"/>
  <c r="DL116" i="63"/>
  <c r="HH116" i="63"/>
  <c r="LD116" i="63"/>
  <c r="P116" i="63"/>
  <c r="IG116" i="63"/>
  <c r="JF116" i="63"/>
  <c r="MD116" i="63"/>
  <c r="KE116" i="63"/>
  <c r="FJ116" i="63"/>
  <c r="BN116" i="63"/>
  <c r="EK116" i="63"/>
  <c r="CM116" i="63"/>
  <c r="GI116" i="63"/>
  <c r="LE116" i="63"/>
  <c r="IF116" i="63"/>
  <c r="JE116" i="63"/>
  <c r="EJ116" i="63"/>
  <c r="LC116" i="63"/>
  <c r="BM116" i="63"/>
  <c r="GH116" i="63"/>
  <c r="MB116" i="63"/>
  <c r="FI116" i="63"/>
  <c r="AN116" i="63"/>
  <c r="HG116" i="63"/>
  <c r="NB116" i="63"/>
  <c r="DK116" i="63"/>
  <c r="MC116" i="63"/>
  <c r="CL116" i="63"/>
  <c r="O116" i="63"/>
  <c r="KD116" i="63"/>
  <c r="GG116" i="63"/>
  <c r="MA116" i="63"/>
  <c r="FH116" i="63"/>
  <c r="N116" i="63"/>
  <c r="KC116" i="63"/>
  <c r="MZ116" i="63"/>
  <c r="BL116" i="63"/>
  <c r="IE116" i="63"/>
  <c r="NZ116" i="63"/>
  <c r="AM116" i="63"/>
  <c r="HF116" i="63"/>
  <c r="LB116" i="63"/>
  <c r="NA116" i="63"/>
  <c r="DJ116" i="63"/>
  <c r="CK116" i="63"/>
  <c r="JD116" i="63"/>
  <c r="EI116" i="63"/>
  <c r="BK116" i="63"/>
  <c r="EH116" i="63"/>
  <c r="MY116" i="63"/>
  <c r="FG116" i="63"/>
  <c r="M116" i="63"/>
  <c r="LZ116" i="63"/>
  <c r="ID116" i="63"/>
  <c r="KB116" i="63"/>
  <c r="CJ116" i="63"/>
  <c r="JC116" i="63"/>
  <c r="OX116" i="63"/>
  <c r="LA116" i="63"/>
  <c r="AL116" i="63"/>
  <c r="GF116" i="63"/>
  <c r="NY116" i="63"/>
  <c r="NX116" i="63"/>
  <c r="DI116" i="63"/>
  <c r="HE116" i="63"/>
  <c r="OW116" i="63"/>
  <c r="FF116" i="63"/>
  <c r="CI116" i="63"/>
  <c r="KA116" i="63"/>
  <c r="OV116" i="63"/>
  <c r="GE116" i="63"/>
  <c r="LY116" i="63"/>
  <c r="L116" i="63"/>
  <c r="NW116" i="63"/>
  <c r="AK116" i="63"/>
  <c r="JB116" i="63"/>
  <c r="IC116" i="63"/>
  <c r="BJ116" i="63"/>
  <c r="EG116" i="63"/>
  <c r="KZ116" i="63"/>
  <c r="DH116" i="63"/>
  <c r="MX116" i="63"/>
  <c r="PV116" i="63"/>
  <c r="HD116" i="63"/>
  <c r="PU116" i="63"/>
  <c r="FE116" i="63"/>
  <c r="AJ116" i="63"/>
  <c r="GD116" i="63"/>
  <c r="MW116" i="63"/>
  <c r="DG116" i="63"/>
  <c r="BI116" i="63"/>
  <c r="OU116" i="63"/>
  <c r="CH116" i="63"/>
  <c r="K116" i="63"/>
  <c r="IB116" i="63"/>
  <c r="PT116" i="63"/>
  <c r="JA116" i="63"/>
  <c r="HC116" i="63"/>
  <c r="LX116" i="63"/>
  <c r="EF116" i="63"/>
  <c r="KY116" i="63"/>
  <c r="NV116" i="63"/>
  <c r="JZ116" i="63"/>
  <c r="AI116" i="63"/>
  <c r="KX116" i="63"/>
  <c r="PS116" i="63"/>
  <c r="J116" i="63"/>
  <c r="CG116" i="63"/>
  <c r="MV116" i="63"/>
  <c r="FD116" i="63"/>
  <c r="HB116" i="63"/>
  <c r="EE116" i="63"/>
  <c r="IA116" i="63"/>
  <c r="DF116" i="63"/>
  <c r="JY116" i="63"/>
  <c r="NU116" i="63"/>
  <c r="OT116" i="63"/>
  <c r="LW116" i="63"/>
  <c r="BH116" i="63"/>
  <c r="GC116" i="63"/>
  <c r="IZ116" i="63"/>
  <c r="MU116" i="63"/>
  <c r="BG116" i="63"/>
  <c r="JX116" i="63"/>
  <c r="OS116" i="63"/>
  <c r="IY116" i="63"/>
  <c r="CF116" i="63"/>
  <c r="KW116" i="63"/>
  <c r="ED116" i="63"/>
  <c r="HZ116" i="63"/>
  <c r="HA116" i="63"/>
  <c r="NT116" i="63"/>
  <c r="LV116" i="63"/>
  <c r="PR116" i="63"/>
  <c r="AH116" i="63"/>
  <c r="GB116" i="63"/>
  <c r="FC116" i="63"/>
  <c r="DE116" i="63"/>
  <c r="IX116" i="63"/>
  <c r="GZ116" i="63"/>
  <c r="LU116" i="63"/>
  <c r="FB116" i="63"/>
  <c r="PQ116" i="63"/>
  <c r="EC116" i="63"/>
  <c r="NS116" i="63"/>
  <c r="MT116" i="63"/>
  <c r="DD116" i="63"/>
  <c r="GA116" i="63"/>
  <c r="KV116" i="63"/>
  <c r="OR116" i="63"/>
  <c r="JW116" i="63"/>
  <c r="HY116" i="63"/>
  <c r="CE116" i="63"/>
  <c r="BF116" i="63"/>
  <c r="PP116" i="63"/>
  <c r="JV116" i="63"/>
  <c r="IW116" i="63"/>
  <c r="MS116" i="63"/>
  <c r="FA116" i="63"/>
  <c r="EB116" i="63"/>
  <c r="OQ116" i="63"/>
  <c r="KU116" i="63"/>
  <c r="CD116" i="63"/>
  <c r="HX116" i="63"/>
  <c r="LT116" i="63"/>
  <c r="FZ116" i="63"/>
  <c r="GY116" i="63"/>
  <c r="NR116" i="63"/>
  <c r="DC116" i="63"/>
  <c r="OP116" i="63"/>
  <c r="PO116" i="63"/>
  <c r="IV116" i="63"/>
  <c r="HW116" i="63"/>
  <c r="DB116" i="63"/>
  <c r="KT116" i="63"/>
  <c r="GX116" i="63"/>
  <c r="EZ116" i="63"/>
  <c r="MR116" i="63"/>
  <c r="NQ116" i="63"/>
  <c r="JU116" i="63"/>
  <c r="EA116" i="63"/>
  <c r="FY116" i="63"/>
  <c r="LS116" i="63"/>
  <c r="HV116" i="63"/>
  <c r="IT117" i="63"/>
  <c r="IT116" i="63"/>
  <c r="IT115" i="63"/>
  <c r="IT114" i="63"/>
  <c r="IT113" i="63"/>
  <c r="IT112" i="63"/>
  <c r="IT111" i="63"/>
  <c r="JR110" i="63"/>
  <c r="PN116" i="63"/>
  <c r="OO116" i="63"/>
  <c r="JT116" i="63"/>
  <c r="GV116" i="63"/>
  <c r="GV115" i="63"/>
  <c r="GV114" i="63"/>
  <c r="GV113" i="63"/>
  <c r="GV112" i="63"/>
  <c r="HT110" i="63"/>
  <c r="GV111" i="63"/>
  <c r="JS116" i="63"/>
  <c r="JS115" i="63"/>
  <c r="JS114" i="63"/>
  <c r="JS113" i="63"/>
  <c r="JS112" i="63"/>
  <c r="JS111" i="63"/>
  <c r="KQ110" i="63"/>
  <c r="IU116" i="63"/>
  <c r="FX180" i="63"/>
  <c r="FX179" i="63"/>
  <c r="FX178" i="63"/>
  <c r="FX177" i="63"/>
  <c r="FX176" i="63"/>
  <c r="FX175" i="63"/>
  <c r="GV174" i="63"/>
  <c r="MP116" i="63"/>
  <c r="MP115" i="63"/>
  <c r="MP114" i="63"/>
  <c r="MP113" i="63"/>
  <c r="MP112" i="63"/>
  <c r="MP111" i="63"/>
  <c r="NN110" i="63"/>
  <c r="EY116" i="63"/>
  <c r="ON115" i="63"/>
  <c r="ON116" i="63"/>
  <c r="PL110" i="63"/>
  <c r="ON114" i="63"/>
  <c r="ON113" i="63"/>
  <c r="ON112" i="63"/>
  <c r="ON111" i="63"/>
  <c r="JT180" i="63"/>
  <c r="JT179" i="63"/>
  <c r="JT178" i="63"/>
  <c r="JT177" i="63"/>
  <c r="JT176" i="63"/>
  <c r="JT175" i="63"/>
  <c r="KR174" i="63"/>
  <c r="NO115" i="63"/>
  <c r="NO114" i="63"/>
  <c r="NO113" i="63"/>
  <c r="NO112" i="63"/>
  <c r="NO111" i="63"/>
  <c r="OM110" i="63"/>
  <c r="NO117" i="63"/>
  <c r="NO116" i="63"/>
  <c r="MQ116" i="63"/>
  <c r="LR180" i="63"/>
  <c r="LR176" i="63"/>
  <c r="LR177" i="63"/>
  <c r="MP174" i="63"/>
  <c r="LR179" i="63"/>
  <c r="LR175" i="63"/>
  <c r="LR178" i="63"/>
  <c r="KT179" i="63"/>
  <c r="GW116" i="63"/>
  <c r="FX116" i="63"/>
  <c r="EW111" i="63"/>
  <c r="EW112" i="63" s="1"/>
  <c r="EW113" i="63" s="1"/>
  <c r="EW114" i="63" s="1"/>
  <c r="EW115" i="63" s="1"/>
  <c r="EW116" i="63" s="1"/>
  <c r="EW117" i="63" s="1"/>
  <c r="EW118" i="63" s="1"/>
  <c r="EW119" i="63" s="1"/>
  <c r="EW120" i="63" s="1"/>
  <c r="EW121" i="63" s="1"/>
  <c r="EW122" i="63" s="1"/>
  <c r="EW123" i="63" s="1"/>
  <c r="EW124" i="63" s="1"/>
  <c r="EW125" i="63" s="1"/>
  <c r="EW126" i="63" s="1"/>
  <c r="EW127" i="63" s="1"/>
  <c r="EW128" i="63" s="1"/>
  <c r="EW129" i="63" s="1"/>
  <c r="EW130" i="63" s="1"/>
  <c r="EW131" i="63" s="1"/>
  <c r="EX116" i="63"/>
  <c r="EX115" i="63"/>
  <c r="EX114" i="63"/>
  <c r="EX113" i="63"/>
  <c r="EX112" i="63"/>
  <c r="EX111" i="63"/>
  <c r="FV110" i="63"/>
  <c r="AB108" i="39"/>
  <c r="O238" i="39"/>
  <c r="X166" i="65" l="1"/>
  <c r="Y221" i="65"/>
  <c r="V3" i="65"/>
  <c r="W15" i="65"/>
  <c r="W19" i="65" s="1"/>
  <c r="W23" i="65" s="1"/>
  <c r="W110" i="65" s="1"/>
  <c r="BN172" i="39"/>
  <c r="BB172" i="39"/>
  <c r="BM172" i="39"/>
  <c r="BC172" i="39"/>
  <c r="AN172" i="39"/>
  <c r="AS172" i="39"/>
  <c r="AW172" i="39"/>
  <c r="BE172" i="39"/>
  <c r="BF172" i="39"/>
  <c r="AY172" i="39"/>
  <c r="BG172" i="39"/>
  <c r="BH172" i="39"/>
  <c r="BK172" i="39"/>
  <c r="AU172" i="39"/>
  <c r="AT172" i="39"/>
  <c r="AL172" i="39"/>
  <c r="AO172" i="39"/>
  <c r="BI172" i="39"/>
  <c r="AZ172" i="39"/>
  <c r="AK172" i="39"/>
  <c r="BJ172" i="39"/>
  <c r="AM172" i="39"/>
  <c r="AQ172" i="39"/>
  <c r="AV172" i="39"/>
  <c r="BD172" i="39"/>
  <c r="BA172" i="39"/>
  <c r="BL172" i="39"/>
  <c r="AX172" i="39"/>
  <c r="AP172" i="39"/>
  <c r="AR172" i="39"/>
  <c r="AB172" i="39"/>
  <c r="AE172" i="39"/>
  <c r="AD172" i="39"/>
  <c r="AH172" i="39"/>
  <c r="Y172" i="39"/>
  <c r="W172" i="39"/>
  <c r="AG172" i="39"/>
  <c r="AJ172" i="39"/>
  <c r="X172" i="39"/>
  <c r="AF172" i="39"/>
  <c r="AI172" i="39"/>
  <c r="Z172" i="39"/>
  <c r="AC172" i="39"/>
  <c r="AA172" i="39"/>
  <c r="V172" i="39"/>
  <c r="U172" i="39"/>
  <c r="T172" i="39"/>
  <c r="S172" i="39"/>
  <c r="R172" i="39"/>
  <c r="Q172" i="39"/>
  <c r="P172" i="39"/>
  <c r="O173" i="39"/>
  <c r="BN116" i="39"/>
  <c r="BL116" i="39"/>
  <c r="BM116" i="39"/>
  <c r="BG116" i="39"/>
  <c r="AR116" i="39"/>
  <c r="BE116" i="39"/>
  <c r="AW116" i="39"/>
  <c r="AQ116" i="39"/>
  <c r="BD116" i="39"/>
  <c r="AV116" i="39"/>
  <c r="AL116" i="39"/>
  <c r="AT116" i="39"/>
  <c r="BK116" i="39"/>
  <c r="AK116" i="39"/>
  <c r="AY116" i="39"/>
  <c r="BC116" i="39"/>
  <c r="BB116" i="39"/>
  <c r="AX116" i="39"/>
  <c r="AP116" i="39"/>
  <c r="BI116" i="39"/>
  <c r="AN116" i="39"/>
  <c r="BH116" i="39"/>
  <c r="BF116" i="39"/>
  <c r="AO116" i="39"/>
  <c r="AM116" i="39"/>
  <c r="AS116" i="39"/>
  <c r="BJ116" i="39"/>
  <c r="AZ116" i="39"/>
  <c r="AU116" i="39"/>
  <c r="BA116" i="39"/>
  <c r="AB116" i="39"/>
  <c r="AC116" i="39"/>
  <c r="AH116" i="39"/>
  <c r="AE116" i="39"/>
  <c r="X116" i="39"/>
  <c r="Y116" i="39"/>
  <c r="Z116" i="39"/>
  <c r="AI116" i="39"/>
  <c r="AD116" i="39"/>
  <c r="AF116" i="39"/>
  <c r="AJ116" i="39"/>
  <c r="AA116" i="39"/>
  <c r="AG116" i="39"/>
  <c r="W116" i="39"/>
  <c r="V116" i="39"/>
  <c r="U116" i="39"/>
  <c r="T116" i="39"/>
  <c r="S116" i="39"/>
  <c r="R116" i="39"/>
  <c r="Q116" i="39"/>
  <c r="P116" i="39"/>
  <c r="O117" i="39"/>
  <c r="OO180" i="63"/>
  <c r="EY180" i="63"/>
  <c r="GW180" i="63"/>
  <c r="HV180" i="63"/>
  <c r="KQ117" i="63"/>
  <c r="KQ116" i="63"/>
  <c r="LO110" i="63"/>
  <c r="KQ115" i="63"/>
  <c r="KQ114" i="63"/>
  <c r="KQ111" i="63"/>
  <c r="KQ113" i="63"/>
  <c r="KQ112" i="63"/>
  <c r="HT117" i="63"/>
  <c r="HT116" i="63"/>
  <c r="HT115" i="63"/>
  <c r="HT114" i="63"/>
  <c r="HT113" i="63"/>
  <c r="HT112" i="63"/>
  <c r="HT111" i="63"/>
  <c r="IR110" i="63"/>
  <c r="OM117" i="63"/>
  <c r="OM116" i="63"/>
  <c r="PK110" i="63"/>
  <c r="OM114" i="63"/>
  <c r="OM113" i="63"/>
  <c r="OM111" i="63"/>
  <c r="OM115" i="63"/>
  <c r="OM112" i="63"/>
  <c r="ON117" i="63"/>
  <c r="NN116" i="63"/>
  <c r="NN115" i="63"/>
  <c r="NN112" i="63"/>
  <c r="NN117" i="63"/>
  <c r="NN114" i="63"/>
  <c r="NN113" i="63"/>
  <c r="NN111" i="63"/>
  <c r="OL110" i="63"/>
  <c r="I181" i="63"/>
  <c r="AD180" i="63"/>
  <c r="BB180" i="63"/>
  <c r="AB180" i="63"/>
  <c r="AC180" i="63"/>
  <c r="BZ180" i="63"/>
  <c r="BA180" i="63"/>
  <c r="AZ180" i="63"/>
  <c r="AA180" i="63"/>
  <c r="Z180" i="63"/>
  <c r="BX180" i="63"/>
  <c r="CX180" i="63"/>
  <c r="BY180" i="63"/>
  <c r="AY180" i="63"/>
  <c r="CW180" i="63"/>
  <c r="AX180" i="63"/>
  <c r="DV180" i="63"/>
  <c r="CV180" i="63"/>
  <c r="Y180" i="63"/>
  <c r="BW180" i="63"/>
  <c r="DT180" i="63"/>
  <c r="DU180" i="63"/>
  <c r="AW180" i="63"/>
  <c r="BV180" i="63"/>
  <c r="ET180" i="63"/>
  <c r="X180" i="63"/>
  <c r="CU180" i="63"/>
  <c r="FR180" i="63"/>
  <c r="ES180" i="63"/>
  <c r="AV180" i="63"/>
  <c r="DS180" i="63"/>
  <c r="CT180" i="63"/>
  <c r="BU180" i="63"/>
  <c r="W180" i="63"/>
  <c r="ER180" i="63"/>
  <c r="DR180" i="63"/>
  <c r="FP180" i="63"/>
  <c r="FQ180" i="63"/>
  <c r="V180" i="63"/>
  <c r="CS180" i="63"/>
  <c r="BT180" i="63"/>
  <c r="EQ180" i="63"/>
  <c r="GP180" i="63"/>
  <c r="AU180" i="63"/>
  <c r="EP180" i="63"/>
  <c r="GN180" i="63"/>
  <c r="DQ180" i="63"/>
  <c r="FO180" i="63"/>
  <c r="BS180" i="63"/>
  <c r="GO180" i="63"/>
  <c r="CR180" i="63"/>
  <c r="AT180" i="63"/>
  <c r="U180" i="63"/>
  <c r="HN180" i="63"/>
  <c r="AS180" i="63"/>
  <c r="BR180" i="63"/>
  <c r="FN180" i="63"/>
  <c r="HM180" i="63"/>
  <c r="HL180" i="63"/>
  <c r="CQ180" i="63"/>
  <c r="DP180" i="63"/>
  <c r="EO180" i="63"/>
  <c r="IL180" i="63"/>
  <c r="GM180" i="63"/>
  <c r="T180" i="63"/>
  <c r="IK180" i="63"/>
  <c r="DO180" i="63"/>
  <c r="CP180" i="63"/>
  <c r="BQ180" i="63"/>
  <c r="HK180" i="63"/>
  <c r="IJ180" i="63"/>
  <c r="EN180" i="63"/>
  <c r="AR180" i="63"/>
  <c r="FM180" i="63"/>
  <c r="JJ180" i="63"/>
  <c r="S180" i="63"/>
  <c r="GL180" i="63"/>
  <c r="JI180" i="63"/>
  <c r="GK180" i="63"/>
  <c r="FL180" i="63"/>
  <c r="KH180" i="63"/>
  <c r="HJ180" i="63"/>
  <c r="AQ180" i="63"/>
  <c r="DN180" i="63"/>
  <c r="II180" i="63"/>
  <c r="BP180" i="63"/>
  <c r="R180" i="63"/>
  <c r="EM180" i="63"/>
  <c r="JH180" i="63"/>
  <c r="CO180" i="63"/>
  <c r="Q180" i="63"/>
  <c r="CN180" i="63"/>
  <c r="KF180" i="63"/>
  <c r="FK180" i="63"/>
  <c r="EL180" i="63"/>
  <c r="GJ180" i="63"/>
  <c r="LF180" i="63"/>
  <c r="DM180" i="63"/>
  <c r="IH180" i="63"/>
  <c r="AP180" i="63"/>
  <c r="KG180" i="63"/>
  <c r="JG180" i="63"/>
  <c r="BO180" i="63"/>
  <c r="HI180" i="63"/>
  <c r="LD180" i="63"/>
  <c r="IG180" i="63"/>
  <c r="FJ180" i="63"/>
  <c r="HH180" i="63"/>
  <c r="EK180" i="63"/>
  <c r="GI180" i="63"/>
  <c r="LE180" i="63"/>
  <c r="P180" i="63"/>
  <c r="KE180" i="63"/>
  <c r="BN180" i="63"/>
  <c r="DL180" i="63"/>
  <c r="CM180" i="63"/>
  <c r="AO180" i="63"/>
  <c r="JF180" i="63"/>
  <c r="MD180" i="63"/>
  <c r="NB180" i="63"/>
  <c r="DK180" i="63"/>
  <c r="MC180" i="63"/>
  <c r="O180" i="63"/>
  <c r="HG180" i="63"/>
  <c r="MB180" i="63"/>
  <c r="BM180" i="63"/>
  <c r="IF180" i="63"/>
  <c r="KD180" i="63"/>
  <c r="AN180" i="63"/>
  <c r="EJ180" i="63"/>
  <c r="LC180" i="63"/>
  <c r="FI180" i="63"/>
  <c r="CL180" i="63"/>
  <c r="GH180" i="63"/>
  <c r="JE180" i="63"/>
  <c r="NZ180" i="63"/>
  <c r="BL180" i="63"/>
  <c r="N180" i="63"/>
  <c r="IE180" i="63"/>
  <c r="CK180" i="63"/>
  <c r="EI180" i="63"/>
  <c r="FH180" i="63"/>
  <c r="JD180" i="63"/>
  <c r="KC180" i="63"/>
  <c r="MA180" i="63"/>
  <c r="HF180" i="63"/>
  <c r="DJ180" i="63"/>
  <c r="NA180" i="63"/>
  <c r="GG180" i="63"/>
  <c r="LB180" i="63"/>
  <c r="AM180" i="63"/>
  <c r="MZ180" i="63"/>
  <c r="DI180" i="63"/>
  <c r="MY180" i="63"/>
  <c r="HE180" i="63"/>
  <c r="JC180" i="63"/>
  <c r="FG180" i="63"/>
  <c r="ID180" i="63"/>
  <c r="LA180" i="63"/>
  <c r="M180" i="63"/>
  <c r="NY180" i="63"/>
  <c r="EH180" i="63"/>
  <c r="CJ180" i="63"/>
  <c r="LZ180" i="63"/>
  <c r="GF180" i="63"/>
  <c r="KB180" i="63"/>
  <c r="BK180" i="63"/>
  <c r="NX180" i="63"/>
  <c r="AL180" i="63"/>
  <c r="OX180" i="63"/>
  <c r="GE180" i="63"/>
  <c r="FF180" i="63"/>
  <c r="LY180" i="63"/>
  <c r="L180" i="63"/>
  <c r="NW180" i="63"/>
  <c r="MX180" i="63"/>
  <c r="OW180" i="63"/>
  <c r="AK180" i="63"/>
  <c r="CI180" i="63"/>
  <c r="BJ180" i="63"/>
  <c r="HD180" i="63"/>
  <c r="KA180" i="63"/>
  <c r="KZ180" i="63"/>
  <c r="IC180" i="63"/>
  <c r="OV180" i="63"/>
  <c r="JB180" i="63"/>
  <c r="EG180" i="63"/>
  <c r="PV180" i="63"/>
  <c r="DH180" i="63"/>
  <c r="LX180" i="63"/>
  <c r="MW180" i="63"/>
  <c r="PT180" i="63"/>
  <c r="OU180" i="63"/>
  <c r="IB180" i="63"/>
  <c r="KY180" i="63"/>
  <c r="GD180" i="63"/>
  <c r="JZ180" i="63"/>
  <c r="BI180" i="63"/>
  <c r="FE180" i="63"/>
  <c r="DG180" i="63"/>
  <c r="CH180" i="63"/>
  <c r="NV180" i="63"/>
  <c r="JA180" i="63"/>
  <c r="K180" i="63"/>
  <c r="AJ180" i="63"/>
  <c r="PU180" i="63"/>
  <c r="HC180" i="63"/>
  <c r="EF180" i="63"/>
  <c r="GC180" i="63"/>
  <c r="OT180" i="63"/>
  <c r="CG180" i="63"/>
  <c r="IZ180" i="63"/>
  <c r="PS180" i="63"/>
  <c r="J180" i="63"/>
  <c r="FD180" i="63"/>
  <c r="JY180" i="63"/>
  <c r="MV180" i="63"/>
  <c r="LW180" i="63"/>
  <c r="EE180" i="63"/>
  <c r="IA180" i="63"/>
  <c r="KX180" i="63"/>
  <c r="DF180" i="63"/>
  <c r="BH180" i="63"/>
  <c r="HB180" i="63"/>
  <c r="NU180" i="63"/>
  <c r="AI180" i="63"/>
  <c r="CF180" i="63"/>
  <c r="HZ180" i="63"/>
  <c r="AH180" i="63"/>
  <c r="MU180" i="63"/>
  <c r="OS180" i="63"/>
  <c r="BG180" i="63"/>
  <c r="KW180" i="63"/>
  <c r="JX180" i="63"/>
  <c r="PR180" i="63"/>
  <c r="HA180" i="63"/>
  <c r="GB180" i="63"/>
  <c r="ED180" i="63"/>
  <c r="IY180" i="63"/>
  <c r="FC180" i="63"/>
  <c r="NT180" i="63"/>
  <c r="DE180" i="63"/>
  <c r="LV180" i="63"/>
  <c r="NS180" i="63"/>
  <c r="BF180" i="63"/>
  <c r="HY180" i="63"/>
  <c r="PQ180" i="63"/>
  <c r="KV180" i="63"/>
  <c r="MT180" i="63"/>
  <c r="GA180" i="63"/>
  <c r="IX180" i="63"/>
  <c r="OR180" i="63"/>
  <c r="GZ180" i="63"/>
  <c r="JW180" i="63"/>
  <c r="EC180" i="63"/>
  <c r="LU180" i="63"/>
  <c r="FB180" i="63"/>
  <c r="CE180" i="63"/>
  <c r="DD180" i="63"/>
  <c r="HX180" i="63"/>
  <c r="PP180" i="63"/>
  <c r="MS180" i="63"/>
  <c r="DC180" i="63"/>
  <c r="GY180" i="63"/>
  <c r="NR180" i="63"/>
  <c r="IW180" i="63"/>
  <c r="CD180" i="63"/>
  <c r="LT180" i="63"/>
  <c r="FA180" i="63"/>
  <c r="FZ180" i="63"/>
  <c r="KU180" i="63"/>
  <c r="EB180" i="63"/>
  <c r="JV180" i="63"/>
  <c r="OQ180" i="63"/>
  <c r="DB180" i="63"/>
  <c r="LS180" i="63"/>
  <c r="PO180" i="63"/>
  <c r="HW180" i="63"/>
  <c r="FY180" i="63"/>
  <c r="EZ180" i="63"/>
  <c r="IV180" i="63"/>
  <c r="JU180" i="63"/>
  <c r="GX180" i="63"/>
  <c r="NQ180" i="63"/>
  <c r="MR180" i="63"/>
  <c r="KT180" i="63"/>
  <c r="EA180" i="63"/>
  <c r="OP180" i="63"/>
  <c r="LQ117" i="63"/>
  <c r="PN180" i="63"/>
  <c r="DZ180" i="63"/>
  <c r="MP181" i="63"/>
  <c r="MP180" i="63"/>
  <c r="MP179" i="63"/>
  <c r="MP178" i="63"/>
  <c r="MP177" i="63"/>
  <c r="MP176" i="63"/>
  <c r="MP175" i="63"/>
  <c r="NN174" i="63"/>
  <c r="I118" i="63"/>
  <c r="HT118" i="63" s="1"/>
  <c r="AD117" i="63"/>
  <c r="AC117" i="63"/>
  <c r="AB117" i="63"/>
  <c r="BB117" i="63"/>
  <c r="AZ117" i="63"/>
  <c r="AA117" i="63"/>
  <c r="BA117" i="63"/>
  <c r="BZ117" i="63"/>
  <c r="CX117" i="63"/>
  <c r="AY117" i="63"/>
  <c r="Z117" i="63"/>
  <c r="BX117" i="63"/>
  <c r="BY117" i="63"/>
  <c r="CW117" i="63"/>
  <c r="CV117" i="63"/>
  <c r="Y117" i="63"/>
  <c r="AX117" i="63"/>
  <c r="BW117" i="63"/>
  <c r="DV117" i="63"/>
  <c r="AW117" i="63"/>
  <c r="CU117" i="63"/>
  <c r="BV117" i="63"/>
  <c r="DU117" i="63"/>
  <c r="ET117" i="63"/>
  <c r="X117" i="63"/>
  <c r="DT117" i="63"/>
  <c r="FR117" i="63"/>
  <c r="CT117" i="63"/>
  <c r="ER117" i="63"/>
  <c r="AV117" i="63"/>
  <c r="BU117" i="63"/>
  <c r="ES117" i="63"/>
  <c r="W117" i="63"/>
  <c r="DS117" i="63"/>
  <c r="DR117" i="63"/>
  <c r="V117" i="63"/>
  <c r="AU117" i="63"/>
  <c r="CS117" i="63"/>
  <c r="BT117" i="63"/>
  <c r="FQ117" i="63"/>
  <c r="GP117" i="63"/>
  <c r="EQ117" i="63"/>
  <c r="FP117" i="63"/>
  <c r="GO117" i="63"/>
  <c r="AT117" i="63"/>
  <c r="EP117" i="63"/>
  <c r="BS117" i="63"/>
  <c r="DQ117" i="63"/>
  <c r="CR117" i="63"/>
  <c r="HN117" i="63"/>
  <c r="FO117" i="63"/>
  <c r="GN117" i="63"/>
  <c r="U117" i="63"/>
  <c r="BR117" i="63"/>
  <c r="FN117" i="63"/>
  <c r="HL117" i="63"/>
  <c r="EO117" i="63"/>
  <c r="DP117" i="63"/>
  <c r="AS117" i="63"/>
  <c r="GM117" i="63"/>
  <c r="HM117" i="63"/>
  <c r="IL117" i="63"/>
  <c r="T117" i="63"/>
  <c r="CQ117" i="63"/>
  <c r="FM117" i="63"/>
  <c r="HK117" i="63"/>
  <c r="DO117" i="63"/>
  <c r="CP117" i="63"/>
  <c r="EN117" i="63"/>
  <c r="GL117" i="63"/>
  <c r="IK117" i="63"/>
  <c r="BQ117" i="63"/>
  <c r="S117" i="63"/>
  <c r="IJ117" i="63"/>
  <c r="AR117" i="63"/>
  <c r="JJ117" i="63"/>
  <c r="JH117" i="63"/>
  <c r="GK117" i="63"/>
  <c r="AQ117" i="63"/>
  <c r="EM117" i="63"/>
  <c r="II117" i="63"/>
  <c r="CO117" i="63"/>
  <c r="FL117" i="63"/>
  <c r="BP117" i="63"/>
  <c r="HJ117" i="63"/>
  <c r="R117" i="63"/>
  <c r="DN117" i="63"/>
  <c r="KH117" i="63"/>
  <c r="JI117" i="63"/>
  <c r="JG117" i="63"/>
  <c r="GJ117" i="63"/>
  <c r="HI117" i="63"/>
  <c r="Q117" i="63"/>
  <c r="EL117" i="63"/>
  <c r="BO117" i="63"/>
  <c r="IH117" i="63"/>
  <c r="LF117" i="63"/>
  <c r="DM117" i="63"/>
  <c r="FK117" i="63"/>
  <c r="CN117" i="63"/>
  <c r="KG117" i="63"/>
  <c r="KF117" i="63"/>
  <c r="AP117" i="63"/>
  <c r="AO117" i="63"/>
  <c r="EK117" i="63"/>
  <c r="CM117" i="63"/>
  <c r="GI117" i="63"/>
  <c r="DL117" i="63"/>
  <c r="KE117" i="63"/>
  <c r="FJ117" i="63"/>
  <c r="JF117" i="63"/>
  <c r="LE117" i="63"/>
  <c r="P117" i="63"/>
  <c r="MD117" i="63"/>
  <c r="HH117" i="63"/>
  <c r="IG117" i="63"/>
  <c r="LD117" i="63"/>
  <c r="BN117" i="63"/>
  <c r="IF117" i="63"/>
  <c r="LC117" i="63"/>
  <c r="FI117" i="63"/>
  <c r="DK117" i="63"/>
  <c r="JE117" i="63"/>
  <c r="AN117" i="63"/>
  <c r="HG117" i="63"/>
  <c r="NB117" i="63"/>
  <c r="BM117" i="63"/>
  <c r="MC117" i="63"/>
  <c r="EJ117" i="63"/>
  <c r="KD117" i="63"/>
  <c r="MB117" i="63"/>
  <c r="O117" i="63"/>
  <c r="GH117" i="63"/>
  <c r="CL117" i="63"/>
  <c r="N117" i="63"/>
  <c r="MA117" i="63"/>
  <c r="CK117" i="63"/>
  <c r="HF117" i="63"/>
  <c r="JD117" i="63"/>
  <c r="NA117" i="63"/>
  <c r="GG117" i="63"/>
  <c r="EI117" i="63"/>
  <c r="MZ117" i="63"/>
  <c r="FH117" i="63"/>
  <c r="KC117" i="63"/>
  <c r="NZ117" i="63"/>
  <c r="IE117" i="63"/>
  <c r="LB117" i="63"/>
  <c r="DJ117" i="63"/>
  <c r="BL117" i="63"/>
  <c r="AM117" i="63"/>
  <c r="GF117" i="63"/>
  <c r="JC117" i="63"/>
  <c r="OX117" i="63"/>
  <c r="LA117" i="63"/>
  <c r="M117" i="63"/>
  <c r="BK117" i="63"/>
  <c r="AL117" i="63"/>
  <c r="EH117" i="63"/>
  <c r="NY117" i="63"/>
  <c r="DI117" i="63"/>
  <c r="MY117" i="63"/>
  <c r="LZ117" i="63"/>
  <c r="ID117" i="63"/>
  <c r="KB117" i="63"/>
  <c r="CJ117" i="63"/>
  <c r="NX117" i="63"/>
  <c r="FG117" i="63"/>
  <c r="HE117" i="63"/>
  <c r="LY117" i="63"/>
  <c r="FF117" i="63"/>
  <c r="AK117" i="63"/>
  <c r="KA117" i="63"/>
  <c r="OV117" i="63"/>
  <c r="GE117" i="63"/>
  <c r="CI117" i="63"/>
  <c r="JB117" i="63"/>
  <c r="L117" i="63"/>
  <c r="IC117" i="63"/>
  <c r="EG117" i="63"/>
  <c r="NW117" i="63"/>
  <c r="MX117" i="63"/>
  <c r="BJ117" i="63"/>
  <c r="KZ117" i="63"/>
  <c r="HD117" i="63"/>
  <c r="DH117" i="63"/>
  <c r="OW117" i="63"/>
  <c r="PV117" i="63"/>
  <c r="LX117" i="63"/>
  <c r="GD117" i="63"/>
  <c r="PT117" i="63"/>
  <c r="CH117" i="63"/>
  <c r="JZ117" i="63"/>
  <c r="K117" i="63"/>
  <c r="HC117" i="63"/>
  <c r="AJ117" i="63"/>
  <c r="JA117" i="63"/>
  <c r="PU117" i="63"/>
  <c r="DG117" i="63"/>
  <c r="EF117" i="63"/>
  <c r="IB117" i="63"/>
  <c r="KY117" i="63"/>
  <c r="NV117" i="63"/>
  <c r="FE117" i="63"/>
  <c r="MW117" i="63"/>
  <c r="BI117" i="63"/>
  <c r="OU117" i="63"/>
  <c r="KX117" i="63"/>
  <c r="PS117" i="63"/>
  <c r="CG117" i="63"/>
  <c r="J117" i="63"/>
  <c r="IZ117" i="63"/>
  <c r="FD117" i="63"/>
  <c r="IA117" i="63"/>
  <c r="DF117" i="63"/>
  <c r="AI117" i="63"/>
  <c r="JY117" i="63"/>
  <c r="LW117" i="63"/>
  <c r="OT117" i="63"/>
  <c r="HB117" i="63"/>
  <c r="BH117" i="63"/>
  <c r="GC117" i="63"/>
  <c r="NU117" i="63"/>
  <c r="EE117" i="63"/>
  <c r="MV117" i="63"/>
  <c r="ED117" i="63"/>
  <c r="GB117" i="63"/>
  <c r="IY117" i="63"/>
  <c r="OS117" i="63"/>
  <c r="LV117" i="63"/>
  <c r="PR117" i="63"/>
  <c r="KW117" i="63"/>
  <c r="FC117" i="63"/>
  <c r="HA117" i="63"/>
  <c r="DE117" i="63"/>
  <c r="HZ117" i="63"/>
  <c r="CF117" i="63"/>
  <c r="MU117" i="63"/>
  <c r="JX117" i="63"/>
  <c r="AH117" i="63"/>
  <c r="BG117" i="63"/>
  <c r="NT117" i="63"/>
  <c r="CE117" i="63"/>
  <c r="MT117" i="63"/>
  <c r="PQ117" i="63"/>
  <c r="IX117" i="63"/>
  <c r="GA117" i="63"/>
  <c r="EC117" i="63"/>
  <c r="DD117" i="63"/>
  <c r="GZ117" i="63"/>
  <c r="NS117" i="63"/>
  <c r="HY117" i="63"/>
  <c r="KV117" i="63"/>
  <c r="BF117" i="63"/>
  <c r="OR117" i="63"/>
  <c r="JW117" i="63"/>
  <c r="LU117" i="63"/>
  <c r="FB117" i="63"/>
  <c r="PP117" i="63"/>
  <c r="NR117" i="63"/>
  <c r="EB117" i="63"/>
  <c r="OQ117" i="63"/>
  <c r="KU117" i="63"/>
  <c r="LT117" i="63"/>
  <c r="JV117" i="63"/>
  <c r="FZ117" i="63"/>
  <c r="GY117" i="63"/>
  <c r="HX117" i="63"/>
  <c r="MS117" i="63"/>
  <c r="FA117" i="63"/>
  <c r="CD117" i="63"/>
  <c r="DC117" i="63"/>
  <c r="IW117" i="63"/>
  <c r="EZ117" i="63"/>
  <c r="JU117" i="63"/>
  <c r="PO117" i="63"/>
  <c r="LS117" i="63"/>
  <c r="GX117" i="63"/>
  <c r="OP117" i="63"/>
  <c r="FY117" i="63"/>
  <c r="EA117" i="63"/>
  <c r="KT117" i="63"/>
  <c r="MR117" i="63"/>
  <c r="NQ117" i="63"/>
  <c r="HW117" i="63"/>
  <c r="IV117" i="63"/>
  <c r="DB117" i="63"/>
  <c r="DZ117" i="63"/>
  <c r="IU117" i="63"/>
  <c r="FX117" i="63"/>
  <c r="JT117" i="63"/>
  <c r="HV117" i="63"/>
  <c r="NP117" i="63"/>
  <c r="OO117" i="63"/>
  <c r="PN117" i="63"/>
  <c r="MQ117" i="63"/>
  <c r="EY117" i="63"/>
  <c r="LR117" i="63"/>
  <c r="KS117" i="63"/>
  <c r="GW117" i="63"/>
  <c r="HU117" i="63"/>
  <c r="HU178" i="63"/>
  <c r="HU179" i="63"/>
  <c r="HU175" i="63"/>
  <c r="HU177" i="63"/>
  <c r="HU176" i="63"/>
  <c r="HU180" i="63"/>
  <c r="IS174" i="63"/>
  <c r="HU181" i="63"/>
  <c r="EX181" i="63"/>
  <c r="EX180" i="63"/>
  <c r="EX179" i="63"/>
  <c r="EX178" i="63"/>
  <c r="EX177" i="63"/>
  <c r="EX176" i="63"/>
  <c r="EX175" i="63"/>
  <c r="FV174" i="63"/>
  <c r="EW175" i="63"/>
  <c r="EW176" i="63" s="1"/>
  <c r="EW177" i="63" s="1"/>
  <c r="EW178" i="63" s="1"/>
  <c r="EW179" i="63" s="1"/>
  <c r="EW180" i="63" s="1"/>
  <c r="EW181" i="63" s="1"/>
  <c r="EW182" i="63" s="1"/>
  <c r="EW183" i="63" s="1"/>
  <c r="EW184" i="63" s="1"/>
  <c r="EW185" i="63" s="1"/>
  <c r="EW186" i="63" s="1"/>
  <c r="EW187" i="63" s="1"/>
  <c r="EW188" i="63" s="1"/>
  <c r="EW189" i="63" s="1"/>
  <c r="EW190" i="63" s="1"/>
  <c r="EW191" i="63" s="1"/>
  <c r="EW192" i="63" s="1"/>
  <c r="EW193" i="63" s="1"/>
  <c r="EW194" i="63" s="1"/>
  <c r="EW195" i="63" s="1"/>
  <c r="PL117" i="63"/>
  <c r="PL116" i="63"/>
  <c r="PL118" i="63"/>
  <c r="PL115" i="63"/>
  <c r="PL114" i="63"/>
  <c r="PL113" i="63"/>
  <c r="PL112" i="63"/>
  <c r="PL111" i="63"/>
  <c r="MP117" i="63"/>
  <c r="HT174" i="63"/>
  <c r="GV179" i="63"/>
  <c r="GV175" i="63"/>
  <c r="GV181" i="63"/>
  <c r="GV180" i="63"/>
  <c r="GV176" i="63"/>
  <c r="GV178" i="63"/>
  <c r="GV177" i="63"/>
  <c r="GV117" i="63"/>
  <c r="LQ181" i="63"/>
  <c r="LQ177" i="63"/>
  <c r="MO174" i="63"/>
  <c r="LQ178" i="63"/>
  <c r="LQ180" i="63"/>
  <c r="LQ176" i="63"/>
  <c r="LQ175" i="63"/>
  <c r="LQ179" i="63"/>
  <c r="PL174" i="63"/>
  <c r="ON181" i="63"/>
  <c r="ON177" i="63"/>
  <c r="ON178" i="63"/>
  <c r="ON176" i="63"/>
  <c r="ON175" i="63"/>
  <c r="ON180" i="63"/>
  <c r="ON179" i="63"/>
  <c r="IS118" i="63"/>
  <c r="IS115" i="63"/>
  <c r="IS114" i="63"/>
  <c r="IS113" i="63"/>
  <c r="IS112" i="63"/>
  <c r="IS111" i="63"/>
  <c r="JQ110" i="63"/>
  <c r="IS117" i="63"/>
  <c r="IS116" i="63"/>
  <c r="FW117" i="63"/>
  <c r="MO117" i="63"/>
  <c r="MO115" i="63"/>
  <c r="MO114" i="63"/>
  <c r="MO113" i="63"/>
  <c r="MO112" i="63"/>
  <c r="MO111" i="63"/>
  <c r="NM110" i="63"/>
  <c r="MO116" i="63"/>
  <c r="MO118" i="63"/>
  <c r="PM117" i="63"/>
  <c r="NO181" i="63"/>
  <c r="NO178" i="63"/>
  <c r="NO180" i="63"/>
  <c r="NO179" i="63"/>
  <c r="NO175" i="63"/>
  <c r="OM174" i="63"/>
  <c r="NO177" i="63"/>
  <c r="NO176" i="63"/>
  <c r="EX237" i="63"/>
  <c r="DY238" i="63"/>
  <c r="DY239" i="63" s="1"/>
  <c r="DY240" i="63" s="1"/>
  <c r="DY241" i="63" s="1"/>
  <c r="DY242" i="63" s="1"/>
  <c r="DY243" i="63" s="1"/>
  <c r="DY244" i="63" s="1"/>
  <c r="DY245" i="63" s="1"/>
  <c r="DY246" i="63" s="1"/>
  <c r="DY247" i="63" s="1"/>
  <c r="DY248" i="63" s="1"/>
  <c r="DY249" i="63" s="1"/>
  <c r="DY250" i="63" s="1"/>
  <c r="DY251" i="63" s="1"/>
  <c r="DY252" i="63" s="1"/>
  <c r="DY253" i="63" s="1"/>
  <c r="DY254" i="63" s="1"/>
  <c r="DY255" i="63" s="1"/>
  <c r="DY256" i="63" s="1"/>
  <c r="DY257" i="63" s="1"/>
  <c r="DY258" i="63" s="1"/>
  <c r="FV118" i="63"/>
  <c r="FV117" i="63"/>
  <c r="FV113" i="63"/>
  <c r="FV112" i="63"/>
  <c r="FV116" i="63"/>
  <c r="FU111" i="63"/>
  <c r="FU112" i="63" s="1"/>
  <c r="FU113" i="63" s="1"/>
  <c r="FU114" i="63" s="1"/>
  <c r="FU115" i="63" s="1"/>
  <c r="FU116" i="63" s="1"/>
  <c r="FU117" i="63" s="1"/>
  <c r="FU118" i="63" s="1"/>
  <c r="FU119" i="63" s="1"/>
  <c r="FU120" i="63" s="1"/>
  <c r="FU121" i="63" s="1"/>
  <c r="FU122" i="63" s="1"/>
  <c r="FU123" i="63" s="1"/>
  <c r="FU124" i="63" s="1"/>
  <c r="FU125" i="63" s="1"/>
  <c r="FU126" i="63" s="1"/>
  <c r="FU127" i="63" s="1"/>
  <c r="FU128" i="63" s="1"/>
  <c r="FU129" i="63" s="1"/>
  <c r="FU130" i="63" s="1"/>
  <c r="FU131" i="63" s="1"/>
  <c r="GT110" i="63"/>
  <c r="FV115" i="63"/>
  <c r="FV114" i="63"/>
  <c r="FV111" i="63"/>
  <c r="EX117" i="63"/>
  <c r="LP174" i="63"/>
  <c r="KR178" i="63"/>
  <c r="KR181" i="63"/>
  <c r="KR179" i="63"/>
  <c r="KR175" i="63"/>
  <c r="KR176" i="63"/>
  <c r="KR180" i="63"/>
  <c r="KR177" i="63"/>
  <c r="JS117" i="63"/>
  <c r="JR117" i="63"/>
  <c r="JR116" i="63"/>
  <c r="JR115" i="63"/>
  <c r="JR111" i="63"/>
  <c r="KP110" i="63"/>
  <c r="JR118" i="63"/>
  <c r="JR114" i="63"/>
  <c r="JR113" i="63"/>
  <c r="JR112" i="63"/>
  <c r="JS181" i="63"/>
  <c r="JS179" i="63"/>
  <c r="JS175" i="63"/>
  <c r="JS180" i="63"/>
  <c r="JS176" i="63"/>
  <c r="JS178" i="63"/>
  <c r="KQ174" i="63"/>
  <c r="JS177" i="63"/>
  <c r="FW181" i="63"/>
  <c r="FW180" i="63"/>
  <c r="FW176" i="63"/>
  <c r="FW177" i="63"/>
  <c r="GU174" i="63"/>
  <c r="FW179" i="63"/>
  <c r="FW178" i="63"/>
  <c r="FW175" i="63"/>
  <c r="GU118" i="63"/>
  <c r="GU117" i="63"/>
  <c r="GU116" i="63"/>
  <c r="HS110" i="63"/>
  <c r="GU114" i="63"/>
  <c r="GU113" i="63"/>
  <c r="GU112" i="63"/>
  <c r="GU115" i="63"/>
  <c r="GU111" i="63"/>
  <c r="IT181" i="63"/>
  <c r="IT180" i="63"/>
  <c r="IT179" i="63"/>
  <c r="IT178" i="63"/>
  <c r="IT177" i="63"/>
  <c r="IT176" i="63"/>
  <c r="IT175" i="63"/>
  <c r="JR174" i="63"/>
  <c r="PM180" i="63"/>
  <c r="PM176" i="63"/>
  <c r="PM181" i="63"/>
  <c r="PM177" i="63"/>
  <c r="PM175" i="63"/>
  <c r="PM178" i="63"/>
  <c r="PM179" i="63"/>
  <c r="LP118" i="63"/>
  <c r="LP117" i="63"/>
  <c r="LP115" i="63"/>
  <c r="LP114" i="63"/>
  <c r="LP113" i="63"/>
  <c r="LP112" i="63"/>
  <c r="LP111" i="63"/>
  <c r="LP116" i="63"/>
  <c r="MN110" i="63"/>
  <c r="AC108" i="39"/>
  <c r="O239" i="39"/>
  <c r="X221" i="65" l="1"/>
  <c r="W166" i="65"/>
  <c r="U3" i="65"/>
  <c r="V15" i="65"/>
  <c r="V19" i="65" s="1"/>
  <c r="V23" i="65" s="1"/>
  <c r="V110" i="65" s="1"/>
  <c r="BN173" i="39"/>
  <c r="AW173" i="39"/>
  <c r="BH173" i="39"/>
  <c r="BE173" i="39"/>
  <c r="BB173" i="39"/>
  <c r="AS173" i="39"/>
  <c r="BI173" i="39"/>
  <c r="AR173" i="39"/>
  <c r="BM173" i="39"/>
  <c r="BG173" i="39"/>
  <c r="BC173" i="39"/>
  <c r="AN173" i="39"/>
  <c r="AZ173" i="39"/>
  <c r="BK173" i="39"/>
  <c r="BF173" i="39"/>
  <c r="BJ173" i="39"/>
  <c r="AT173" i="39"/>
  <c r="AK173" i="39"/>
  <c r="AM173" i="39"/>
  <c r="AL173" i="39"/>
  <c r="AU173" i="39"/>
  <c r="AV173" i="39"/>
  <c r="AO173" i="39"/>
  <c r="AX173" i="39"/>
  <c r="AY173" i="39"/>
  <c r="BA173" i="39"/>
  <c r="BD173" i="39"/>
  <c r="AP173" i="39"/>
  <c r="AQ173" i="39"/>
  <c r="BL173" i="39"/>
  <c r="X173" i="39"/>
  <c r="AJ173" i="39"/>
  <c r="AE173" i="39"/>
  <c r="AD173" i="39"/>
  <c r="AG173" i="39"/>
  <c r="AB173" i="39"/>
  <c r="W173" i="39"/>
  <c r="Y173" i="39"/>
  <c r="AA173" i="39"/>
  <c r="AC173" i="39"/>
  <c r="AI173" i="39"/>
  <c r="AH173" i="39"/>
  <c r="Z173" i="39"/>
  <c r="AF173" i="39"/>
  <c r="V173" i="39"/>
  <c r="U173" i="39"/>
  <c r="T173" i="39"/>
  <c r="S173" i="39"/>
  <c r="R173" i="39"/>
  <c r="Q173" i="39"/>
  <c r="P173" i="39"/>
  <c r="O174" i="39"/>
  <c r="BN117" i="39"/>
  <c r="AR117" i="39"/>
  <c r="BG117" i="39"/>
  <c r="BC117" i="39"/>
  <c r="AV117" i="39"/>
  <c r="AX117" i="39"/>
  <c r="AW117" i="39"/>
  <c r="AS117" i="39"/>
  <c r="BD117" i="39"/>
  <c r="AQ117" i="39"/>
  <c r="BL117" i="39"/>
  <c r="AN117" i="39"/>
  <c r="BH117" i="39"/>
  <c r="AY117" i="39"/>
  <c r="AT117" i="39"/>
  <c r="AO117" i="39"/>
  <c r="BK117" i="39"/>
  <c r="BM117" i="39"/>
  <c r="AZ117" i="39"/>
  <c r="BF117" i="39"/>
  <c r="AM117" i="39"/>
  <c r="BB117" i="39"/>
  <c r="BI117" i="39"/>
  <c r="BJ117" i="39"/>
  <c r="AP117" i="39"/>
  <c r="BE117" i="39"/>
  <c r="AL117" i="39"/>
  <c r="AU117" i="39"/>
  <c r="BA117" i="39"/>
  <c r="AK117" i="39"/>
  <c r="Y117" i="39"/>
  <c r="AH117" i="39"/>
  <c r="Z117" i="39"/>
  <c r="AI117" i="39"/>
  <c r="AB117" i="39"/>
  <c r="AC117" i="39"/>
  <c r="AE117" i="39"/>
  <c r="X117" i="39"/>
  <c r="AJ117" i="39"/>
  <c r="AD117" i="39"/>
  <c r="AF117" i="39"/>
  <c r="AA117" i="39"/>
  <c r="AG117" i="39"/>
  <c r="W117" i="39"/>
  <c r="V117" i="39"/>
  <c r="U117" i="39"/>
  <c r="T117" i="39"/>
  <c r="S117" i="39"/>
  <c r="R117" i="39"/>
  <c r="Q117" i="39"/>
  <c r="P117" i="39"/>
  <c r="O118" i="39"/>
  <c r="OM118" i="63"/>
  <c r="PK118" i="63"/>
  <c r="PK115" i="63"/>
  <c r="PK114" i="63"/>
  <c r="PK113" i="63"/>
  <c r="PK112" i="63"/>
  <c r="PK111" i="63"/>
  <c r="PK116" i="63"/>
  <c r="PK117" i="63"/>
  <c r="IS181" i="63"/>
  <c r="IS177" i="63"/>
  <c r="IS178" i="63"/>
  <c r="IS176" i="63"/>
  <c r="IS180" i="63"/>
  <c r="IS179" i="63"/>
  <c r="JQ174" i="63"/>
  <c r="IS175" i="63"/>
  <c r="LP181" i="63"/>
  <c r="LP180" i="63"/>
  <c r="LP179" i="63"/>
  <c r="LP178" i="63"/>
  <c r="LP177" i="63"/>
  <c r="LP176" i="63"/>
  <c r="LP175" i="63"/>
  <c r="MN174" i="63"/>
  <c r="OM181" i="63"/>
  <c r="OM178" i="63"/>
  <c r="OM180" i="63"/>
  <c r="OM179" i="63"/>
  <c r="OM175" i="63"/>
  <c r="PK174" i="63"/>
  <c r="OM177" i="63"/>
  <c r="OM176" i="63"/>
  <c r="NM119" i="63"/>
  <c r="NM118" i="63"/>
  <c r="NM117" i="63"/>
  <c r="NM116" i="63"/>
  <c r="NM114" i="63"/>
  <c r="NM113" i="63"/>
  <c r="NM112" i="63"/>
  <c r="NM111" i="63"/>
  <c r="OK110" i="63"/>
  <c r="NM115" i="63"/>
  <c r="PL181" i="63"/>
  <c r="PL180" i="63"/>
  <c r="PL179" i="63"/>
  <c r="PL178" i="63"/>
  <c r="PL177" i="63"/>
  <c r="PL176" i="63"/>
  <c r="PL175" i="63"/>
  <c r="I182" i="63"/>
  <c r="MO182" i="63" s="1"/>
  <c r="AD181" i="63"/>
  <c r="AB181" i="63"/>
  <c r="AC181" i="63"/>
  <c r="BB181" i="63"/>
  <c r="AZ181" i="63"/>
  <c r="BA181" i="63"/>
  <c r="BZ181" i="63"/>
  <c r="AA181" i="63"/>
  <c r="BY181" i="63"/>
  <c r="CX181" i="63"/>
  <c r="BX181" i="63"/>
  <c r="AY181" i="63"/>
  <c r="Z181" i="63"/>
  <c r="BW181" i="63"/>
  <c r="CW181" i="63"/>
  <c r="CV181" i="63"/>
  <c r="AX181" i="63"/>
  <c r="DV181" i="63"/>
  <c r="Y181" i="63"/>
  <c r="BV181" i="63"/>
  <c r="DT181" i="63"/>
  <c r="ET181" i="63"/>
  <c r="X181" i="63"/>
  <c r="CU181" i="63"/>
  <c r="DU181" i="63"/>
  <c r="AW181" i="63"/>
  <c r="BU181" i="63"/>
  <c r="FR181" i="63"/>
  <c r="ES181" i="63"/>
  <c r="ER181" i="63"/>
  <c r="AV181" i="63"/>
  <c r="DS181" i="63"/>
  <c r="CT181" i="63"/>
  <c r="W181" i="63"/>
  <c r="BT181" i="63"/>
  <c r="EQ181" i="63"/>
  <c r="FQ181" i="63"/>
  <c r="DR181" i="63"/>
  <c r="AU181" i="63"/>
  <c r="GP181" i="63"/>
  <c r="V181" i="63"/>
  <c r="CS181" i="63"/>
  <c r="FP181" i="63"/>
  <c r="U181" i="63"/>
  <c r="FO181" i="63"/>
  <c r="CR181" i="63"/>
  <c r="GO181" i="63"/>
  <c r="EP181" i="63"/>
  <c r="BS181" i="63"/>
  <c r="AT181" i="63"/>
  <c r="GN181" i="63"/>
  <c r="DQ181" i="63"/>
  <c r="HN181" i="63"/>
  <c r="DP181" i="63"/>
  <c r="HL181" i="63"/>
  <c r="IL181" i="63"/>
  <c r="BR181" i="63"/>
  <c r="FN181" i="63"/>
  <c r="CQ181" i="63"/>
  <c r="EO181" i="63"/>
  <c r="AS181" i="63"/>
  <c r="GM181" i="63"/>
  <c r="HM181" i="63"/>
  <c r="T181" i="63"/>
  <c r="GL181" i="63"/>
  <c r="CP181" i="63"/>
  <c r="IJ181" i="63"/>
  <c r="HK181" i="63"/>
  <c r="EN181" i="63"/>
  <c r="AR181" i="63"/>
  <c r="DO181" i="63"/>
  <c r="IK181" i="63"/>
  <c r="BQ181" i="63"/>
  <c r="JJ181" i="63"/>
  <c r="S181" i="63"/>
  <c r="FM181" i="63"/>
  <c r="R181" i="63"/>
  <c r="JI181" i="63"/>
  <c r="FL181" i="63"/>
  <c r="BP181" i="63"/>
  <c r="AQ181" i="63"/>
  <c r="JH181" i="63"/>
  <c r="GK181" i="63"/>
  <c r="KH181" i="63"/>
  <c r="HJ181" i="63"/>
  <c r="CO181" i="63"/>
  <c r="DN181" i="63"/>
  <c r="EM181" i="63"/>
  <c r="II181" i="63"/>
  <c r="BO181" i="63"/>
  <c r="AP181" i="63"/>
  <c r="EL181" i="63"/>
  <c r="FK181" i="63"/>
  <c r="IH181" i="63"/>
  <c r="DM181" i="63"/>
  <c r="Q181" i="63"/>
  <c r="CN181" i="63"/>
  <c r="HI181" i="63"/>
  <c r="KF181" i="63"/>
  <c r="GJ181" i="63"/>
  <c r="KG181" i="63"/>
  <c r="JG181" i="63"/>
  <c r="LF181" i="63"/>
  <c r="LE181" i="63"/>
  <c r="P181" i="63"/>
  <c r="DL181" i="63"/>
  <c r="KE181" i="63"/>
  <c r="AO181" i="63"/>
  <c r="BN181" i="63"/>
  <c r="EK181" i="63"/>
  <c r="LD181" i="63"/>
  <c r="JF181" i="63"/>
  <c r="MD181" i="63"/>
  <c r="GI181" i="63"/>
  <c r="CM181" i="63"/>
  <c r="HH181" i="63"/>
  <c r="FJ181" i="63"/>
  <c r="IG181" i="63"/>
  <c r="MB181" i="63"/>
  <c r="FI181" i="63"/>
  <c r="CL181" i="63"/>
  <c r="LC181" i="63"/>
  <c r="KD181" i="63"/>
  <c r="EJ181" i="63"/>
  <c r="GH181" i="63"/>
  <c r="NB181" i="63"/>
  <c r="HG181" i="63"/>
  <c r="MC181" i="63"/>
  <c r="JE181" i="63"/>
  <c r="BM181" i="63"/>
  <c r="IF181" i="63"/>
  <c r="AN181" i="63"/>
  <c r="O181" i="63"/>
  <c r="DK181" i="63"/>
  <c r="FH181" i="63"/>
  <c r="MZ181" i="63"/>
  <c r="EI181" i="63"/>
  <c r="JD181" i="63"/>
  <c r="KC181" i="63"/>
  <c r="HF181" i="63"/>
  <c r="IE181" i="63"/>
  <c r="DJ181" i="63"/>
  <c r="CK181" i="63"/>
  <c r="LB181" i="63"/>
  <c r="AM181" i="63"/>
  <c r="NA181" i="63"/>
  <c r="GG181" i="63"/>
  <c r="NZ181" i="63"/>
  <c r="BL181" i="63"/>
  <c r="N181" i="63"/>
  <c r="MA181" i="63"/>
  <c r="MY181" i="63"/>
  <c r="CJ181" i="63"/>
  <c r="FG181" i="63"/>
  <c r="LZ181" i="63"/>
  <c r="LA181" i="63"/>
  <c r="GF181" i="63"/>
  <c r="HE181" i="63"/>
  <c r="EH181" i="63"/>
  <c r="KB181" i="63"/>
  <c r="DI181" i="63"/>
  <c r="BK181" i="63"/>
  <c r="NX181" i="63"/>
  <c r="JC181" i="63"/>
  <c r="AL181" i="63"/>
  <c r="OX181" i="63"/>
  <c r="ID181" i="63"/>
  <c r="M181" i="63"/>
  <c r="NY181" i="63"/>
  <c r="GE181" i="63"/>
  <c r="JB181" i="63"/>
  <c r="PV181" i="63"/>
  <c r="DH181" i="63"/>
  <c r="HD181" i="63"/>
  <c r="FF181" i="63"/>
  <c r="AK181" i="63"/>
  <c r="L181" i="63"/>
  <c r="NW181" i="63"/>
  <c r="MX181" i="63"/>
  <c r="OV181" i="63"/>
  <c r="CI181" i="63"/>
  <c r="KZ181" i="63"/>
  <c r="BJ181" i="63"/>
  <c r="IC181" i="63"/>
  <c r="KA181" i="63"/>
  <c r="LY181" i="63"/>
  <c r="EG181" i="63"/>
  <c r="OW181" i="63"/>
  <c r="IB181" i="63"/>
  <c r="NV181" i="63"/>
  <c r="JA181" i="63"/>
  <c r="PU181" i="63"/>
  <c r="KY181" i="63"/>
  <c r="MW181" i="63"/>
  <c r="AJ181" i="63"/>
  <c r="GD181" i="63"/>
  <c r="OU181" i="63"/>
  <c r="K181" i="63"/>
  <c r="DG181" i="63"/>
  <c r="BI181" i="63"/>
  <c r="EF181" i="63"/>
  <c r="CH181" i="63"/>
  <c r="PT181" i="63"/>
  <c r="JZ181" i="63"/>
  <c r="LX181" i="63"/>
  <c r="HC181" i="63"/>
  <c r="FE181" i="63"/>
  <c r="LW181" i="63"/>
  <c r="KX181" i="63"/>
  <c r="DF181" i="63"/>
  <c r="BH181" i="63"/>
  <c r="HB181" i="63"/>
  <c r="NU181" i="63"/>
  <c r="AI181" i="63"/>
  <c r="GC181" i="63"/>
  <c r="FD181" i="63"/>
  <c r="JY181" i="63"/>
  <c r="CG181" i="63"/>
  <c r="IZ181" i="63"/>
  <c r="PS181" i="63"/>
  <c r="MV181" i="63"/>
  <c r="OT181" i="63"/>
  <c r="J181" i="63"/>
  <c r="EE181" i="63"/>
  <c r="IA181" i="63"/>
  <c r="BG181" i="63"/>
  <c r="JX181" i="63"/>
  <c r="MU181" i="63"/>
  <c r="OS181" i="63"/>
  <c r="KW181" i="63"/>
  <c r="GB181" i="63"/>
  <c r="ED181" i="63"/>
  <c r="IY181" i="63"/>
  <c r="HZ181" i="63"/>
  <c r="FC181" i="63"/>
  <c r="NT181" i="63"/>
  <c r="AH181" i="63"/>
  <c r="PR181" i="63"/>
  <c r="CF181" i="63"/>
  <c r="LV181" i="63"/>
  <c r="DE181" i="63"/>
  <c r="HA181" i="63"/>
  <c r="HY181" i="63"/>
  <c r="PQ181" i="63"/>
  <c r="MT181" i="63"/>
  <c r="IX181" i="63"/>
  <c r="JW181" i="63"/>
  <c r="LU181" i="63"/>
  <c r="GZ181" i="63"/>
  <c r="CE181" i="63"/>
  <c r="EC181" i="63"/>
  <c r="DD181" i="63"/>
  <c r="OR181" i="63"/>
  <c r="FB181" i="63"/>
  <c r="KV181" i="63"/>
  <c r="GA181" i="63"/>
  <c r="BF181" i="63"/>
  <c r="NS181" i="63"/>
  <c r="DC181" i="63"/>
  <c r="NR181" i="63"/>
  <c r="LT181" i="63"/>
  <c r="FA181" i="63"/>
  <c r="MS181" i="63"/>
  <c r="FZ181" i="63"/>
  <c r="PP181" i="63"/>
  <c r="GY181" i="63"/>
  <c r="OQ181" i="63"/>
  <c r="KU181" i="63"/>
  <c r="EB181" i="63"/>
  <c r="JV181" i="63"/>
  <c r="IW181" i="63"/>
  <c r="CD181" i="63"/>
  <c r="HX181" i="63"/>
  <c r="LS181" i="63"/>
  <c r="JU181" i="63"/>
  <c r="EA181" i="63"/>
  <c r="NQ181" i="63"/>
  <c r="MR181" i="63"/>
  <c r="HW181" i="63"/>
  <c r="KT181" i="63"/>
  <c r="OP181" i="63"/>
  <c r="DB181" i="63"/>
  <c r="FY181" i="63"/>
  <c r="EZ181" i="63"/>
  <c r="IV181" i="63"/>
  <c r="GX181" i="63"/>
  <c r="PO181" i="63"/>
  <c r="DZ181" i="63"/>
  <c r="GW181" i="63"/>
  <c r="JT181" i="63"/>
  <c r="OO181" i="63"/>
  <c r="PN181" i="63"/>
  <c r="EY181" i="63"/>
  <c r="KS181" i="63"/>
  <c r="LR181" i="63"/>
  <c r="FX181" i="63"/>
  <c r="MQ181" i="63"/>
  <c r="HV181" i="63"/>
  <c r="IU181" i="63"/>
  <c r="NP181" i="63"/>
  <c r="LO115" i="63"/>
  <c r="LO114" i="63"/>
  <c r="LO113" i="63"/>
  <c r="LO112" i="63"/>
  <c r="LO111" i="63"/>
  <c r="LO118" i="63"/>
  <c r="LO116" i="63"/>
  <c r="MM110" i="63"/>
  <c r="LO117" i="63"/>
  <c r="HS116" i="63"/>
  <c r="HS115" i="63"/>
  <c r="HS114" i="63"/>
  <c r="HS113" i="63"/>
  <c r="HS112" i="63"/>
  <c r="HS111" i="63"/>
  <c r="HS118" i="63"/>
  <c r="HS117" i="63"/>
  <c r="IQ110" i="63"/>
  <c r="GU181" i="63"/>
  <c r="GU180" i="63"/>
  <c r="GU176" i="63"/>
  <c r="GU177" i="63"/>
  <c r="HS174" i="63"/>
  <c r="GU182" i="63"/>
  <c r="GU179" i="63"/>
  <c r="GU178" i="63"/>
  <c r="GU175" i="63"/>
  <c r="KQ181" i="63"/>
  <c r="KQ179" i="63"/>
  <c r="KQ175" i="63"/>
  <c r="KQ180" i="63"/>
  <c r="KQ176" i="63"/>
  <c r="KQ178" i="63"/>
  <c r="KQ177" i="63"/>
  <c r="LO174" i="63"/>
  <c r="JQ118" i="63"/>
  <c r="JQ117" i="63"/>
  <c r="JQ116" i="63"/>
  <c r="JQ115" i="63"/>
  <c r="JQ112" i="63"/>
  <c r="KO110" i="63"/>
  <c r="JQ114" i="63"/>
  <c r="JQ113" i="63"/>
  <c r="JQ111" i="63"/>
  <c r="OL117" i="63"/>
  <c r="OL116" i="63"/>
  <c r="OL115" i="63"/>
  <c r="OL114" i="63"/>
  <c r="OL113" i="63"/>
  <c r="OL112" i="63"/>
  <c r="OL111" i="63"/>
  <c r="OL118" i="63"/>
  <c r="PJ110" i="63"/>
  <c r="MN118" i="63"/>
  <c r="MN117" i="63"/>
  <c r="MN115" i="63"/>
  <c r="MN112" i="63"/>
  <c r="NL110" i="63"/>
  <c r="MN114" i="63"/>
  <c r="MN113" i="63"/>
  <c r="MN111" i="63"/>
  <c r="MN116" i="63"/>
  <c r="HT181" i="63"/>
  <c r="HT180" i="63"/>
  <c r="HT179" i="63"/>
  <c r="HT178" i="63"/>
  <c r="HT177" i="63"/>
  <c r="HT176" i="63"/>
  <c r="HT175" i="63"/>
  <c r="IR174" i="63"/>
  <c r="NN180" i="63"/>
  <c r="NN179" i="63"/>
  <c r="NN175" i="63"/>
  <c r="OL174" i="63"/>
  <c r="NN176" i="63"/>
  <c r="NN178" i="63"/>
  <c r="NN181" i="63"/>
  <c r="NN177" i="63"/>
  <c r="JR180" i="63"/>
  <c r="JR176" i="63"/>
  <c r="JR177" i="63"/>
  <c r="JR181" i="63"/>
  <c r="JR175" i="63"/>
  <c r="JR178" i="63"/>
  <c r="KP174" i="63"/>
  <c r="JR179" i="63"/>
  <c r="KP116" i="63"/>
  <c r="KP117" i="63"/>
  <c r="KP115" i="63"/>
  <c r="KP114" i="63"/>
  <c r="KP113" i="63"/>
  <c r="KP112" i="63"/>
  <c r="KP111" i="63"/>
  <c r="LN110" i="63"/>
  <c r="KP118" i="63"/>
  <c r="GT117" i="63"/>
  <c r="GS111" i="63"/>
  <c r="GS112" i="63" s="1"/>
  <c r="GS113" i="63" s="1"/>
  <c r="GS114" i="63" s="1"/>
  <c r="GS115" i="63" s="1"/>
  <c r="GS116" i="63" s="1"/>
  <c r="GS117" i="63" s="1"/>
  <c r="GS118" i="63" s="1"/>
  <c r="GS119" i="63" s="1"/>
  <c r="GS120" i="63" s="1"/>
  <c r="GS121" i="63" s="1"/>
  <c r="GS122" i="63" s="1"/>
  <c r="GS123" i="63" s="1"/>
  <c r="GS124" i="63" s="1"/>
  <c r="GS125" i="63" s="1"/>
  <c r="GS126" i="63" s="1"/>
  <c r="GS127" i="63" s="1"/>
  <c r="GS128" i="63" s="1"/>
  <c r="GS129" i="63" s="1"/>
  <c r="GS130" i="63" s="1"/>
  <c r="GS131" i="63" s="1"/>
  <c r="GT116" i="63"/>
  <c r="HR110" i="63"/>
  <c r="GT118" i="63"/>
  <c r="GT115" i="63"/>
  <c r="GT114" i="63"/>
  <c r="GT113" i="63"/>
  <c r="GT112" i="63"/>
  <c r="GT111" i="63"/>
  <c r="EW238" i="63"/>
  <c r="EW239" i="63" s="1"/>
  <c r="EW240" i="63" s="1"/>
  <c r="EW241" i="63" s="1"/>
  <c r="EW242" i="63" s="1"/>
  <c r="EW243" i="63" s="1"/>
  <c r="EW244" i="63" s="1"/>
  <c r="EW245" i="63" s="1"/>
  <c r="EW246" i="63" s="1"/>
  <c r="EW247" i="63" s="1"/>
  <c r="EW248" i="63" s="1"/>
  <c r="EW249" i="63" s="1"/>
  <c r="EW250" i="63" s="1"/>
  <c r="EW251" i="63" s="1"/>
  <c r="EW252" i="63" s="1"/>
  <c r="EW253" i="63" s="1"/>
  <c r="EW254" i="63" s="1"/>
  <c r="EW255" i="63" s="1"/>
  <c r="EW256" i="63" s="1"/>
  <c r="EW257" i="63" s="1"/>
  <c r="EW258" i="63" s="1"/>
  <c r="FV237" i="63"/>
  <c r="MO180" i="63"/>
  <c r="MO176" i="63"/>
  <c r="NM174" i="63"/>
  <c r="MO177" i="63"/>
  <c r="MO179" i="63"/>
  <c r="MO181" i="63"/>
  <c r="MO175" i="63"/>
  <c r="MO178" i="63"/>
  <c r="FV181" i="63"/>
  <c r="FV177" i="63"/>
  <c r="GT174" i="63"/>
  <c r="FV178" i="63"/>
  <c r="FU175" i="63"/>
  <c r="FU176" i="63" s="1"/>
  <c r="FU177" i="63" s="1"/>
  <c r="FU178" i="63" s="1"/>
  <c r="FU179" i="63" s="1"/>
  <c r="FU180" i="63" s="1"/>
  <c r="FU181" i="63" s="1"/>
  <c r="FU182" i="63" s="1"/>
  <c r="FU183" i="63" s="1"/>
  <c r="FU184" i="63" s="1"/>
  <c r="FU185" i="63" s="1"/>
  <c r="FU186" i="63" s="1"/>
  <c r="FU187" i="63" s="1"/>
  <c r="FU188" i="63" s="1"/>
  <c r="FU189" i="63" s="1"/>
  <c r="FU190" i="63" s="1"/>
  <c r="FU191" i="63" s="1"/>
  <c r="FU192" i="63" s="1"/>
  <c r="FU193" i="63" s="1"/>
  <c r="FU194" i="63" s="1"/>
  <c r="FU195" i="63" s="1"/>
  <c r="FV180" i="63"/>
  <c r="FV176" i="63"/>
  <c r="FV175" i="63"/>
  <c r="FV179" i="63"/>
  <c r="I119" i="63"/>
  <c r="JQ119" i="63" s="1"/>
  <c r="AD118" i="63"/>
  <c r="AC118" i="63"/>
  <c r="AB118" i="63"/>
  <c r="BB118" i="63"/>
  <c r="AZ118" i="63"/>
  <c r="BZ118" i="63"/>
  <c r="AA118" i="63"/>
  <c r="BA118" i="63"/>
  <c r="BX118" i="63"/>
  <c r="CX118" i="63"/>
  <c r="Z118" i="63"/>
  <c r="AY118" i="63"/>
  <c r="BY118" i="63"/>
  <c r="Y118" i="63"/>
  <c r="AX118" i="63"/>
  <c r="DV118" i="63"/>
  <c r="CW118" i="63"/>
  <c r="CV118" i="63"/>
  <c r="BW118" i="63"/>
  <c r="DU118" i="63"/>
  <c r="DT118" i="63"/>
  <c r="AW118" i="63"/>
  <c r="CU118" i="63"/>
  <c r="BV118" i="63"/>
  <c r="ET118" i="63"/>
  <c r="X118" i="63"/>
  <c r="ES118" i="63"/>
  <c r="DS118" i="63"/>
  <c r="W118" i="63"/>
  <c r="FR118" i="63"/>
  <c r="CT118" i="63"/>
  <c r="BU118" i="63"/>
  <c r="AV118" i="63"/>
  <c r="ER118" i="63"/>
  <c r="GP118" i="63"/>
  <c r="FP118" i="63"/>
  <c r="BT118" i="63"/>
  <c r="FQ118" i="63"/>
  <c r="AU118" i="63"/>
  <c r="CS118" i="63"/>
  <c r="V118" i="63"/>
  <c r="DR118" i="63"/>
  <c r="EQ118" i="63"/>
  <c r="FO118" i="63"/>
  <c r="AT118" i="63"/>
  <c r="GN118" i="63"/>
  <c r="HN118" i="63"/>
  <c r="DQ118" i="63"/>
  <c r="U118" i="63"/>
  <c r="EP118" i="63"/>
  <c r="BS118" i="63"/>
  <c r="GO118" i="63"/>
  <c r="CR118" i="63"/>
  <c r="FN118" i="63"/>
  <c r="IL118" i="63"/>
  <c r="BR118" i="63"/>
  <c r="AS118" i="63"/>
  <c r="GM118" i="63"/>
  <c r="T118" i="63"/>
  <c r="DP118" i="63"/>
  <c r="HM118" i="63"/>
  <c r="HL118" i="63"/>
  <c r="CQ118" i="63"/>
  <c r="EO118" i="63"/>
  <c r="DO118" i="63"/>
  <c r="JJ118" i="63"/>
  <c r="IJ118" i="63"/>
  <c r="GL118" i="63"/>
  <c r="HK118" i="63"/>
  <c r="BQ118" i="63"/>
  <c r="EN118" i="63"/>
  <c r="AR118" i="63"/>
  <c r="FM118" i="63"/>
  <c r="IK118" i="63"/>
  <c r="S118" i="63"/>
  <c r="CP118" i="63"/>
  <c r="DN118" i="63"/>
  <c r="II118" i="63"/>
  <c r="FL118" i="63"/>
  <c r="CO118" i="63"/>
  <c r="EM118" i="63"/>
  <c r="JI118" i="63"/>
  <c r="KH118" i="63"/>
  <c r="GK118" i="63"/>
  <c r="BP118" i="63"/>
  <c r="R118" i="63"/>
  <c r="JH118" i="63"/>
  <c r="HJ118" i="63"/>
  <c r="AQ118" i="63"/>
  <c r="BO118" i="63"/>
  <c r="HI118" i="63"/>
  <c r="KG118" i="63"/>
  <c r="JG118" i="63"/>
  <c r="LF118" i="63"/>
  <c r="DM118" i="63"/>
  <c r="AP118" i="63"/>
  <c r="GJ118" i="63"/>
  <c r="FK118" i="63"/>
  <c r="Q118" i="63"/>
  <c r="IH118" i="63"/>
  <c r="CN118" i="63"/>
  <c r="EL118" i="63"/>
  <c r="KF118" i="63"/>
  <c r="IG118" i="63"/>
  <c r="P118" i="63"/>
  <c r="MD118" i="63"/>
  <c r="HH118" i="63"/>
  <c r="FJ118" i="63"/>
  <c r="BN118" i="63"/>
  <c r="LD118" i="63"/>
  <c r="AO118" i="63"/>
  <c r="EK118" i="63"/>
  <c r="CM118" i="63"/>
  <c r="GI118" i="63"/>
  <c r="DL118" i="63"/>
  <c r="JF118" i="63"/>
  <c r="LE118" i="63"/>
  <c r="KE118" i="63"/>
  <c r="DK118" i="63"/>
  <c r="BM118" i="63"/>
  <c r="GH118" i="63"/>
  <c r="AN118" i="63"/>
  <c r="CL118" i="63"/>
  <c r="HG118" i="63"/>
  <c r="EJ118" i="63"/>
  <c r="KD118" i="63"/>
  <c r="MC118" i="63"/>
  <c r="NB118" i="63"/>
  <c r="MB118" i="63"/>
  <c r="O118" i="63"/>
  <c r="IF118" i="63"/>
  <c r="LC118" i="63"/>
  <c r="JE118" i="63"/>
  <c r="FI118" i="63"/>
  <c r="N118" i="63"/>
  <c r="DJ118" i="63"/>
  <c r="CK118" i="63"/>
  <c r="KC118" i="63"/>
  <c r="AM118" i="63"/>
  <c r="FH118" i="63"/>
  <c r="HF118" i="63"/>
  <c r="GG118" i="63"/>
  <c r="MZ118" i="63"/>
  <c r="NZ118" i="63"/>
  <c r="JD118" i="63"/>
  <c r="IE118" i="63"/>
  <c r="LB118" i="63"/>
  <c r="BL118" i="63"/>
  <c r="NA118" i="63"/>
  <c r="EI118" i="63"/>
  <c r="MA118" i="63"/>
  <c r="AL118" i="63"/>
  <c r="JC118" i="63"/>
  <c r="EH118" i="63"/>
  <c r="OX118" i="63"/>
  <c r="KB118" i="63"/>
  <c r="CJ118" i="63"/>
  <c r="BK118" i="63"/>
  <c r="NY118" i="63"/>
  <c r="ID118" i="63"/>
  <c r="MY118" i="63"/>
  <c r="LA118" i="63"/>
  <c r="LZ118" i="63"/>
  <c r="NX118" i="63"/>
  <c r="FG118" i="63"/>
  <c r="M118" i="63"/>
  <c r="DI118" i="63"/>
  <c r="HE118" i="63"/>
  <c r="GF118" i="63"/>
  <c r="CI118" i="63"/>
  <c r="IC118" i="63"/>
  <c r="EG118" i="63"/>
  <c r="NW118" i="63"/>
  <c r="OW118" i="63"/>
  <c r="JB118" i="63"/>
  <c r="MX118" i="63"/>
  <c r="BJ118" i="63"/>
  <c r="DH118" i="63"/>
  <c r="FF118" i="63"/>
  <c r="L118" i="63"/>
  <c r="PV118" i="63"/>
  <c r="KA118" i="63"/>
  <c r="OV118" i="63"/>
  <c r="KZ118" i="63"/>
  <c r="HD118" i="63"/>
  <c r="GE118" i="63"/>
  <c r="LY118" i="63"/>
  <c r="AK118" i="63"/>
  <c r="LX118" i="63"/>
  <c r="AJ118" i="63"/>
  <c r="KY118" i="63"/>
  <c r="IB118" i="63"/>
  <c r="PU118" i="63"/>
  <c r="JZ118" i="63"/>
  <c r="PT118" i="63"/>
  <c r="JA118" i="63"/>
  <c r="FE118" i="63"/>
  <c r="GD118" i="63"/>
  <c r="MW118" i="63"/>
  <c r="NV118" i="63"/>
  <c r="OU118" i="63"/>
  <c r="EF118" i="63"/>
  <c r="BI118" i="63"/>
  <c r="CH118" i="63"/>
  <c r="DG118" i="63"/>
  <c r="K118" i="63"/>
  <c r="HC118" i="63"/>
  <c r="EE118" i="63"/>
  <c r="KX118" i="63"/>
  <c r="J118" i="63"/>
  <c r="AI118" i="63"/>
  <c r="OT118" i="63"/>
  <c r="JY118" i="63"/>
  <c r="IA118" i="63"/>
  <c r="GC118" i="63"/>
  <c r="PS118" i="63"/>
  <c r="LW118" i="63"/>
  <c r="FD118" i="63"/>
  <c r="IZ118" i="63"/>
  <c r="MV118" i="63"/>
  <c r="HB118" i="63"/>
  <c r="DF118" i="63"/>
  <c r="CG118" i="63"/>
  <c r="NU118" i="63"/>
  <c r="BH118" i="63"/>
  <c r="GB118" i="63"/>
  <c r="KW118" i="63"/>
  <c r="FC118" i="63"/>
  <c r="CF118" i="63"/>
  <c r="LV118" i="63"/>
  <c r="BG118" i="63"/>
  <c r="NT118" i="63"/>
  <c r="ED118" i="63"/>
  <c r="MU118" i="63"/>
  <c r="HZ118" i="63"/>
  <c r="IY118" i="63"/>
  <c r="HA118" i="63"/>
  <c r="PR118" i="63"/>
  <c r="DE118" i="63"/>
  <c r="AH118" i="63"/>
  <c r="JX118" i="63"/>
  <c r="OS118" i="63"/>
  <c r="KV118" i="63"/>
  <c r="JW118" i="63"/>
  <c r="NS118" i="63"/>
  <c r="HY118" i="63"/>
  <c r="GA118" i="63"/>
  <c r="OR118" i="63"/>
  <c r="CE118" i="63"/>
  <c r="IX118" i="63"/>
  <c r="MT118" i="63"/>
  <c r="PQ118" i="63"/>
  <c r="DD118" i="63"/>
  <c r="GZ118" i="63"/>
  <c r="BF118" i="63"/>
  <c r="EC118" i="63"/>
  <c r="FB118" i="63"/>
  <c r="LU118" i="63"/>
  <c r="OQ118" i="63"/>
  <c r="KU118" i="63"/>
  <c r="FA118" i="63"/>
  <c r="NR118" i="63"/>
  <c r="EB118" i="63"/>
  <c r="IW118" i="63"/>
  <c r="GY118" i="63"/>
  <c r="HX118" i="63"/>
  <c r="LT118" i="63"/>
  <c r="JV118" i="63"/>
  <c r="FZ118" i="63"/>
  <c r="CD118" i="63"/>
  <c r="DC118" i="63"/>
  <c r="PP118" i="63"/>
  <c r="MS118" i="63"/>
  <c r="FY118" i="63"/>
  <c r="HW118" i="63"/>
  <c r="PO118" i="63"/>
  <c r="KT118" i="63"/>
  <c r="NQ118" i="63"/>
  <c r="IV118" i="63"/>
  <c r="LS118" i="63"/>
  <c r="GX118" i="63"/>
  <c r="EZ118" i="63"/>
  <c r="MR118" i="63"/>
  <c r="DB118" i="63"/>
  <c r="OP118" i="63"/>
  <c r="JU118" i="63"/>
  <c r="EA118" i="63"/>
  <c r="DZ118" i="63"/>
  <c r="HV118" i="63"/>
  <c r="PN118" i="63"/>
  <c r="MQ118" i="63"/>
  <c r="EY118" i="63"/>
  <c r="LR118" i="63"/>
  <c r="IU118" i="63"/>
  <c r="JT118" i="63"/>
  <c r="OO118" i="63"/>
  <c r="GW118" i="63"/>
  <c r="NP118" i="63"/>
  <c r="KS118" i="63"/>
  <c r="FX118" i="63"/>
  <c r="PM118" i="63"/>
  <c r="KR118" i="63"/>
  <c r="FW118" i="63"/>
  <c r="MP118" i="63"/>
  <c r="HU118" i="63"/>
  <c r="GV118" i="63"/>
  <c r="ON118" i="63"/>
  <c r="LQ118" i="63"/>
  <c r="IT118" i="63"/>
  <c r="JS118" i="63"/>
  <c r="NO118" i="63"/>
  <c r="EX118" i="63"/>
  <c r="NN118" i="63"/>
  <c r="IR119" i="63"/>
  <c r="IR118" i="63"/>
  <c r="IR115" i="63"/>
  <c r="IR114" i="63"/>
  <c r="IR111" i="63"/>
  <c r="JP110" i="63"/>
  <c r="IR117" i="63"/>
  <c r="IR116" i="63"/>
  <c r="IR113" i="63"/>
  <c r="IR112" i="63"/>
  <c r="KQ118" i="63"/>
  <c r="AD108" i="39"/>
  <c r="O240" i="39"/>
  <c r="V166" i="65" l="1"/>
  <c r="U15" i="65"/>
  <c r="U19" i="65" s="1"/>
  <c r="U23" i="65" s="1"/>
  <c r="U110" i="65" s="1"/>
  <c r="T3" i="65"/>
  <c r="W221" i="65"/>
  <c r="BN174" i="39"/>
  <c r="BC174" i="39"/>
  <c r="AN174" i="39"/>
  <c r="BI174" i="39"/>
  <c r="AW174" i="39"/>
  <c r="BG174" i="39"/>
  <c r="BE174" i="39"/>
  <c r="AS174" i="39"/>
  <c r="AM174" i="39"/>
  <c r="BM174" i="39"/>
  <c r="BH174" i="39"/>
  <c r="BJ174" i="39"/>
  <c r="BK174" i="39"/>
  <c r="AU174" i="39"/>
  <c r="AO174" i="39"/>
  <c r="BA174" i="39"/>
  <c r="AL174" i="39"/>
  <c r="BF174" i="39"/>
  <c r="BB174" i="39"/>
  <c r="AT174" i="39"/>
  <c r="AZ174" i="39"/>
  <c r="AK174" i="39"/>
  <c r="AP174" i="39"/>
  <c r="AR174" i="39"/>
  <c r="AV174" i="39"/>
  <c r="BL174" i="39"/>
  <c r="AY174" i="39"/>
  <c r="BD174" i="39"/>
  <c r="AQ174" i="39"/>
  <c r="AX174" i="39"/>
  <c r="X174" i="39"/>
  <c r="AE174" i="39"/>
  <c r="AJ174" i="39"/>
  <c r="AB174" i="39"/>
  <c r="W174" i="39"/>
  <c r="AD174" i="39"/>
  <c r="AG174" i="39"/>
  <c r="Y174" i="39"/>
  <c r="AI174" i="39"/>
  <c r="AH174" i="39"/>
  <c r="AF174" i="39"/>
  <c r="AC174" i="39"/>
  <c r="AA174" i="39"/>
  <c r="Z174" i="39"/>
  <c r="V174" i="39"/>
  <c r="U174" i="39"/>
  <c r="T174" i="39"/>
  <c r="S174" i="39"/>
  <c r="R174" i="39"/>
  <c r="Q174" i="39"/>
  <c r="P174" i="39"/>
  <c r="O175" i="39"/>
  <c r="BN118" i="39"/>
  <c r="BL118" i="39"/>
  <c r="AV118" i="39"/>
  <c r="AX118" i="39"/>
  <c r="BM118" i="39"/>
  <c r="BE118" i="39"/>
  <c r="AQ118" i="39"/>
  <c r="AR118" i="39"/>
  <c r="AP118" i="39"/>
  <c r="AS118" i="39"/>
  <c r="AY118" i="39"/>
  <c r="AN118" i="39"/>
  <c r="BH118" i="39"/>
  <c r="BK118" i="39"/>
  <c r="AU118" i="39"/>
  <c r="BJ118" i="39"/>
  <c r="BA118" i="39"/>
  <c r="AW118" i="39"/>
  <c r="BI118" i="39"/>
  <c r="AT118" i="39"/>
  <c r="AL118" i="39"/>
  <c r="AK118" i="39"/>
  <c r="BF118" i="39"/>
  <c r="AO118" i="39"/>
  <c r="BD118" i="39"/>
  <c r="BB118" i="39"/>
  <c r="AM118" i="39"/>
  <c r="AZ118" i="39"/>
  <c r="BG118" i="39"/>
  <c r="BC118" i="39"/>
  <c r="AB118" i="39"/>
  <c r="Y118" i="39"/>
  <c r="AE118" i="39"/>
  <c r="AH118" i="39"/>
  <c r="AI118" i="39"/>
  <c r="Z118" i="39"/>
  <c r="X118" i="39"/>
  <c r="AC118" i="39"/>
  <c r="AJ118" i="39"/>
  <c r="AF118" i="39"/>
  <c r="AG118" i="39"/>
  <c r="AD118" i="39"/>
  <c r="AA118" i="39"/>
  <c r="W118" i="39"/>
  <c r="V118" i="39"/>
  <c r="U118" i="39"/>
  <c r="T118" i="39"/>
  <c r="S118" i="39"/>
  <c r="R118" i="39"/>
  <c r="Q118" i="39"/>
  <c r="P118" i="39"/>
  <c r="O119" i="39"/>
  <c r="KQ182" i="63"/>
  <c r="HT182" i="63"/>
  <c r="PL182" i="63"/>
  <c r="LP182" i="63"/>
  <c r="JR182" i="63"/>
  <c r="OM182" i="63"/>
  <c r="FV182" i="63"/>
  <c r="NN182" i="63"/>
  <c r="OL119" i="63"/>
  <c r="LO119" i="63"/>
  <c r="OK174" i="63"/>
  <c r="NM180" i="63"/>
  <c r="NM176" i="63"/>
  <c r="NM182" i="63"/>
  <c r="NM177" i="63"/>
  <c r="NM179" i="63"/>
  <c r="NM175" i="63"/>
  <c r="NM181" i="63"/>
  <c r="NM178" i="63"/>
  <c r="GT237" i="63"/>
  <c r="FU238" i="63"/>
  <c r="FU239" i="63" s="1"/>
  <c r="FU240" i="63" s="1"/>
  <c r="FU241" i="63" s="1"/>
  <c r="FU242" i="63" s="1"/>
  <c r="FU243" i="63" s="1"/>
  <c r="FU244" i="63" s="1"/>
  <c r="FU245" i="63" s="1"/>
  <c r="FU246" i="63" s="1"/>
  <c r="FU247" i="63" s="1"/>
  <c r="FU248" i="63" s="1"/>
  <c r="FU249" i="63" s="1"/>
  <c r="FU250" i="63" s="1"/>
  <c r="FU251" i="63" s="1"/>
  <c r="FU252" i="63" s="1"/>
  <c r="FU253" i="63" s="1"/>
  <c r="FU254" i="63" s="1"/>
  <c r="FU255" i="63" s="1"/>
  <c r="FU256" i="63" s="1"/>
  <c r="FU257" i="63" s="1"/>
  <c r="FU258" i="63" s="1"/>
  <c r="KP119" i="63"/>
  <c r="MN119" i="63"/>
  <c r="PJ119" i="63"/>
  <c r="PJ114" i="63"/>
  <c r="PJ113" i="63"/>
  <c r="PJ112" i="63"/>
  <c r="PJ111" i="63"/>
  <c r="PJ117" i="63"/>
  <c r="PJ116" i="63"/>
  <c r="PJ118" i="63"/>
  <c r="PJ115" i="63"/>
  <c r="MM174" i="63"/>
  <c r="LO182" i="63"/>
  <c r="LO178" i="63"/>
  <c r="LO181" i="63"/>
  <c r="LO179" i="63"/>
  <c r="LO175" i="63"/>
  <c r="LO183" i="63"/>
  <c r="LO176" i="63"/>
  <c r="LO180" i="63"/>
  <c r="LO177" i="63"/>
  <c r="MM119" i="63"/>
  <c r="MM118" i="63"/>
  <c r="MM117" i="63"/>
  <c r="MM116" i="63"/>
  <c r="MM114" i="63"/>
  <c r="MM113" i="63"/>
  <c r="MM112" i="63"/>
  <c r="MM115" i="63"/>
  <c r="MM111" i="63"/>
  <c r="NK110" i="63"/>
  <c r="I183" i="63"/>
  <c r="AD182" i="63"/>
  <c r="AB182" i="63"/>
  <c r="AC182" i="63"/>
  <c r="BB182" i="63"/>
  <c r="BZ182" i="63"/>
  <c r="BA182" i="63"/>
  <c r="AZ182" i="63"/>
  <c r="AA182" i="63"/>
  <c r="BX182" i="63"/>
  <c r="Z182" i="63"/>
  <c r="BY182" i="63"/>
  <c r="CX182" i="63"/>
  <c r="AY182" i="63"/>
  <c r="CW182" i="63"/>
  <c r="AX182" i="63"/>
  <c r="BW182" i="63"/>
  <c r="DV182" i="63"/>
  <c r="Y182" i="63"/>
  <c r="CV182" i="63"/>
  <c r="ET182" i="63"/>
  <c r="AW182" i="63"/>
  <c r="BV182" i="63"/>
  <c r="X182" i="63"/>
  <c r="DU182" i="63"/>
  <c r="CU182" i="63"/>
  <c r="DT182" i="63"/>
  <c r="ER182" i="63"/>
  <c r="DS182" i="63"/>
  <c r="AV182" i="63"/>
  <c r="W182" i="63"/>
  <c r="FR182" i="63"/>
  <c r="ES182" i="63"/>
  <c r="CT182" i="63"/>
  <c r="BU182" i="63"/>
  <c r="EQ182" i="63"/>
  <c r="V182" i="63"/>
  <c r="FP182" i="63"/>
  <c r="BT182" i="63"/>
  <c r="FQ182" i="63"/>
  <c r="CS182" i="63"/>
  <c r="DR182" i="63"/>
  <c r="AU182" i="63"/>
  <c r="GP182" i="63"/>
  <c r="CR182" i="63"/>
  <c r="AT182" i="63"/>
  <c r="GO182" i="63"/>
  <c r="EP182" i="63"/>
  <c r="HN182" i="63"/>
  <c r="U182" i="63"/>
  <c r="FO182" i="63"/>
  <c r="BS182" i="63"/>
  <c r="GN182" i="63"/>
  <c r="DQ182" i="63"/>
  <c r="IL182" i="63"/>
  <c r="HM182" i="63"/>
  <c r="CQ182" i="63"/>
  <c r="GM182" i="63"/>
  <c r="T182" i="63"/>
  <c r="EO182" i="63"/>
  <c r="AS182" i="63"/>
  <c r="DP182" i="63"/>
  <c r="HL182" i="63"/>
  <c r="BR182" i="63"/>
  <c r="FN182" i="63"/>
  <c r="IK182" i="63"/>
  <c r="BQ182" i="63"/>
  <c r="IJ182" i="63"/>
  <c r="HK182" i="63"/>
  <c r="EN182" i="63"/>
  <c r="AR182" i="63"/>
  <c r="GL182" i="63"/>
  <c r="CP182" i="63"/>
  <c r="JJ182" i="63"/>
  <c r="FM182" i="63"/>
  <c r="S182" i="63"/>
  <c r="DO182" i="63"/>
  <c r="BP182" i="63"/>
  <c r="AQ182" i="63"/>
  <c r="HJ182" i="63"/>
  <c r="EM182" i="63"/>
  <c r="FL182" i="63"/>
  <c r="CO182" i="63"/>
  <c r="GK182" i="63"/>
  <c r="II182" i="63"/>
  <c r="R182" i="63"/>
  <c r="JH182" i="63"/>
  <c r="KH182" i="63"/>
  <c r="DN182" i="63"/>
  <c r="JI182" i="63"/>
  <c r="GJ182" i="63"/>
  <c r="BO182" i="63"/>
  <c r="AP182" i="63"/>
  <c r="HI182" i="63"/>
  <c r="KG182" i="63"/>
  <c r="LF182" i="63"/>
  <c r="CN182" i="63"/>
  <c r="KF182" i="63"/>
  <c r="DM182" i="63"/>
  <c r="Q182" i="63"/>
  <c r="FK182" i="63"/>
  <c r="EL182" i="63"/>
  <c r="IH182" i="63"/>
  <c r="JG182" i="63"/>
  <c r="BN182" i="63"/>
  <c r="JF182" i="63"/>
  <c r="GI182" i="63"/>
  <c r="LE182" i="63"/>
  <c r="P182" i="63"/>
  <c r="AO182" i="63"/>
  <c r="EK182" i="63"/>
  <c r="HH182" i="63"/>
  <c r="DL182" i="63"/>
  <c r="IG182" i="63"/>
  <c r="CM182" i="63"/>
  <c r="KE182" i="63"/>
  <c r="LD182" i="63"/>
  <c r="MD182" i="63"/>
  <c r="FJ182" i="63"/>
  <c r="IF182" i="63"/>
  <c r="AN182" i="63"/>
  <c r="JE182" i="63"/>
  <c r="BM182" i="63"/>
  <c r="DK182" i="63"/>
  <c r="HG182" i="63"/>
  <c r="LC182" i="63"/>
  <c r="FI182" i="63"/>
  <c r="GH182" i="63"/>
  <c r="O182" i="63"/>
  <c r="MB182" i="63"/>
  <c r="CL182" i="63"/>
  <c r="EJ182" i="63"/>
  <c r="KD182" i="63"/>
  <c r="NB182" i="63"/>
  <c r="MC182" i="63"/>
  <c r="NZ182" i="63"/>
  <c r="BL182" i="63"/>
  <c r="JD182" i="63"/>
  <c r="KC182" i="63"/>
  <c r="HF182" i="63"/>
  <c r="AM182" i="63"/>
  <c r="DJ182" i="63"/>
  <c r="GG182" i="63"/>
  <c r="FH182" i="63"/>
  <c r="LB182" i="63"/>
  <c r="CK182" i="63"/>
  <c r="NA182" i="63"/>
  <c r="N182" i="63"/>
  <c r="MZ182" i="63"/>
  <c r="EI182" i="63"/>
  <c r="IE182" i="63"/>
  <c r="MA182" i="63"/>
  <c r="LA182" i="63"/>
  <c r="GF182" i="63"/>
  <c r="JC182" i="63"/>
  <c r="EH182" i="63"/>
  <c r="KB182" i="63"/>
  <c r="BK182" i="63"/>
  <c r="LZ182" i="63"/>
  <c r="ID182" i="63"/>
  <c r="MY182" i="63"/>
  <c r="NX182" i="63"/>
  <c r="HE182" i="63"/>
  <c r="AL182" i="63"/>
  <c r="OX182" i="63"/>
  <c r="FG182" i="63"/>
  <c r="DI182" i="63"/>
  <c r="M182" i="63"/>
  <c r="NY182" i="63"/>
  <c r="CJ182" i="63"/>
  <c r="CI182" i="63"/>
  <c r="BJ182" i="63"/>
  <c r="OW182" i="63"/>
  <c r="FF182" i="63"/>
  <c r="KZ182" i="63"/>
  <c r="MX182" i="63"/>
  <c r="GE182" i="63"/>
  <c r="LY182" i="63"/>
  <c r="JB182" i="63"/>
  <c r="EG182" i="63"/>
  <c r="IC182" i="63"/>
  <c r="L182" i="63"/>
  <c r="HD182" i="63"/>
  <c r="NW182" i="63"/>
  <c r="PV182" i="63"/>
  <c r="AK182" i="63"/>
  <c r="KA182" i="63"/>
  <c r="DH182" i="63"/>
  <c r="OV182" i="63"/>
  <c r="NV182" i="63"/>
  <c r="GD182" i="63"/>
  <c r="OU182" i="63"/>
  <c r="BI182" i="63"/>
  <c r="JA182" i="63"/>
  <c r="AJ182" i="63"/>
  <c r="FE182" i="63"/>
  <c r="LX182" i="63"/>
  <c r="MW182" i="63"/>
  <c r="PT182" i="63"/>
  <c r="HC182" i="63"/>
  <c r="PU182" i="63"/>
  <c r="EF182" i="63"/>
  <c r="IB182" i="63"/>
  <c r="CH182" i="63"/>
  <c r="DG182" i="63"/>
  <c r="KY182" i="63"/>
  <c r="JZ182" i="63"/>
  <c r="K182" i="63"/>
  <c r="LW182" i="63"/>
  <c r="IA182" i="63"/>
  <c r="CG182" i="63"/>
  <c r="FD182" i="63"/>
  <c r="AI182" i="63"/>
  <c r="OT182" i="63"/>
  <c r="EE182" i="63"/>
  <c r="GC182" i="63"/>
  <c r="KX182" i="63"/>
  <c r="DF182" i="63"/>
  <c r="BH182" i="63"/>
  <c r="JY182" i="63"/>
  <c r="HB182" i="63"/>
  <c r="NU182" i="63"/>
  <c r="MV182" i="63"/>
  <c r="IZ182" i="63"/>
  <c r="PS182" i="63"/>
  <c r="J182" i="63"/>
  <c r="BG182" i="63"/>
  <c r="HZ182" i="63"/>
  <c r="GB182" i="63"/>
  <c r="HA182" i="63"/>
  <c r="NT182" i="63"/>
  <c r="ED182" i="63"/>
  <c r="PR182" i="63"/>
  <c r="OS182" i="63"/>
  <c r="CF182" i="63"/>
  <c r="KW182" i="63"/>
  <c r="FC182" i="63"/>
  <c r="LV182" i="63"/>
  <c r="AH182" i="63"/>
  <c r="JX182" i="63"/>
  <c r="DE182" i="63"/>
  <c r="IY182" i="63"/>
  <c r="MU182" i="63"/>
  <c r="PQ182" i="63"/>
  <c r="CE182" i="63"/>
  <c r="HY182" i="63"/>
  <c r="KV182" i="63"/>
  <c r="NS182" i="63"/>
  <c r="OR182" i="63"/>
  <c r="GA182" i="63"/>
  <c r="JW182" i="63"/>
  <c r="FB182" i="63"/>
  <c r="LU182" i="63"/>
  <c r="BF182" i="63"/>
  <c r="EC182" i="63"/>
  <c r="DD182" i="63"/>
  <c r="MT182" i="63"/>
  <c r="GZ182" i="63"/>
  <c r="IX182" i="63"/>
  <c r="OQ182" i="63"/>
  <c r="CD182" i="63"/>
  <c r="EB182" i="63"/>
  <c r="FA182" i="63"/>
  <c r="MS182" i="63"/>
  <c r="DC182" i="63"/>
  <c r="LT182" i="63"/>
  <c r="GY182" i="63"/>
  <c r="IW182" i="63"/>
  <c r="KU182" i="63"/>
  <c r="NR182" i="63"/>
  <c r="FZ182" i="63"/>
  <c r="HX182" i="63"/>
  <c r="PP182" i="63"/>
  <c r="JV182" i="63"/>
  <c r="HW182" i="63"/>
  <c r="JU182" i="63"/>
  <c r="GX182" i="63"/>
  <c r="LS182" i="63"/>
  <c r="KT182" i="63"/>
  <c r="OP182" i="63"/>
  <c r="IV182" i="63"/>
  <c r="EA182" i="63"/>
  <c r="NQ182" i="63"/>
  <c r="FY182" i="63"/>
  <c r="EZ182" i="63"/>
  <c r="MR182" i="63"/>
  <c r="DB182" i="63"/>
  <c r="PO182" i="63"/>
  <c r="DZ182" i="63"/>
  <c r="GW182" i="63"/>
  <c r="LR182" i="63"/>
  <c r="PN182" i="63"/>
  <c r="EY182" i="63"/>
  <c r="IU182" i="63"/>
  <c r="FX182" i="63"/>
  <c r="MQ182" i="63"/>
  <c r="OO182" i="63"/>
  <c r="HV182" i="63"/>
  <c r="NP182" i="63"/>
  <c r="KS182" i="63"/>
  <c r="JT182" i="63"/>
  <c r="EX182" i="63"/>
  <c r="KR182" i="63"/>
  <c r="JS182" i="63"/>
  <c r="IT182" i="63"/>
  <c r="PM182" i="63"/>
  <c r="HU182" i="63"/>
  <c r="NO182" i="63"/>
  <c r="GV182" i="63"/>
  <c r="ON182" i="63"/>
  <c r="MP182" i="63"/>
  <c r="LQ182" i="63"/>
  <c r="FW182" i="63"/>
  <c r="OK116" i="63"/>
  <c r="OK115" i="63"/>
  <c r="OK114" i="63"/>
  <c r="OK113" i="63"/>
  <c r="OK112" i="63"/>
  <c r="OK111" i="63"/>
  <c r="PI110" i="63"/>
  <c r="OK117" i="63"/>
  <c r="OK119" i="63"/>
  <c r="OK118" i="63"/>
  <c r="IS182" i="63"/>
  <c r="JP118" i="63"/>
  <c r="KN110" i="63"/>
  <c r="JP117" i="63"/>
  <c r="JP119" i="63"/>
  <c r="JP115" i="63"/>
  <c r="JP114" i="63"/>
  <c r="JP113" i="63"/>
  <c r="JP112" i="63"/>
  <c r="JP111" i="63"/>
  <c r="JP116" i="63"/>
  <c r="KP182" i="63"/>
  <c r="KP181" i="63"/>
  <c r="KP180" i="63"/>
  <c r="KP179" i="63"/>
  <c r="KP178" i="63"/>
  <c r="KP177" i="63"/>
  <c r="KP176" i="63"/>
  <c r="KP175" i="63"/>
  <c r="KP183" i="63"/>
  <c r="LN174" i="63"/>
  <c r="KO117" i="63"/>
  <c r="KO115" i="63"/>
  <c r="KO114" i="63"/>
  <c r="KO113" i="63"/>
  <c r="KO112" i="63"/>
  <c r="KO111" i="63"/>
  <c r="KO116" i="63"/>
  <c r="KO120" i="63"/>
  <c r="KO119" i="63"/>
  <c r="KO118" i="63"/>
  <c r="LM110" i="63"/>
  <c r="PK183" i="63"/>
  <c r="PK181" i="63"/>
  <c r="PK177" i="63"/>
  <c r="PK178" i="63"/>
  <c r="PK176" i="63"/>
  <c r="PK180" i="63"/>
  <c r="PK175" i="63"/>
  <c r="PK182" i="63"/>
  <c r="PK179" i="63"/>
  <c r="KO174" i="63"/>
  <c r="JQ183" i="63"/>
  <c r="JQ181" i="63"/>
  <c r="JQ177" i="63"/>
  <c r="JQ182" i="63"/>
  <c r="JQ178" i="63"/>
  <c r="JQ176" i="63"/>
  <c r="JQ180" i="63"/>
  <c r="JQ179" i="63"/>
  <c r="JQ175" i="63"/>
  <c r="I120" i="63"/>
  <c r="MM120" i="63" s="1"/>
  <c r="AD119" i="63"/>
  <c r="BB119" i="63"/>
  <c r="AC119" i="63"/>
  <c r="AB119" i="63"/>
  <c r="AA119" i="63"/>
  <c r="BA119" i="63"/>
  <c r="BZ119" i="63"/>
  <c r="AZ119" i="63"/>
  <c r="AY119" i="63"/>
  <c r="BY119" i="63"/>
  <c r="BX119" i="63"/>
  <c r="Z119" i="63"/>
  <c r="CX119" i="63"/>
  <c r="BW119" i="63"/>
  <c r="Y119" i="63"/>
  <c r="AX119" i="63"/>
  <c r="DV119" i="63"/>
  <c r="CV119" i="63"/>
  <c r="CW119" i="63"/>
  <c r="CU119" i="63"/>
  <c r="AW119" i="63"/>
  <c r="BV119" i="63"/>
  <c r="DT119" i="63"/>
  <c r="DU119" i="63"/>
  <c r="ET119" i="63"/>
  <c r="X119" i="63"/>
  <c r="W119" i="63"/>
  <c r="ER119" i="63"/>
  <c r="ES119" i="63"/>
  <c r="FR119" i="63"/>
  <c r="BU119" i="63"/>
  <c r="AV119" i="63"/>
  <c r="DS119" i="63"/>
  <c r="CT119" i="63"/>
  <c r="GP119" i="63"/>
  <c r="EQ119" i="63"/>
  <c r="CS119" i="63"/>
  <c r="DR119" i="63"/>
  <c r="FP119" i="63"/>
  <c r="BT119" i="63"/>
  <c r="V119" i="63"/>
  <c r="FQ119" i="63"/>
  <c r="AU119" i="63"/>
  <c r="AT119" i="63"/>
  <c r="BS119" i="63"/>
  <c r="GO119" i="63"/>
  <c r="DQ119" i="63"/>
  <c r="CR119" i="63"/>
  <c r="HN119" i="63"/>
  <c r="FO119" i="63"/>
  <c r="U119" i="63"/>
  <c r="GN119" i="63"/>
  <c r="EP119" i="63"/>
  <c r="AS119" i="63"/>
  <c r="HL119" i="63"/>
  <c r="IL119" i="63"/>
  <c r="FN119" i="63"/>
  <c r="T119" i="63"/>
  <c r="CQ119" i="63"/>
  <c r="GM119" i="63"/>
  <c r="HM119" i="63"/>
  <c r="DP119" i="63"/>
  <c r="BR119" i="63"/>
  <c r="EO119" i="63"/>
  <c r="EN119" i="63"/>
  <c r="JJ119" i="63"/>
  <c r="AR119" i="63"/>
  <c r="IK119" i="63"/>
  <c r="IJ119" i="63"/>
  <c r="CP119" i="63"/>
  <c r="GL119" i="63"/>
  <c r="DO119" i="63"/>
  <c r="S119" i="63"/>
  <c r="FM119" i="63"/>
  <c r="HK119" i="63"/>
  <c r="BQ119" i="63"/>
  <c r="II119" i="63"/>
  <c r="FL119" i="63"/>
  <c r="R119" i="63"/>
  <c r="GK119" i="63"/>
  <c r="BP119" i="63"/>
  <c r="DN119" i="63"/>
  <c r="KH119" i="63"/>
  <c r="HJ119" i="63"/>
  <c r="AQ119" i="63"/>
  <c r="CO119" i="63"/>
  <c r="JI119" i="63"/>
  <c r="JH119" i="63"/>
  <c r="EM119" i="63"/>
  <c r="EL119" i="63"/>
  <c r="AP119" i="63"/>
  <c r="FK119" i="63"/>
  <c r="IH119" i="63"/>
  <c r="DM119" i="63"/>
  <c r="GJ119" i="63"/>
  <c r="LF119" i="63"/>
  <c r="CN119" i="63"/>
  <c r="KG119" i="63"/>
  <c r="KF119" i="63"/>
  <c r="HI119" i="63"/>
  <c r="Q119" i="63"/>
  <c r="JG119" i="63"/>
  <c r="BO119" i="63"/>
  <c r="FJ119" i="63"/>
  <c r="LE119" i="63"/>
  <c r="JF119" i="63"/>
  <c r="KE119" i="63"/>
  <c r="HH119" i="63"/>
  <c r="AO119" i="63"/>
  <c r="EK119" i="63"/>
  <c r="P119" i="63"/>
  <c r="IG119" i="63"/>
  <c r="CM119" i="63"/>
  <c r="GI119" i="63"/>
  <c r="DL119" i="63"/>
  <c r="LD119" i="63"/>
  <c r="BN119" i="63"/>
  <c r="MD119" i="63"/>
  <c r="HG119" i="63"/>
  <c r="EJ119" i="63"/>
  <c r="NB119" i="63"/>
  <c r="BM119" i="63"/>
  <c r="MC119" i="63"/>
  <c r="MB119" i="63"/>
  <c r="JE119" i="63"/>
  <c r="CL119" i="63"/>
  <c r="O119" i="63"/>
  <c r="IF119" i="63"/>
  <c r="LC119" i="63"/>
  <c r="FI119" i="63"/>
  <c r="DK119" i="63"/>
  <c r="GH119" i="63"/>
  <c r="AN119" i="63"/>
  <c r="KD119" i="63"/>
  <c r="NA119" i="63"/>
  <c r="DJ119" i="63"/>
  <c r="MA119" i="63"/>
  <c r="IE119" i="63"/>
  <c r="HF119" i="63"/>
  <c r="FH119" i="63"/>
  <c r="EI119" i="63"/>
  <c r="JD119" i="63"/>
  <c r="CK119" i="63"/>
  <c r="KC119" i="63"/>
  <c r="AM119" i="63"/>
  <c r="GG119" i="63"/>
  <c r="N119" i="63"/>
  <c r="MZ119" i="63"/>
  <c r="BL119" i="63"/>
  <c r="NZ119" i="63"/>
  <c r="LB119" i="63"/>
  <c r="BK119" i="63"/>
  <c r="AL119" i="63"/>
  <c r="GF119" i="63"/>
  <c r="NY119" i="63"/>
  <c r="EH119" i="63"/>
  <c r="MY119" i="63"/>
  <c r="LZ119" i="63"/>
  <c r="ID119" i="63"/>
  <c r="NX119" i="63"/>
  <c r="FG119" i="63"/>
  <c r="DI119" i="63"/>
  <c r="LA119" i="63"/>
  <c r="KB119" i="63"/>
  <c r="CJ119" i="63"/>
  <c r="HE119" i="63"/>
  <c r="JC119" i="63"/>
  <c r="OX119" i="63"/>
  <c r="M119" i="63"/>
  <c r="DH119" i="63"/>
  <c r="BJ119" i="63"/>
  <c r="NW119" i="63"/>
  <c r="GE119" i="63"/>
  <c r="PV119" i="63"/>
  <c r="KA119" i="63"/>
  <c r="OV119" i="63"/>
  <c r="KZ119" i="63"/>
  <c r="HD119" i="63"/>
  <c r="LY119" i="63"/>
  <c r="OW119" i="63"/>
  <c r="AK119" i="63"/>
  <c r="FF119" i="63"/>
  <c r="CI119" i="63"/>
  <c r="JB119" i="63"/>
  <c r="MX119" i="63"/>
  <c r="L119" i="63"/>
  <c r="IC119" i="63"/>
  <c r="EG119" i="63"/>
  <c r="JA119" i="63"/>
  <c r="OU119" i="63"/>
  <c r="LX119" i="63"/>
  <c r="IB119" i="63"/>
  <c r="NV119" i="63"/>
  <c r="HC119" i="63"/>
  <c r="EF119" i="63"/>
  <c r="KY119" i="63"/>
  <c r="BI119" i="63"/>
  <c r="CH119" i="63"/>
  <c r="JZ119" i="63"/>
  <c r="FE119" i="63"/>
  <c r="PU119" i="63"/>
  <c r="DG119" i="63"/>
  <c r="AJ119" i="63"/>
  <c r="GD119" i="63"/>
  <c r="MW119" i="63"/>
  <c r="PT119" i="63"/>
  <c r="K119" i="63"/>
  <c r="AI119" i="63"/>
  <c r="JY119" i="63"/>
  <c r="EE119" i="63"/>
  <c r="PS119" i="63"/>
  <c r="J119" i="63"/>
  <c r="OT119" i="63"/>
  <c r="HB119" i="63"/>
  <c r="NU119" i="63"/>
  <c r="KX119" i="63"/>
  <c r="CG119" i="63"/>
  <c r="IA119" i="63"/>
  <c r="BH119" i="63"/>
  <c r="LW119" i="63"/>
  <c r="MV119" i="63"/>
  <c r="IZ119" i="63"/>
  <c r="FD119" i="63"/>
  <c r="DF119" i="63"/>
  <c r="GC119" i="63"/>
  <c r="BG119" i="63"/>
  <c r="HZ119" i="63"/>
  <c r="CF119" i="63"/>
  <c r="ED119" i="63"/>
  <c r="MU119" i="63"/>
  <c r="KW119" i="63"/>
  <c r="LV119" i="63"/>
  <c r="PR119" i="63"/>
  <c r="IY119" i="63"/>
  <c r="OS119" i="63"/>
  <c r="FC119" i="63"/>
  <c r="NT119" i="63"/>
  <c r="AH119" i="63"/>
  <c r="GB119" i="63"/>
  <c r="JX119" i="63"/>
  <c r="HA119" i="63"/>
  <c r="DE119" i="63"/>
  <c r="HY119" i="63"/>
  <c r="BF119" i="63"/>
  <c r="MT119" i="63"/>
  <c r="IX119" i="63"/>
  <c r="KV119" i="63"/>
  <c r="OR119" i="63"/>
  <c r="LU119" i="63"/>
  <c r="CE119" i="63"/>
  <c r="PQ119" i="63"/>
  <c r="GZ119" i="63"/>
  <c r="EC119" i="63"/>
  <c r="JW119" i="63"/>
  <c r="FB119" i="63"/>
  <c r="DD119" i="63"/>
  <c r="GA119" i="63"/>
  <c r="NS119" i="63"/>
  <c r="LT119" i="63"/>
  <c r="FZ119" i="63"/>
  <c r="CD119" i="63"/>
  <c r="GY119" i="63"/>
  <c r="HX119" i="63"/>
  <c r="PP119" i="63"/>
  <c r="IW119" i="63"/>
  <c r="FA119" i="63"/>
  <c r="DC119" i="63"/>
  <c r="JV119" i="63"/>
  <c r="NR119" i="63"/>
  <c r="EB119" i="63"/>
  <c r="OQ119" i="63"/>
  <c r="KU119" i="63"/>
  <c r="MS119" i="63"/>
  <c r="EZ119" i="63"/>
  <c r="NQ119" i="63"/>
  <c r="HW119" i="63"/>
  <c r="EA119" i="63"/>
  <c r="GX119" i="63"/>
  <c r="MR119" i="63"/>
  <c r="OP119" i="63"/>
  <c r="PO119" i="63"/>
  <c r="DB119" i="63"/>
  <c r="LS119" i="63"/>
  <c r="JU119" i="63"/>
  <c r="IV119" i="63"/>
  <c r="FY119" i="63"/>
  <c r="KT119" i="63"/>
  <c r="HV119" i="63"/>
  <c r="JT119" i="63"/>
  <c r="OO119" i="63"/>
  <c r="GW119" i="63"/>
  <c r="MQ119" i="63"/>
  <c r="IU119" i="63"/>
  <c r="NP119" i="63"/>
  <c r="KS119" i="63"/>
  <c r="DZ119" i="63"/>
  <c r="FX119" i="63"/>
  <c r="PN119" i="63"/>
  <c r="EY119" i="63"/>
  <c r="LR119" i="63"/>
  <c r="FW119" i="63"/>
  <c r="HU119" i="63"/>
  <c r="IT119" i="63"/>
  <c r="ON119" i="63"/>
  <c r="NO119" i="63"/>
  <c r="KR119" i="63"/>
  <c r="LQ119" i="63"/>
  <c r="JS119" i="63"/>
  <c r="PM119" i="63"/>
  <c r="GV119" i="63"/>
  <c r="MP119" i="63"/>
  <c r="EX119" i="63"/>
  <c r="PL119" i="63"/>
  <c r="MO119" i="63"/>
  <c r="OM119" i="63"/>
  <c r="NN119" i="63"/>
  <c r="IS119" i="63"/>
  <c r="KQ119" i="63"/>
  <c r="JR119" i="63"/>
  <c r="GU119" i="63"/>
  <c r="HT119" i="63"/>
  <c r="FV119" i="63"/>
  <c r="LP119" i="63"/>
  <c r="GT119" i="63"/>
  <c r="HR117" i="63"/>
  <c r="IP110" i="63"/>
  <c r="HR120" i="63"/>
  <c r="HR115" i="63"/>
  <c r="HR114" i="63"/>
  <c r="HR111" i="63"/>
  <c r="HR118" i="63"/>
  <c r="HR116" i="63"/>
  <c r="HR113" i="63"/>
  <c r="HR112" i="63"/>
  <c r="HR119" i="63"/>
  <c r="HQ111" i="63"/>
  <c r="HQ112" i="63" s="1"/>
  <c r="HQ113" i="63" s="1"/>
  <c r="HQ114" i="63" s="1"/>
  <c r="HQ115" i="63" s="1"/>
  <c r="HQ116" i="63" s="1"/>
  <c r="HQ117" i="63" s="1"/>
  <c r="HQ118" i="63" s="1"/>
  <c r="HQ119" i="63" s="1"/>
  <c r="HQ120" i="63" s="1"/>
  <c r="HQ121" i="63" s="1"/>
  <c r="HQ122" i="63" s="1"/>
  <c r="HQ123" i="63" s="1"/>
  <c r="HQ124" i="63" s="1"/>
  <c r="HQ125" i="63" s="1"/>
  <c r="HQ126" i="63" s="1"/>
  <c r="HQ127" i="63" s="1"/>
  <c r="HQ128" i="63" s="1"/>
  <c r="HQ129" i="63" s="1"/>
  <c r="HQ130" i="63" s="1"/>
  <c r="HQ131" i="63" s="1"/>
  <c r="IR183" i="63"/>
  <c r="IR182" i="63"/>
  <c r="IR178" i="63"/>
  <c r="IR179" i="63"/>
  <c r="IR175" i="63"/>
  <c r="JP174" i="63"/>
  <c r="IR177" i="63"/>
  <c r="IR176" i="63"/>
  <c r="IR181" i="63"/>
  <c r="IR180" i="63"/>
  <c r="NL120" i="63"/>
  <c r="NL117" i="63"/>
  <c r="OJ110" i="63"/>
  <c r="NL118" i="63"/>
  <c r="NL115" i="63"/>
  <c r="NL114" i="63"/>
  <c r="NL113" i="63"/>
  <c r="NL112" i="63"/>
  <c r="NL111" i="63"/>
  <c r="NL116" i="63"/>
  <c r="NL119" i="63"/>
  <c r="IQ174" i="63"/>
  <c r="HS183" i="63"/>
  <c r="HS182" i="63"/>
  <c r="HS179" i="63"/>
  <c r="HS175" i="63"/>
  <c r="HS181" i="63"/>
  <c r="HS180" i="63"/>
  <c r="HS176" i="63"/>
  <c r="HS178" i="63"/>
  <c r="HS177" i="63"/>
  <c r="IQ120" i="63"/>
  <c r="IQ119" i="63"/>
  <c r="IQ118" i="63"/>
  <c r="IQ117" i="63"/>
  <c r="IQ116" i="63"/>
  <c r="IQ115" i="63"/>
  <c r="IQ112" i="63"/>
  <c r="JO110" i="63"/>
  <c r="IQ114" i="63"/>
  <c r="IQ113" i="63"/>
  <c r="IQ111" i="63"/>
  <c r="MN183" i="63"/>
  <c r="MN181" i="63"/>
  <c r="MN182" i="63"/>
  <c r="MN177" i="63"/>
  <c r="MN178" i="63"/>
  <c r="MN180" i="63"/>
  <c r="MN176" i="63"/>
  <c r="MN175" i="63"/>
  <c r="MN179" i="63"/>
  <c r="NL174" i="63"/>
  <c r="GT183" i="63"/>
  <c r="GT182" i="63"/>
  <c r="GT181" i="63"/>
  <c r="GT180" i="63"/>
  <c r="GT179" i="63"/>
  <c r="GT178" i="63"/>
  <c r="GT177" i="63"/>
  <c r="GT176" i="63"/>
  <c r="GT175" i="63"/>
  <c r="HR174" i="63"/>
  <c r="GS175" i="63"/>
  <c r="GS176" i="63" s="1"/>
  <c r="GS177" i="63" s="1"/>
  <c r="GS178" i="63" s="1"/>
  <c r="GS179" i="63" s="1"/>
  <c r="GS180" i="63" s="1"/>
  <c r="GS181" i="63" s="1"/>
  <c r="GS182" i="63" s="1"/>
  <c r="GS183" i="63" s="1"/>
  <c r="GS184" i="63" s="1"/>
  <c r="GS185" i="63" s="1"/>
  <c r="GS186" i="63" s="1"/>
  <c r="GS187" i="63" s="1"/>
  <c r="GS188" i="63" s="1"/>
  <c r="GS189" i="63" s="1"/>
  <c r="GS190" i="63" s="1"/>
  <c r="GS191" i="63" s="1"/>
  <c r="GS192" i="63" s="1"/>
  <c r="GS193" i="63" s="1"/>
  <c r="GS194" i="63" s="1"/>
  <c r="GS195" i="63" s="1"/>
  <c r="LN116" i="63"/>
  <c r="ML110" i="63"/>
  <c r="LN115" i="63"/>
  <c r="LN113" i="63"/>
  <c r="LN112" i="63"/>
  <c r="LN120" i="63"/>
  <c r="LN117" i="63"/>
  <c r="LN119" i="63"/>
  <c r="LN114" i="63"/>
  <c r="LN111" i="63"/>
  <c r="LN118" i="63"/>
  <c r="OL182" i="63"/>
  <c r="OL181" i="63"/>
  <c r="OL180" i="63"/>
  <c r="OL179" i="63"/>
  <c r="OL178" i="63"/>
  <c r="OL177" i="63"/>
  <c r="OL176" i="63"/>
  <c r="OL175" i="63"/>
  <c r="PJ174" i="63"/>
  <c r="OL183" i="63"/>
  <c r="HS119" i="63"/>
  <c r="PK119" i="63"/>
  <c r="AE108" i="39"/>
  <c r="O241" i="39"/>
  <c r="T15" i="65" l="1"/>
  <c r="T19" i="65" s="1"/>
  <c r="T23" i="65" s="1"/>
  <c r="T110" i="65" s="1"/>
  <c r="S3" i="65"/>
  <c r="U166" i="65"/>
  <c r="V221" i="65"/>
  <c r="BN175" i="39"/>
  <c r="AW175" i="39"/>
  <c r="BM175" i="39"/>
  <c r="BG175" i="39"/>
  <c r="AS175" i="39"/>
  <c r="AN175" i="39"/>
  <c r="BB175" i="39"/>
  <c r="BH175" i="39"/>
  <c r="AK175" i="39"/>
  <c r="AY175" i="39"/>
  <c r="BE175" i="39"/>
  <c r="BC175" i="39"/>
  <c r="BI175" i="39"/>
  <c r="AZ175" i="39"/>
  <c r="BK175" i="39"/>
  <c r="AM175" i="39"/>
  <c r="AT175" i="39"/>
  <c r="BF175" i="39"/>
  <c r="AX175" i="39"/>
  <c r="AL175" i="39"/>
  <c r="AU175" i="39"/>
  <c r="BD175" i="39"/>
  <c r="AO175" i="39"/>
  <c r="BL175" i="39"/>
  <c r="AP175" i="39"/>
  <c r="BJ175" i="39"/>
  <c r="AQ175" i="39"/>
  <c r="AR175" i="39"/>
  <c r="BA175" i="39"/>
  <c r="AV175" i="39"/>
  <c r="AJ175" i="39"/>
  <c r="X175" i="39"/>
  <c r="AE175" i="39"/>
  <c r="Y175" i="39"/>
  <c r="AH175" i="39"/>
  <c r="AB175" i="39"/>
  <c r="W175" i="39"/>
  <c r="AG175" i="39"/>
  <c r="AD175" i="39"/>
  <c r="AC175" i="39"/>
  <c r="AI175" i="39"/>
  <c r="Z175" i="39"/>
  <c r="AF175" i="39"/>
  <c r="AA175" i="39"/>
  <c r="V175" i="39"/>
  <c r="U175" i="39"/>
  <c r="T175" i="39"/>
  <c r="S175" i="39"/>
  <c r="R175" i="39"/>
  <c r="Q175" i="39"/>
  <c r="P175" i="39"/>
  <c r="O176" i="39"/>
  <c r="BN119" i="39"/>
  <c r="BE119" i="39"/>
  <c r="AS119" i="39"/>
  <c r="BL119" i="39"/>
  <c r="BM119" i="39"/>
  <c r="BG119" i="39"/>
  <c r="AY119" i="39"/>
  <c r="BC119" i="39"/>
  <c r="AQ119" i="39"/>
  <c r="AV119" i="39"/>
  <c r="AP119" i="39"/>
  <c r="AX119" i="39"/>
  <c r="BK119" i="39"/>
  <c r="AK119" i="39"/>
  <c r="AL119" i="39"/>
  <c r="BD119" i="39"/>
  <c r="AR119" i="39"/>
  <c r="AW119" i="39"/>
  <c r="BI119" i="39"/>
  <c r="AT119" i="39"/>
  <c r="AZ119" i="39"/>
  <c r="BH119" i="39"/>
  <c r="AU119" i="39"/>
  <c r="AM119" i="39"/>
  <c r="AO119" i="39"/>
  <c r="BA119" i="39"/>
  <c r="AN119" i="39"/>
  <c r="BJ119" i="39"/>
  <c r="BB119" i="39"/>
  <c r="BF119" i="39"/>
  <c r="AE119" i="39"/>
  <c r="AH119" i="39"/>
  <c r="Z119" i="39"/>
  <c r="X119" i="39"/>
  <c r="AC119" i="39"/>
  <c r="Y119" i="39"/>
  <c r="AB119" i="39"/>
  <c r="AI119" i="39"/>
  <c r="AG119" i="39"/>
  <c r="AD119" i="39"/>
  <c r="AF119" i="39"/>
  <c r="AA119" i="39"/>
  <c r="AJ119" i="39"/>
  <c r="W119" i="39"/>
  <c r="V119" i="39"/>
  <c r="U119" i="39"/>
  <c r="T119" i="39"/>
  <c r="S119" i="39"/>
  <c r="R119" i="39"/>
  <c r="Q119" i="39"/>
  <c r="P119" i="39"/>
  <c r="O120" i="39"/>
  <c r="OK120" i="63"/>
  <c r="NK120" i="63"/>
  <c r="NK118" i="63"/>
  <c r="NK115" i="63"/>
  <c r="NK114" i="63"/>
  <c r="NK113" i="63"/>
  <c r="NK112" i="63"/>
  <c r="NK111" i="63"/>
  <c r="NK117" i="63"/>
  <c r="NK119" i="63"/>
  <c r="OI110" i="63"/>
  <c r="NK116" i="63"/>
  <c r="MM183" i="63"/>
  <c r="MM182" i="63"/>
  <c r="MM178" i="63"/>
  <c r="MM181" i="63"/>
  <c r="MM179" i="63"/>
  <c r="MM175" i="63"/>
  <c r="MM176" i="63"/>
  <c r="NK174" i="63"/>
  <c r="MM180" i="63"/>
  <c r="MM177" i="63"/>
  <c r="PI120" i="63"/>
  <c r="PI119" i="63"/>
  <c r="PI118" i="63"/>
  <c r="PI117" i="63"/>
  <c r="PI116" i="63"/>
  <c r="PI115" i="63"/>
  <c r="PI114" i="63"/>
  <c r="PI112" i="63"/>
  <c r="PI111" i="63"/>
  <c r="PI113" i="63"/>
  <c r="JO119" i="63"/>
  <c r="JO115" i="63"/>
  <c r="JO114" i="63"/>
  <c r="JO113" i="63"/>
  <c r="JO112" i="63"/>
  <c r="JO111" i="63"/>
  <c r="JO118" i="63"/>
  <c r="JO116" i="63"/>
  <c r="KM110" i="63"/>
  <c r="JO120" i="63"/>
  <c r="JO117" i="63"/>
  <c r="IQ182" i="63"/>
  <c r="IQ179" i="63"/>
  <c r="IQ175" i="63"/>
  <c r="JO174" i="63"/>
  <c r="IQ181" i="63"/>
  <c r="IQ180" i="63"/>
  <c r="IQ176" i="63"/>
  <c r="IQ178" i="63"/>
  <c r="IQ183" i="63"/>
  <c r="IQ177" i="63"/>
  <c r="I184" i="63"/>
  <c r="AD183" i="63"/>
  <c r="AB183" i="63"/>
  <c r="BB183" i="63"/>
  <c r="AC183" i="63"/>
  <c r="AZ183" i="63"/>
  <c r="BZ183" i="63"/>
  <c r="AA183" i="63"/>
  <c r="BA183" i="63"/>
  <c r="AY183" i="63"/>
  <c r="CX183" i="63"/>
  <c r="BX183" i="63"/>
  <c r="Z183" i="63"/>
  <c r="BY183" i="63"/>
  <c r="CV183" i="63"/>
  <c r="BW183" i="63"/>
  <c r="Y183" i="63"/>
  <c r="AX183" i="63"/>
  <c r="DV183" i="63"/>
  <c r="CW183" i="63"/>
  <c r="X183" i="63"/>
  <c r="ET183" i="63"/>
  <c r="CU183" i="63"/>
  <c r="AW183" i="63"/>
  <c r="DU183" i="63"/>
  <c r="DT183" i="63"/>
  <c r="BV183" i="63"/>
  <c r="BU183" i="63"/>
  <c r="ER183" i="63"/>
  <c r="AV183" i="63"/>
  <c r="DS183" i="63"/>
  <c r="FR183" i="63"/>
  <c r="ES183" i="63"/>
  <c r="W183" i="63"/>
  <c r="CT183" i="63"/>
  <c r="BT183" i="63"/>
  <c r="FP183" i="63"/>
  <c r="EQ183" i="63"/>
  <c r="GP183" i="63"/>
  <c r="V183" i="63"/>
  <c r="DR183" i="63"/>
  <c r="AU183" i="63"/>
  <c r="CS183" i="63"/>
  <c r="FQ183" i="63"/>
  <c r="GN183" i="63"/>
  <c r="FO183" i="63"/>
  <c r="CR183" i="63"/>
  <c r="GO183" i="63"/>
  <c r="EP183" i="63"/>
  <c r="U183" i="63"/>
  <c r="HN183" i="63"/>
  <c r="DQ183" i="63"/>
  <c r="AT183" i="63"/>
  <c r="BS183" i="63"/>
  <c r="EO183" i="63"/>
  <c r="GM183" i="63"/>
  <c r="HL183" i="63"/>
  <c r="AS183" i="63"/>
  <c r="HM183" i="63"/>
  <c r="T183" i="63"/>
  <c r="BR183" i="63"/>
  <c r="FN183" i="63"/>
  <c r="IL183" i="63"/>
  <c r="CQ183" i="63"/>
  <c r="DP183" i="63"/>
  <c r="EN183" i="63"/>
  <c r="BQ183" i="63"/>
  <c r="HK183" i="63"/>
  <c r="JJ183" i="63"/>
  <c r="FM183" i="63"/>
  <c r="IJ183" i="63"/>
  <c r="IK183" i="63"/>
  <c r="GL183" i="63"/>
  <c r="CP183" i="63"/>
  <c r="S183" i="63"/>
  <c r="AR183" i="63"/>
  <c r="DO183" i="63"/>
  <c r="JH183" i="63"/>
  <c r="GK183" i="63"/>
  <c r="KH183" i="63"/>
  <c r="DN183" i="63"/>
  <c r="EM183" i="63"/>
  <c r="II183" i="63"/>
  <c r="R183" i="63"/>
  <c r="BP183" i="63"/>
  <c r="HJ183" i="63"/>
  <c r="CO183" i="63"/>
  <c r="JI183" i="63"/>
  <c r="AQ183" i="63"/>
  <c r="FL183" i="63"/>
  <c r="KG183" i="63"/>
  <c r="JG183" i="63"/>
  <c r="EL183" i="63"/>
  <c r="IH183" i="63"/>
  <c r="AP183" i="63"/>
  <c r="GJ183" i="63"/>
  <c r="BO183" i="63"/>
  <c r="HI183" i="63"/>
  <c r="FK183" i="63"/>
  <c r="DM183" i="63"/>
  <c r="CN183" i="63"/>
  <c r="KF183" i="63"/>
  <c r="Q183" i="63"/>
  <c r="LF183" i="63"/>
  <c r="EK183" i="63"/>
  <c r="GI183" i="63"/>
  <c r="P183" i="63"/>
  <c r="IG183" i="63"/>
  <c r="KE183" i="63"/>
  <c r="HH183" i="63"/>
  <c r="LE183" i="63"/>
  <c r="MD183" i="63"/>
  <c r="FJ183" i="63"/>
  <c r="JF183" i="63"/>
  <c r="BN183" i="63"/>
  <c r="LD183" i="63"/>
  <c r="DL183" i="63"/>
  <c r="CM183" i="63"/>
  <c r="AO183" i="63"/>
  <c r="GH183" i="63"/>
  <c r="AN183" i="63"/>
  <c r="EJ183" i="63"/>
  <c r="JE183" i="63"/>
  <c r="HG183" i="63"/>
  <c r="MB183" i="63"/>
  <c r="FI183" i="63"/>
  <c r="NB183" i="63"/>
  <c r="LC183" i="63"/>
  <c r="O183" i="63"/>
  <c r="DK183" i="63"/>
  <c r="BM183" i="63"/>
  <c r="IF183" i="63"/>
  <c r="CL183" i="63"/>
  <c r="MC183" i="63"/>
  <c r="KD183" i="63"/>
  <c r="JD183" i="63"/>
  <c r="KC183" i="63"/>
  <c r="IE183" i="63"/>
  <c r="N183" i="63"/>
  <c r="MA183" i="63"/>
  <c r="NA183" i="63"/>
  <c r="GG183" i="63"/>
  <c r="LB183" i="63"/>
  <c r="MZ183" i="63"/>
  <c r="EI183" i="63"/>
  <c r="NZ183" i="63"/>
  <c r="FH183" i="63"/>
  <c r="BL183" i="63"/>
  <c r="HF183" i="63"/>
  <c r="AM183" i="63"/>
  <c r="DJ183" i="63"/>
  <c r="CK183" i="63"/>
  <c r="DI183" i="63"/>
  <c r="LZ183" i="63"/>
  <c r="LA183" i="63"/>
  <c r="AL183" i="63"/>
  <c r="OX183" i="63"/>
  <c r="M183" i="63"/>
  <c r="ID183" i="63"/>
  <c r="NX183" i="63"/>
  <c r="CJ183" i="63"/>
  <c r="FG183" i="63"/>
  <c r="BK183" i="63"/>
  <c r="GF183" i="63"/>
  <c r="MY183" i="63"/>
  <c r="HE183" i="63"/>
  <c r="JC183" i="63"/>
  <c r="NY183" i="63"/>
  <c r="EH183" i="63"/>
  <c r="KB183" i="63"/>
  <c r="GE183" i="63"/>
  <c r="OV183" i="63"/>
  <c r="EG183" i="63"/>
  <c r="KZ183" i="63"/>
  <c r="L183" i="63"/>
  <c r="HD183" i="63"/>
  <c r="CI183" i="63"/>
  <c r="AK183" i="63"/>
  <c r="BJ183" i="63"/>
  <c r="NW183" i="63"/>
  <c r="PV183" i="63"/>
  <c r="FF183" i="63"/>
  <c r="KA183" i="63"/>
  <c r="JB183" i="63"/>
  <c r="MX183" i="63"/>
  <c r="DH183" i="63"/>
  <c r="OW183" i="63"/>
  <c r="LY183" i="63"/>
  <c r="IC183" i="63"/>
  <c r="NV183" i="63"/>
  <c r="JA183" i="63"/>
  <c r="PT183" i="63"/>
  <c r="MW183" i="63"/>
  <c r="BI183" i="63"/>
  <c r="EF183" i="63"/>
  <c r="CH183" i="63"/>
  <c r="DG183" i="63"/>
  <c r="GD183" i="63"/>
  <c r="IB183" i="63"/>
  <c r="JZ183" i="63"/>
  <c r="HC183" i="63"/>
  <c r="K183" i="63"/>
  <c r="LX183" i="63"/>
  <c r="KY183" i="63"/>
  <c r="PU183" i="63"/>
  <c r="FE183" i="63"/>
  <c r="OU183" i="63"/>
  <c r="AJ183" i="63"/>
  <c r="EE183" i="63"/>
  <c r="IA183" i="63"/>
  <c r="OT183" i="63"/>
  <c r="BH183" i="63"/>
  <c r="JY183" i="63"/>
  <c r="MV183" i="63"/>
  <c r="CG183" i="63"/>
  <c r="PS183" i="63"/>
  <c r="J183" i="63"/>
  <c r="NU183" i="63"/>
  <c r="AI183" i="63"/>
  <c r="HB183" i="63"/>
  <c r="LW183" i="63"/>
  <c r="GC183" i="63"/>
  <c r="IZ183" i="63"/>
  <c r="KX183" i="63"/>
  <c r="DF183" i="63"/>
  <c r="FD183" i="63"/>
  <c r="OS183" i="63"/>
  <c r="KW183" i="63"/>
  <c r="AH183" i="63"/>
  <c r="ED183" i="63"/>
  <c r="PR183" i="63"/>
  <c r="HA183" i="63"/>
  <c r="CF183" i="63"/>
  <c r="DE183" i="63"/>
  <c r="MU183" i="63"/>
  <c r="FC183" i="63"/>
  <c r="NT183" i="63"/>
  <c r="LV183" i="63"/>
  <c r="BG183" i="63"/>
  <c r="HZ183" i="63"/>
  <c r="GB183" i="63"/>
  <c r="JX183" i="63"/>
  <c r="IY183" i="63"/>
  <c r="DD183" i="63"/>
  <c r="GZ183" i="63"/>
  <c r="FB183" i="63"/>
  <c r="LU183" i="63"/>
  <c r="KV183" i="63"/>
  <c r="NS183" i="63"/>
  <c r="GA183" i="63"/>
  <c r="BF183" i="63"/>
  <c r="HY183" i="63"/>
  <c r="EC183" i="63"/>
  <c r="MT183" i="63"/>
  <c r="IX183" i="63"/>
  <c r="CE183" i="63"/>
  <c r="PQ183" i="63"/>
  <c r="OR183" i="63"/>
  <c r="JW183" i="63"/>
  <c r="GY183" i="63"/>
  <c r="NR183" i="63"/>
  <c r="KU183" i="63"/>
  <c r="MS183" i="63"/>
  <c r="DC183" i="63"/>
  <c r="JV183" i="63"/>
  <c r="CD183" i="63"/>
  <c r="FZ183" i="63"/>
  <c r="HX183" i="63"/>
  <c r="PP183" i="63"/>
  <c r="OQ183" i="63"/>
  <c r="LT183" i="63"/>
  <c r="IW183" i="63"/>
  <c r="EB183" i="63"/>
  <c r="FA183" i="63"/>
  <c r="IV183" i="63"/>
  <c r="EA183" i="63"/>
  <c r="NQ183" i="63"/>
  <c r="FY183" i="63"/>
  <c r="DB183" i="63"/>
  <c r="PO183" i="63"/>
  <c r="JU183" i="63"/>
  <c r="EZ183" i="63"/>
  <c r="OP183" i="63"/>
  <c r="MR183" i="63"/>
  <c r="LS183" i="63"/>
  <c r="HW183" i="63"/>
  <c r="KT183" i="63"/>
  <c r="GX183" i="63"/>
  <c r="MQ183" i="63"/>
  <c r="HV183" i="63"/>
  <c r="FX183" i="63"/>
  <c r="DZ183" i="63"/>
  <c r="OO183" i="63"/>
  <c r="IU183" i="63"/>
  <c r="NP183" i="63"/>
  <c r="LR183" i="63"/>
  <c r="PN183" i="63"/>
  <c r="EY183" i="63"/>
  <c r="GW183" i="63"/>
  <c r="KS183" i="63"/>
  <c r="JT183" i="63"/>
  <c r="FW183" i="63"/>
  <c r="IT183" i="63"/>
  <c r="LQ183" i="63"/>
  <c r="JS183" i="63"/>
  <c r="GV183" i="63"/>
  <c r="KR183" i="63"/>
  <c r="HU183" i="63"/>
  <c r="EX183" i="63"/>
  <c r="NO183" i="63"/>
  <c r="PM183" i="63"/>
  <c r="MP183" i="63"/>
  <c r="ON183" i="63"/>
  <c r="NN183" i="63"/>
  <c r="MO183" i="63"/>
  <c r="IS183" i="63"/>
  <c r="FV183" i="63"/>
  <c r="PL183" i="63"/>
  <c r="JR183" i="63"/>
  <c r="LP183" i="63"/>
  <c r="KQ183" i="63"/>
  <c r="OM183" i="63"/>
  <c r="GU183" i="63"/>
  <c r="HT183" i="63"/>
  <c r="NM183" i="63"/>
  <c r="OJ117" i="63"/>
  <c r="OJ120" i="63"/>
  <c r="OJ114" i="63"/>
  <c r="OJ113" i="63"/>
  <c r="OJ112" i="63"/>
  <c r="OJ111" i="63"/>
  <c r="OJ118" i="63"/>
  <c r="PH110" i="63"/>
  <c r="OJ116" i="63"/>
  <c r="OJ115" i="63"/>
  <c r="OJ119" i="63"/>
  <c r="OK183" i="63"/>
  <c r="OK180" i="63"/>
  <c r="OK179" i="63"/>
  <c r="OK175" i="63"/>
  <c r="OK176" i="63"/>
  <c r="OK181" i="63"/>
  <c r="OK178" i="63"/>
  <c r="OK182" i="63"/>
  <c r="PI174" i="63"/>
  <c r="OK177" i="63"/>
  <c r="ML120" i="63"/>
  <c r="ML119" i="63"/>
  <c r="ML118" i="63"/>
  <c r="ML116" i="63"/>
  <c r="ML115" i="63"/>
  <c r="ML114" i="63"/>
  <c r="ML113" i="63"/>
  <c r="ML112" i="63"/>
  <c r="ML111" i="63"/>
  <c r="NJ110" i="63"/>
  <c r="ML117" i="63"/>
  <c r="HR181" i="63"/>
  <c r="HR180" i="63"/>
  <c r="HR176" i="63"/>
  <c r="IP174" i="63"/>
  <c r="HR177" i="63"/>
  <c r="HR179" i="63"/>
  <c r="HR178" i="63"/>
  <c r="HR182" i="63"/>
  <c r="HR175" i="63"/>
  <c r="HR183" i="63"/>
  <c r="HQ175" i="63"/>
  <c r="HQ176" i="63" s="1"/>
  <c r="HQ177" i="63" s="1"/>
  <c r="HQ178" i="63" s="1"/>
  <c r="HQ179" i="63" s="1"/>
  <c r="HQ180" i="63" s="1"/>
  <c r="HQ181" i="63" s="1"/>
  <c r="HQ182" i="63" s="1"/>
  <c r="HQ183" i="63" s="1"/>
  <c r="HQ184" i="63" s="1"/>
  <c r="HQ185" i="63" s="1"/>
  <c r="HQ186" i="63" s="1"/>
  <c r="HQ187" i="63" s="1"/>
  <c r="HQ188" i="63" s="1"/>
  <c r="HQ189" i="63" s="1"/>
  <c r="HQ190" i="63" s="1"/>
  <c r="HQ191" i="63" s="1"/>
  <c r="HQ192" i="63" s="1"/>
  <c r="HQ193" i="63" s="1"/>
  <c r="HQ194" i="63" s="1"/>
  <c r="HQ195" i="63" s="1"/>
  <c r="NL182" i="63"/>
  <c r="NL181" i="63"/>
  <c r="NL180" i="63"/>
  <c r="NL179" i="63"/>
  <c r="NL178" i="63"/>
  <c r="NL177" i="63"/>
  <c r="NL176" i="63"/>
  <c r="NL175" i="63"/>
  <c r="NL183" i="63"/>
  <c r="OJ174" i="63"/>
  <c r="JP183" i="63"/>
  <c r="JP182" i="63"/>
  <c r="JP181" i="63"/>
  <c r="JP180" i="63"/>
  <c r="JP179" i="63"/>
  <c r="JP178" i="63"/>
  <c r="JP177" i="63"/>
  <c r="JP176" i="63"/>
  <c r="JP175" i="63"/>
  <c r="KN174" i="63"/>
  <c r="IP120" i="63"/>
  <c r="IP116" i="63"/>
  <c r="IO111" i="63"/>
  <c r="IO112" i="63" s="1"/>
  <c r="IO113" i="63" s="1"/>
  <c r="IO114" i="63" s="1"/>
  <c r="IO115" i="63" s="1"/>
  <c r="IO116" i="63" s="1"/>
  <c r="IO117" i="63" s="1"/>
  <c r="IO118" i="63" s="1"/>
  <c r="IO119" i="63" s="1"/>
  <c r="IO120" i="63" s="1"/>
  <c r="IO121" i="63" s="1"/>
  <c r="IO122" i="63" s="1"/>
  <c r="IO123" i="63" s="1"/>
  <c r="IO124" i="63" s="1"/>
  <c r="IO125" i="63" s="1"/>
  <c r="IO126" i="63" s="1"/>
  <c r="IO127" i="63" s="1"/>
  <c r="IO128" i="63" s="1"/>
  <c r="IO129" i="63" s="1"/>
  <c r="IO130" i="63" s="1"/>
  <c r="IO131" i="63" s="1"/>
  <c r="IP119" i="63"/>
  <c r="IP117" i="63"/>
  <c r="IP115" i="63"/>
  <c r="IP114" i="63"/>
  <c r="IP113" i="63"/>
  <c r="IP112" i="63"/>
  <c r="IP111" i="63"/>
  <c r="JN110" i="63"/>
  <c r="IP118" i="63"/>
  <c r="KO183" i="63"/>
  <c r="KO180" i="63"/>
  <c r="KO176" i="63"/>
  <c r="KO177" i="63"/>
  <c r="LM174" i="63"/>
  <c r="KO175" i="63"/>
  <c r="KO182" i="63"/>
  <c r="KO178" i="63"/>
  <c r="KO181" i="63"/>
  <c r="KO179" i="63"/>
  <c r="GS238" i="63"/>
  <c r="GS239" i="63" s="1"/>
  <c r="GS240" i="63" s="1"/>
  <c r="GS241" i="63" s="1"/>
  <c r="GS242" i="63" s="1"/>
  <c r="GS243" i="63" s="1"/>
  <c r="GS244" i="63" s="1"/>
  <c r="GS245" i="63" s="1"/>
  <c r="GS246" i="63" s="1"/>
  <c r="GS247" i="63" s="1"/>
  <c r="GS248" i="63" s="1"/>
  <c r="GS249" i="63" s="1"/>
  <c r="GS250" i="63" s="1"/>
  <c r="GS251" i="63" s="1"/>
  <c r="GS252" i="63" s="1"/>
  <c r="GS253" i="63" s="1"/>
  <c r="GS254" i="63" s="1"/>
  <c r="GS255" i="63" s="1"/>
  <c r="GS256" i="63" s="1"/>
  <c r="GS257" i="63" s="1"/>
  <c r="GS258" i="63" s="1"/>
  <c r="HR237" i="63"/>
  <c r="PJ183" i="63"/>
  <c r="PJ182" i="63"/>
  <c r="PJ181" i="63"/>
  <c r="PJ178" i="63"/>
  <c r="PJ180" i="63"/>
  <c r="PJ179" i="63"/>
  <c r="PJ175" i="63"/>
  <c r="PJ177" i="63"/>
  <c r="PJ176" i="63"/>
  <c r="I121" i="63"/>
  <c r="NK121" i="63" s="1"/>
  <c r="AD120" i="63"/>
  <c r="AC120" i="63"/>
  <c r="BB120" i="63"/>
  <c r="AB120" i="63"/>
  <c r="BA120" i="63"/>
  <c r="BZ120" i="63"/>
  <c r="AZ120" i="63"/>
  <c r="AA120" i="63"/>
  <c r="BY120" i="63"/>
  <c r="CX120" i="63"/>
  <c r="Z120" i="63"/>
  <c r="AY120" i="63"/>
  <c r="BX120" i="63"/>
  <c r="Y120" i="63"/>
  <c r="AX120" i="63"/>
  <c r="CW120" i="63"/>
  <c r="DV120" i="63"/>
  <c r="BW120" i="63"/>
  <c r="CV120" i="63"/>
  <c r="DU120" i="63"/>
  <c r="ET120" i="63"/>
  <c r="DT120" i="63"/>
  <c r="CU120" i="63"/>
  <c r="BV120" i="63"/>
  <c r="X120" i="63"/>
  <c r="AW120" i="63"/>
  <c r="FR120" i="63"/>
  <c r="AV120" i="63"/>
  <c r="DS120" i="63"/>
  <c r="ES120" i="63"/>
  <c r="ER120" i="63"/>
  <c r="W120" i="63"/>
  <c r="CT120" i="63"/>
  <c r="BU120" i="63"/>
  <c r="FP120" i="63"/>
  <c r="V120" i="63"/>
  <c r="BT120" i="63"/>
  <c r="FQ120" i="63"/>
  <c r="DR120" i="63"/>
  <c r="GP120" i="63"/>
  <c r="EQ120" i="63"/>
  <c r="AU120" i="63"/>
  <c r="CS120" i="63"/>
  <c r="AT120" i="63"/>
  <c r="EP120" i="63"/>
  <c r="FO120" i="63"/>
  <c r="BS120" i="63"/>
  <c r="GN120" i="63"/>
  <c r="GO120" i="63"/>
  <c r="CR120" i="63"/>
  <c r="U120" i="63"/>
  <c r="HN120" i="63"/>
  <c r="DQ120" i="63"/>
  <c r="BR120" i="63"/>
  <c r="GM120" i="63"/>
  <c r="FN120" i="63"/>
  <c r="EO120" i="63"/>
  <c r="AS120" i="63"/>
  <c r="HL120" i="63"/>
  <c r="IL120" i="63"/>
  <c r="T120" i="63"/>
  <c r="DP120" i="63"/>
  <c r="CQ120" i="63"/>
  <c r="HM120" i="63"/>
  <c r="IK120" i="63"/>
  <c r="S120" i="63"/>
  <c r="JJ120" i="63"/>
  <c r="IJ120" i="63"/>
  <c r="HK120" i="63"/>
  <c r="CP120" i="63"/>
  <c r="AR120" i="63"/>
  <c r="FM120" i="63"/>
  <c r="EN120" i="63"/>
  <c r="GL120" i="63"/>
  <c r="BQ120" i="63"/>
  <c r="DO120" i="63"/>
  <c r="KH120" i="63"/>
  <c r="AQ120" i="63"/>
  <c r="EM120" i="63"/>
  <c r="JI120" i="63"/>
  <c r="GK120" i="63"/>
  <c r="HJ120" i="63"/>
  <c r="FL120" i="63"/>
  <c r="II120" i="63"/>
  <c r="CO120" i="63"/>
  <c r="JH120" i="63"/>
  <c r="BP120" i="63"/>
  <c r="R120" i="63"/>
  <c r="DN120" i="63"/>
  <c r="KG120" i="63"/>
  <c r="Q120" i="63"/>
  <c r="IH120" i="63"/>
  <c r="BO120" i="63"/>
  <c r="LF120" i="63"/>
  <c r="EL120" i="63"/>
  <c r="FK120" i="63"/>
  <c r="HI120" i="63"/>
  <c r="DM120" i="63"/>
  <c r="KF120" i="63"/>
  <c r="AP120" i="63"/>
  <c r="GJ120" i="63"/>
  <c r="JG120" i="63"/>
  <c r="CN120" i="63"/>
  <c r="LE120" i="63"/>
  <c r="GI120" i="63"/>
  <c r="JF120" i="63"/>
  <c r="EK120" i="63"/>
  <c r="MD120" i="63"/>
  <c r="FJ120" i="63"/>
  <c r="BN120" i="63"/>
  <c r="DL120" i="63"/>
  <c r="KE120" i="63"/>
  <c r="HH120" i="63"/>
  <c r="AO120" i="63"/>
  <c r="P120" i="63"/>
  <c r="IG120" i="63"/>
  <c r="CM120" i="63"/>
  <c r="LD120" i="63"/>
  <c r="IF120" i="63"/>
  <c r="JE120" i="63"/>
  <c r="GH120" i="63"/>
  <c r="CL120" i="63"/>
  <c r="FI120" i="63"/>
  <c r="O120" i="63"/>
  <c r="LC120" i="63"/>
  <c r="MB120" i="63"/>
  <c r="NB120" i="63"/>
  <c r="KD120" i="63"/>
  <c r="AN120" i="63"/>
  <c r="HG120" i="63"/>
  <c r="EJ120" i="63"/>
  <c r="BM120" i="63"/>
  <c r="MC120" i="63"/>
  <c r="DK120" i="63"/>
  <c r="NA120" i="63"/>
  <c r="GG120" i="63"/>
  <c r="DJ120" i="63"/>
  <c r="BL120" i="63"/>
  <c r="IE120" i="63"/>
  <c r="HF120" i="63"/>
  <c r="LB120" i="63"/>
  <c r="N120" i="63"/>
  <c r="CK120" i="63"/>
  <c r="AM120" i="63"/>
  <c r="FH120" i="63"/>
  <c r="EI120" i="63"/>
  <c r="MA120" i="63"/>
  <c r="MZ120" i="63"/>
  <c r="NZ120" i="63"/>
  <c r="JD120" i="63"/>
  <c r="KC120" i="63"/>
  <c r="MY120" i="63"/>
  <c r="CJ120" i="63"/>
  <c r="NX120" i="63"/>
  <c r="FG120" i="63"/>
  <c r="GF120" i="63"/>
  <c r="EH120" i="63"/>
  <c r="OX120" i="63"/>
  <c r="LA120" i="63"/>
  <c r="KB120" i="63"/>
  <c r="DI120" i="63"/>
  <c r="HE120" i="63"/>
  <c r="JC120" i="63"/>
  <c r="ID120" i="63"/>
  <c r="BK120" i="63"/>
  <c r="AL120" i="63"/>
  <c r="NY120" i="63"/>
  <c r="LZ120" i="63"/>
  <c r="M120" i="63"/>
  <c r="PV120" i="63"/>
  <c r="HD120" i="63"/>
  <c r="DH120" i="63"/>
  <c r="LY120" i="63"/>
  <c r="AK120" i="63"/>
  <c r="JB120" i="63"/>
  <c r="KA120" i="63"/>
  <c r="KZ120" i="63"/>
  <c r="OW120" i="63"/>
  <c r="IC120" i="63"/>
  <c r="EG120" i="63"/>
  <c r="GE120" i="63"/>
  <c r="FF120" i="63"/>
  <c r="CI120" i="63"/>
  <c r="MX120" i="63"/>
  <c r="L120" i="63"/>
  <c r="BJ120" i="63"/>
  <c r="OV120" i="63"/>
  <c r="NW120" i="63"/>
  <c r="LX120" i="63"/>
  <c r="FE120" i="63"/>
  <c r="EF120" i="63"/>
  <c r="PT120" i="63"/>
  <c r="JA120" i="63"/>
  <c r="PU120" i="63"/>
  <c r="DG120" i="63"/>
  <c r="KY120" i="63"/>
  <c r="BI120" i="63"/>
  <c r="IB120" i="63"/>
  <c r="GD120" i="63"/>
  <c r="OU120" i="63"/>
  <c r="AJ120" i="63"/>
  <c r="MW120" i="63"/>
  <c r="NV120" i="63"/>
  <c r="JZ120" i="63"/>
  <c r="K120" i="63"/>
  <c r="HC120" i="63"/>
  <c r="CH120" i="63"/>
  <c r="AI120" i="63"/>
  <c r="PS120" i="63"/>
  <c r="EE120" i="63"/>
  <c r="KX120" i="63"/>
  <c r="CG120" i="63"/>
  <c r="OT120" i="63"/>
  <c r="MV120" i="63"/>
  <c r="LW120" i="63"/>
  <c r="HB120" i="63"/>
  <c r="BH120" i="63"/>
  <c r="DF120" i="63"/>
  <c r="NU120" i="63"/>
  <c r="GC120" i="63"/>
  <c r="JY120" i="63"/>
  <c r="J120" i="63"/>
  <c r="IZ120" i="63"/>
  <c r="FD120" i="63"/>
  <c r="IA120" i="63"/>
  <c r="MU120" i="63"/>
  <c r="LV120" i="63"/>
  <c r="IY120" i="63"/>
  <c r="JX120" i="63"/>
  <c r="HZ120" i="63"/>
  <c r="OS120" i="63"/>
  <c r="FC120" i="63"/>
  <c r="HA120" i="63"/>
  <c r="NT120" i="63"/>
  <c r="AH120" i="63"/>
  <c r="ED120" i="63"/>
  <c r="KW120" i="63"/>
  <c r="BG120" i="63"/>
  <c r="CF120" i="63"/>
  <c r="DE120" i="63"/>
  <c r="GB120" i="63"/>
  <c r="PR120" i="63"/>
  <c r="IX120" i="63"/>
  <c r="GA120" i="63"/>
  <c r="LU120" i="63"/>
  <c r="NS120" i="63"/>
  <c r="FB120" i="63"/>
  <c r="CE120" i="63"/>
  <c r="PQ120" i="63"/>
  <c r="KV120" i="63"/>
  <c r="EC120" i="63"/>
  <c r="OR120" i="63"/>
  <c r="MT120" i="63"/>
  <c r="DD120" i="63"/>
  <c r="BF120" i="63"/>
  <c r="HY120" i="63"/>
  <c r="GZ120" i="63"/>
  <c r="JW120" i="63"/>
  <c r="FA120" i="63"/>
  <c r="CD120" i="63"/>
  <c r="DC120" i="63"/>
  <c r="HX120" i="63"/>
  <c r="PP120" i="63"/>
  <c r="JV120" i="63"/>
  <c r="IW120" i="63"/>
  <c r="FZ120" i="63"/>
  <c r="OQ120" i="63"/>
  <c r="KU120" i="63"/>
  <c r="LT120" i="63"/>
  <c r="NR120" i="63"/>
  <c r="EB120" i="63"/>
  <c r="GY120" i="63"/>
  <c r="MS120" i="63"/>
  <c r="DB120" i="63"/>
  <c r="LS120" i="63"/>
  <c r="GX120" i="63"/>
  <c r="JU120" i="63"/>
  <c r="MR120" i="63"/>
  <c r="HW120" i="63"/>
  <c r="EZ120" i="63"/>
  <c r="OP120" i="63"/>
  <c r="FY120" i="63"/>
  <c r="PO120" i="63"/>
  <c r="IV120" i="63"/>
  <c r="EA120" i="63"/>
  <c r="NQ120" i="63"/>
  <c r="KT120" i="63"/>
  <c r="JT120" i="63"/>
  <c r="OO120" i="63"/>
  <c r="MQ120" i="63"/>
  <c r="NP120" i="63"/>
  <c r="EY120" i="63"/>
  <c r="DZ120" i="63"/>
  <c r="IU120" i="63"/>
  <c r="FX120" i="63"/>
  <c r="GW120" i="63"/>
  <c r="KS120" i="63"/>
  <c r="HV120" i="63"/>
  <c r="LR120" i="63"/>
  <c r="PN120" i="63"/>
  <c r="LQ120" i="63"/>
  <c r="IT120" i="63"/>
  <c r="GV120" i="63"/>
  <c r="EX120" i="63"/>
  <c r="PM120" i="63"/>
  <c r="KR120" i="63"/>
  <c r="FW120" i="63"/>
  <c r="HU120" i="63"/>
  <c r="JS120" i="63"/>
  <c r="MP120" i="63"/>
  <c r="ON120" i="63"/>
  <c r="NO120" i="63"/>
  <c r="HT120" i="63"/>
  <c r="OM120" i="63"/>
  <c r="PL120" i="63"/>
  <c r="MO120" i="63"/>
  <c r="GU120" i="63"/>
  <c r="NN120" i="63"/>
  <c r="FV120" i="63"/>
  <c r="IS120" i="63"/>
  <c r="JR120" i="63"/>
  <c r="LP120" i="63"/>
  <c r="KQ120" i="63"/>
  <c r="PK120" i="63"/>
  <c r="LO120" i="63"/>
  <c r="HS120" i="63"/>
  <c r="KP120" i="63"/>
  <c r="GT120" i="63"/>
  <c r="JQ120" i="63"/>
  <c r="MN120" i="63"/>
  <c r="OL120" i="63"/>
  <c r="NM120" i="63"/>
  <c r="IR120" i="63"/>
  <c r="LM120" i="63"/>
  <c r="LM119" i="63"/>
  <c r="LM118" i="63"/>
  <c r="LM117" i="63"/>
  <c r="LM116" i="63"/>
  <c r="LM115" i="63"/>
  <c r="LM114" i="63"/>
  <c r="LM113" i="63"/>
  <c r="LM112" i="63"/>
  <c r="MK110" i="63"/>
  <c r="LM111" i="63"/>
  <c r="LN183" i="63"/>
  <c r="LN181" i="63"/>
  <c r="LN179" i="63"/>
  <c r="LN175" i="63"/>
  <c r="LN180" i="63"/>
  <c r="LN176" i="63"/>
  <c r="LN182" i="63"/>
  <c r="LN178" i="63"/>
  <c r="LN177" i="63"/>
  <c r="ML174" i="63"/>
  <c r="KN118" i="63"/>
  <c r="KN117" i="63"/>
  <c r="KN115" i="63"/>
  <c r="KN114" i="63"/>
  <c r="KN112" i="63"/>
  <c r="KN116" i="63"/>
  <c r="KN120" i="63"/>
  <c r="KN119" i="63"/>
  <c r="LL110" i="63"/>
  <c r="KN121" i="63"/>
  <c r="KN113" i="63"/>
  <c r="KN111" i="63"/>
  <c r="JP120" i="63"/>
  <c r="PJ120" i="63"/>
  <c r="AF108" i="39"/>
  <c r="O242" i="39"/>
  <c r="O243" i="39" s="1"/>
  <c r="O244" i="39" s="1"/>
  <c r="O245" i="39" s="1"/>
  <c r="O246" i="39" s="1"/>
  <c r="O247" i="39" s="1"/>
  <c r="O248" i="39" s="1"/>
  <c r="O249" i="39" s="1"/>
  <c r="O250" i="39" s="1"/>
  <c r="O251" i="39" s="1"/>
  <c r="O252" i="39" s="1"/>
  <c r="O253" i="39" s="1"/>
  <c r="O254" i="39" s="1"/>
  <c r="O255" i="39" s="1"/>
  <c r="O256" i="39" s="1"/>
  <c r="O257" i="39" s="1"/>
  <c r="O258" i="39" s="1"/>
  <c r="O259" i="39" s="1"/>
  <c r="O260" i="39" s="1"/>
  <c r="O261" i="39" s="1"/>
  <c r="O262" i="39" s="1"/>
  <c r="O263" i="39" s="1"/>
  <c r="O264" i="39" s="1"/>
  <c r="O265" i="39" s="1"/>
  <c r="O266" i="39" s="1"/>
  <c r="O267" i="39" s="1"/>
  <c r="O268" i="39" s="1"/>
  <c r="O269" i="39" s="1"/>
  <c r="O270" i="39" s="1"/>
  <c r="O271" i="39" s="1"/>
  <c r="O272" i="39" s="1"/>
  <c r="U221" i="65" l="1"/>
  <c r="S15" i="65"/>
  <c r="S19" i="65" s="1"/>
  <c r="S23" i="65" s="1"/>
  <c r="S110" i="65" s="1"/>
  <c r="R3" i="65"/>
  <c r="T166" i="65"/>
  <c r="BN176" i="39"/>
  <c r="BC176" i="39"/>
  <c r="AW176" i="39"/>
  <c r="BE176" i="39"/>
  <c r="AS176" i="39"/>
  <c r="BM176" i="39"/>
  <c r="BG176" i="39"/>
  <c r="BI176" i="39"/>
  <c r="BF176" i="39"/>
  <c r="AQ176" i="39"/>
  <c r="AP176" i="39"/>
  <c r="BH176" i="39"/>
  <c r="AN176" i="39"/>
  <c r="BB176" i="39"/>
  <c r="AZ176" i="39"/>
  <c r="AK176" i="39"/>
  <c r="AO176" i="39"/>
  <c r="BJ176" i="39"/>
  <c r="BK176" i="39"/>
  <c r="AU176" i="39"/>
  <c r="AM176" i="39"/>
  <c r="AL176" i="39"/>
  <c r="AX176" i="39"/>
  <c r="AT176" i="39"/>
  <c r="AR176" i="39"/>
  <c r="BL176" i="39"/>
  <c r="AY176" i="39"/>
  <c r="BA176" i="39"/>
  <c r="AV176" i="39"/>
  <c r="BD176" i="39"/>
  <c r="X176" i="39"/>
  <c r="AG176" i="39"/>
  <c r="AJ176" i="39"/>
  <c r="AE176" i="39"/>
  <c r="Y176" i="39"/>
  <c r="AD176" i="39"/>
  <c r="AB176" i="39"/>
  <c r="W176" i="39"/>
  <c r="AH176" i="39"/>
  <c r="AC176" i="39"/>
  <c r="AA176" i="39"/>
  <c r="AF176" i="39"/>
  <c r="AI176" i="39"/>
  <c r="Z176" i="39"/>
  <c r="V176" i="39"/>
  <c r="U176" i="39"/>
  <c r="T176" i="39"/>
  <c r="S176" i="39"/>
  <c r="R176" i="39"/>
  <c r="Q176" i="39"/>
  <c r="P176" i="39"/>
  <c r="O177" i="39"/>
  <c r="BN120" i="39"/>
  <c r="AR120" i="39"/>
  <c r="AP120" i="39"/>
  <c r="AQ120" i="39"/>
  <c r="BD120" i="39"/>
  <c r="AV120" i="39"/>
  <c r="AW120" i="39"/>
  <c r="AX120" i="39"/>
  <c r="BE120" i="39"/>
  <c r="BG120" i="39"/>
  <c r="BB120" i="39"/>
  <c r="AY120" i="39"/>
  <c r="BJ120" i="39"/>
  <c r="BM120" i="39"/>
  <c r="AS120" i="39"/>
  <c r="BH120" i="39"/>
  <c r="AN120" i="39"/>
  <c r="AK120" i="39"/>
  <c r="BL120" i="39"/>
  <c r="BC120" i="39"/>
  <c r="AT120" i="39"/>
  <c r="AO120" i="39"/>
  <c r="BK120" i="39"/>
  <c r="AL120" i="39"/>
  <c r="AZ120" i="39"/>
  <c r="AU120" i="39"/>
  <c r="BI120" i="39"/>
  <c r="AM120" i="39"/>
  <c r="BA120" i="39"/>
  <c r="BF120" i="39"/>
  <c r="Z120" i="39"/>
  <c r="AC120" i="39"/>
  <c r="AI120" i="39"/>
  <c r="AH120" i="39"/>
  <c r="AB120" i="39"/>
  <c r="AE120" i="39"/>
  <c r="Y120" i="39"/>
  <c r="X120" i="39"/>
  <c r="AA120" i="39"/>
  <c r="AG120" i="39"/>
  <c r="AJ120" i="39"/>
  <c r="AD120" i="39"/>
  <c r="AF120" i="39"/>
  <c r="W120" i="39"/>
  <c r="V120" i="39"/>
  <c r="U120" i="39"/>
  <c r="T120" i="39"/>
  <c r="S120" i="39"/>
  <c r="R120" i="39"/>
  <c r="Q120" i="39"/>
  <c r="P120" i="39"/>
  <c r="O121" i="39"/>
  <c r="ML184" i="63"/>
  <c r="ML182" i="63"/>
  <c r="ML181" i="63"/>
  <c r="ML180" i="63"/>
  <c r="ML179" i="63"/>
  <c r="ML178" i="63"/>
  <c r="ML177" i="63"/>
  <c r="ML176" i="63"/>
  <c r="ML175" i="63"/>
  <c r="NJ174" i="63"/>
  <c r="ML183" i="63"/>
  <c r="LM184" i="63"/>
  <c r="LM180" i="63"/>
  <c r="LM176" i="63"/>
  <c r="LM177" i="63"/>
  <c r="MK174" i="63"/>
  <c r="LM181" i="63"/>
  <c r="LM175" i="63"/>
  <c r="LM183" i="63"/>
  <c r="LM178" i="63"/>
  <c r="LM182" i="63"/>
  <c r="LM179" i="63"/>
  <c r="JN116" i="63"/>
  <c r="JN121" i="63"/>
  <c r="JN119" i="63"/>
  <c r="JN114" i="63"/>
  <c r="JN113" i="63"/>
  <c r="JN112" i="63"/>
  <c r="JM111" i="63"/>
  <c r="JM112" i="63" s="1"/>
  <c r="JM113" i="63" s="1"/>
  <c r="JM114" i="63" s="1"/>
  <c r="JM115" i="63" s="1"/>
  <c r="JM116" i="63" s="1"/>
  <c r="JM117" i="63" s="1"/>
  <c r="JM118" i="63" s="1"/>
  <c r="JM119" i="63" s="1"/>
  <c r="JM120" i="63" s="1"/>
  <c r="JM121" i="63" s="1"/>
  <c r="JM122" i="63" s="1"/>
  <c r="JM123" i="63" s="1"/>
  <c r="JM124" i="63" s="1"/>
  <c r="JM125" i="63" s="1"/>
  <c r="JM126" i="63" s="1"/>
  <c r="JM127" i="63" s="1"/>
  <c r="JM128" i="63" s="1"/>
  <c r="JM129" i="63" s="1"/>
  <c r="JM130" i="63" s="1"/>
  <c r="JM131" i="63" s="1"/>
  <c r="JN120" i="63"/>
  <c r="JN117" i="63"/>
  <c r="JN115" i="63"/>
  <c r="JN111" i="63"/>
  <c r="JN118" i="63"/>
  <c r="KL110" i="63"/>
  <c r="KN184" i="63"/>
  <c r="KN183" i="63"/>
  <c r="LL174" i="63"/>
  <c r="KN181" i="63"/>
  <c r="KN177" i="63"/>
  <c r="KN182" i="63"/>
  <c r="KN178" i="63"/>
  <c r="KN176" i="63"/>
  <c r="KN180" i="63"/>
  <c r="KN179" i="63"/>
  <c r="KN175" i="63"/>
  <c r="OJ184" i="63"/>
  <c r="OJ183" i="63"/>
  <c r="PH174" i="63"/>
  <c r="OJ180" i="63"/>
  <c r="OJ176" i="63"/>
  <c r="OJ182" i="63"/>
  <c r="OJ177" i="63"/>
  <c r="OJ179" i="63"/>
  <c r="OJ175" i="63"/>
  <c r="OJ181" i="63"/>
  <c r="OJ178" i="63"/>
  <c r="PH121" i="63"/>
  <c r="PH120" i="63"/>
  <c r="PH116" i="63"/>
  <c r="PH117" i="63"/>
  <c r="PH115" i="63"/>
  <c r="PH114" i="63"/>
  <c r="PH113" i="63"/>
  <c r="PH112" i="63"/>
  <c r="PH111" i="63"/>
  <c r="PH119" i="63"/>
  <c r="PH118" i="63"/>
  <c r="I185" i="63"/>
  <c r="KN185" i="63" s="1"/>
  <c r="AD184" i="63"/>
  <c r="AB184" i="63"/>
  <c r="BB184" i="63"/>
  <c r="AC184" i="63"/>
  <c r="AZ184" i="63"/>
  <c r="BZ184" i="63"/>
  <c r="AA184" i="63"/>
  <c r="BA184" i="63"/>
  <c r="AY184" i="63"/>
  <c r="CX184" i="63"/>
  <c r="Z184" i="63"/>
  <c r="BY184" i="63"/>
  <c r="BX184" i="63"/>
  <c r="CV184" i="63"/>
  <c r="CW184" i="63"/>
  <c r="BW184" i="63"/>
  <c r="Y184" i="63"/>
  <c r="AX184" i="63"/>
  <c r="DV184" i="63"/>
  <c r="DU184" i="63"/>
  <c r="X184" i="63"/>
  <c r="DT184" i="63"/>
  <c r="ET184" i="63"/>
  <c r="AW184" i="63"/>
  <c r="CU184" i="63"/>
  <c r="BV184" i="63"/>
  <c r="FR184" i="63"/>
  <c r="ES184" i="63"/>
  <c r="W184" i="63"/>
  <c r="ER184" i="63"/>
  <c r="DS184" i="63"/>
  <c r="BU184" i="63"/>
  <c r="CT184" i="63"/>
  <c r="AV184" i="63"/>
  <c r="DR184" i="63"/>
  <c r="FQ184" i="63"/>
  <c r="AU184" i="63"/>
  <c r="CS184" i="63"/>
  <c r="GP184" i="63"/>
  <c r="V184" i="63"/>
  <c r="FP184" i="63"/>
  <c r="BT184" i="63"/>
  <c r="EQ184" i="63"/>
  <c r="FO184" i="63"/>
  <c r="CR184" i="63"/>
  <c r="GO184" i="63"/>
  <c r="AT184" i="63"/>
  <c r="BS184" i="63"/>
  <c r="EP184" i="63"/>
  <c r="U184" i="63"/>
  <c r="DQ184" i="63"/>
  <c r="GN184" i="63"/>
  <c r="HN184" i="63"/>
  <c r="BR184" i="63"/>
  <c r="DP184" i="63"/>
  <c r="GM184" i="63"/>
  <c r="HL184" i="63"/>
  <c r="HM184" i="63"/>
  <c r="T184" i="63"/>
  <c r="IL184" i="63"/>
  <c r="CQ184" i="63"/>
  <c r="EO184" i="63"/>
  <c r="AS184" i="63"/>
  <c r="FN184" i="63"/>
  <c r="BQ184" i="63"/>
  <c r="IJ184" i="63"/>
  <c r="CP184" i="63"/>
  <c r="AR184" i="63"/>
  <c r="DO184" i="63"/>
  <c r="GL184" i="63"/>
  <c r="JJ184" i="63"/>
  <c r="EN184" i="63"/>
  <c r="HK184" i="63"/>
  <c r="IK184" i="63"/>
  <c r="S184" i="63"/>
  <c r="FM184" i="63"/>
  <c r="BP184" i="63"/>
  <c r="AQ184" i="63"/>
  <c r="HJ184" i="63"/>
  <c r="FL184" i="63"/>
  <c r="JH184" i="63"/>
  <c r="JI184" i="63"/>
  <c r="KH184" i="63"/>
  <c r="DN184" i="63"/>
  <c r="EM184" i="63"/>
  <c r="II184" i="63"/>
  <c r="GK184" i="63"/>
  <c r="R184" i="63"/>
  <c r="CO184" i="63"/>
  <c r="IH184" i="63"/>
  <c r="KG184" i="63"/>
  <c r="LF184" i="63"/>
  <c r="DM184" i="63"/>
  <c r="JG184" i="63"/>
  <c r="AP184" i="63"/>
  <c r="CN184" i="63"/>
  <c r="KF184" i="63"/>
  <c r="FK184" i="63"/>
  <c r="EL184" i="63"/>
  <c r="Q184" i="63"/>
  <c r="GJ184" i="63"/>
  <c r="BO184" i="63"/>
  <c r="HI184" i="63"/>
  <c r="MD184" i="63"/>
  <c r="IG184" i="63"/>
  <c r="CM184" i="63"/>
  <c r="AO184" i="63"/>
  <c r="JF184" i="63"/>
  <c r="DL184" i="63"/>
  <c r="BN184" i="63"/>
  <c r="EK184" i="63"/>
  <c r="KE184" i="63"/>
  <c r="FJ184" i="63"/>
  <c r="HH184" i="63"/>
  <c r="LD184" i="63"/>
  <c r="GI184" i="63"/>
  <c r="LE184" i="63"/>
  <c r="P184" i="63"/>
  <c r="AN184" i="63"/>
  <c r="BM184" i="63"/>
  <c r="FI184" i="63"/>
  <c r="O184" i="63"/>
  <c r="JE184" i="63"/>
  <c r="MC184" i="63"/>
  <c r="KD184" i="63"/>
  <c r="DK184" i="63"/>
  <c r="HG184" i="63"/>
  <c r="GH184" i="63"/>
  <c r="EJ184" i="63"/>
  <c r="IF184" i="63"/>
  <c r="LC184" i="63"/>
  <c r="MB184" i="63"/>
  <c r="CL184" i="63"/>
  <c r="NB184" i="63"/>
  <c r="GG184" i="63"/>
  <c r="FH184" i="63"/>
  <c r="LB184" i="63"/>
  <c r="IE184" i="63"/>
  <c r="AM184" i="63"/>
  <c r="MA184" i="63"/>
  <c r="CK184" i="63"/>
  <c r="DJ184" i="63"/>
  <c r="MZ184" i="63"/>
  <c r="NA184" i="63"/>
  <c r="EI184" i="63"/>
  <c r="NZ184" i="63"/>
  <c r="BL184" i="63"/>
  <c r="HF184" i="63"/>
  <c r="N184" i="63"/>
  <c r="JD184" i="63"/>
  <c r="KC184" i="63"/>
  <c r="BK184" i="63"/>
  <c r="GF184" i="63"/>
  <c r="HE184" i="63"/>
  <c r="EH184" i="63"/>
  <c r="KB184" i="63"/>
  <c r="ID184" i="63"/>
  <c r="AL184" i="63"/>
  <c r="M184" i="63"/>
  <c r="CJ184" i="63"/>
  <c r="FG184" i="63"/>
  <c r="NX184" i="63"/>
  <c r="OX184" i="63"/>
  <c r="DI184" i="63"/>
  <c r="LZ184" i="63"/>
  <c r="LA184" i="63"/>
  <c r="MY184" i="63"/>
  <c r="JC184" i="63"/>
  <c r="NY184" i="63"/>
  <c r="FF184" i="63"/>
  <c r="LY184" i="63"/>
  <c r="CI184" i="63"/>
  <c r="EG184" i="63"/>
  <c r="HD184" i="63"/>
  <c r="MX184" i="63"/>
  <c r="AK184" i="63"/>
  <c r="JB184" i="63"/>
  <c r="OW184" i="63"/>
  <c r="OV184" i="63"/>
  <c r="KZ184" i="63"/>
  <c r="IC184" i="63"/>
  <c r="NW184" i="63"/>
  <c r="DH184" i="63"/>
  <c r="KA184" i="63"/>
  <c r="BJ184" i="63"/>
  <c r="L184" i="63"/>
  <c r="GE184" i="63"/>
  <c r="PV184" i="63"/>
  <c r="BI184" i="63"/>
  <c r="GD184" i="63"/>
  <c r="PT184" i="63"/>
  <c r="JZ184" i="63"/>
  <c r="CH184" i="63"/>
  <c r="OU184" i="63"/>
  <c r="JA184" i="63"/>
  <c r="LX184" i="63"/>
  <c r="K184" i="63"/>
  <c r="IB184" i="63"/>
  <c r="MW184" i="63"/>
  <c r="DG184" i="63"/>
  <c r="HC184" i="63"/>
  <c r="AJ184" i="63"/>
  <c r="PU184" i="63"/>
  <c r="FE184" i="63"/>
  <c r="NV184" i="63"/>
  <c r="EF184" i="63"/>
  <c r="KY184" i="63"/>
  <c r="AI184" i="63"/>
  <c r="PS184" i="63"/>
  <c r="DF184" i="63"/>
  <c r="FD184" i="63"/>
  <c r="NU184" i="63"/>
  <c r="EE184" i="63"/>
  <c r="CG184" i="63"/>
  <c r="JY184" i="63"/>
  <c r="HB184" i="63"/>
  <c r="GC184" i="63"/>
  <c r="KX184" i="63"/>
  <c r="IZ184" i="63"/>
  <c r="BH184" i="63"/>
  <c r="LW184" i="63"/>
  <c r="MV184" i="63"/>
  <c r="IA184" i="63"/>
  <c r="OT184" i="63"/>
  <c r="J184" i="63"/>
  <c r="KW184" i="63"/>
  <c r="NT184" i="63"/>
  <c r="BG184" i="63"/>
  <c r="GB184" i="63"/>
  <c r="JX184" i="63"/>
  <c r="LV184" i="63"/>
  <c r="OS184" i="63"/>
  <c r="AH184" i="63"/>
  <c r="MU184" i="63"/>
  <c r="CF184" i="63"/>
  <c r="HZ184" i="63"/>
  <c r="FC184" i="63"/>
  <c r="ED184" i="63"/>
  <c r="DE184" i="63"/>
  <c r="PR184" i="63"/>
  <c r="HA184" i="63"/>
  <c r="IY184" i="63"/>
  <c r="KV184" i="63"/>
  <c r="DD184" i="63"/>
  <c r="GZ184" i="63"/>
  <c r="BF184" i="63"/>
  <c r="HY184" i="63"/>
  <c r="LU184" i="63"/>
  <c r="MT184" i="63"/>
  <c r="JW184" i="63"/>
  <c r="EC184" i="63"/>
  <c r="OR184" i="63"/>
  <c r="IX184" i="63"/>
  <c r="CE184" i="63"/>
  <c r="PQ184" i="63"/>
  <c r="NS184" i="63"/>
  <c r="GA184" i="63"/>
  <c r="FB184" i="63"/>
  <c r="DC184" i="63"/>
  <c r="JV184" i="63"/>
  <c r="OQ184" i="63"/>
  <c r="IW184" i="63"/>
  <c r="CD184" i="63"/>
  <c r="EB184" i="63"/>
  <c r="PP184" i="63"/>
  <c r="FZ184" i="63"/>
  <c r="KU184" i="63"/>
  <c r="LT184" i="63"/>
  <c r="GY184" i="63"/>
  <c r="NR184" i="63"/>
  <c r="HX184" i="63"/>
  <c r="FA184" i="63"/>
  <c r="MS184" i="63"/>
  <c r="DB184" i="63"/>
  <c r="LS184" i="63"/>
  <c r="HW184" i="63"/>
  <c r="GX184" i="63"/>
  <c r="KT184" i="63"/>
  <c r="OP184" i="63"/>
  <c r="FY184" i="63"/>
  <c r="EZ184" i="63"/>
  <c r="PO184" i="63"/>
  <c r="IV184" i="63"/>
  <c r="JU184" i="63"/>
  <c r="NQ184" i="63"/>
  <c r="EA184" i="63"/>
  <c r="MR184" i="63"/>
  <c r="EY184" i="63"/>
  <c r="FX184" i="63"/>
  <c r="LR184" i="63"/>
  <c r="MQ184" i="63"/>
  <c r="PN184" i="63"/>
  <c r="NP184" i="63"/>
  <c r="HV184" i="63"/>
  <c r="KS184" i="63"/>
  <c r="JT184" i="63"/>
  <c r="DZ184" i="63"/>
  <c r="OO184" i="63"/>
  <c r="GW184" i="63"/>
  <c r="IU184" i="63"/>
  <c r="MP184" i="63"/>
  <c r="GV184" i="63"/>
  <c r="LQ184" i="63"/>
  <c r="NO184" i="63"/>
  <c r="FW184" i="63"/>
  <c r="KR184" i="63"/>
  <c r="HU184" i="63"/>
  <c r="JS184" i="63"/>
  <c r="ON184" i="63"/>
  <c r="EX184" i="63"/>
  <c r="IT184" i="63"/>
  <c r="PM184" i="63"/>
  <c r="IS184" i="63"/>
  <c r="LP184" i="63"/>
  <c r="PL184" i="63"/>
  <c r="KQ184" i="63"/>
  <c r="HT184" i="63"/>
  <c r="MO184" i="63"/>
  <c r="GU184" i="63"/>
  <c r="NN184" i="63"/>
  <c r="OM184" i="63"/>
  <c r="JR184" i="63"/>
  <c r="FV184" i="63"/>
  <c r="PK184" i="63"/>
  <c r="NM184" i="63"/>
  <c r="LO184" i="63"/>
  <c r="KP184" i="63"/>
  <c r="GT184" i="63"/>
  <c r="JQ184" i="63"/>
  <c r="IR184" i="63"/>
  <c r="HS184" i="63"/>
  <c r="MN184" i="63"/>
  <c r="OL184" i="63"/>
  <c r="IQ184" i="63"/>
  <c r="I122" i="63"/>
  <c r="JN122" i="63" s="1"/>
  <c r="AD121" i="63"/>
  <c r="AB121" i="63"/>
  <c r="AC121" i="63"/>
  <c r="BB121" i="63"/>
  <c r="BZ121" i="63"/>
  <c r="AZ121" i="63"/>
  <c r="AA121" i="63"/>
  <c r="BA121" i="63"/>
  <c r="AY121" i="63"/>
  <c r="BX121" i="63"/>
  <c r="Z121" i="63"/>
  <c r="BY121" i="63"/>
  <c r="CX121" i="63"/>
  <c r="CW121" i="63"/>
  <c r="CV121" i="63"/>
  <c r="Y121" i="63"/>
  <c r="AX121" i="63"/>
  <c r="DV121" i="63"/>
  <c r="BW121" i="63"/>
  <c r="AW121" i="63"/>
  <c r="DT121" i="63"/>
  <c r="BV121" i="63"/>
  <c r="DU121" i="63"/>
  <c r="CU121" i="63"/>
  <c r="X121" i="63"/>
  <c r="ET121" i="63"/>
  <c r="BU121" i="63"/>
  <c r="AV121" i="63"/>
  <c r="FR121" i="63"/>
  <c r="ES121" i="63"/>
  <c r="ER121" i="63"/>
  <c r="W121" i="63"/>
  <c r="CT121" i="63"/>
  <c r="DS121" i="63"/>
  <c r="DR121" i="63"/>
  <c r="CS121" i="63"/>
  <c r="BT121" i="63"/>
  <c r="FQ121" i="63"/>
  <c r="EQ121" i="63"/>
  <c r="FP121" i="63"/>
  <c r="V121" i="63"/>
  <c r="AU121" i="63"/>
  <c r="GP121" i="63"/>
  <c r="GO121" i="63"/>
  <c r="DQ121" i="63"/>
  <c r="CR121" i="63"/>
  <c r="HN121" i="63"/>
  <c r="AT121" i="63"/>
  <c r="FO121" i="63"/>
  <c r="U121" i="63"/>
  <c r="EP121" i="63"/>
  <c r="BS121" i="63"/>
  <c r="GN121" i="63"/>
  <c r="FN121" i="63"/>
  <c r="EO121" i="63"/>
  <c r="T121" i="63"/>
  <c r="DP121" i="63"/>
  <c r="CQ121" i="63"/>
  <c r="BR121" i="63"/>
  <c r="GM121" i="63"/>
  <c r="HL121" i="63"/>
  <c r="AS121" i="63"/>
  <c r="HM121" i="63"/>
  <c r="IL121" i="63"/>
  <c r="EN121" i="63"/>
  <c r="AR121" i="63"/>
  <c r="HK121" i="63"/>
  <c r="IK121" i="63"/>
  <c r="S121" i="63"/>
  <c r="JJ121" i="63"/>
  <c r="IJ121" i="63"/>
  <c r="CP121" i="63"/>
  <c r="FM121" i="63"/>
  <c r="BQ121" i="63"/>
  <c r="DO121" i="63"/>
  <c r="GL121" i="63"/>
  <c r="EM121" i="63"/>
  <c r="FL121" i="63"/>
  <c r="KH121" i="63"/>
  <c r="CO121" i="63"/>
  <c r="JI121" i="63"/>
  <c r="BP121" i="63"/>
  <c r="II121" i="63"/>
  <c r="AQ121" i="63"/>
  <c r="R121" i="63"/>
  <c r="JH121" i="63"/>
  <c r="GK121" i="63"/>
  <c r="DN121" i="63"/>
  <c r="HJ121" i="63"/>
  <c r="EL121" i="63"/>
  <c r="KF121" i="63"/>
  <c r="AP121" i="63"/>
  <c r="GJ121" i="63"/>
  <c r="JG121" i="63"/>
  <c r="HI121" i="63"/>
  <c r="Q121" i="63"/>
  <c r="IH121" i="63"/>
  <c r="CN121" i="63"/>
  <c r="FK121" i="63"/>
  <c r="KG121" i="63"/>
  <c r="BO121" i="63"/>
  <c r="DM121" i="63"/>
  <c r="LF121" i="63"/>
  <c r="AO121" i="63"/>
  <c r="EK121" i="63"/>
  <c r="IG121" i="63"/>
  <c r="LE121" i="63"/>
  <c r="MD121" i="63"/>
  <c r="FJ121" i="63"/>
  <c r="LD121" i="63"/>
  <c r="BN121" i="63"/>
  <c r="CM121" i="63"/>
  <c r="DL121" i="63"/>
  <c r="JF121" i="63"/>
  <c r="P121" i="63"/>
  <c r="KE121" i="63"/>
  <c r="HH121" i="63"/>
  <c r="GI121" i="63"/>
  <c r="LC121" i="63"/>
  <c r="KD121" i="63"/>
  <c r="JE121" i="63"/>
  <c r="AN121" i="63"/>
  <c r="MB121" i="63"/>
  <c r="FI121" i="63"/>
  <c r="NB121" i="63"/>
  <c r="DK121" i="63"/>
  <c r="CL121" i="63"/>
  <c r="HG121" i="63"/>
  <c r="EJ121" i="63"/>
  <c r="MC121" i="63"/>
  <c r="IF121" i="63"/>
  <c r="BM121" i="63"/>
  <c r="GH121" i="63"/>
  <c r="O121" i="63"/>
  <c r="JD121" i="63"/>
  <c r="LB121" i="63"/>
  <c r="FH121" i="63"/>
  <c r="N121" i="63"/>
  <c r="KC121" i="63"/>
  <c r="AM121" i="63"/>
  <c r="NA121" i="63"/>
  <c r="GG121" i="63"/>
  <c r="DJ121" i="63"/>
  <c r="MA121" i="63"/>
  <c r="BL121" i="63"/>
  <c r="IE121" i="63"/>
  <c r="HF121" i="63"/>
  <c r="CK121" i="63"/>
  <c r="EI121" i="63"/>
  <c r="MZ121" i="63"/>
  <c r="NZ121" i="63"/>
  <c r="GF121" i="63"/>
  <c r="OX121" i="63"/>
  <c r="LZ121" i="63"/>
  <c r="ID121" i="63"/>
  <c r="KB121" i="63"/>
  <c r="DI121" i="63"/>
  <c r="AL121" i="63"/>
  <c r="JC121" i="63"/>
  <c r="LA121" i="63"/>
  <c r="BK121" i="63"/>
  <c r="NY121" i="63"/>
  <c r="M121" i="63"/>
  <c r="HE121" i="63"/>
  <c r="EH121" i="63"/>
  <c r="MY121" i="63"/>
  <c r="CJ121" i="63"/>
  <c r="NX121" i="63"/>
  <c r="FG121" i="63"/>
  <c r="GE121" i="63"/>
  <c r="LY121" i="63"/>
  <c r="AK121" i="63"/>
  <c r="JB121" i="63"/>
  <c r="L121" i="63"/>
  <c r="BJ121" i="63"/>
  <c r="OV121" i="63"/>
  <c r="NW121" i="63"/>
  <c r="OW121" i="63"/>
  <c r="IC121" i="63"/>
  <c r="PV121" i="63"/>
  <c r="EG121" i="63"/>
  <c r="KZ121" i="63"/>
  <c r="HD121" i="63"/>
  <c r="DH121" i="63"/>
  <c r="FF121" i="63"/>
  <c r="MX121" i="63"/>
  <c r="CI121" i="63"/>
  <c r="KA121" i="63"/>
  <c r="NV121" i="63"/>
  <c r="K121" i="63"/>
  <c r="HC121" i="63"/>
  <c r="IB121" i="63"/>
  <c r="JA121" i="63"/>
  <c r="OU121" i="63"/>
  <c r="LX121" i="63"/>
  <c r="EF121" i="63"/>
  <c r="PT121" i="63"/>
  <c r="PU121" i="63"/>
  <c r="FE121" i="63"/>
  <c r="AJ121" i="63"/>
  <c r="GD121" i="63"/>
  <c r="MW121" i="63"/>
  <c r="KY121" i="63"/>
  <c r="BI121" i="63"/>
  <c r="CH121" i="63"/>
  <c r="JZ121" i="63"/>
  <c r="DG121" i="63"/>
  <c r="AI121" i="63"/>
  <c r="EE121" i="63"/>
  <c r="KX121" i="63"/>
  <c r="CG121" i="63"/>
  <c r="OT121" i="63"/>
  <c r="PS121" i="63"/>
  <c r="LW121" i="63"/>
  <c r="IA121" i="63"/>
  <c r="BH121" i="63"/>
  <c r="MV121" i="63"/>
  <c r="JY121" i="63"/>
  <c r="J121" i="63"/>
  <c r="DF121" i="63"/>
  <c r="NU121" i="63"/>
  <c r="FD121" i="63"/>
  <c r="IZ121" i="63"/>
  <c r="HB121" i="63"/>
  <c r="GC121" i="63"/>
  <c r="ED121" i="63"/>
  <c r="KW121" i="63"/>
  <c r="IY121" i="63"/>
  <c r="JX121" i="63"/>
  <c r="OS121" i="63"/>
  <c r="DE121" i="63"/>
  <c r="GB121" i="63"/>
  <c r="FC121" i="63"/>
  <c r="HA121" i="63"/>
  <c r="NT121" i="63"/>
  <c r="BG121" i="63"/>
  <c r="HZ121" i="63"/>
  <c r="CF121" i="63"/>
  <c r="AH121" i="63"/>
  <c r="MU121" i="63"/>
  <c r="LV121" i="63"/>
  <c r="PR121" i="63"/>
  <c r="PQ121" i="63"/>
  <c r="DD121" i="63"/>
  <c r="KV121" i="63"/>
  <c r="EC121" i="63"/>
  <c r="CE121" i="63"/>
  <c r="MT121" i="63"/>
  <c r="BF121" i="63"/>
  <c r="OR121" i="63"/>
  <c r="HY121" i="63"/>
  <c r="GA121" i="63"/>
  <c r="GZ121" i="63"/>
  <c r="JW121" i="63"/>
  <c r="IX121" i="63"/>
  <c r="LU121" i="63"/>
  <c r="NS121" i="63"/>
  <c r="FB121" i="63"/>
  <c r="PP121" i="63"/>
  <c r="JV121" i="63"/>
  <c r="IW121" i="63"/>
  <c r="MS121" i="63"/>
  <c r="OQ121" i="63"/>
  <c r="KU121" i="63"/>
  <c r="LT121" i="63"/>
  <c r="EB121" i="63"/>
  <c r="GY121" i="63"/>
  <c r="FA121" i="63"/>
  <c r="CD121" i="63"/>
  <c r="NR121" i="63"/>
  <c r="DC121" i="63"/>
  <c r="HX121" i="63"/>
  <c r="FZ121" i="63"/>
  <c r="JU121" i="63"/>
  <c r="PO121" i="63"/>
  <c r="LS121" i="63"/>
  <c r="EZ121" i="63"/>
  <c r="OP121" i="63"/>
  <c r="FY121" i="63"/>
  <c r="EA121" i="63"/>
  <c r="HW121" i="63"/>
  <c r="GX121" i="63"/>
  <c r="MR121" i="63"/>
  <c r="NQ121" i="63"/>
  <c r="IV121" i="63"/>
  <c r="KT121" i="63"/>
  <c r="DB121" i="63"/>
  <c r="IU121" i="63"/>
  <c r="FX121" i="63"/>
  <c r="GW121" i="63"/>
  <c r="KS121" i="63"/>
  <c r="HV121" i="63"/>
  <c r="JT121" i="63"/>
  <c r="MQ121" i="63"/>
  <c r="NP121" i="63"/>
  <c r="EY121" i="63"/>
  <c r="LR121" i="63"/>
  <c r="DZ121" i="63"/>
  <c r="OO121" i="63"/>
  <c r="PN121" i="63"/>
  <c r="FW121" i="63"/>
  <c r="ON121" i="63"/>
  <c r="PM121" i="63"/>
  <c r="KR121" i="63"/>
  <c r="HU121" i="63"/>
  <c r="LQ121" i="63"/>
  <c r="IT121" i="63"/>
  <c r="JS121" i="63"/>
  <c r="NO121" i="63"/>
  <c r="EX121" i="63"/>
  <c r="GV121" i="63"/>
  <c r="MP121" i="63"/>
  <c r="MO121" i="63"/>
  <c r="JR121" i="63"/>
  <c r="LP121" i="63"/>
  <c r="KQ121" i="63"/>
  <c r="NN121" i="63"/>
  <c r="IS121" i="63"/>
  <c r="FV121" i="63"/>
  <c r="HT121" i="63"/>
  <c r="OM121" i="63"/>
  <c r="PL121" i="63"/>
  <c r="GU121" i="63"/>
  <c r="NM121" i="63"/>
  <c r="LO121" i="63"/>
  <c r="PK121" i="63"/>
  <c r="OL121" i="63"/>
  <c r="HS121" i="63"/>
  <c r="KP121" i="63"/>
  <c r="GT121" i="63"/>
  <c r="IR121" i="63"/>
  <c r="JQ121" i="63"/>
  <c r="MN121" i="63"/>
  <c r="OK121" i="63"/>
  <c r="KO121" i="63"/>
  <c r="PJ121" i="63"/>
  <c r="HR121" i="63"/>
  <c r="NL121" i="63"/>
  <c r="IQ121" i="63"/>
  <c r="JP121" i="63"/>
  <c r="LN121" i="63"/>
  <c r="MM121" i="63"/>
  <c r="NL184" i="63"/>
  <c r="IP185" i="63"/>
  <c r="IP182" i="63"/>
  <c r="IP181" i="63"/>
  <c r="IP180" i="63"/>
  <c r="IP179" i="63"/>
  <c r="IP178" i="63"/>
  <c r="IP177" i="63"/>
  <c r="IP176" i="63"/>
  <c r="IP175" i="63"/>
  <c r="JN174" i="63"/>
  <c r="IP183" i="63"/>
  <c r="IP184" i="63"/>
  <c r="IO175" i="63"/>
  <c r="IO176" i="63" s="1"/>
  <c r="IO177" i="63" s="1"/>
  <c r="IO178" i="63" s="1"/>
  <c r="IO179" i="63" s="1"/>
  <c r="IO180" i="63" s="1"/>
  <c r="IO181" i="63" s="1"/>
  <c r="IO182" i="63" s="1"/>
  <c r="IO183" i="63" s="1"/>
  <c r="IO184" i="63" s="1"/>
  <c r="IO185" i="63" s="1"/>
  <c r="IO186" i="63" s="1"/>
  <c r="IO187" i="63" s="1"/>
  <c r="IO188" i="63" s="1"/>
  <c r="IO189" i="63" s="1"/>
  <c r="IO190" i="63" s="1"/>
  <c r="IO191" i="63" s="1"/>
  <c r="IO192" i="63" s="1"/>
  <c r="IO193" i="63" s="1"/>
  <c r="IO194" i="63" s="1"/>
  <c r="IO195" i="63" s="1"/>
  <c r="HR184" i="63"/>
  <c r="PI184" i="63"/>
  <c r="PI185" i="63"/>
  <c r="PI180" i="63"/>
  <c r="PI179" i="63"/>
  <c r="PI175" i="63"/>
  <c r="PI183" i="63"/>
  <c r="PI176" i="63"/>
  <c r="PI178" i="63"/>
  <c r="PI182" i="63"/>
  <c r="PI177" i="63"/>
  <c r="PI181" i="63"/>
  <c r="PI121" i="63"/>
  <c r="NK183" i="63"/>
  <c r="NK185" i="63"/>
  <c r="NK181" i="63"/>
  <c r="NK182" i="63"/>
  <c r="NK177" i="63"/>
  <c r="NK178" i="63"/>
  <c r="NK184" i="63"/>
  <c r="NK180" i="63"/>
  <c r="NK176" i="63"/>
  <c r="NK175" i="63"/>
  <c r="OI174" i="63"/>
  <c r="NK179" i="63"/>
  <c r="LL121" i="63"/>
  <c r="LL120" i="63"/>
  <c r="LL117" i="63"/>
  <c r="LL116" i="63"/>
  <c r="LL119" i="63"/>
  <c r="MJ110" i="63"/>
  <c r="LL118" i="63"/>
  <c r="LL115" i="63"/>
  <c r="LL114" i="63"/>
  <c r="LL113" i="63"/>
  <c r="LL112" i="63"/>
  <c r="LL111" i="63"/>
  <c r="LN184" i="63"/>
  <c r="KO184" i="63"/>
  <c r="IP121" i="63"/>
  <c r="ML121" i="63"/>
  <c r="OJ121" i="63"/>
  <c r="OI121" i="63"/>
  <c r="OI120" i="63"/>
  <c r="OI119" i="63"/>
  <c r="OI118" i="63"/>
  <c r="OI117" i="63"/>
  <c r="OI116" i="63"/>
  <c r="PG110" i="63"/>
  <c r="OI115" i="63"/>
  <c r="OI114" i="63"/>
  <c r="OI113" i="63"/>
  <c r="OI112" i="63"/>
  <c r="OI111" i="63"/>
  <c r="MK120" i="63"/>
  <c r="MK116" i="63"/>
  <c r="MK115" i="63"/>
  <c r="MK114" i="63"/>
  <c r="MK113" i="63"/>
  <c r="MK112" i="63"/>
  <c r="MK111" i="63"/>
  <c r="NI110" i="63"/>
  <c r="MK117" i="63"/>
  <c r="MK119" i="63"/>
  <c r="MK121" i="63"/>
  <c r="MK118" i="63"/>
  <c r="LM121" i="63"/>
  <c r="PJ184" i="63"/>
  <c r="HQ238" i="63"/>
  <c r="HQ239" i="63" s="1"/>
  <c r="HQ240" i="63" s="1"/>
  <c r="HQ241" i="63" s="1"/>
  <c r="HQ242" i="63" s="1"/>
  <c r="HQ243" i="63" s="1"/>
  <c r="HQ244" i="63" s="1"/>
  <c r="HQ245" i="63" s="1"/>
  <c r="HQ246" i="63" s="1"/>
  <c r="HQ247" i="63" s="1"/>
  <c r="HQ248" i="63" s="1"/>
  <c r="HQ249" i="63" s="1"/>
  <c r="HQ250" i="63" s="1"/>
  <c r="HQ251" i="63" s="1"/>
  <c r="HQ252" i="63" s="1"/>
  <c r="HQ253" i="63" s="1"/>
  <c r="HQ254" i="63" s="1"/>
  <c r="HQ255" i="63" s="1"/>
  <c r="HQ256" i="63" s="1"/>
  <c r="HQ257" i="63" s="1"/>
  <c r="HQ258" i="63" s="1"/>
  <c r="IP237" i="63"/>
  <c r="JP184" i="63"/>
  <c r="NJ119" i="63"/>
  <c r="NJ118" i="63"/>
  <c r="NJ114" i="63"/>
  <c r="NJ113" i="63"/>
  <c r="NJ111" i="63"/>
  <c r="OH110" i="63"/>
  <c r="NJ121" i="63"/>
  <c r="NJ116" i="63"/>
  <c r="NJ120" i="63"/>
  <c r="NJ115" i="63"/>
  <c r="NJ112" i="63"/>
  <c r="NJ117" i="63"/>
  <c r="OK184" i="63"/>
  <c r="JO184" i="63"/>
  <c r="JO185" i="63"/>
  <c r="JO182" i="63"/>
  <c r="JO178" i="63"/>
  <c r="KM174" i="63"/>
  <c r="JO179" i="63"/>
  <c r="JO175" i="63"/>
  <c r="JO183" i="63"/>
  <c r="JO177" i="63"/>
  <c r="JO181" i="63"/>
  <c r="JO176" i="63"/>
  <c r="JO180" i="63"/>
  <c r="KM121" i="63"/>
  <c r="KM120" i="63"/>
  <c r="KM119" i="63"/>
  <c r="KM118" i="63"/>
  <c r="KM117" i="63"/>
  <c r="KM116" i="63"/>
  <c r="LK110" i="63"/>
  <c r="KM113" i="63"/>
  <c r="KM112" i="63"/>
  <c r="KM115" i="63"/>
  <c r="KM114" i="63"/>
  <c r="KM111" i="63"/>
  <c r="JO121" i="63"/>
  <c r="MM184" i="63"/>
  <c r="AG108" i="39"/>
  <c r="T221" i="65" l="1"/>
  <c r="Q3" i="65"/>
  <c r="R15" i="65"/>
  <c r="R19" i="65" s="1"/>
  <c r="R23" i="65" s="1"/>
  <c r="R110" i="65" s="1"/>
  <c r="S166" i="65"/>
  <c r="BN177" i="39"/>
  <c r="AS177" i="39"/>
  <c r="BM177" i="39"/>
  <c r="BG177" i="39"/>
  <c r="BB177" i="39"/>
  <c r="AW177" i="39"/>
  <c r="BE177" i="39"/>
  <c r="BC177" i="39"/>
  <c r="AU177" i="39"/>
  <c r="AO177" i="39"/>
  <c r="BA177" i="39"/>
  <c r="AV177" i="39"/>
  <c r="BI177" i="39"/>
  <c r="AT177" i="39"/>
  <c r="AL177" i="39"/>
  <c r="AR177" i="39"/>
  <c r="AN177" i="39"/>
  <c r="AK177" i="39"/>
  <c r="BF177" i="39"/>
  <c r="BK177" i="39"/>
  <c r="AZ177" i="39"/>
  <c r="AM177" i="39"/>
  <c r="BH177" i="39"/>
  <c r="BJ177" i="39"/>
  <c r="BD177" i="39"/>
  <c r="AQ177" i="39"/>
  <c r="AP177" i="39"/>
  <c r="AY177" i="39"/>
  <c r="BL177" i="39"/>
  <c r="AX177" i="39"/>
  <c r="AG177" i="39"/>
  <c r="X177" i="39"/>
  <c r="AJ177" i="39"/>
  <c r="Y177" i="39"/>
  <c r="AE177" i="39"/>
  <c r="W177" i="39"/>
  <c r="AD177" i="39"/>
  <c r="AB177" i="39"/>
  <c r="AF177" i="39"/>
  <c r="Z177" i="39"/>
  <c r="AC177" i="39"/>
  <c r="AI177" i="39"/>
  <c r="AH177" i="39"/>
  <c r="AA177" i="39"/>
  <c r="V177" i="39"/>
  <c r="U177" i="39"/>
  <c r="T177" i="39"/>
  <c r="S177" i="39"/>
  <c r="R177" i="39"/>
  <c r="Q177" i="39"/>
  <c r="P177" i="39"/>
  <c r="O178" i="39"/>
  <c r="BN121" i="39"/>
  <c r="AQ121" i="39"/>
  <c r="BD121" i="39"/>
  <c r="AX121" i="39"/>
  <c r="BC121" i="39"/>
  <c r="AV121" i="39"/>
  <c r="BE121" i="39"/>
  <c r="AS121" i="39"/>
  <c r="AR121" i="39"/>
  <c r="BM121" i="39"/>
  <c r="AN121" i="39"/>
  <c r="BI121" i="39"/>
  <c r="BL121" i="39"/>
  <c r="AM121" i="39"/>
  <c r="AO121" i="39"/>
  <c r="AT121" i="39"/>
  <c r="AU121" i="39"/>
  <c r="BG121" i="39"/>
  <c r="BB121" i="39"/>
  <c r="AL121" i="39"/>
  <c r="AP121" i="39"/>
  <c r="AW121" i="39"/>
  <c r="AY121" i="39"/>
  <c r="BH121" i="39"/>
  <c r="BJ121" i="39"/>
  <c r="BK121" i="39"/>
  <c r="AK121" i="39"/>
  <c r="BF121" i="39"/>
  <c r="AZ121" i="39"/>
  <c r="BA121" i="39"/>
  <c r="Z121" i="39"/>
  <c r="AC121" i="39"/>
  <c r="X121" i="39"/>
  <c r="AE121" i="39"/>
  <c r="Y121" i="39"/>
  <c r="AB121" i="39"/>
  <c r="AI121" i="39"/>
  <c r="AH121" i="39"/>
  <c r="AG121" i="39"/>
  <c r="AA121" i="39"/>
  <c r="AD121" i="39"/>
  <c r="AJ121" i="39"/>
  <c r="AF121" i="39"/>
  <c r="W121" i="39"/>
  <c r="V121" i="39"/>
  <c r="U121" i="39"/>
  <c r="T121" i="39"/>
  <c r="S121" i="39"/>
  <c r="R121" i="39"/>
  <c r="Q121" i="39"/>
  <c r="P121" i="39"/>
  <c r="O122" i="39"/>
  <c r="MK122" i="63"/>
  <c r="ML185" i="63"/>
  <c r="OI122" i="63"/>
  <c r="LL122" i="63"/>
  <c r="KM122" i="63"/>
  <c r="NJ122" i="63"/>
  <c r="PH122" i="63"/>
  <c r="KM183" i="63"/>
  <c r="KM182" i="63"/>
  <c r="KM184" i="63"/>
  <c r="KM178" i="63"/>
  <c r="LK174" i="63"/>
  <c r="KM179" i="63"/>
  <c r="KM175" i="63"/>
  <c r="KM177" i="63"/>
  <c r="KM176" i="63"/>
  <c r="KM185" i="63"/>
  <c r="KM181" i="63"/>
  <c r="KM180" i="63"/>
  <c r="IO238" i="63"/>
  <c r="IO239" i="63" s="1"/>
  <c r="IO240" i="63" s="1"/>
  <c r="IO241" i="63" s="1"/>
  <c r="IO242" i="63" s="1"/>
  <c r="IO243" i="63" s="1"/>
  <c r="IO244" i="63" s="1"/>
  <c r="IO245" i="63" s="1"/>
  <c r="IO246" i="63" s="1"/>
  <c r="IO247" i="63" s="1"/>
  <c r="IO248" i="63" s="1"/>
  <c r="IO249" i="63" s="1"/>
  <c r="IO250" i="63" s="1"/>
  <c r="IO251" i="63" s="1"/>
  <c r="IO252" i="63" s="1"/>
  <c r="IO253" i="63" s="1"/>
  <c r="IO254" i="63" s="1"/>
  <c r="IO255" i="63" s="1"/>
  <c r="IO256" i="63" s="1"/>
  <c r="IO257" i="63" s="1"/>
  <c r="IO258" i="63" s="1"/>
  <c r="JN237" i="63"/>
  <c r="PG121" i="63"/>
  <c r="PG117" i="63"/>
  <c r="PG115" i="63"/>
  <c r="PG114" i="63"/>
  <c r="PG113" i="63"/>
  <c r="PG112" i="63"/>
  <c r="PG111" i="63"/>
  <c r="PG122" i="63"/>
  <c r="PG118" i="63"/>
  <c r="PG116" i="63"/>
  <c r="PG120" i="63"/>
  <c r="PG119" i="63"/>
  <c r="MJ117" i="63"/>
  <c r="MJ122" i="63"/>
  <c r="MJ120" i="63"/>
  <c r="MJ114" i="63"/>
  <c r="MJ113" i="63"/>
  <c r="MJ111" i="63"/>
  <c r="MJ119" i="63"/>
  <c r="MJ121" i="63"/>
  <c r="MJ118" i="63"/>
  <c r="MJ116" i="63"/>
  <c r="MJ115" i="63"/>
  <c r="MJ112" i="63"/>
  <c r="NH110" i="63"/>
  <c r="OI183" i="63"/>
  <c r="OI181" i="63"/>
  <c r="OI182" i="63"/>
  <c r="OI177" i="63"/>
  <c r="OI185" i="63"/>
  <c r="OI178" i="63"/>
  <c r="OI180" i="63"/>
  <c r="OI184" i="63"/>
  <c r="OI176" i="63"/>
  <c r="OI175" i="63"/>
  <c r="PG174" i="63"/>
  <c r="OI179" i="63"/>
  <c r="PH185" i="63"/>
  <c r="PH182" i="63"/>
  <c r="PH181" i="63"/>
  <c r="PH180" i="63"/>
  <c r="PH179" i="63"/>
  <c r="PH178" i="63"/>
  <c r="PH177" i="63"/>
  <c r="PH176" i="63"/>
  <c r="PH175" i="63"/>
  <c r="PH184" i="63"/>
  <c r="PH183" i="63"/>
  <c r="KL122" i="63"/>
  <c r="KL121" i="63"/>
  <c r="KL120" i="63"/>
  <c r="KL119" i="63"/>
  <c r="KK111" i="63"/>
  <c r="KK112" i="63" s="1"/>
  <c r="KK113" i="63" s="1"/>
  <c r="KK114" i="63" s="1"/>
  <c r="KK115" i="63" s="1"/>
  <c r="KK116" i="63" s="1"/>
  <c r="KK117" i="63" s="1"/>
  <c r="KK118" i="63" s="1"/>
  <c r="KK119" i="63" s="1"/>
  <c r="KK120" i="63" s="1"/>
  <c r="KK121" i="63" s="1"/>
  <c r="KK122" i="63" s="1"/>
  <c r="KK123" i="63" s="1"/>
  <c r="KK124" i="63" s="1"/>
  <c r="KK125" i="63" s="1"/>
  <c r="KK126" i="63" s="1"/>
  <c r="KK127" i="63" s="1"/>
  <c r="KK128" i="63" s="1"/>
  <c r="KK129" i="63" s="1"/>
  <c r="KK130" i="63" s="1"/>
  <c r="KK131" i="63" s="1"/>
  <c r="LJ110" i="63"/>
  <c r="KL117" i="63"/>
  <c r="KL116" i="63"/>
  <c r="KL115" i="63"/>
  <c r="KL114" i="63"/>
  <c r="KL113" i="63"/>
  <c r="KL112" i="63"/>
  <c r="KL111" i="63"/>
  <c r="KL118" i="63"/>
  <c r="LK122" i="63"/>
  <c r="LK120" i="63"/>
  <c r="LK118" i="63"/>
  <c r="LK115" i="63"/>
  <c r="LK114" i="63"/>
  <c r="LK113" i="63"/>
  <c r="LK112" i="63"/>
  <c r="LK111" i="63"/>
  <c r="LK121" i="63"/>
  <c r="LK116" i="63"/>
  <c r="LK119" i="63"/>
  <c r="MI110" i="63"/>
  <c r="LK117" i="63"/>
  <c r="NI122" i="63"/>
  <c r="NI121" i="63"/>
  <c r="NI120" i="63"/>
  <c r="NI119" i="63"/>
  <c r="NI118" i="63"/>
  <c r="NI117" i="63"/>
  <c r="NI116" i="63"/>
  <c r="NI115" i="63"/>
  <c r="OG110" i="63"/>
  <c r="NI114" i="63"/>
  <c r="NI113" i="63"/>
  <c r="NI112" i="63"/>
  <c r="NI111" i="63"/>
  <c r="I186" i="63"/>
  <c r="AD185" i="63"/>
  <c r="AB185" i="63"/>
  <c r="BB185" i="63"/>
  <c r="AC185" i="63"/>
  <c r="BZ185" i="63"/>
  <c r="BA185" i="63"/>
  <c r="AZ185" i="63"/>
  <c r="AA185" i="63"/>
  <c r="AY185" i="63"/>
  <c r="Z185" i="63"/>
  <c r="CX185" i="63"/>
  <c r="BY185" i="63"/>
  <c r="BX185" i="63"/>
  <c r="Y185" i="63"/>
  <c r="CW185" i="63"/>
  <c r="DV185" i="63"/>
  <c r="CV185" i="63"/>
  <c r="AX185" i="63"/>
  <c r="BW185" i="63"/>
  <c r="CU185" i="63"/>
  <c r="X185" i="63"/>
  <c r="AW185" i="63"/>
  <c r="BV185" i="63"/>
  <c r="DU185" i="63"/>
  <c r="DT185" i="63"/>
  <c r="ET185" i="63"/>
  <c r="CT185" i="63"/>
  <c r="AV185" i="63"/>
  <c r="BU185" i="63"/>
  <c r="ES185" i="63"/>
  <c r="W185" i="63"/>
  <c r="FR185" i="63"/>
  <c r="ER185" i="63"/>
  <c r="DS185" i="63"/>
  <c r="GP185" i="63"/>
  <c r="FP185" i="63"/>
  <c r="BT185" i="63"/>
  <c r="FQ185" i="63"/>
  <c r="CS185" i="63"/>
  <c r="DR185" i="63"/>
  <c r="AU185" i="63"/>
  <c r="EQ185" i="63"/>
  <c r="V185" i="63"/>
  <c r="FO185" i="63"/>
  <c r="AT185" i="63"/>
  <c r="GN185" i="63"/>
  <c r="HN185" i="63"/>
  <c r="DQ185" i="63"/>
  <c r="BS185" i="63"/>
  <c r="EP185" i="63"/>
  <c r="U185" i="63"/>
  <c r="CR185" i="63"/>
  <c r="GO185" i="63"/>
  <c r="HL185" i="63"/>
  <c r="IL185" i="63"/>
  <c r="AS185" i="63"/>
  <c r="BR185" i="63"/>
  <c r="FN185" i="63"/>
  <c r="HM185" i="63"/>
  <c r="EO185" i="63"/>
  <c r="DP185" i="63"/>
  <c r="GM185" i="63"/>
  <c r="CQ185" i="63"/>
  <c r="T185" i="63"/>
  <c r="IK185" i="63"/>
  <c r="CP185" i="63"/>
  <c r="IJ185" i="63"/>
  <c r="AR185" i="63"/>
  <c r="GL185" i="63"/>
  <c r="BQ185" i="63"/>
  <c r="S185" i="63"/>
  <c r="FM185" i="63"/>
  <c r="HK185" i="63"/>
  <c r="EN185" i="63"/>
  <c r="DO185" i="63"/>
  <c r="JJ185" i="63"/>
  <c r="EM185" i="63"/>
  <c r="CO185" i="63"/>
  <c r="JH185" i="63"/>
  <c r="GK185" i="63"/>
  <c r="BP185" i="63"/>
  <c r="AQ185" i="63"/>
  <c r="FL185" i="63"/>
  <c r="HJ185" i="63"/>
  <c r="DN185" i="63"/>
  <c r="II185" i="63"/>
  <c r="R185" i="63"/>
  <c r="KH185" i="63"/>
  <c r="JI185" i="63"/>
  <c r="DM185" i="63"/>
  <c r="Q185" i="63"/>
  <c r="CN185" i="63"/>
  <c r="HI185" i="63"/>
  <c r="JG185" i="63"/>
  <c r="FK185" i="63"/>
  <c r="BO185" i="63"/>
  <c r="AP185" i="63"/>
  <c r="IH185" i="63"/>
  <c r="KF185" i="63"/>
  <c r="LF185" i="63"/>
  <c r="GJ185" i="63"/>
  <c r="KG185" i="63"/>
  <c r="EL185" i="63"/>
  <c r="BN185" i="63"/>
  <c r="EK185" i="63"/>
  <c r="LE185" i="63"/>
  <c r="DL185" i="63"/>
  <c r="IG185" i="63"/>
  <c r="CM185" i="63"/>
  <c r="AO185" i="63"/>
  <c r="LD185" i="63"/>
  <c r="P185" i="63"/>
  <c r="FJ185" i="63"/>
  <c r="KE185" i="63"/>
  <c r="JF185" i="63"/>
  <c r="GI185" i="63"/>
  <c r="MD185" i="63"/>
  <c r="HH185" i="63"/>
  <c r="DK185" i="63"/>
  <c r="JE185" i="63"/>
  <c r="BM185" i="63"/>
  <c r="MC185" i="63"/>
  <c r="KD185" i="63"/>
  <c r="MB185" i="63"/>
  <c r="GH185" i="63"/>
  <c r="EJ185" i="63"/>
  <c r="O185" i="63"/>
  <c r="CL185" i="63"/>
  <c r="AN185" i="63"/>
  <c r="NB185" i="63"/>
  <c r="LC185" i="63"/>
  <c r="FI185" i="63"/>
  <c r="HG185" i="63"/>
  <c r="IF185" i="63"/>
  <c r="IE185" i="63"/>
  <c r="DJ185" i="63"/>
  <c r="MZ185" i="63"/>
  <c r="CK185" i="63"/>
  <c r="GG185" i="63"/>
  <c r="NZ185" i="63"/>
  <c r="BL185" i="63"/>
  <c r="LB185" i="63"/>
  <c r="JD185" i="63"/>
  <c r="KC185" i="63"/>
  <c r="HF185" i="63"/>
  <c r="AM185" i="63"/>
  <c r="MA185" i="63"/>
  <c r="NA185" i="63"/>
  <c r="EI185" i="63"/>
  <c r="FH185" i="63"/>
  <c r="N185" i="63"/>
  <c r="BK185" i="63"/>
  <c r="ID185" i="63"/>
  <c r="GF185" i="63"/>
  <c r="NX185" i="63"/>
  <c r="HE185" i="63"/>
  <c r="AL185" i="63"/>
  <c r="M185" i="63"/>
  <c r="MY185" i="63"/>
  <c r="JC185" i="63"/>
  <c r="NY185" i="63"/>
  <c r="KB185" i="63"/>
  <c r="LZ185" i="63"/>
  <c r="LA185" i="63"/>
  <c r="CJ185" i="63"/>
  <c r="DI185" i="63"/>
  <c r="EH185" i="63"/>
  <c r="OX185" i="63"/>
  <c r="FG185" i="63"/>
  <c r="GE185" i="63"/>
  <c r="FF185" i="63"/>
  <c r="JB185" i="63"/>
  <c r="CI185" i="63"/>
  <c r="IC185" i="63"/>
  <c r="L185" i="63"/>
  <c r="OV185" i="63"/>
  <c r="LY185" i="63"/>
  <c r="EG185" i="63"/>
  <c r="KA185" i="63"/>
  <c r="BJ185" i="63"/>
  <c r="HD185" i="63"/>
  <c r="MX185" i="63"/>
  <c r="OW185" i="63"/>
  <c r="NW185" i="63"/>
  <c r="PV185" i="63"/>
  <c r="AK185" i="63"/>
  <c r="KZ185" i="63"/>
  <c r="DH185" i="63"/>
  <c r="GD185" i="63"/>
  <c r="LX185" i="63"/>
  <c r="MW185" i="63"/>
  <c r="NV185" i="63"/>
  <c r="PT185" i="63"/>
  <c r="K185" i="63"/>
  <c r="CH185" i="63"/>
  <c r="BI185" i="63"/>
  <c r="JZ185" i="63"/>
  <c r="PU185" i="63"/>
  <c r="JA185" i="63"/>
  <c r="HC185" i="63"/>
  <c r="EF185" i="63"/>
  <c r="FE185" i="63"/>
  <c r="DG185" i="63"/>
  <c r="KY185" i="63"/>
  <c r="OU185" i="63"/>
  <c r="IB185" i="63"/>
  <c r="AJ185" i="63"/>
  <c r="OT185" i="63"/>
  <c r="KX185" i="63"/>
  <c r="JY185" i="63"/>
  <c r="HB185" i="63"/>
  <c r="AI185" i="63"/>
  <c r="IA185" i="63"/>
  <c r="IZ185" i="63"/>
  <c r="DF185" i="63"/>
  <c r="BH185" i="63"/>
  <c r="LW185" i="63"/>
  <c r="MV185" i="63"/>
  <c r="GC185" i="63"/>
  <c r="CG185" i="63"/>
  <c r="PS185" i="63"/>
  <c r="J185" i="63"/>
  <c r="FD185" i="63"/>
  <c r="EE185" i="63"/>
  <c r="NU185" i="63"/>
  <c r="NT185" i="63"/>
  <c r="LV185" i="63"/>
  <c r="GB185" i="63"/>
  <c r="FC185" i="63"/>
  <c r="AH185" i="63"/>
  <c r="DE185" i="63"/>
  <c r="HA185" i="63"/>
  <c r="OS185" i="63"/>
  <c r="CF185" i="63"/>
  <c r="HZ185" i="63"/>
  <c r="KW185" i="63"/>
  <c r="JX185" i="63"/>
  <c r="ED185" i="63"/>
  <c r="BG185" i="63"/>
  <c r="MU185" i="63"/>
  <c r="PR185" i="63"/>
  <c r="IY185" i="63"/>
  <c r="GA185" i="63"/>
  <c r="IX185" i="63"/>
  <c r="BF185" i="63"/>
  <c r="CE185" i="63"/>
  <c r="PQ185" i="63"/>
  <c r="MT185" i="63"/>
  <c r="OR185" i="63"/>
  <c r="FB185" i="63"/>
  <c r="HY185" i="63"/>
  <c r="EC185" i="63"/>
  <c r="LU185" i="63"/>
  <c r="KV185" i="63"/>
  <c r="DD185" i="63"/>
  <c r="NS185" i="63"/>
  <c r="GZ185" i="63"/>
  <c r="JW185" i="63"/>
  <c r="LT185" i="63"/>
  <c r="FZ185" i="63"/>
  <c r="HX185" i="63"/>
  <c r="DC185" i="63"/>
  <c r="FA185" i="63"/>
  <c r="MS185" i="63"/>
  <c r="NR185" i="63"/>
  <c r="OQ185" i="63"/>
  <c r="IW185" i="63"/>
  <c r="KU185" i="63"/>
  <c r="EB185" i="63"/>
  <c r="PP185" i="63"/>
  <c r="JV185" i="63"/>
  <c r="GY185" i="63"/>
  <c r="CD185" i="63"/>
  <c r="GX185" i="63"/>
  <c r="OP185" i="63"/>
  <c r="MR185" i="63"/>
  <c r="DB185" i="63"/>
  <c r="LS185" i="63"/>
  <c r="EA185" i="63"/>
  <c r="EZ185" i="63"/>
  <c r="IV185" i="63"/>
  <c r="KT185" i="63"/>
  <c r="JU185" i="63"/>
  <c r="NQ185" i="63"/>
  <c r="FY185" i="63"/>
  <c r="HW185" i="63"/>
  <c r="PO185" i="63"/>
  <c r="PN185" i="63"/>
  <c r="KS185" i="63"/>
  <c r="JT185" i="63"/>
  <c r="MQ185" i="63"/>
  <c r="HV185" i="63"/>
  <c r="IU185" i="63"/>
  <c r="DZ185" i="63"/>
  <c r="EY185" i="63"/>
  <c r="OO185" i="63"/>
  <c r="GW185" i="63"/>
  <c r="NP185" i="63"/>
  <c r="FX185" i="63"/>
  <c r="LR185" i="63"/>
  <c r="MP185" i="63"/>
  <c r="ON185" i="63"/>
  <c r="KR185" i="63"/>
  <c r="JS185" i="63"/>
  <c r="PM185" i="63"/>
  <c r="FW185" i="63"/>
  <c r="IT185" i="63"/>
  <c r="GV185" i="63"/>
  <c r="NO185" i="63"/>
  <c r="HU185" i="63"/>
  <c r="EX185" i="63"/>
  <c r="LQ185" i="63"/>
  <c r="LP185" i="63"/>
  <c r="JR185" i="63"/>
  <c r="FV185" i="63"/>
  <c r="IS185" i="63"/>
  <c r="HT185" i="63"/>
  <c r="PL185" i="63"/>
  <c r="GU185" i="63"/>
  <c r="KQ185" i="63"/>
  <c r="NN185" i="63"/>
  <c r="OM185" i="63"/>
  <c r="MO185" i="63"/>
  <c r="LO185" i="63"/>
  <c r="GT185" i="63"/>
  <c r="NM185" i="63"/>
  <c r="PK185" i="63"/>
  <c r="JQ185" i="63"/>
  <c r="IR185" i="63"/>
  <c r="HS185" i="63"/>
  <c r="MN185" i="63"/>
  <c r="KP185" i="63"/>
  <c r="OL185" i="63"/>
  <c r="MM185" i="63"/>
  <c r="NL185" i="63"/>
  <c r="LN185" i="63"/>
  <c r="OK185" i="63"/>
  <c r="HR185" i="63"/>
  <c r="KO185" i="63"/>
  <c r="JP185" i="63"/>
  <c r="IQ185" i="63"/>
  <c r="PJ185" i="63"/>
  <c r="LL186" i="63"/>
  <c r="LL182" i="63"/>
  <c r="LL181" i="63"/>
  <c r="LL180" i="63"/>
  <c r="LL179" i="63"/>
  <c r="LL178" i="63"/>
  <c r="LL177" i="63"/>
  <c r="LL176" i="63"/>
  <c r="LL175" i="63"/>
  <c r="LL184" i="63"/>
  <c r="LL183" i="63"/>
  <c r="MJ174" i="63"/>
  <c r="LL185" i="63"/>
  <c r="MK185" i="63"/>
  <c r="MK184" i="63"/>
  <c r="MK181" i="63"/>
  <c r="MK179" i="63"/>
  <c r="MK175" i="63"/>
  <c r="MK183" i="63"/>
  <c r="MK180" i="63"/>
  <c r="MK176" i="63"/>
  <c r="NI174" i="63"/>
  <c r="MK178" i="63"/>
  <c r="MK177" i="63"/>
  <c r="MK182" i="63"/>
  <c r="LM185" i="63"/>
  <c r="OH122" i="63"/>
  <c r="OH121" i="63"/>
  <c r="OH120" i="63"/>
  <c r="OH118" i="63"/>
  <c r="OH117" i="63"/>
  <c r="PF110" i="63"/>
  <c r="OH119" i="63"/>
  <c r="OH115" i="63"/>
  <c r="OH114" i="63"/>
  <c r="OH113" i="63"/>
  <c r="OH112" i="63"/>
  <c r="OH111" i="63"/>
  <c r="OH116" i="63"/>
  <c r="JN186" i="63"/>
  <c r="JN185" i="63"/>
  <c r="JN184" i="63"/>
  <c r="JN183" i="63"/>
  <c r="JN182" i="63"/>
  <c r="JN179" i="63"/>
  <c r="JN175" i="63"/>
  <c r="JN181" i="63"/>
  <c r="JN180" i="63"/>
  <c r="JN176" i="63"/>
  <c r="JN178" i="63"/>
  <c r="KL174" i="63"/>
  <c r="JN177" i="63"/>
  <c r="JM175" i="63"/>
  <c r="JM176" i="63" s="1"/>
  <c r="JM177" i="63" s="1"/>
  <c r="JM178" i="63" s="1"/>
  <c r="JM179" i="63" s="1"/>
  <c r="JM180" i="63" s="1"/>
  <c r="JM181" i="63" s="1"/>
  <c r="JM182" i="63" s="1"/>
  <c r="JM183" i="63" s="1"/>
  <c r="JM184" i="63" s="1"/>
  <c r="JM185" i="63" s="1"/>
  <c r="JM186" i="63" s="1"/>
  <c r="JM187" i="63" s="1"/>
  <c r="JM188" i="63" s="1"/>
  <c r="JM189" i="63" s="1"/>
  <c r="JM190" i="63" s="1"/>
  <c r="JM191" i="63" s="1"/>
  <c r="JM192" i="63" s="1"/>
  <c r="JM193" i="63" s="1"/>
  <c r="JM194" i="63" s="1"/>
  <c r="JM195" i="63" s="1"/>
  <c r="I123" i="63"/>
  <c r="LK123" i="63" s="1"/>
  <c r="AD122" i="63"/>
  <c r="AC122" i="63"/>
  <c r="BB122" i="63"/>
  <c r="AB122" i="63"/>
  <c r="BZ122" i="63"/>
  <c r="AZ122" i="63"/>
  <c r="AA122" i="63"/>
  <c r="BA122" i="63"/>
  <c r="BY122" i="63"/>
  <c r="AY122" i="63"/>
  <c r="CX122" i="63"/>
  <c r="Z122" i="63"/>
  <c r="BX122" i="63"/>
  <c r="Y122" i="63"/>
  <c r="DV122" i="63"/>
  <c r="AX122" i="63"/>
  <c r="CW122" i="63"/>
  <c r="CV122" i="63"/>
  <c r="BW122" i="63"/>
  <c r="BV122" i="63"/>
  <c r="CU122" i="63"/>
  <c r="DU122" i="63"/>
  <c r="AW122" i="63"/>
  <c r="X122" i="63"/>
  <c r="ET122" i="63"/>
  <c r="DT122" i="63"/>
  <c r="BU122" i="63"/>
  <c r="ES122" i="63"/>
  <c r="ER122" i="63"/>
  <c r="DS122" i="63"/>
  <c r="AV122" i="63"/>
  <c r="W122" i="63"/>
  <c r="FR122" i="63"/>
  <c r="CT122" i="63"/>
  <c r="EQ122" i="63"/>
  <c r="V122" i="63"/>
  <c r="DR122" i="63"/>
  <c r="GP122" i="63"/>
  <c r="FP122" i="63"/>
  <c r="CS122" i="63"/>
  <c r="AU122" i="63"/>
  <c r="FQ122" i="63"/>
  <c r="BT122" i="63"/>
  <c r="FO122" i="63"/>
  <c r="U122" i="63"/>
  <c r="DQ122" i="63"/>
  <c r="EP122" i="63"/>
  <c r="GO122" i="63"/>
  <c r="AT122" i="63"/>
  <c r="HN122" i="63"/>
  <c r="BS122" i="63"/>
  <c r="GN122" i="63"/>
  <c r="CR122" i="63"/>
  <c r="BR122" i="63"/>
  <c r="T122" i="63"/>
  <c r="CQ122" i="63"/>
  <c r="AS122" i="63"/>
  <c r="DP122" i="63"/>
  <c r="GM122" i="63"/>
  <c r="HL122" i="63"/>
  <c r="FN122" i="63"/>
  <c r="EO122" i="63"/>
  <c r="HM122" i="63"/>
  <c r="IL122" i="63"/>
  <c r="DO122" i="63"/>
  <c r="CP122" i="63"/>
  <c r="GL122" i="63"/>
  <c r="BQ122" i="63"/>
  <c r="EN122" i="63"/>
  <c r="AR122" i="63"/>
  <c r="HK122" i="63"/>
  <c r="FM122" i="63"/>
  <c r="IK122" i="63"/>
  <c r="S122" i="63"/>
  <c r="JJ122" i="63"/>
  <c r="IJ122" i="63"/>
  <c r="DN122" i="63"/>
  <c r="EM122" i="63"/>
  <c r="AQ122" i="63"/>
  <c r="FL122" i="63"/>
  <c r="II122" i="63"/>
  <c r="BP122" i="63"/>
  <c r="KH122" i="63"/>
  <c r="R122" i="63"/>
  <c r="JH122" i="63"/>
  <c r="GK122" i="63"/>
  <c r="HJ122" i="63"/>
  <c r="JI122" i="63"/>
  <c r="CO122" i="63"/>
  <c r="BO122" i="63"/>
  <c r="DM122" i="63"/>
  <c r="AP122" i="63"/>
  <c r="IH122" i="63"/>
  <c r="LF122" i="63"/>
  <c r="EL122" i="63"/>
  <c r="HI122" i="63"/>
  <c r="KF122" i="63"/>
  <c r="JG122" i="63"/>
  <c r="Q122" i="63"/>
  <c r="CN122" i="63"/>
  <c r="FK122" i="63"/>
  <c r="KG122" i="63"/>
  <c r="GJ122" i="63"/>
  <c r="IG122" i="63"/>
  <c r="P122" i="63"/>
  <c r="FJ122" i="63"/>
  <c r="MD122" i="63"/>
  <c r="BN122" i="63"/>
  <c r="AO122" i="63"/>
  <c r="EK122" i="63"/>
  <c r="LE122" i="63"/>
  <c r="GI122" i="63"/>
  <c r="HH122" i="63"/>
  <c r="CM122" i="63"/>
  <c r="LD122" i="63"/>
  <c r="DL122" i="63"/>
  <c r="JF122" i="63"/>
  <c r="KE122" i="63"/>
  <c r="NB122" i="63"/>
  <c r="DK122" i="63"/>
  <c r="HG122" i="63"/>
  <c r="EJ122" i="63"/>
  <c r="KD122" i="63"/>
  <c r="BM122" i="63"/>
  <c r="MC122" i="63"/>
  <c r="IF122" i="63"/>
  <c r="LC122" i="63"/>
  <c r="JE122" i="63"/>
  <c r="GH122" i="63"/>
  <c r="AN122" i="63"/>
  <c r="CL122" i="63"/>
  <c r="MB122" i="63"/>
  <c r="FI122" i="63"/>
  <c r="O122" i="63"/>
  <c r="N122" i="63"/>
  <c r="CK122" i="63"/>
  <c r="KC122" i="63"/>
  <c r="EI122" i="63"/>
  <c r="MA122" i="63"/>
  <c r="MZ122" i="63"/>
  <c r="NZ122" i="63"/>
  <c r="JD122" i="63"/>
  <c r="BL122" i="63"/>
  <c r="DJ122" i="63"/>
  <c r="NA122" i="63"/>
  <c r="IE122" i="63"/>
  <c r="LB122" i="63"/>
  <c r="FH122" i="63"/>
  <c r="GG122" i="63"/>
  <c r="AM122" i="63"/>
  <c r="HF122" i="63"/>
  <c r="JC122" i="63"/>
  <c r="LA122" i="63"/>
  <c r="DI122" i="63"/>
  <c r="HE122" i="63"/>
  <c r="BK122" i="63"/>
  <c r="NY122" i="63"/>
  <c r="ID122" i="63"/>
  <c r="MY122" i="63"/>
  <c r="LZ122" i="63"/>
  <c r="CJ122" i="63"/>
  <c r="NX122" i="63"/>
  <c r="FG122" i="63"/>
  <c r="M122" i="63"/>
  <c r="AL122" i="63"/>
  <c r="GF122" i="63"/>
  <c r="EH122" i="63"/>
  <c r="OX122" i="63"/>
  <c r="KB122" i="63"/>
  <c r="GE122" i="63"/>
  <c r="OW122" i="63"/>
  <c r="L122" i="63"/>
  <c r="IC122" i="63"/>
  <c r="KA122" i="63"/>
  <c r="EG122" i="63"/>
  <c r="KZ122" i="63"/>
  <c r="FF122" i="63"/>
  <c r="MX122" i="63"/>
  <c r="CI122" i="63"/>
  <c r="OV122" i="63"/>
  <c r="DH122" i="63"/>
  <c r="LY122" i="63"/>
  <c r="AK122" i="63"/>
  <c r="JB122" i="63"/>
  <c r="PV122" i="63"/>
  <c r="BJ122" i="63"/>
  <c r="NW122" i="63"/>
  <c r="HD122" i="63"/>
  <c r="AJ122" i="63"/>
  <c r="MW122" i="63"/>
  <c r="KY122" i="63"/>
  <c r="NV122" i="63"/>
  <c r="JZ122" i="63"/>
  <c r="LX122" i="63"/>
  <c r="EF122" i="63"/>
  <c r="GD122" i="63"/>
  <c r="PT122" i="63"/>
  <c r="PU122" i="63"/>
  <c r="DG122" i="63"/>
  <c r="FE122" i="63"/>
  <c r="JA122" i="63"/>
  <c r="K122" i="63"/>
  <c r="HC122" i="63"/>
  <c r="IB122" i="63"/>
  <c r="BI122" i="63"/>
  <c r="OU122" i="63"/>
  <c r="CH122" i="63"/>
  <c r="MV122" i="63"/>
  <c r="JY122" i="63"/>
  <c r="BH122" i="63"/>
  <c r="GC122" i="63"/>
  <c r="EE122" i="63"/>
  <c r="J122" i="63"/>
  <c r="LW122" i="63"/>
  <c r="FD122" i="63"/>
  <c r="HB122" i="63"/>
  <c r="DF122" i="63"/>
  <c r="AI122" i="63"/>
  <c r="KX122" i="63"/>
  <c r="CG122" i="63"/>
  <c r="IZ122" i="63"/>
  <c r="IA122" i="63"/>
  <c r="OT122" i="63"/>
  <c r="NU122" i="63"/>
  <c r="PS122" i="63"/>
  <c r="GB122" i="63"/>
  <c r="FC122" i="63"/>
  <c r="HZ122" i="63"/>
  <c r="OS122" i="63"/>
  <c r="NT122" i="63"/>
  <c r="BG122" i="63"/>
  <c r="HA122" i="63"/>
  <c r="CF122" i="63"/>
  <c r="PR122" i="63"/>
  <c r="DE122" i="63"/>
  <c r="ED122" i="63"/>
  <c r="MU122" i="63"/>
  <c r="KW122" i="63"/>
  <c r="IY122" i="63"/>
  <c r="JX122" i="63"/>
  <c r="LV122" i="63"/>
  <c r="AH122" i="63"/>
  <c r="MT122" i="63"/>
  <c r="KV122" i="63"/>
  <c r="BF122" i="63"/>
  <c r="OR122" i="63"/>
  <c r="HY122" i="63"/>
  <c r="CE122" i="63"/>
  <c r="DD122" i="63"/>
  <c r="IX122" i="63"/>
  <c r="JW122" i="63"/>
  <c r="LU122" i="63"/>
  <c r="PQ122" i="63"/>
  <c r="GA122" i="63"/>
  <c r="GZ122" i="63"/>
  <c r="EC122" i="63"/>
  <c r="NS122" i="63"/>
  <c r="FB122" i="63"/>
  <c r="OQ122" i="63"/>
  <c r="KU122" i="63"/>
  <c r="LT122" i="63"/>
  <c r="JV122" i="63"/>
  <c r="IW122" i="63"/>
  <c r="EB122" i="63"/>
  <c r="MS122" i="63"/>
  <c r="GY122" i="63"/>
  <c r="NR122" i="63"/>
  <c r="CD122" i="63"/>
  <c r="DC122" i="63"/>
  <c r="HX122" i="63"/>
  <c r="PP122" i="63"/>
  <c r="FZ122" i="63"/>
  <c r="FA122" i="63"/>
  <c r="OP122" i="63"/>
  <c r="FY122" i="63"/>
  <c r="MR122" i="63"/>
  <c r="PO122" i="63"/>
  <c r="GX122" i="63"/>
  <c r="EZ122" i="63"/>
  <c r="NQ122" i="63"/>
  <c r="IV122" i="63"/>
  <c r="EA122" i="63"/>
  <c r="KT122" i="63"/>
  <c r="LS122" i="63"/>
  <c r="DB122" i="63"/>
  <c r="JU122" i="63"/>
  <c r="HW122" i="63"/>
  <c r="GW122" i="63"/>
  <c r="PN122" i="63"/>
  <c r="HV122" i="63"/>
  <c r="MQ122" i="63"/>
  <c r="NP122" i="63"/>
  <c r="EY122" i="63"/>
  <c r="LR122" i="63"/>
  <c r="DZ122" i="63"/>
  <c r="IU122" i="63"/>
  <c r="FX122" i="63"/>
  <c r="OO122" i="63"/>
  <c r="KS122" i="63"/>
  <c r="JT122" i="63"/>
  <c r="PM122" i="63"/>
  <c r="HU122" i="63"/>
  <c r="MP122" i="63"/>
  <c r="NO122" i="63"/>
  <c r="KR122" i="63"/>
  <c r="LQ122" i="63"/>
  <c r="ON122" i="63"/>
  <c r="EX122" i="63"/>
  <c r="FW122" i="63"/>
  <c r="GV122" i="63"/>
  <c r="IT122" i="63"/>
  <c r="JS122" i="63"/>
  <c r="KQ122" i="63"/>
  <c r="NN122" i="63"/>
  <c r="FV122" i="63"/>
  <c r="IS122" i="63"/>
  <c r="GU122" i="63"/>
  <c r="MO122" i="63"/>
  <c r="LP122" i="63"/>
  <c r="HT122" i="63"/>
  <c r="OM122" i="63"/>
  <c r="PL122" i="63"/>
  <c r="JR122" i="63"/>
  <c r="JQ122" i="63"/>
  <c r="OL122" i="63"/>
  <c r="IR122" i="63"/>
  <c r="KP122" i="63"/>
  <c r="GT122" i="63"/>
  <c r="PK122" i="63"/>
  <c r="NM122" i="63"/>
  <c r="LO122" i="63"/>
  <c r="HS122" i="63"/>
  <c r="MN122" i="63"/>
  <c r="MM122" i="63"/>
  <c r="OK122" i="63"/>
  <c r="IQ122" i="63"/>
  <c r="JP122" i="63"/>
  <c r="HR122" i="63"/>
  <c r="LN122" i="63"/>
  <c r="PJ122" i="63"/>
  <c r="KO122" i="63"/>
  <c r="NL122" i="63"/>
  <c r="OJ122" i="63"/>
  <c r="ML122" i="63"/>
  <c r="IP122" i="63"/>
  <c r="PI122" i="63"/>
  <c r="JO122" i="63"/>
  <c r="KN122" i="63"/>
  <c r="NK122" i="63"/>
  <c r="LM122" i="63"/>
  <c r="OJ185" i="63"/>
  <c r="NJ185" i="63"/>
  <c r="NJ184" i="63"/>
  <c r="NJ183" i="63"/>
  <c r="NJ182" i="63"/>
  <c r="NJ178" i="63"/>
  <c r="NJ181" i="63"/>
  <c r="NJ179" i="63"/>
  <c r="NJ175" i="63"/>
  <c r="OH174" i="63"/>
  <c r="NJ180" i="63"/>
  <c r="NJ176" i="63"/>
  <c r="NJ177" i="63"/>
  <c r="AH108" i="39"/>
  <c r="R166" i="65" l="1"/>
  <c r="Q15" i="65"/>
  <c r="Q19" i="65" s="1"/>
  <c r="Q23" i="65" s="1"/>
  <c r="Q110" i="65" s="1"/>
  <c r="P15" i="65"/>
  <c r="P19" i="65" s="1"/>
  <c r="P23" i="65" s="1"/>
  <c r="P110" i="65" s="1"/>
  <c r="S221" i="65"/>
  <c r="BN178" i="39"/>
  <c r="BC178" i="39"/>
  <c r="BE178" i="39"/>
  <c r="BH178" i="39"/>
  <c r="BI178" i="39"/>
  <c r="BM178" i="39"/>
  <c r="AS178" i="39"/>
  <c r="AW178" i="39"/>
  <c r="BG178" i="39"/>
  <c r="AN178" i="39"/>
  <c r="BB178" i="39"/>
  <c r="AZ178" i="39"/>
  <c r="AL178" i="39"/>
  <c r="AK178" i="39"/>
  <c r="AO178" i="39"/>
  <c r="BD178" i="39"/>
  <c r="AP178" i="39"/>
  <c r="AR178" i="39"/>
  <c r="BK178" i="39"/>
  <c r="BF178" i="39"/>
  <c r="AT178" i="39"/>
  <c r="AU178" i="39"/>
  <c r="AM178" i="39"/>
  <c r="BJ178" i="39"/>
  <c r="BA178" i="39"/>
  <c r="AQ178" i="39"/>
  <c r="AX178" i="39"/>
  <c r="BL178" i="39"/>
  <c r="AV178" i="39"/>
  <c r="AY178" i="39"/>
  <c r="AE178" i="39"/>
  <c r="AB178" i="39"/>
  <c r="W178" i="39"/>
  <c r="AD178" i="39"/>
  <c r="X178" i="39"/>
  <c r="AJ178" i="39"/>
  <c r="AH178" i="39"/>
  <c r="Y178" i="39"/>
  <c r="AG178" i="39"/>
  <c r="AF178" i="39"/>
  <c r="AI178" i="39"/>
  <c r="AA178" i="39"/>
  <c r="AC178" i="39"/>
  <c r="Z178" i="39"/>
  <c r="V178" i="39"/>
  <c r="U178" i="39"/>
  <c r="T178" i="39"/>
  <c r="S178" i="39"/>
  <c r="R178" i="39"/>
  <c r="Q178" i="39"/>
  <c r="P178" i="39"/>
  <c r="O179" i="39"/>
  <c r="BN122" i="39"/>
  <c r="AQ122" i="39"/>
  <c r="BL122" i="39"/>
  <c r="BD122" i="39"/>
  <c r="AX122" i="39"/>
  <c r="AW122" i="39"/>
  <c r="BE122" i="39"/>
  <c r="BG122" i="39"/>
  <c r="AV122" i="39"/>
  <c r="AP122" i="39"/>
  <c r="AR122" i="39"/>
  <c r="BI122" i="39"/>
  <c r="AT122" i="39"/>
  <c r="BK122" i="39"/>
  <c r="AZ122" i="39"/>
  <c r="BF122" i="39"/>
  <c r="AS122" i="39"/>
  <c r="BH122" i="39"/>
  <c r="BB122" i="39"/>
  <c r="AM122" i="39"/>
  <c r="AO122" i="39"/>
  <c r="BM122" i="39"/>
  <c r="BC122" i="39"/>
  <c r="AU122" i="39"/>
  <c r="AL122" i="39"/>
  <c r="BA122" i="39"/>
  <c r="AY122" i="39"/>
  <c r="AK122" i="39"/>
  <c r="BJ122" i="39"/>
  <c r="AN122" i="39"/>
  <c r="X122" i="39"/>
  <c r="Z122" i="39"/>
  <c r="Y122" i="39"/>
  <c r="AC122" i="39"/>
  <c r="AI122" i="39"/>
  <c r="AB122" i="39"/>
  <c r="AE122" i="39"/>
  <c r="AH122" i="39"/>
  <c r="AJ122" i="39"/>
  <c r="AF122" i="39"/>
  <c r="AA122" i="39"/>
  <c r="AD122" i="39"/>
  <c r="AG122" i="39"/>
  <c r="W122" i="39"/>
  <c r="V122" i="39"/>
  <c r="U122" i="39"/>
  <c r="T122" i="39"/>
  <c r="S122" i="39"/>
  <c r="R122" i="39"/>
  <c r="Q122" i="39"/>
  <c r="P122" i="39"/>
  <c r="O123" i="39"/>
  <c r="MJ123" i="63"/>
  <c r="NI123" i="63"/>
  <c r="OH123" i="63"/>
  <c r="NH123" i="63"/>
  <c r="NH122" i="63"/>
  <c r="NH121" i="63"/>
  <c r="NH120" i="63"/>
  <c r="NH116" i="63"/>
  <c r="OF110" i="63"/>
  <c r="NH119" i="63"/>
  <c r="NH117" i="63"/>
  <c r="NH115" i="63"/>
  <c r="NH114" i="63"/>
  <c r="NH113" i="63"/>
  <c r="NH112" i="63"/>
  <c r="NH111" i="63"/>
  <c r="NH118" i="63"/>
  <c r="I187" i="63"/>
  <c r="NI187" i="63" s="1"/>
  <c r="AD186" i="63"/>
  <c r="AC186" i="63"/>
  <c r="AB186" i="63"/>
  <c r="BB186" i="63"/>
  <c r="BZ186" i="63"/>
  <c r="AZ186" i="63"/>
  <c r="BA186" i="63"/>
  <c r="AA186" i="63"/>
  <c r="Z186" i="63"/>
  <c r="AY186" i="63"/>
  <c r="BY186" i="63"/>
  <c r="BX186" i="63"/>
  <c r="CX186" i="63"/>
  <c r="AX186" i="63"/>
  <c r="BW186" i="63"/>
  <c r="DV186" i="63"/>
  <c r="CW186" i="63"/>
  <c r="Y186" i="63"/>
  <c r="CV186" i="63"/>
  <c r="DT186" i="63"/>
  <c r="BV186" i="63"/>
  <c r="DU186" i="63"/>
  <c r="ET186" i="63"/>
  <c r="AW186" i="63"/>
  <c r="X186" i="63"/>
  <c r="CU186" i="63"/>
  <c r="DS186" i="63"/>
  <c r="AV186" i="63"/>
  <c r="BU186" i="63"/>
  <c r="W186" i="63"/>
  <c r="FR186" i="63"/>
  <c r="ES186" i="63"/>
  <c r="CT186" i="63"/>
  <c r="ER186" i="63"/>
  <c r="CS186" i="63"/>
  <c r="DR186" i="63"/>
  <c r="FP186" i="63"/>
  <c r="EQ186" i="63"/>
  <c r="FQ186" i="63"/>
  <c r="AU186" i="63"/>
  <c r="GP186" i="63"/>
  <c r="BT186" i="63"/>
  <c r="V186" i="63"/>
  <c r="DQ186" i="63"/>
  <c r="EP186" i="63"/>
  <c r="U186" i="63"/>
  <c r="FO186" i="63"/>
  <c r="GO186" i="63"/>
  <c r="AT186" i="63"/>
  <c r="BS186" i="63"/>
  <c r="CR186" i="63"/>
  <c r="GN186" i="63"/>
  <c r="HN186" i="63"/>
  <c r="HM186" i="63"/>
  <c r="CQ186" i="63"/>
  <c r="GM186" i="63"/>
  <c r="T186" i="63"/>
  <c r="HL186" i="63"/>
  <c r="IL186" i="63"/>
  <c r="BR186" i="63"/>
  <c r="EO186" i="63"/>
  <c r="AS186" i="63"/>
  <c r="FN186" i="63"/>
  <c r="DP186" i="63"/>
  <c r="IK186" i="63"/>
  <c r="BQ186" i="63"/>
  <c r="FM186" i="63"/>
  <c r="GL186" i="63"/>
  <c r="IJ186" i="63"/>
  <c r="JJ186" i="63"/>
  <c r="CP186" i="63"/>
  <c r="S186" i="63"/>
  <c r="AR186" i="63"/>
  <c r="HK186" i="63"/>
  <c r="EN186" i="63"/>
  <c r="DO186" i="63"/>
  <c r="GK186" i="63"/>
  <c r="R186" i="63"/>
  <c r="BP186" i="63"/>
  <c r="FL186" i="63"/>
  <c r="DN186" i="63"/>
  <c r="II186" i="63"/>
  <c r="JH186" i="63"/>
  <c r="KH186" i="63"/>
  <c r="EM186" i="63"/>
  <c r="CO186" i="63"/>
  <c r="JI186" i="63"/>
  <c r="AQ186" i="63"/>
  <c r="HJ186" i="63"/>
  <c r="DM186" i="63"/>
  <c r="BO186" i="63"/>
  <c r="KF186" i="63"/>
  <c r="FK186" i="63"/>
  <c r="EL186" i="63"/>
  <c r="LF186" i="63"/>
  <c r="IH186" i="63"/>
  <c r="Q186" i="63"/>
  <c r="KG186" i="63"/>
  <c r="GJ186" i="63"/>
  <c r="JG186" i="63"/>
  <c r="AP186" i="63"/>
  <c r="CN186" i="63"/>
  <c r="HI186" i="63"/>
  <c r="LD186" i="63"/>
  <c r="P186" i="63"/>
  <c r="FJ186" i="63"/>
  <c r="BN186" i="63"/>
  <c r="JF186" i="63"/>
  <c r="LE186" i="63"/>
  <c r="EK186" i="63"/>
  <c r="MD186" i="63"/>
  <c r="GI186" i="63"/>
  <c r="DL186" i="63"/>
  <c r="KE186" i="63"/>
  <c r="HH186" i="63"/>
  <c r="IG186" i="63"/>
  <c r="CM186" i="63"/>
  <c r="AO186" i="63"/>
  <c r="NB186" i="63"/>
  <c r="HG186" i="63"/>
  <c r="MC186" i="63"/>
  <c r="IF186" i="63"/>
  <c r="CL186" i="63"/>
  <c r="AN186" i="63"/>
  <c r="EJ186" i="63"/>
  <c r="JE186" i="63"/>
  <c r="BM186" i="63"/>
  <c r="MB186" i="63"/>
  <c r="O186" i="63"/>
  <c r="KD186" i="63"/>
  <c r="GH186" i="63"/>
  <c r="DK186" i="63"/>
  <c r="LC186" i="63"/>
  <c r="FI186" i="63"/>
  <c r="EI186" i="63"/>
  <c r="NZ186" i="63"/>
  <c r="BL186" i="63"/>
  <c r="N186" i="63"/>
  <c r="KC186" i="63"/>
  <c r="CK186" i="63"/>
  <c r="NA186" i="63"/>
  <c r="GG186" i="63"/>
  <c r="JD186" i="63"/>
  <c r="LB186" i="63"/>
  <c r="FH186" i="63"/>
  <c r="AM186" i="63"/>
  <c r="DJ186" i="63"/>
  <c r="HF186" i="63"/>
  <c r="IE186" i="63"/>
  <c r="MZ186" i="63"/>
  <c r="MA186" i="63"/>
  <c r="CJ186" i="63"/>
  <c r="DI186" i="63"/>
  <c r="LZ186" i="63"/>
  <c r="HE186" i="63"/>
  <c r="OX186" i="63"/>
  <c r="BK186" i="63"/>
  <c r="GF186" i="63"/>
  <c r="MY186" i="63"/>
  <c r="M186" i="63"/>
  <c r="NY186" i="63"/>
  <c r="EH186" i="63"/>
  <c r="ID186" i="63"/>
  <c r="LA186" i="63"/>
  <c r="NX186" i="63"/>
  <c r="JC186" i="63"/>
  <c r="AL186" i="63"/>
  <c r="KB186" i="63"/>
  <c r="FG186" i="63"/>
  <c r="KA186" i="63"/>
  <c r="IC186" i="63"/>
  <c r="PV186" i="63"/>
  <c r="OW186" i="63"/>
  <c r="FF186" i="63"/>
  <c r="JB186" i="63"/>
  <c r="EG186" i="63"/>
  <c r="GE186" i="63"/>
  <c r="CI186" i="63"/>
  <c r="L186" i="63"/>
  <c r="MX186" i="63"/>
  <c r="AK186" i="63"/>
  <c r="OV186" i="63"/>
  <c r="LY186" i="63"/>
  <c r="KZ186" i="63"/>
  <c r="DH186" i="63"/>
  <c r="BJ186" i="63"/>
  <c r="HD186" i="63"/>
  <c r="NW186" i="63"/>
  <c r="MW186" i="63"/>
  <c r="BI186" i="63"/>
  <c r="NV186" i="63"/>
  <c r="IB186" i="63"/>
  <c r="HC186" i="63"/>
  <c r="AJ186" i="63"/>
  <c r="PU186" i="63"/>
  <c r="OU186" i="63"/>
  <c r="LX186" i="63"/>
  <c r="JA186" i="63"/>
  <c r="JZ186" i="63"/>
  <c r="K186" i="63"/>
  <c r="KY186" i="63"/>
  <c r="PT186" i="63"/>
  <c r="EF186" i="63"/>
  <c r="DG186" i="63"/>
  <c r="GD186" i="63"/>
  <c r="CH186" i="63"/>
  <c r="FE186" i="63"/>
  <c r="EE186" i="63"/>
  <c r="KX186" i="63"/>
  <c r="IZ186" i="63"/>
  <c r="J186" i="63"/>
  <c r="BH186" i="63"/>
  <c r="NU186" i="63"/>
  <c r="OT186" i="63"/>
  <c r="PS186" i="63"/>
  <c r="MV186" i="63"/>
  <c r="FD186" i="63"/>
  <c r="JY186" i="63"/>
  <c r="LW186" i="63"/>
  <c r="AI186" i="63"/>
  <c r="IA186" i="63"/>
  <c r="CG186" i="63"/>
  <c r="DF186" i="63"/>
  <c r="HB186" i="63"/>
  <c r="GC186" i="63"/>
  <c r="OS186" i="63"/>
  <c r="AH186" i="63"/>
  <c r="IY186" i="63"/>
  <c r="MU186" i="63"/>
  <c r="CF186" i="63"/>
  <c r="HZ186" i="63"/>
  <c r="FC186" i="63"/>
  <c r="NT186" i="63"/>
  <c r="ED186" i="63"/>
  <c r="PR186" i="63"/>
  <c r="HA186" i="63"/>
  <c r="BG186" i="63"/>
  <c r="GB186" i="63"/>
  <c r="JX186" i="63"/>
  <c r="KW186" i="63"/>
  <c r="LV186" i="63"/>
  <c r="DE186" i="63"/>
  <c r="LU186" i="63"/>
  <c r="NS186" i="63"/>
  <c r="OR186" i="63"/>
  <c r="JW186" i="63"/>
  <c r="EC186" i="63"/>
  <c r="KV186" i="63"/>
  <c r="GA186" i="63"/>
  <c r="GZ186" i="63"/>
  <c r="IX186" i="63"/>
  <c r="HY186" i="63"/>
  <c r="FB186" i="63"/>
  <c r="BF186" i="63"/>
  <c r="CE186" i="63"/>
  <c r="PQ186" i="63"/>
  <c r="DD186" i="63"/>
  <c r="MT186" i="63"/>
  <c r="DC186" i="63"/>
  <c r="PP186" i="63"/>
  <c r="FZ186" i="63"/>
  <c r="GY186" i="63"/>
  <c r="NR186" i="63"/>
  <c r="OQ186" i="63"/>
  <c r="LT186" i="63"/>
  <c r="FA186" i="63"/>
  <c r="JV186" i="63"/>
  <c r="IW186" i="63"/>
  <c r="CD186" i="63"/>
  <c r="KU186" i="63"/>
  <c r="HX186" i="63"/>
  <c r="EB186" i="63"/>
  <c r="MS186" i="63"/>
  <c r="PO186" i="63"/>
  <c r="KT186" i="63"/>
  <c r="GX186" i="63"/>
  <c r="NQ186" i="63"/>
  <c r="EZ186" i="63"/>
  <c r="OP186" i="63"/>
  <c r="FY186" i="63"/>
  <c r="EA186" i="63"/>
  <c r="MR186" i="63"/>
  <c r="IV186" i="63"/>
  <c r="JU186" i="63"/>
  <c r="DB186" i="63"/>
  <c r="LS186" i="63"/>
  <c r="HW186" i="63"/>
  <c r="HV186" i="63"/>
  <c r="IU186" i="63"/>
  <c r="JT186" i="63"/>
  <c r="DZ186" i="63"/>
  <c r="OO186" i="63"/>
  <c r="GW186" i="63"/>
  <c r="KS186" i="63"/>
  <c r="FX186" i="63"/>
  <c r="LR186" i="63"/>
  <c r="MQ186" i="63"/>
  <c r="PN186" i="63"/>
  <c r="EY186" i="63"/>
  <c r="NP186" i="63"/>
  <c r="NO186" i="63"/>
  <c r="MP186" i="63"/>
  <c r="HU186" i="63"/>
  <c r="PM186" i="63"/>
  <c r="EX186" i="63"/>
  <c r="ON186" i="63"/>
  <c r="KR186" i="63"/>
  <c r="FW186" i="63"/>
  <c r="IT186" i="63"/>
  <c r="JS186" i="63"/>
  <c r="GV186" i="63"/>
  <c r="LQ186" i="63"/>
  <c r="OM186" i="63"/>
  <c r="PL186" i="63"/>
  <c r="GU186" i="63"/>
  <c r="KQ186" i="63"/>
  <c r="IS186" i="63"/>
  <c r="LP186" i="63"/>
  <c r="MO186" i="63"/>
  <c r="HT186" i="63"/>
  <c r="JR186" i="63"/>
  <c r="FV186" i="63"/>
  <c r="NN186" i="63"/>
  <c r="JQ186" i="63"/>
  <c r="GT186" i="63"/>
  <c r="LO186" i="63"/>
  <c r="KP186" i="63"/>
  <c r="HS186" i="63"/>
  <c r="PK186" i="63"/>
  <c r="IR186" i="63"/>
  <c r="MN186" i="63"/>
  <c r="OL186" i="63"/>
  <c r="NM186" i="63"/>
  <c r="HR186" i="63"/>
  <c r="NL186" i="63"/>
  <c r="JP186" i="63"/>
  <c r="IQ186" i="63"/>
  <c r="OK186" i="63"/>
  <c r="MM186" i="63"/>
  <c r="PJ186" i="63"/>
  <c r="KO186" i="63"/>
  <c r="LN186" i="63"/>
  <c r="PI186" i="63"/>
  <c r="JO186" i="63"/>
  <c r="ML186" i="63"/>
  <c r="KN186" i="63"/>
  <c r="NK186" i="63"/>
  <c r="LM186" i="63"/>
  <c r="OJ186" i="63"/>
  <c r="IP186" i="63"/>
  <c r="I124" i="63"/>
  <c r="PF124" i="63" s="1"/>
  <c r="AD123" i="63"/>
  <c r="AC123" i="63"/>
  <c r="BB123" i="63"/>
  <c r="AB123" i="63"/>
  <c r="AA123" i="63"/>
  <c r="BA123" i="63"/>
  <c r="BZ123" i="63"/>
  <c r="AZ123" i="63"/>
  <c r="AY123" i="63"/>
  <c r="BX123" i="63"/>
  <c r="BY123" i="63"/>
  <c r="CX123" i="63"/>
  <c r="Z123" i="63"/>
  <c r="DV123" i="63"/>
  <c r="BW123" i="63"/>
  <c r="AX123" i="63"/>
  <c r="CV123" i="63"/>
  <c r="CW123" i="63"/>
  <c r="Y123" i="63"/>
  <c r="ET123" i="63"/>
  <c r="CU123" i="63"/>
  <c r="BV123" i="63"/>
  <c r="DT123" i="63"/>
  <c r="DU123" i="63"/>
  <c r="AW123" i="63"/>
  <c r="X123" i="63"/>
  <c r="W123" i="63"/>
  <c r="BU123" i="63"/>
  <c r="ES123" i="63"/>
  <c r="FR123" i="63"/>
  <c r="CT123" i="63"/>
  <c r="DS123" i="63"/>
  <c r="AV123" i="63"/>
  <c r="ER123" i="63"/>
  <c r="AU123" i="63"/>
  <c r="CS123" i="63"/>
  <c r="GP123" i="63"/>
  <c r="V123" i="63"/>
  <c r="FQ123" i="63"/>
  <c r="DR123" i="63"/>
  <c r="EQ123" i="63"/>
  <c r="FP123" i="63"/>
  <c r="BT123" i="63"/>
  <c r="HN123" i="63"/>
  <c r="U123" i="63"/>
  <c r="EP123" i="63"/>
  <c r="BS123" i="63"/>
  <c r="GN123" i="63"/>
  <c r="GO123" i="63"/>
  <c r="CR123" i="63"/>
  <c r="FO123" i="63"/>
  <c r="AT123" i="63"/>
  <c r="DQ123" i="63"/>
  <c r="AS123" i="63"/>
  <c r="GM123" i="63"/>
  <c r="CQ123" i="63"/>
  <c r="HM123" i="63"/>
  <c r="BR123" i="63"/>
  <c r="HL123" i="63"/>
  <c r="IL123" i="63"/>
  <c r="T123" i="63"/>
  <c r="DP123" i="63"/>
  <c r="FN123" i="63"/>
  <c r="EO123" i="63"/>
  <c r="FM123" i="63"/>
  <c r="GL123" i="63"/>
  <c r="S123" i="63"/>
  <c r="IJ123" i="63"/>
  <c r="DO123" i="63"/>
  <c r="IK123" i="63"/>
  <c r="JJ123" i="63"/>
  <c r="EN123" i="63"/>
  <c r="AR123" i="63"/>
  <c r="HK123" i="63"/>
  <c r="BQ123" i="63"/>
  <c r="CP123" i="63"/>
  <c r="EM123" i="63"/>
  <c r="BP123" i="63"/>
  <c r="R123" i="63"/>
  <c r="AQ123" i="63"/>
  <c r="GK123" i="63"/>
  <c r="DN123" i="63"/>
  <c r="II123" i="63"/>
  <c r="HJ123" i="63"/>
  <c r="JH123" i="63"/>
  <c r="FL123" i="63"/>
  <c r="CO123" i="63"/>
  <c r="JI123" i="63"/>
  <c r="KH123" i="63"/>
  <c r="EL123" i="63"/>
  <c r="DM123" i="63"/>
  <c r="FK123" i="63"/>
  <c r="Q123" i="63"/>
  <c r="GJ123" i="63"/>
  <c r="BO123" i="63"/>
  <c r="HI123" i="63"/>
  <c r="IH123" i="63"/>
  <c r="LF123" i="63"/>
  <c r="KG123" i="63"/>
  <c r="KF123" i="63"/>
  <c r="JG123" i="63"/>
  <c r="CN123" i="63"/>
  <c r="AP123" i="63"/>
  <c r="FJ123" i="63"/>
  <c r="LE123" i="63"/>
  <c r="LD123" i="63"/>
  <c r="JF123" i="63"/>
  <c r="DL123" i="63"/>
  <c r="P123" i="63"/>
  <c r="IG123" i="63"/>
  <c r="BN123" i="63"/>
  <c r="GI123" i="63"/>
  <c r="MD123" i="63"/>
  <c r="AO123" i="63"/>
  <c r="EK123" i="63"/>
  <c r="CM123" i="63"/>
  <c r="KE123" i="63"/>
  <c r="HH123" i="63"/>
  <c r="HG123" i="63"/>
  <c r="EJ123" i="63"/>
  <c r="MC123" i="63"/>
  <c r="IF123" i="63"/>
  <c r="KD123" i="63"/>
  <c r="CL123" i="63"/>
  <c r="O123" i="63"/>
  <c r="BM123" i="63"/>
  <c r="AN123" i="63"/>
  <c r="MB123" i="63"/>
  <c r="NB123" i="63"/>
  <c r="DK123" i="63"/>
  <c r="JE123" i="63"/>
  <c r="FI123" i="63"/>
  <c r="LC123" i="63"/>
  <c r="GH123" i="63"/>
  <c r="EI123" i="63"/>
  <c r="MZ123" i="63"/>
  <c r="BL123" i="63"/>
  <c r="AM123" i="63"/>
  <c r="GG123" i="63"/>
  <c r="NZ123" i="63"/>
  <c r="HF123" i="63"/>
  <c r="NA123" i="63"/>
  <c r="LB123" i="63"/>
  <c r="N123" i="63"/>
  <c r="CK123" i="63"/>
  <c r="KC123" i="63"/>
  <c r="FH123" i="63"/>
  <c r="DJ123" i="63"/>
  <c r="JD123" i="63"/>
  <c r="MA123" i="63"/>
  <c r="IE123" i="63"/>
  <c r="BK123" i="63"/>
  <c r="AL123" i="63"/>
  <c r="NY123" i="63"/>
  <c r="MY123" i="63"/>
  <c r="LA123" i="63"/>
  <c r="ID123" i="63"/>
  <c r="CJ123" i="63"/>
  <c r="NX123" i="63"/>
  <c r="FG123" i="63"/>
  <c r="M123" i="63"/>
  <c r="HE123" i="63"/>
  <c r="GF123" i="63"/>
  <c r="EH123" i="63"/>
  <c r="OX123" i="63"/>
  <c r="KB123" i="63"/>
  <c r="JC123" i="63"/>
  <c r="LZ123" i="63"/>
  <c r="DI123" i="63"/>
  <c r="OW123" i="63"/>
  <c r="FF123" i="63"/>
  <c r="MX123" i="63"/>
  <c r="PV123" i="63"/>
  <c r="KZ123" i="63"/>
  <c r="DH123" i="63"/>
  <c r="LY123" i="63"/>
  <c r="AK123" i="63"/>
  <c r="JB123" i="63"/>
  <c r="BJ123" i="63"/>
  <c r="GE123" i="63"/>
  <c r="CI123" i="63"/>
  <c r="L123" i="63"/>
  <c r="IC123" i="63"/>
  <c r="KA123" i="63"/>
  <c r="EG123" i="63"/>
  <c r="OV123" i="63"/>
  <c r="NW123" i="63"/>
  <c r="HD123" i="63"/>
  <c r="FE123" i="63"/>
  <c r="IB123" i="63"/>
  <c r="MW123" i="63"/>
  <c r="OU123" i="63"/>
  <c r="CH123" i="63"/>
  <c r="JZ123" i="63"/>
  <c r="JA123" i="63"/>
  <c r="K123" i="63"/>
  <c r="HC123" i="63"/>
  <c r="AJ123" i="63"/>
  <c r="KY123" i="63"/>
  <c r="NV123" i="63"/>
  <c r="LX123" i="63"/>
  <c r="EF123" i="63"/>
  <c r="GD123" i="63"/>
  <c r="PT123" i="63"/>
  <c r="BI123" i="63"/>
  <c r="PU123" i="63"/>
  <c r="DG123" i="63"/>
  <c r="AI123" i="63"/>
  <c r="PS123" i="63"/>
  <c r="JY123" i="63"/>
  <c r="J123" i="63"/>
  <c r="MV123" i="63"/>
  <c r="HB123" i="63"/>
  <c r="DF123" i="63"/>
  <c r="NU123" i="63"/>
  <c r="KX123" i="63"/>
  <c r="CG123" i="63"/>
  <c r="OT123" i="63"/>
  <c r="IZ123" i="63"/>
  <c r="GC123" i="63"/>
  <c r="FD123" i="63"/>
  <c r="LW123" i="63"/>
  <c r="BH123" i="63"/>
  <c r="EE123" i="63"/>
  <c r="IA123" i="63"/>
  <c r="BG123" i="63"/>
  <c r="HA123" i="63"/>
  <c r="CF123" i="63"/>
  <c r="ED123" i="63"/>
  <c r="MU123" i="63"/>
  <c r="HZ123" i="63"/>
  <c r="PR123" i="63"/>
  <c r="AH123" i="63"/>
  <c r="GB123" i="63"/>
  <c r="KW123" i="63"/>
  <c r="FC123" i="63"/>
  <c r="OS123" i="63"/>
  <c r="NT123" i="63"/>
  <c r="LV123" i="63"/>
  <c r="DE123" i="63"/>
  <c r="IY123" i="63"/>
  <c r="JX123" i="63"/>
  <c r="HY123" i="63"/>
  <c r="CE123" i="63"/>
  <c r="DD123" i="63"/>
  <c r="OR123" i="63"/>
  <c r="IX123" i="63"/>
  <c r="GA123" i="63"/>
  <c r="KV123" i="63"/>
  <c r="GZ123" i="63"/>
  <c r="JW123" i="63"/>
  <c r="LU123" i="63"/>
  <c r="FB123" i="63"/>
  <c r="PQ123" i="63"/>
  <c r="EC123" i="63"/>
  <c r="MT123" i="63"/>
  <c r="BF123" i="63"/>
  <c r="NS123" i="63"/>
  <c r="JV123" i="63"/>
  <c r="GY123" i="63"/>
  <c r="FZ123" i="63"/>
  <c r="CD123" i="63"/>
  <c r="DC123" i="63"/>
  <c r="HX123" i="63"/>
  <c r="PP123" i="63"/>
  <c r="FA123" i="63"/>
  <c r="NR123" i="63"/>
  <c r="OQ123" i="63"/>
  <c r="KU123" i="63"/>
  <c r="LT123" i="63"/>
  <c r="IW123" i="63"/>
  <c r="MS123" i="63"/>
  <c r="EB123" i="63"/>
  <c r="GX123" i="63"/>
  <c r="EZ123" i="63"/>
  <c r="NQ123" i="63"/>
  <c r="EA123" i="63"/>
  <c r="HW123" i="63"/>
  <c r="KT123" i="63"/>
  <c r="PO123" i="63"/>
  <c r="MR123" i="63"/>
  <c r="IV123" i="63"/>
  <c r="DB123" i="63"/>
  <c r="JU123" i="63"/>
  <c r="OP123" i="63"/>
  <c r="FY123" i="63"/>
  <c r="LS123" i="63"/>
  <c r="KS123" i="63"/>
  <c r="LR123" i="63"/>
  <c r="DZ123" i="63"/>
  <c r="JT123" i="63"/>
  <c r="OO123" i="63"/>
  <c r="PN123" i="63"/>
  <c r="EY123" i="63"/>
  <c r="GW123" i="63"/>
  <c r="HV123" i="63"/>
  <c r="MQ123" i="63"/>
  <c r="NP123" i="63"/>
  <c r="IU123" i="63"/>
  <c r="FX123" i="63"/>
  <c r="HU123" i="63"/>
  <c r="MP123" i="63"/>
  <c r="KR123" i="63"/>
  <c r="LQ123" i="63"/>
  <c r="IT123" i="63"/>
  <c r="JS123" i="63"/>
  <c r="EX123" i="63"/>
  <c r="PM123" i="63"/>
  <c r="FW123" i="63"/>
  <c r="GV123" i="63"/>
  <c r="ON123" i="63"/>
  <c r="NO123" i="63"/>
  <c r="NN123" i="63"/>
  <c r="IS123" i="63"/>
  <c r="HT123" i="63"/>
  <c r="OM123" i="63"/>
  <c r="PL123" i="63"/>
  <c r="GU123" i="63"/>
  <c r="KQ123" i="63"/>
  <c r="MO123" i="63"/>
  <c r="JR123" i="63"/>
  <c r="FV123" i="63"/>
  <c r="LP123" i="63"/>
  <c r="OL123" i="63"/>
  <c r="PK123" i="63"/>
  <c r="KP123" i="63"/>
  <c r="GT123" i="63"/>
  <c r="NM123" i="63"/>
  <c r="HS123" i="63"/>
  <c r="IR123" i="63"/>
  <c r="LO123" i="63"/>
  <c r="JQ123" i="63"/>
  <c r="MN123" i="63"/>
  <c r="PJ123" i="63"/>
  <c r="MM123" i="63"/>
  <c r="NL123" i="63"/>
  <c r="IQ123" i="63"/>
  <c r="HR123" i="63"/>
  <c r="LN123" i="63"/>
  <c r="OK123" i="63"/>
  <c r="KO123" i="63"/>
  <c r="JP123" i="63"/>
  <c r="PI123" i="63"/>
  <c r="OJ123" i="63"/>
  <c r="KN123" i="63"/>
  <c r="NK123" i="63"/>
  <c r="LM123" i="63"/>
  <c r="JO123" i="63"/>
  <c r="ML123" i="63"/>
  <c r="IP123" i="63"/>
  <c r="PH123" i="63"/>
  <c r="MK123" i="63"/>
  <c r="KM123" i="63"/>
  <c r="NJ123" i="63"/>
  <c r="JN123" i="63"/>
  <c r="LL123" i="63"/>
  <c r="OI123" i="63"/>
  <c r="PF118" i="63"/>
  <c r="PF123" i="63"/>
  <c r="PF121" i="63"/>
  <c r="PF117" i="63"/>
  <c r="PF115" i="63"/>
  <c r="PF122" i="63"/>
  <c r="PF120" i="63"/>
  <c r="PF119" i="63"/>
  <c r="PF114" i="63"/>
  <c r="PF113" i="63"/>
  <c r="PF112" i="63"/>
  <c r="PF111" i="63"/>
  <c r="PF116" i="63"/>
  <c r="NI184" i="63"/>
  <c r="OG174" i="63"/>
  <c r="NI185" i="63"/>
  <c r="NI183" i="63"/>
  <c r="NI181" i="63"/>
  <c r="NI179" i="63"/>
  <c r="NI175" i="63"/>
  <c r="NI180" i="63"/>
  <c r="NI176" i="63"/>
  <c r="NI182" i="63"/>
  <c r="NI178" i="63"/>
  <c r="NI177" i="63"/>
  <c r="NI186" i="63"/>
  <c r="OG123" i="63"/>
  <c r="OG121" i="63"/>
  <c r="OG119" i="63"/>
  <c r="OG115" i="63"/>
  <c r="OG114" i="63"/>
  <c r="OG113" i="63"/>
  <c r="OG112" i="63"/>
  <c r="OG111" i="63"/>
  <c r="OG118" i="63"/>
  <c r="OG116" i="63"/>
  <c r="OG122" i="63"/>
  <c r="OG120" i="63"/>
  <c r="OG117" i="63"/>
  <c r="PE110" i="63"/>
  <c r="MI123" i="63"/>
  <c r="MI122" i="63"/>
  <c r="MI121" i="63"/>
  <c r="MI120" i="63"/>
  <c r="MI119" i="63"/>
  <c r="MI118" i="63"/>
  <c r="MI117" i="63"/>
  <c r="MI116" i="63"/>
  <c r="MI111" i="63"/>
  <c r="NG110" i="63"/>
  <c r="MI115" i="63"/>
  <c r="MI114" i="63"/>
  <c r="MI113" i="63"/>
  <c r="MI112" i="63"/>
  <c r="LJ119" i="63"/>
  <c r="MH110" i="63"/>
  <c r="LJ111" i="63"/>
  <c r="LJ117" i="63"/>
  <c r="LI111" i="63"/>
  <c r="LI112" i="63" s="1"/>
  <c r="LI113" i="63" s="1"/>
  <c r="LI114" i="63" s="1"/>
  <c r="LI115" i="63" s="1"/>
  <c r="LI116" i="63" s="1"/>
  <c r="LI117" i="63" s="1"/>
  <c r="LI118" i="63" s="1"/>
  <c r="LI119" i="63" s="1"/>
  <c r="LI120" i="63" s="1"/>
  <c r="LI121" i="63" s="1"/>
  <c r="LI122" i="63" s="1"/>
  <c r="LI123" i="63" s="1"/>
  <c r="LI124" i="63" s="1"/>
  <c r="LI125" i="63" s="1"/>
  <c r="LI126" i="63" s="1"/>
  <c r="LI127" i="63" s="1"/>
  <c r="LI128" i="63" s="1"/>
  <c r="LI129" i="63" s="1"/>
  <c r="LI130" i="63" s="1"/>
  <c r="LI131" i="63" s="1"/>
  <c r="LJ123" i="63"/>
  <c r="LJ121" i="63"/>
  <c r="LJ116" i="63"/>
  <c r="LJ122" i="63"/>
  <c r="LJ120" i="63"/>
  <c r="LJ118" i="63"/>
  <c r="LJ115" i="63"/>
  <c r="LJ114" i="63"/>
  <c r="LJ113" i="63"/>
  <c r="LJ112" i="63"/>
  <c r="PH186" i="63"/>
  <c r="JM238" i="63"/>
  <c r="JM239" i="63" s="1"/>
  <c r="JM240" i="63" s="1"/>
  <c r="JM241" i="63" s="1"/>
  <c r="JM242" i="63" s="1"/>
  <c r="JM243" i="63" s="1"/>
  <c r="JM244" i="63" s="1"/>
  <c r="JM245" i="63" s="1"/>
  <c r="JM246" i="63" s="1"/>
  <c r="JM247" i="63" s="1"/>
  <c r="JM248" i="63" s="1"/>
  <c r="JM249" i="63" s="1"/>
  <c r="JM250" i="63" s="1"/>
  <c r="JM251" i="63" s="1"/>
  <c r="JM252" i="63" s="1"/>
  <c r="JM253" i="63" s="1"/>
  <c r="JM254" i="63" s="1"/>
  <c r="JM255" i="63" s="1"/>
  <c r="JM256" i="63" s="1"/>
  <c r="JM257" i="63" s="1"/>
  <c r="JM258" i="63" s="1"/>
  <c r="KL237" i="63"/>
  <c r="PG186" i="63"/>
  <c r="PG183" i="63"/>
  <c r="PG180" i="63"/>
  <c r="PG184" i="63"/>
  <c r="PG176" i="63"/>
  <c r="PG182" i="63"/>
  <c r="PG177" i="63"/>
  <c r="PG179" i="63"/>
  <c r="PG185" i="63"/>
  <c r="PG175" i="63"/>
  <c r="PG187" i="63"/>
  <c r="PG181" i="63"/>
  <c r="PG178" i="63"/>
  <c r="OH183" i="63"/>
  <c r="OH182" i="63"/>
  <c r="OH181" i="63"/>
  <c r="OH180" i="63"/>
  <c r="OH179" i="63"/>
  <c r="OH178" i="63"/>
  <c r="OH177" i="63"/>
  <c r="OH176" i="63"/>
  <c r="OH175" i="63"/>
  <c r="OH186" i="63"/>
  <c r="OH185" i="63"/>
  <c r="OH184" i="63"/>
  <c r="PF174" i="63"/>
  <c r="OI186" i="63"/>
  <c r="NJ186" i="63"/>
  <c r="KL184" i="63"/>
  <c r="KL182" i="63"/>
  <c r="KL181" i="63"/>
  <c r="KL180" i="63"/>
  <c r="KL179" i="63"/>
  <c r="KL178" i="63"/>
  <c r="KL177" i="63"/>
  <c r="KL176" i="63"/>
  <c r="KL175" i="63"/>
  <c r="KL186" i="63"/>
  <c r="KL185" i="63"/>
  <c r="KL183" i="63"/>
  <c r="KK175" i="63"/>
  <c r="KK176" i="63" s="1"/>
  <c r="KK177" i="63" s="1"/>
  <c r="KK178" i="63" s="1"/>
  <c r="KK179" i="63" s="1"/>
  <c r="KK180" i="63" s="1"/>
  <c r="KK181" i="63" s="1"/>
  <c r="KK182" i="63" s="1"/>
  <c r="KK183" i="63" s="1"/>
  <c r="KK184" i="63" s="1"/>
  <c r="KK185" i="63" s="1"/>
  <c r="KK186" i="63" s="1"/>
  <c r="KK187" i="63" s="1"/>
  <c r="KK188" i="63" s="1"/>
  <c r="KK189" i="63" s="1"/>
  <c r="KK190" i="63" s="1"/>
  <c r="KK191" i="63" s="1"/>
  <c r="KK192" i="63" s="1"/>
  <c r="KK193" i="63" s="1"/>
  <c r="KK194" i="63" s="1"/>
  <c r="KK195" i="63" s="1"/>
  <c r="LJ174" i="63"/>
  <c r="MK186" i="63"/>
  <c r="MJ186" i="63"/>
  <c r="MJ185" i="63"/>
  <c r="MJ184" i="63"/>
  <c r="MJ183" i="63"/>
  <c r="MJ180" i="63"/>
  <c r="MJ176" i="63"/>
  <c r="NH174" i="63"/>
  <c r="MJ177" i="63"/>
  <c r="MJ175" i="63"/>
  <c r="MJ181" i="63"/>
  <c r="MJ182" i="63"/>
  <c r="MJ178" i="63"/>
  <c r="MJ179" i="63"/>
  <c r="KL123" i="63"/>
  <c r="PG123" i="63"/>
  <c r="LK183" i="63"/>
  <c r="MI174" i="63"/>
  <c r="LK186" i="63"/>
  <c r="LK181" i="63"/>
  <c r="LK177" i="63"/>
  <c r="LK185" i="63"/>
  <c r="LK182" i="63"/>
  <c r="LK178" i="63"/>
  <c r="LK176" i="63"/>
  <c r="LK180" i="63"/>
  <c r="LK184" i="63"/>
  <c r="LK179" i="63"/>
  <c r="LK175" i="63"/>
  <c r="KM186" i="63"/>
  <c r="AI108" i="39"/>
  <c r="P166" i="65" l="1"/>
  <c r="O111" i="65"/>
  <c r="Q166" i="65"/>
  <c r="Q111" i="65"/>
  <c r="R221" i="65"/>
  <c r="BN179" i="39"/>
  <c r="AS179" i="39"/>
  <c r="BE179" i="39"/>
  <c r="BC179" i="39"/>
  <c r="BM179" i="39"/>
  <c r="BG179" i="39"/>
  <c r="BF179" i="39"/>
  <c r="BL179" i="39"/>
  <c r="AX179" i="39"/>
  <c r="AW179" i="39"/>
  <c r="BH179" i="39"/>
  <c r="BI179" i="39"/>
  <c r="AT179" i="39"/>
  <c r="AL179" i="39"/>
  <c r="AO179" i="39"/>
  <c r="BK179" i="39"/>
  <c r="AZ179" i="39"/>
  <c r="AU179" i="39"/>
  <c r="BA179" i="39"/>
  <c r="AY179" i="39"/>
  <c r="AN179" i="39"/>
  <c r="BB179" i="39"/>
  <c r="AK179" i="39"/>
  <c r="AM179" i="39"/>
  <c r="BD179" i="39"/>
  <c r="AQ179" i="39"/>
  <c r="AV179" i="39"/>
  <c r="AR179" i="39"/>
  <c r="AP179" i="39"/>
  <c r="BJ179" i="39"/>
  <c r="AB179" i="39"/>
  <c r="W179" i="39"/>
  <c r="X179" i="39"/>
  <c r="AE179" i="39"/>
  <c r="AG179" i="39"/>
  <c r="AJ179" i="39"/>
  <c r="Y179" i="39"/>
  <c r="AH179" i="39"/>
  <c r="AD179" i="39"/>
  <c r="AA179" i="39"/>
  <c r="AF179" i="39"/>
  <c r="AC179" i="39"/>
  <c r="Z179" i="39"/>
  <c r="AI179" i="39"/>
  <c r="V179" i="39"/>
  <c r="U179" i="39"/>
  <c r="T179" i="39"/>
  <c r="S179" i="39"/>
  <c r="R179" i="39"/>
  <c r="Q179" i="39"/>
  <c r="P179" i="39"/>
  <c r="O180" i="39"/>
  <c r="BN123" i="39"/>
  <c r="BD123" i="39"/>
  <c r="AR123" i="39"/>
  <c r="AQ123" i="39"/>
  <c r="AX123" i="39"/>
  <c r="AW123" i="39"/>
  <c r="BM123" i="39"/>
  <c r="BG123" i="39"/>
  <c r="BL123" i="39"/>
  <c r="AV123" i="39"/>
  <c r="AP123" i="39"/>
  <c r="BC123" i="39"/>
  <c r="BK123" i="39"/>
  <c r="AS123" i="39"/>
  <c r="BB123" i="39"/>
  <c r="BI123" i="39"/>
  <c r="BH123" i="39"/>
  <c r="AK123" i="39"/>
  <c r="AO123" i="39"/>
  <c r="AZ123" i="39"/>
  <c r="AL123" i="39"/>
  <c r="BA123" i="39"/>
  <c r="AY123" i="39"/>
  <c r="AN123" i="39"/>
  <c r="BE123" i="39"/>
  <c r="BF123" i="39"/>
  <c r="AT123" i="39"/>
  <c r="AM123" i="39"/>
  <c r="BJ123" i="39"/>
  <c r="AU123" i="39"/>
  <c r="AI123" i="39"/>
  <c r="AC123" i="39"/>
  <c r="Y123" i="39"/>
  <c r="AB123" i="39"/>
  <c r="AE123" i="39"/>
  <c r="AH123" i="39"/>
  <c r="Z123" i="39"/>
  <c r="X123" i="39"/>
  <c r="AG123" i="39"/>
  <c r="AF123" i="39"/>
  <c r="AD123" i="39"/>
  <c r="AA123" i="39"/>
  <c r="AJ123" i="39"/>
  <c r="W123" i="39"/>
  <c r="V123" i="39"/>
  <c r="U123" i="39"/>
  <c r="T123" i="39"/>
  <c r="S123" i="39"/>
  <c r="R123" i="39"/>
  <c r="Q123" i="39"/>
  <c r="P123" i="39"/>
  <c r="O124" i="39"/>
  <c r="MJ187" i="63"/>
  <c r="LK187" i="63"/>
  <c r="KL187" i="63"/>
  <c r="OH187" i="63"/>
  <c r="NG123" i="63"/>
  <c r="NG121" i="63"/>
  <c r="NG117" i="63"/>
  <c r="NG115" i="63"/>
  <c r="NG114" i="63"/>
  <c r="NG113" i="63"/>
  <c r="NG112" i="63"/>
  <c r="NG111" i="63"/>
  <c r="NG116" i="63"/>
  <c r="OE110" i="63"/>
  <c r="NG120" i="63"/>
  <c r="NG119" i="63"/>
  <c r="NG118" i="63"/>
  <c r="NG124" i="63"/>
  <c r="NG122" i="63"/>
  <c r="NH185" i="63"/>
  <c r="NH182" i="63"/>
  <c r="NH181" i="63"/>
  <c r="NH180" i="63"/>
  <c r="NH179" i="63"/>
  <c r="NH178" i="63"/>
  <c r="NH177" i="63"/>
  <c r="NH176" i="63"/>
  <c r="NH175" i="63"/>
  <c r="NH187" i="63"/>
  <c r="NH184" i="63"/>
  <c r="OF174" i="63"/>
  <c r="NH186" i="63"/>
  <c r="NH183" i="63"/>
  <c r="MH124" i="63"/>
  <c r="MH123" i="63"/>
  <c r="MH122" i="63"/>
  <c r="MH121" i="63"/>
  <c r="MH120" i="63"/>
  <c r="MH118" i="63"/>
  <c r="MG111" i="63"/>
  <c r="MG112" i="63" s="1"/>
  <c r="MG113" i="63" s="1"/>
  <c r="MG114" i="63" s="1"/>
  <c r="MG115" i="63" s="1"/>
  <c r="MG116" i="63" s="1"/>
  <c r="MG117" i="63" s="1"/>
  <c r="MG118" i="63" s="1"/>
  <c r="MG119" i="63" s="1"/>
  <c r="MG120" i="63" s="1"/>
  <c r="MG121" i="63" s="1"/>
  <c r="MG122" i="63" s="1"/>
  <c r="MG123" i="63" s="1"/>
  <c r="MG124" i="63" s="1"/>
  <c r="MG125" i="63" s="1"/>
  <c r="MG126" i="63" s="1"/>
  <c r="MG127" i="63" s="1"/>
  <c r="MG128" i="63" s="1"/>
  <c r="MG129" i="63" s="1"/>
  <c r="MG130" i="63" s="1"/>
  <c r="MG131" i="63" s="1"/>
  <c r="MH116" i="63"/>
  <c r="MH119" i="63"/>
  <c r="MH115" i="63"/>
  <c r="MH114" i="63"/>
  <c r="MH113" i="63"/>
  <c r="MH112" i="63"/>
  <c r="MH111" i="63"/>
  <c r="NF110" i="63"/>
  <c r="MH117" i="63"/>
  <c r="MI124" i="63"/>
  <c r="I188" i="63"/>
  <c r="AD187" i="63"/>
  <c r="AB187" i="63"/>
  <c r="BB187" i="63"/>
  <c r="AC187" i="63"/>
  <c r="BA187" i="63"/>
  <c r="AA187" i="63"/>
  <c r="AZ187" i="63"/>
  <c r="BZ187" i="63"/>
  <c r="BX187" i="63"/>
  <c r="AY187" i="63"/>
  <c r="BY187" i="63"/>
  <c r="CX187" i="63"/>
  <c r="Z187" i="63"/>
  <c r="CW187" i="63"/>
  <c r="DV187" i="63"/>
  <c r="Y187" i="63"/>
  <c r="CV187" i="63"/>
  <c r="AX187" i="63"/>
  <c r="BW187" i="63"/>
  <c r="ET187" i="63"/>
  <c r="CU187" i="63"/>
  <c r="BV187" i="63"/>
  <c r="DU187" i="63"/>
  <c r="X187" i="63"/>
  <c r="AW187" i="63"/>
  <c r="DT187" i="63"/>
  <c r="ES187" i="63"/>
  <c r="CT187" i="63"/>
  <c r="AV187" i="63"/>
  <c r="DS187" i="63"/>
  <c r="BU187" i="63"/>
  <c r="ER187" i="63"/>
  <c r="FR187" i="63"/>
  <c r="W187" i="63"/>
  <c r="BT187" i="63"/>
  <c r="EQ187" i="63"/>
  <c r="AU187" i="63"/>
  <c r="GP187" i="63"/>
  <c r="FQ187" i="63"/>
  <c r="FP187" i="63"/>
  <c r="V187" i="63"/>
  <c r="CS187" i="63"/>
  <c r="DR187" i="63"/>
  <c r="CR187" i="63"/>
  <c r="BS187" i="63"/>
  <c r="GO187" i="63"/>
  <c r="EP187" i="63"/>
  <c r="GN187" i="63"/>
  <c r="AT187" i="63"/>
  <c r="U187" i="63"/>
  <c r="FO187" i="63"/>
  <c r="HN187" i="63"/>
  <c r="DQ187" i="63"/>
  <c r="FN187" i="63"/>
  <c r="GM187" i="63"/>
  <c r="T187" i="63"/>
  <c r="CQ187" i="63"/>
  <c r="EO187" i="63"/>
  <c r="AS187" i="63"/>
  <c r="BR187" i="63"/>
  <c r="DP187" i="63"/>
  <c r="HL187" i="63"/>
  <c r="IL187" i="63"/>
  <c r="HM187" i="63"/>
  <c r="GL187" i="63"/>
  <c r="AR187" i="63"/>
  <c r="IK187" i="63"/>
  <c r="CP187" i="63"/>
  <c r="JJ187" i="63"/>
  <c r="EN187" i="63"/>
  <c r="S187" i="63"/>
  <c r="FM187" i="63"/>
  <c r="BQ187" i="63"/>
  <c r="IJ187" i="63"/>
  <c r="DO187" i="63"/>
  <c r="HK187" i="63"/>
  <c r="JH187" i="63"/>
  <c r="JI187" i="63"/>
  <c r="GK187" i="63"/>
  <c r="AQ187" i="63"/>
  <c r="KH187" i="63"/>
  <c r="II187" i="63"/>
  <c r="HJ187" i="63"/>
  <c r="DN187" i="63"/>
  <c r="BP187" i="63"/>
  <c r="R187" i="63"/>
  <c r="EM187" i="63"/>
  <c r="FL187" i="63"/>
  <c r="CO187" i="63"/>
  <c r="DM187" i="63"/>
  <c r="GJ187" i="63"/>
  <c r="AP187" i="63"/>
  <c r="KF187" i="63"/>
  <c r="EL187" i="63"/>
  <c r="Q187" i="63"/>
  <c r="HI187" i="63"/>
  <c r="FK187" i="63"/>
  <c r="KG187" i="63"/>
  <c r="IH187" i="63"/>
  <c r="BO187" i="63"/>
  <c r="JG187" i="63"/>
  <c r="LF187" i="63"/>
  <c r="CN187" i="63"/>
  <c r="HH187" i="63"/>
  <c r="GI187" i="63"/>
  <c r="LE187" i="63"/>
  <c r="MD187" i="63"/>
  <c r="KE187" i="63"/>
  <c r="BN187" i="63"/>
  <c r="DL187" i="63"/>
  <c r="IG187" i="63"/>
  <c r="EK187" i="63"/>
  <c r="LD187" i="63"/>
  <c r="P187" i="63"/>
  <c r="CM187" i="63"/>
  <c r="FJ187" i="63"/>
  <c r="AO187" i="63"/>
  <c r="JF187" i="63"/>
  <c r="GH187" i="63"/>
  <c r="EJ187" i="63"/>
  <c r="O187" i="63"/>
  <c r="JE187" i="63"/>
  <c r="LC187" i="63"/>
  <c r="CL187" i="63"/>
  <c r="AN187" i="63"/>
  <c r="DK187" i="63"/>
  <c r="MC187" i="63"/>
  <c r="KD187" i="63"/>
  <c r="FI187" i="63"/>
  <c r="HG187" i="63"/>
  <c r="BM187" i="63"/>
  <c r="NB187" i="63"/>
  <c r="IF187" i="63"/>
  <c r="MB187" i="63"/>
  <c r="GG187" i="63"/>
  <c r="N187" i="63"/>
  <c r="JD187" i="63"/>
  <c r="DJ187" i="63"/>
  <c r="MA187" i="63"/>
  <c r="NA187" i="63"/>
  <c r="EI187" i="63"/>
  <c r="FH187" i="63"/>
  <c r="HF187" i="63"/>
  <c r="IE187" i="63"/>
  <c r="MZ187" i="63"/>
  <c r="CK187" i="63"/>
  <c r="NZ187" i="63"/>
  <c r="BL187" i="63"/>
  <c r="KC187" i="63"/>
  <c r="LB187" i="63"/>
  <c r="AM187" i="63"/>
  <c r="DI187" i="63"/>
  <c r="LZ187" i="63"/>
  <c r="NX187" i="63"/>
  <c r="M187" i="63"/>
  <c r="NY187" i="63"/>
  <c r="CJ187" i="63"/>
  <c r="BK187" i="63"/>
  <c r="EH187" i="63"/>
  <c r="KB187" i="63"/>
  <c r="ID187" i="63"/>
  <c r="GF187" i="63"/>
  <c r="MY187" i="63"/>
  <c r="HE187" i="63"/>
  <c r="JC187" i="63"/>
  <c r="AL187" i="63"/>
  <c r="FG187" i="63"/>
  <c r="LA187" i="63"/>
  <c r="OX187" i="63"/>
  <c r="AK187" i="63"/>
  <c r="KA187" i="63"/>
  <c r="OV187" i="63"/>
  <c r="JB187" i="63"/>
  <c r="KZ187" i="63"/>
  <c r="BJ187" i="63"/>
  <c r="MX187" i="63"/>
  <c r="DH187" i="63"/>
  <c r="IC187" i="63"/>
  <c r="NW187" i="63"/>
  <c r="OW187" i="63"/>
  <c r="GE187" i="63"/>
  <c r="FF187" i="63"/>
  <c r="LY187" i="63"/>
  <c r="CI187" i="63"/>
  <c r="EG187" i="63"/>
  <c r="PV187" i="63"/>
  <c r="HD187" i="63"/>
  <c r="L187" i="63"/>
  <c r="NV187" i="63"/>
  <c r="OU187" i="63"/>
  <c r="IB187" i="63"/>
  <c r="JA187" i="63"/>
  <c r="PT187" i="63"/>
  <c r="DG187" i="63"/>
  <c r="GD187" i="63"/>
  <c r="LX187" i="63"/>
  <c r="MW187" i="63"/>
  <c r="BI187" i="63"/>
  <c r="JZ187" i="63"/>
  <c r="HC187" i="63"/>
  <c r="K187" i="63"/>
  <c r="PU187" i="63"/>
  <c r="FE187" i="63"/>
  <c r="AJ187" i="63"/>
  <c r="EF187" i="63"/>
  <c r="KY187" i="63"/>
  <c r="CH187" i="63"/>
  <c r="AI187" i="63"/>
  <c r="CG187" i="63"/>
  <c r="HB187" i="63"/>
  <c r="NU187" i="63"/>
  <c r="MV187" i="63"/>
  <c r="EE187" i="63"/>
  <c r="GC187" i="63"/>
  <c r="OT187" i="63"/>
  <c r="KX187" i="63"/>
  <c r="PS187" i="63"/>
  <c r="DF187" i="63"/>
  <c r="FD187" i="63"/>
  <c r="LW187" i="63"/>
  <c r="IA187" i="63"/>
  <c r="IZ187" i="63"/>
  <c r="J187" i="63"/>
  <c r="BH187" i="63"/>
  <c r="JY187" i="63"/>
  <c r="BG187" i="63"/>
  <c r="CF187" i="63"/>
  <c r="HZ187" i="63"/>
  <c r="GB187" i="63"/>
  <c r="FC187" i="63"/>
  <c r="JX187" i="63"/>
  <c r="ED187" i="63"/>
  <c r="PR187" i="63"/>
  <c r="KW187" i="63"/>
  <c r="MU187" i="63"/>
  <c r="DE187" i="63"/>
  <c r="IY187" i="63"/>
  <c r="HA187" i="63"/>
  <c r="OS187" i="63"/>
  <c r="NT187" i="63"/>
  <c r="AH187" i="63"/>
  <c r="LV187" i="63"/>
  <c r="HY187" i="63"/>
  <c r="EC187" i="63"/>
  <c r="LU187" i="63"/>
  <c r="NS187" i="63"/>
  <c r="KV187" i="63"/>
  <c r="DD187" i="63"/>
  <c r="GA187" i="63"/>
  <c r="GZ187" i="63"/>
  <c r="IX187" i="63"/>
  <c r="JW187" i="63"/>
  <c r="FB187" i="63"/>
  <c r="CE187" i="63"/>
  <c r="PQ187" i="63"/>
  <c r="BF187" i="63"/>
  <c r="MT187" i="63"/>
  <c r="OR187" i="63"/>
  <c r="NR187" i="63"/>
  <c r="KU187" i="63"/>
  <c r="PP187" i="63"/>
  <c r="OQ187" i="63"/>
  <c r="LT187" i="63"/>
  <c r="EB187" i="63"/>
  <c r="FA187" i="63"/>
  <c r="JV187" i="63"/>
  <c r="CD187" i="63"/>
  <c r="DC187" i="63"/>
  <c r="GY187" i="63"/>
  <c r="IW187" i="63"/>
  <c r="FZ187" i="63"/>
  <c r="HX187" i="63"/>
  <c r="MS187" i="63"/>
  <c r="DB187" i="63"/>
  <c r="LS187" i="63"/>
  <c r="HW187" i="63"/>
  <c r="IV187" i="63"/>
  <c r="JU187" i="63"/>
  <c r="NQ187" i="63"/>
  <c r="EA187" i="63"/>
  <c r="GX187" i="63"/>
  <c r="OP187" i="63"/>
  <c r="FY187" i="63"/>
  <c r="MR187" i="63"/>
  <c r="EZ187" i="63"/>
  <c r="KT187" i="63"/>
  <c r="PO187" i="63"/>
  <c r="DZ187" i="63"/>
  <c r="OO187" i="63"/>
  <c r="NP187" i="63"/>
  <c r="LR187" i="63"/>
  <c r="MQ187" i="63"/>
  <c r="PN187" i="63"/>
  <c r="IU187" i="63"/>
  <c r="KS187" i="63"/>
  <c r="HV187" i="63"/>
  <c r="GW187" i="63"/>
  <c r="EY187" i="63"/>
  <c r="FX187" i="63"/>
  <c r="JT187" i="63"/>
  <c r="HU187" i="63"/>
  <c r="IT187" i="63"/>
  <c r="ON187" i="63"/>
  <c r="MP187" i="63"/>
  <c r="FW187" i="63"/>
  <c r="PM187" i="63"/>
  <c r="GV187" i="63"/>
  <c r="NO187" i="63"/>
  <c r="EX187" i="63"/>
  <c r="LQ187" i="63"/>
  <c r="KR187" i="63"/>
  <c r="JS187" i="63"/>
  <c r="IS187" i="63"/>
  <c r="OM187" i="63"/>
  <c r="NN187" i="63"/>
  <c r="MO187" i="63"/>
  <c r="LP187" i="63"/>
  <c r="JR187" i="63"/>
  <c r="FV187" i="63"/>
  <c r="GU187" i="63"/>
  <c r="HT187" i="63"/>
  <c r="PL187" i="63"/>
  <c r="KQ187" i="63"/>
  <c r="NM187" i="63"/>
  <c r="KP187" i="63"/>
  <c r="IR187" i="63"/>
  <c r="MN187" i="63"/>
  <c r="GT187" i="63"/>
  <c r="JQ187" i="63"/>
  <c r="OL187" i="63"/>
  <c r="LO187" i="63"/>
  <c r="PK187" i="63"/>
  <c r="HS187" i="63"/>
  <c r="KO187" i="63"/>
  <c r="NL187" i="63"/>
  <c r="PJ187" i="63"/>
  <c r="MM187" i="63"/>
  <c r="IQ187" i="63"/>
  <c r="JP187" i="63"/>
  <c r="LN187" i="63"/>
  <c r="OK187" i="63"/>
  <c r="HR187" i="63"/>
  <c r="KN187" i="63"/>
  <c r="PI187" i="63"/>
  <c r="NK187" i="63"/>
  <c r="JO187" i="63"/>
  <c r="LM187" i="63"/>
  <c r="OJ187" i="63"/>
  <c r="IP187" i="63"/>
  <c r="ML187" i="63"/>
  <c r="OI187" i="63"/>
  <c r="JN187" i="63"/>
  <c r="KM187" i="63"/>
  <c r="LL187" i="63"/>
  <c r="NJ187" i="63"/>
  <c r="PH187" i="63"/>
  <c r="MK187" i="63"/>
  <c r="PF187" i="63"/>
  <c r="PF186" i="63"/>
  <c r="PF185" i="63"/>
  <c r="PF184" i="63"/>
  <c r="PF183" i="63"/>
  <c r="PF181" i="63"/>
  <c r="PF182" i="63"/>
  <c r="PF177" i="63"/>
  <c r="PF178" i="63"/>
  <c r="PF179" i="63"/>
  <c r="PF176" i="63"/>
  <c r="PF175" i="63"/>
  <c r="PF180" i="63"/>
  <c r="I125" i="63"/>
  <c r="PE125" i="63" s="1"/>
  <c r="AD124" i="63"/>
  <c r="AB124" i="63"/>
  <c r="AC124" i="63"/>
  <c r="BB124" i="63"/>
  <c r="AA124" i="63"/>
  <c r="BA124" i="63"/>
  <c r="BZ124" i="63"/>
  <c r="AZ124" i="63"/>
  <c r="BX124" i="63"/>
  <c r="BY124" i="63"/>
  <c r="AY124" i="63"/>
  <c r="CX124" i="63"/>
  <c r="Z124" i="63"/>
  <c r="AX124" i="63"/>
  <c r="CV124" i="63"/>
  <c r="DV124" i="63"/>
  <c r="BW124" i="63"/>
  <c r="Y124" i="63"/>
  <c r="CW124" i="63"/>
  <c r="CU124" i="63"/>
  <c r="ET124" i="63"/>
  <c r="DT124" i="63"/>
  <c r="BV124" i="63"/>
  <c r="X124" i="63"/>
  <c r="AW124" i="63"/>
  <c r="DU124" i="63"/>
  <c r="FR124" i="63"/>
  <c r="DS124" i="63"/>
  <c r="ER124" i="63"/>
  <c r="W124" i="63"/>
  <c r="BU124" i="63"/>
  <c r="CT124" i="63"/>
  <c r="AV124" i="63"/>
  <c r="ES124" i="63"/>
  <c r="V124" i="63"/>
  <c r="AU124" i="63"/>
  <c r="EQ124" i="63"/>
  <c r="FQ124" i="63"/>
  <c r="DR124" i="63"/>
  <c r="BT124" i="63"/>
  <c r="CS124" i="63"/>
  <c r="GP124" i="63"/>
  <c r="FP124" i="63"/>
  <c r="FO124" i="63"/>
  <c r="BS124" i="63"/>
  <c r="GN124" i="63"/>
  <c r="GO124" i="63"/>
  <c r="DQ124" i="63"/>
  <c r="CR124" i="63"/>
  <c r="EP124" i="63"/>
  <c r="U124" i="63"/>
  <c r="AT124" i="63"/>
  <c r="HN124" i="63"/>
  <c r="CQ124" i="63"/>
  <c r="DP124" i="63"/>
  <c r="GM124" i="63"/>
  <c r="HM124" i="63"/>
  <c r="FN124" i="63"/>
  <c r="IL124" i="63"/>
  <c r="BR124" i="63"/>
  <c r="AS124" i="63"/>
  <c r="T124" i="63"/>
  <c r="HL124" i="63"/>
  <c r="EO124" i="63"/>
  <c r="FM124" i="63"/>
  <c r="GL124" i="63"/>
  <c r="IK124" i="63"/>
  <c r="BQ124" i="63"/>
  <c r="S124" i="63"/>
  <c r="JJ124" i="63"/>
  <c r="IJ124" i="63"/>
  <c r="EN124" i="63"/>
  <c r="AR124" i="63"/>
  <c r="CP124" i="63"/>
  <c r="HK124" i="63"/>
  <c r="DO124" i="63"/>
  <c r="KH124" i="63"/>
  <c r="R124" i="63"/>
  <c r="DN124" i="63"/>
  <c r="HJ124" i="63"/>
  <c r="JH124" i="63"/>
  <c r="EM124" i="63"/>
  <c r="CO124" i="63"/>
  <c r="JI124" i="63"/>
  <c r="AQ124" i="63"/>
  <c r="FL124" i="63"/>
  <c r="II124" i="63"/>
  <c r="GK124" i="63"/>
  <c r="BP124" i="63"/>
  <c r="KG124" i="63"/>
  <c r="Q124" i="63"/>
  <c r="DM124" i="63"/>
  <c r="FK124" i="63"/>
  <c r="IH124" i="63"/>
  <c r="EL124" i="63"/>
  <c r="KF124" i="63"/>
  <c r="GJ124" i="63"/>
  <c r="JG124" i="63"/>
  <c r="HI124" i="63"/>
  <c r="CN124" i="63"/>
  <c r="BO124" i="63"/>
  <c r="LF124" i="63"/>
  <c r="AP124" i="63"/>
  <c r="BN124" i="63"/>
  <c r="CM124" i="63"/>
  <c r="JF124" i="63"/>
  <c r="MD124" i="63"/>
  <c r="KE124" i="63"/>
  <c r="LD124" i="63"/>
  <c r="AO124" i="63"/>
  <c r="DL124" i="63"/>
  <c r="IG124" i="63"/>
  <c r="LE124" i="63"/>
  <c r="GI124" i="63"/>
  <c r="FJ124" i="63"/>
  <c r="P124" i="63"/>
  <c r="EK124" i="63"/>
  <c r="HH124" i="63"/>
  <c r="IF124" i="63"/>
  <c r="KD124" i="63"/>
  <c r="BM124" i="63"/>
  <c r="O124" i="63"/>
  <c r="LC124" i="63"/>
  <c r="AN124" i="63"/>
  <c r="MB124" i="63"/>
  <c r="DK124" i="63"/>
  <c r="GH124" i="63"/>
  <c r="FI124" i="63"/>
  <c r="HG124" i="63"/>
  <c r="EJ124" i="63"/>
  <c r="MC124" i="63"/>
  <c r="NB124" i="63"/>
  <c r="JE124" i="63"/>
  <c r="CL124" i="63"/>
  <c r="GG124" i="63"/>
  <c r="DJ124" i="63"/>
  <c r="BL124" i="63"/>
  <c r="NZ124" i="63"/>
  <c r="HF124" i="63"/>
  <c r="MZ124" i="63"/>
  <c r="AM124" i="63"/>
  <c r="NA124" i="63"/>
  <c r="N124" i="63"/>
  <c r="KC124" i="63"/>
  <c r="EI124" i="63"/>
  <c r="MA124" i="63"/>
  <c r="JD124" i="63"/>
  <c r="LB124" i="63"/>
  <c r="CK124" i="63"/>
  <c r="IE124" i="63"/>
  <c r="FH124" i="63"/>
  <c r="MY124" i="63"/>
  <c r="ID124" i="63"/>
  <c r="CJ124" i="63"/>
  <c r="NX124" i="63"/>
  <c r="FG124" i="63"/>
  <c r="M124" i="63"/>
  <c r="GF124" i="63"/>
  <c r="OX124" i="63"/>
  <c r="LZ124" i="63"/>
  <c r="KB124" i="63"/>
  <c r="AL124" i="63"/>
  <c r="JC124" i="63"/>
  <c r="EH124" i="63"/>
  <c r="BK124" i="63"/>
  <c r="NY124" i="63"/>
  <c r="LA124" i="63"/>
  <c r="DI124" i="63"/>
  <c r="HE124" i="63"/>
  <c r="LY124" i="63"/>
  <c r="CI124" i="63"/>
  <c r="AK124" i="63"/>
  <c r="JB124" i="63"/>
  <c r="BJ124" i="63"/>
  <c r="OV124" i="63"/>
  <c r="KZ124" i="63"/>
  <c r="DH124" i="63"/>
  <c r="IC124" i="63"/>
  <c r="PV124" i="63"/>
  <c r="EG124" i="63"/>
  <c r="NW124" i="63"/>
  <c r="HD124" i="63"/>
  <c r="GE124" i="63"/>
  <c r="OW124" i="63"/>
  <c r="FF124" i="63"/>
  <c r="MX124" i="63"/>
  <c r="L124" i="63"/>
  <c r="KA124" i="63"/>
  <c r="LX124" i="63"/>
  <c r="EF124" i="63"/>
  <c r="MW124" i="63"/>
  <c r="PT124" i="63"/>
  <c r="BI124" i="63"/>
  <c r="PU124" i="63"/>
  <c r="CH124" i="63"/>
  <c r="DG124" i="63"/>
  <c r="AJ124" i="63"/>
  <c r="IB124" i="63"/>
  <c r="NV124" i="63"/>
  <c r="OU124" i="63"/>
  <c r="GD124" i="63"/>
  <c r="JZ124" i="63"/>
  <c r="K124" i="63"/>
  <c r="HC124" i="63"/>
  <c r="FE124" i="63"/>
  <c r="KY124" i="63"/>
  <c r="JA124" i="63"/>
  <c r="J124" i="63"/>
  <c r="MV124" i="63"/>
  <c r="EE124" i="63"/>
  <c r="KX124" i="63"/>
  <c r="CG124" i="63"/>
  <c r="OT124" i="63"/>
  <c r="LW124" i="63"/>
  <c r="FD124" i="63"/>
  <c r="AI124" i="63"/>
  <c r="PS124" i="63"/>
  <c r="IZ124" i="63"/>
  <c r="IA124" i="63"/>
  <c r="NU124" i="63"/>
  <c r="BH124" i="63"/>
  <c r="DF124" i="63"/>
  <c r="GC124" i="63"/>
  <c r="JY124" i="63"/>
  <c r="HB124" i="63"/>
  <c r="MU124" i="63"/>
  <c r="KW124" i="63"/>
  <c r="HA124" i="63"/>
  <c r="DE124" i="63"/>
  <c r="ED124" i="63"/>
  <c r="IY124" i="63"/>
  <c r="JX124" i="63"/>
  <c r="AH124" i="63"/>
  <c r="BG124" i="63"/>
  <c r="HZ124" i="63"/>
  <c r="CF124" i="63"/>
  <c r="OS124" i="63"/>
  <c r="GB124" i="63"/>
  <c r="FC124" i="63"/>
  <c r="NT124" i="63"/>
  <c r="LV124" i="63"/>
  <c r="PR124" i="63"/>
  <c r="CE124" i="63"/>
  <c r="DD124" i="63"/>
  <c r="IX124" i="63"/>
  <c r="OR124" i="63"/>
  <c r="LU124" i="63"/>
  <c r="FB124" i="63"/>
  <c r="PQ124" i="63"/>
  <c r="EC124" i="63"/>
  <c r="JW124" i="63"/>
  <c r="MT124" i="63"/>
  <c r="GA124" i="63"/>
  <c r="GZ124" i="63"/>
  <c r="BF124" i="63"/>
  <c r="NS124" i="63"/>
  <c r="HY124" i="63"/>
  <c r="KV124" i="63"/>
  <c r="MS124" i="63"/>
  <c r="DC124" i="63"/>
  <c r="HX124" i="63"/>
  <c r="PP124" i="63"/>
  <c r="CD124" i="63"/>
  <c r="OQ124" i="63"/>
  <c r="KU124" i="63"/>
  <c r="LT124" i="63"/>
  <c r="FZ124" i="63"/>
  <c r="FA124" i="63"/>
  <c r="EB124" i="63"/>
  <c r="JV124" i="63"/>
  <c r="IW124" i="63"/>
  <c r="GY124" i="63"/>
  <c r="NR124" i="63"/>
  <c r="EZ124" i="63"/>
  <c r="IV124" i="63"/>
  <c r="EA124" i="63"/>
  <c r="DB124" i="63"/>
  <c r="LS124" i="63"/>
  <c r="KT124" i="63"/>
  <c r="JU124" i="63"/>
  <c r="OP124" i="63"/>
  <c r="FY124" i="63"/>
  <c r="PO124" i="63"/>
  <c r="MR124" i="63"/>
  <c r="HW124" i="63"/>
  <c r="GX124" i="63"/>
  <c r="NQ124" i="63"/>
  <c r="JT124" i="63"/>
  <c r="PN124" i="63"/>
  <c r="MQ124" i="63"/>
  <c r="NP124" i="63"/>
  <c r="KS124" i="63"/>
  <c r="EY124" i="63"/>
  <c r="LR124" i="63"/>
  <c r="IU124" i="63"/>
  <c r="FX124" i="63"/>
  <c r="OO124" i="63"/>
  <c r="HV124" i="63"/>
  <c r="DZ124" i="63"/>
  <c r="GW124" i="63"/>
  <c r="LQ124" i="63"/>
  <c r="IT124" i="63"/>
  <c r="EX124" i="63"/>
  <c r="JS124" i="63"/>
  <c r="ON124" i="63"/>
  <c r="PM124" i="63"/>
  <c r="FW124" i="63"/>
  <c r="NO124" i="63"/>
  <c r="KR124" i="63"/>
  <c r="HU124" i="63"/>
  <c r="MP124" i="63"/>
  <c r="GV124" i="63"/>
  <c r="HT124" i="63"/>
  <c r="OM124" i="63"/>
  <c r="PL124" i="63"/>
  <c r="GU124" i="63"/>
  <c r="IS124" i="63"/>
  <c r="LP124" i="63"/>
  <c r="KQ124" i="63"/>
  <c r="MO124" i="63"/>
  <c r="NN124" i="63"/>
  <c r="FV124" i="63"/>
  <c r="JR124" i="63"/>
  <c r="MN124" i="63"/>
  <c r="KP124" i="63"/>
  <c r="GT124" i="63"/>
  <c r="IR124" i="63"/>
  <c r="NM124" i="63"/>
  <c r="PK124" i="63"/>
  <c r="LO124" i="63"/>
  <c r="HS124" i="63"/>
  <c r="JQ124" i="63"/>
  <c r="OL124" i="63"/>
  <c r="PJ124" i="63"/>
  <c r="OK124" i="63"/>
  <c r="JP124" i="63"/>
  <c r="HR124" i="63"/>
  <c r="LN124" i="63"/>
  <c r="MM124" i="63"/>
  <c r="KO124" i="63"/>
  <c r="NL124" i="63"/>
  <c r="IQ124" i="63"/>
  <c r="JO124" i="63"/>
  <c r="LM124" i="63"/>
  <c r="KN124" i="63"/>
  <c r="NK124" i="63"/>
  <c r="OJ124" i="63"/>
  <c r="ML124" i="63"/>
  <c r="IP124" i="63"/>
  <c r="PI124" i="63"/>
  <c r="PH124" i="63"/>
  <c r="KM124" i="63"/>
  <c r="MK124" i="63"/>
  <c r="JN124" i="63"/>
  <c r="LL124" i="63"/>
  <c r="OI124" i="63"/>
  <c r="NJ124" i="63"/>
  <c r="NI124" i="63"/>
  <c r="KL124" i="63"/>
  <c r="OH124" i="63"/>
  <c r="PG124" i="63"/>
  <c r="MJ124" i="63"/>
  <c r="LK124" i="63"/>
  <c r="LJ124" i="63"/>
  <c r="NH124" i="63"/>
  <c r="MI186" i="63"/>
  <c r="MI187" i="63"/>
  <c r="MI184" i="63"/>
  <c r="MI183" i="63"/>
  <c r="MI181" i="63"/>
  <c r="MI185" i="63"/>
  <c r="MI177" i="63"/>
  <c r="MI182" i="63"/>
  <c r="MI178" i="63"/>
  <c r="MI176" i="63"/>
  <c r="NG174" i="63"/>
  <c r="MI180" i="63"/>
  <c r="MI179" i="63"/>
  <c r="MI175" i="63"/>
  <c r="LJ187" i="63"/>
  <c r="LJ186" i="63"/>
  <c r="LJ185" i="63"/>
  <c r="LJ184" i="63"/>
  <c r="LJ183" i="63"/>
  <c r="LJ182" i="63"/>
  <c r="LJ178" i="63"/>
  <c r="LI175" i="63"/>
  <c r="LI176" i="63" s="1"/>
  <c r="LI177" i="63" s="1"/>
  <c r="LI178" i="63" s="1"/>
  <c r="LI179" i="63" s="1"/>
  <c r="LI180" i="63" s="1"/>
  <c r="LI181" i="63" s="1"/>
  <c r="LI182" i="63" s="1"/>
  <c r="LI183" i="63" s="1"/>
  <c r="LI184" i="63" s="1"/>
  <c r="LI185" i="63" s="1"/>
  <c r="LI186" i="63" s="1"/>
  <c r="LI187" i="63" s="1"/>
  <c r="LI188" i="63" s="1"/>
  <c r="LI189" i="63" s="1"/>
  <c r="LI190" i="63" s="1"/>
  <c r="LI191" i="63" s="1"/>
  <c r="LI192" i="63" s="1"/>
  <c r="LI193" i="63" s="1"/>
  <c r="LI194" i="63" s="1"/>
  <c r="LI195" i="63" s="1"/>
  <c r="LJ179" i="63"/>
  <c r="LJ175" i="63"/>
  <c r="LJ177" i="63"/>
  <c r="MH174" i="63"/>
  <c r="LJ181" i="63"/>
  <c r="LJ176" i="63"/>
  <c r="LJ180" i="63"/>
  <c r="KK238" i="63"/>
  <c r="KK239" i="63" s="1"/>
  <c r="KK240" i="63" s="1"/>
  <c r="KK241" i="63" s="1"/>
  <c r="KK242" i="63" s="1"/>
  <c r="KK243" i="63" s="1"/>
  <c r="KK244" i="63" s="1"/>
  <c r="KK245" i="63" s="1"/>
  <c r="KK246" i="63" s="1"/>
  <c r="KK247" i="63" s="1"/>
  <c r="KK248" i="63" s="1"/>
  <c r="KK249" i="63" s="1"/>
  <c r="KK250" i="63" s="1"/>
  <c r="KK251" i="63" s="1"/>
  <c r="KK252" i="63" s="1"/>
  <c r="KK253" i="63" s="1"/>
  <c r="KK254" i="63" s="1"/>
  <c r="KK255" i="63" s="1"/>
  <c r="KK256" i="63" s="1"/>
  <c r="KK257" i="63" s="1"/>
  <c r="KK258" i="63" s="1"/>
  <c r="LJ237" i="63"/>
  <c r="PE124" i="63"/>
  <c r="PE123" i="63"/>
  <c r="PE122" i="63"/>
  <c r="PE121" i="63"/>
  <c r="PE120" i="63"/>
  <c r="PE119" i="63"/>
  <c r="PE118" i="63"/>
  <c r="PE117" i="63"/>
  <c r="PE116" i="63"/>
  <c r="PE113" i="63"/>
  <c r="PE115" i="63"/>
  <c r="PE114" i="63"/>
  <c r="PE112" i="63"/>
  <c r="PE111" i="63"/>
  <c r="OG124" i="63"/>
  <c r="OG184" i="63"/>
  <c r="OG185" i="63"/>
  <c r="OG182" i="63"/>
  <c r="OG186" i="63"/>
  <c r="OG178" i="63"/>
  <c r="PE174" i="63"/>
  <c r="OG181" i="63"/>
  <c r="OG179" i="63"/>
  <c r="OG175" i="63"/>
  <c r="OG183" i="63"/>
  <c r="OG180" i="63"/>
  <c r="OG176" i="63"/>
  <c r="OG187" i="63"/>
  <c r="OG177" i="63"/>
  <c r="OF116" i="63"/>
  <c r="OF125" i="63"/>
  <c r="OF119" i="63"/>
  <c r="OF115" i="63"/>
  <c r="OF118" i="63"/>
  <c r="OF124" i="63"/>
  <c r="OF122" i="63"/>
  <c r="OF120" i="63"/>
  <c r="OF117" i="63"/>
  <c r="PD110" i="63"/>
  <c r="OF123" i="63"/>
  <c r="OF121" i="63"/>
  <c r="OF114" i="63"/>
  <c r="OF113" i="63"/>
  <c r="OF112" i="63"/>
  <c r="OF111" i="63"/>
  <c r="BR111" i="65" l="1"/>
  <c r="BS111" i="65"/>
  <c r="O112" i="65"/>
  <c r="BN111" i="65"/>
  <c r="BM111" i="65"/>
  <c r="BL111" i="65"/>
  <c r="BK111" i="65"/>
  <c r="BJ111" i="65"/>
  <c r="BI111" i="65"/>
  <c r="BH111" i="65"/>
  <c r="BG111" i="65"/>
  <c r="BF111" i="65"/>
  <c r="BE111" i="65"/>
  <c r="BD111" i="65"/>
  <c r="BC111" i="65"/>
  <c r="BB111" i="65"/>
  <c r="BA111" i="65"/>
  <c r="AZ111" i="65"/>
  <c r="AY111" i="65"/>
  <c r="AX111" i="65"/>
  <c r="AW111" i="65"/>
  <c r="AV111" i="65"/>
  <c r="AU111" i="65"/>
  <c r="AT111" i="65"/>
  <c r="AS111" i="65"/>
  <c r="AR111" i="65"/>
  <c r="AQ111" i="65"/>
  <c r="AP111" i="65"/>
  <c r="AO111" i="65"/>
  <c r="AN111" i="65"/>
  <c r="AM111" i="65"/>
  <c r="AL111" i="65"/>
  <c r="AK111" i="65"/>
  <c r="AJ111" i="65"/>
  <c r="AI111" i="65"/>
  <c r="AH111" i="65"/>
  <c r="AG111" i="65"/>
  <c r="AF111" i="65"/>
  <c r="AE111" i="65"/>
  <c r="AD111" i="65"/>
  <c r="AC111" i="65"/>
  <c r="AB111" i="65"/>
  <c r="AA111" i="65"/>
  <c r="Z111" i="65"/>
  <c r="Y111" i="65"/>
  <c r="X111" i="65"/>
  <c r="W111" i="65"/>
  <c r="V111" i="65"/>
  <c r="U111" i="65"/>
  <c r="T111" i="65"/>
  <c r="S111" i="65"/>
  <c r="R111" i="65"/>
  <c r="P111" i="65"/>
  <c r="Q221" i="65"/>
  <c r="P221" i="65"/>
  <c r="O222" i="65" s="1"/>
  <c r="O223" i="65" s="1"/>
  <c r="O224" i="65" s="1"/>
  <c r="O225" i="65" s="1"/>
  <c r="O226" i="65" s="1"/>
  <c r="O227" i="65" s="1"/>
  <c r="O228" i="65" s="1"/>
  <c r="O229" i="65" s="1"/>
  <c r="O230" i="65" s="1"/>
  <c r="O231" i="65" s="1"/>
  <c r="O232" i="65" s="1"/>
  <c r="O233" i="65" s="1"/>
  <c r="O234" i="65" s="1"/>
  <c r="O235" i="65" s="1"/>
  <c r="O236" i="65" s="1"/>
  <c r="O237" i="65" s="1"/>
  <c r="O238" i="65" s="1"/>
  <c r="O239" i="65" s="1"/>
  <c r="O240" i="65" s="1"/>
  <c r="O241" i="65" s="1"/>
  <c r="O242" i="65" s="1"/>
  <c r="O243" i="65" s="1"/>
  <c r="O244" i="65" s="1"/>
  <c r="O245" i="65" s="1"/>
  <c r="O246" i="65" s="1"/>
  <c r="O247" i="65" s="1"/>
  <c r="O248" i="65" s="1"/>
  <c r="O249" i="65" s="1"/>
  <c r="O250" i="65" s="1"/>
  <c r="O251" i="65" s="1"/>
  <c r="O252" i="65" s="1"/>
  <c r="O253" i="65" s="1"/>
  <c r="O254" i="65" s="1"/>
  <c r="O255" i="65" s="1"/>
  <c r="O256" i="65" s="1"/>
  <c r="O257" i="65" s="1"/>
  <c r="O258" i="65" s="1"/>
  <c r="O259" i="65" s="1"/>
  <c r="O260" i="65" s="1"/>
  <c r="O261" i="65" s="1"/>
  <c r="O262" i="65" s="1"/>
  <c r="O263" i="65" s="1"/>
  <c r="O264" i="65" s="1"/>
  <c r="O265" i="65" s="1"/>
  <c r="O266" i="65" s="1"/>
  <c r="O267" i="65" s="1"/>
  <c r="O268" i="65" s="1"/>
  <c r="O269" i="65" s="1"/>
  <c r="O270" i="65" s="1"/>
  <c r="O271" i="65" s="1"/>
  <c r="O272" i="65" s="1"/>
  <c r="O167" i="65"/>
  <c r="BN180" i="39"/>
  <c r="BH180" i="39"/>
  <c r="BG180" i="39"/>
  <c r="AN180" i="39"/>
  <c r="BE180" i="39"/>
  <c r="AW180" i="39"/>
  <c r="AS180" i="39"/>
  <c r="BC180" i="39"/>
  <c r="BM180" i="39"/>
  <c r="BJ180" i="39"/>
  <c r="BL180" i="39"/>
  <c r="BI180" i="39"/>
  <c r="AZ180" i="39"/>
  <c r="AL180" i="39"/>
  <c r="AT180" i="39"/>
  <c r="BB180" i="39"/>
  <c r="BK180" i="39"/>
  <c r="AK180" i="39"/>
  <c r="BF180" i="39"/>
  <c r="AU180" i="39"/>
  <c r="AO180" i="39"/>
  <c r="AY180" i="39"/>
  <c r="AM180" i="39"/>
  <c r="AX180" i="39"/>
  <c r="AQ180" i="39"/>
  <c r="AP180" i="39"/>
  <c r="BD180" i="39"/>
  <c r="BA180" i="39"/>
  <c r="AR180" i="39"/>
  <c r="AV180" i="39"/>
  <c r="AG180" i="39"/>
  <c r="AE180" i="39"/>
  <c r="AB180" i="39"/>
  <c r="Y180" i="39"/>
  <c r="X180" i="39"/>
  <c r="W180" i="39"/>
  <c r="AJ180" i="39"/>
  <c r="AD180" i="39"/>
  <c r="AH180" i="39"/>
  <c r="AF180" i="39"/>
  <c r="AI180" i="39"/>
  <c r="Z180" i="39"/>
  <c r="AA180" i="39"/>
  <c r="AC180" i="39"/>
  <c r="V180" i="39"/>
  <c r="U180" i="39"/>
  <c r="T180" i="39"/>
  <c r="S180" i="39"/>
  <c r="R180" i="39"/>
  <c r="Q180" i="39"/>
  <c r="P180" i="39"/>
  <c r="O181" i="39"/>
  <c r="BN124" i="39"/>
  <c r="BD124" i="39"/>
  <c r="BL124" i="39"/>
  <c r="AX124" i="39"/>
  <c r="AS124" i="39"/>
  <c r="BC124" i="39"/>
  <c r="AQ124" i="39"/>
  <c r="AP124" i="39"/>
  <c r="AR124" i="39"/>
  <c r="BE124" i="39"/>
  <c r="AY124" i="39"/>
  <c r="BH124" i="39"/>
  <c r="AW124" i="39"/>
  <c r="AN124" i="39"/>
  <c r="AT124" i="39"/>
  <c r="BK124" i="39"/>
  <c r="AM124" i="39"/>
  <c r="BJ124" i="39"/>
  <c r="BB124" i="39"/>
  <c r="BI124" i="39"/>
  <c r="AZ124" i="39"/>
  <c r="AO124" i="39"/>
  <c r="AV124" i="39"/>
  <c r="BG124" i="39"/>
  <c r="AU124" i="39"/>
  <c r="BA124" i="39"/>
  <c r="AK124" i="39"/>
  <c r="AL124" i="39"/>
  <c r="BM124" i="39"/>
  <c r="BF124" i="39"/>
  <c r="AE124" i="39"/>
  <c r="Z124" i="39"/>
  <c r="AH124" i="39"/>
  <c r="AI124" i="39"/>
  <c r="AB124" i="39"/>
  <c r="Y124" i="39"/>
  <c r="X124" i="39"/>
  <c r="AC124" i="39"/>
  <c r="AF124" i="39"/>
  <c r="AJ124" i="39"/>
  <c r="AD124" i="39"/>
  <c r="AG124" i="39"/>
  <c r="AA124" i="39"/>
  <c r="W124" i="39"/>
  <c r="V124" i="39"/>
  <c r="U124" i="39"/>
  <c r="T124" i="39"/>
  <c r="S124" i="39"/>
  <c r="R124" i="39"/>
  <c r="Q124" i="39"/>
  <c r="P124" i="39"/>
  <c r="O125" i="39"/>
  <c r="MH125" i="63"/>
  <c r="PE187" i="63"/>
  <c r="PE183" i="63"/>
  <c r="PE186" i="63"/>
  <c r="PE188" i="63"/>
  <c r="PE185" i="63"/>
  <c r="PE182" i="63"/>
  <c r="PE178" i="63"/>
  <c r="PE181" i="63"/>
  <c r="PE179" i="63"/>
  <c r="PE175" i="63"/>
  <c r="PE180" i="63"/>
  <c r="PE176" i="63"/>
  <c r="PE184" i="63"/>
  <c r="PE177" i="63"/>
  <c r="I189" i="63"/>
  <c r="NG189" i="63" s="1"/>
  <c r="AD188" i="63"/>
  <c r="AB188" i="63"/>
  <c r="AC188" i="63"/>
  <c r="BB188" i="63"/>
  <c r="AZ188" i="63"/>
  <c r="BZ188" i="63"/>
  <c r="BA188" i="63"/>
  <c r="AA188" i="63"/>
  <c r="Z188" i="63"/>
  <c r="CX188" i="63"/>
  <c r="BY188" i="63"/>
  <c r="AY188" i="63"/>
  <c r="BX188" i="63"/>
  <c r="AX188" i="63"/>
  <c r="Y188" i="63"/>
  <c r="CW188" i="63"/>
  <c r="CV188" i="63"/>
  <c r="BW188" i="63"/>
  <c r="DV188" i="63"/>
  <c r="DU188" i="63"/>
  <c r="X188" i="63"/>
  <c r="CU188" i="63"/>
  <c r="DT188" i="63"/>
  <c r="ET188" i="63"/>
  <c r="BV188" i="63"/>
  <c r="AW188" i="63"/>
  <c r="ER188" i="63"/>
  <c r="DS188" i="63"/>
  <c r="BU188" i="63"/>
  <c r="FR188" i="63"/>
  <c r="AV188" i="63"/>
  <c r="ES188" i="63"/>
  <c r="CT188" i="63"/>
  <c r="W188" i="63"/>
  <c r="EQ188" i="63"/>
  <c r="FQ188" i="63"/>
  <c r="V188" i="63"/>
  <c r="BT188" i="63"/>
  <c r="CS188" i="63"/>
  <c r="DR188" i="63"/>
  <c r="AU188" i="63"/>
  <c r="GP188" i="63"/>
  <c r="FP188" i="63"/>
  <c r="BS188" i="63"/>
  <c r="U188" i="63"/>
  <c r="HN188" i="63"/>
  <c r="AT188" i="63"/>
  <c r="FO188" i="63"/>
  <c r="GO188" i="63"/>
  <c r="EP188" i="63"/>
  <c r="GN188" i="63"/>
  <c r="DQ188" i="63"/>
  <c r="CR188" i="63"/>
  <c r="DP188" i="63"/>
  <c r="EO188" i="63"/>
  <c r="IL188" i="63"/>
  <c r="AS188" i="63"/>
  <c r="BR188" i="63"/>
  <c r="FN188" i="63"/>
  <c r="T188" i="63"/>
  <c r="HL188" i="63"/>
  <c r="CQ188" i="63"/>
  <c r="HM188" i="63"/>
  <c r="GM188" i="63"/>
  <c r="EN188" i="63"/>
  <c r="GL188" i="63"/>
  <c r="IJ188" i="63"/>
  <c r="S188" i="63"/>
  <c r="DO188" i="63"/>
  <c r="JJ188" i="63"/>
  <c r="AR188" i="63"/>
  <c r="FM188" i="63"/>
  <c r="IK188" i="63"/>
  <c r="CP188" i="63"/>
  <c r="BQ188" i="63"/>
  <c r="HK188" i="63"/>
  <c r="BP188" i="63"/>
  <c r="R188" i="63"/>
  <c r="HJ188" i="63"/>
  <c r="DN188" i="63"/>
  <c r="FL188" i="63"/>
  <c r="CO188" i="63"/>
  <c r="JI188" i="63"/>
  <c r="KH188" i="63"/>
  <c r="EM188" i="63"/>
  <c r="II188" i="63"/>
  <c r="GK188" i="63"/>
  <c r="AQ188" i="63"/>
  <c r="JH188" i="63"/>
  <c r="IH188" i="63"/>
  <c r="CN188" i="63"/>
  <c r="LF188" i="63"/>
  <c r="DM188" i="63"/>
  <c r="KG188" i="63"/>
  <c r="BO188" i="63"/>
  <c r="AP188" i="63"/>
  <c r="HI188" i="63"/>
  <c r="EL188" i="63"/>
  <c r="Q188" i="63"/>
  <c r="GJ188" i="63"/>
  <c r="JG188" i="63"/>
  <c r="KF188" i="63"/>
  <c r="FK188" i="63"/>
  <c r="JF188" i="63"/>
  <c r="GI188" i="63"/>
  <c r="MD188" i="63"/>
  <c r="DL188" i="63"/>
  <c r="KE188" i="63"/>
  <c r="LD188" i="63"/>
  <c r="P188" i="63"/>
  <c r="CM188" i="63"/>
  <c r="BN188" i="63"/>
  <c r="EK188" i="63"/>
  <c r="LE188" i="63"/>
  <c r="IG188" i="63"/>
  <c r="HH188" i="63"/>
  <c r="AO188" i="63"/>
  <c r="FJ188" i="63"/>
  <c r="NB188" i="63"/>
  <c r="IF188" i="63"/>
  <c r="MB188" i="63"/>
  <c r="O188" i="63"/>
  <c r="MC188" i="63"/>
  <c r="LC188" i="63"/>
  <c r="GH188" i="63"/>
  <c r="DK188" i="63"/>
  <c r="JE188" i="63"/>
  <c r="BM188" i="63"/>
  <c r="CL188" i="63"/>
  <c r="AN188" i="63"/>
  <c r="HG188" i="63"/>
  <c r="KD188" i="63"/>
  <c r="EJ188" i="63"/>
  <c r="FI188" i="63"/>
  <c r="FH188" i="63"/>
  <c r="MA188" i="63"/>
  <c r="HF188" i="63"/>
  <c r="AM188" i="63"/>
  <c r="DJ188" i="63"/>
  <c r="MZ188" i="63"/>
  <c r="CK188" i="63"/>
  <c r="NZ188" i="63"/>
  <c r="BL188" i="63"/>
  <c r="N188" i="63"/>
  <c r="GG188" i="63"/>
  <c r="EI188" i="63"/>
  <c r="JD188" i="63"/>
  <c r="KC188" i="63"/>
  <c r="LB188" i="63"/>
  <c r="IE188" i="63"/>
  <c r="NA188" i="63"/>
  <c r="MY188" i="63"/>
  <c r="JC188" i="63"/>
  <c r="M188" i="63"/>
  <c r="EH188" i="63"/>
  <c r="KB188" i="63"/>
  <c r="CJ188" i="63"/>
  <c r="FG188" i="63"/>
  <c r="BK188" i="63"/>
  <c r="ID188" i="63"/>
  <c r="NX188" i="63"/>
  <c r="AL188" i="63"/>
  <c r="OX188" i="63"/>
  <c r="DI188" i="63"/>
  <c r="NY188" i="63"/>
  <c r="LZ188" i="63"/>
  <c r="LA188" i="63"/>
  <c r="GF188" i="63"/>
  <c r="HE188" i="63"/>
  <c r="IC188" i="63"/>
  <c r="HD188" i="63"/>
  <c r="NW188" i="63"/>
  <c r="KA188" i="63"/>
  <c r="BJ188" i="63"/>
  <c r="PV188" i="63"/>
  <c r="OV188" i="63"/>
  <c r="LY188" i="63"/>
  <c r="EG188" i="63"/>
  <c r="KZ188" i="63"/>
  <c r="DH188" i="63"/>
  <c r="GE188" i="63"/>
  <c r="FF188" i="63"/>
  <c r="JB188" i="63"/>
  <c r="CI188" i="63"/>
  <c r="L188" i="63"/>
  <c r="OW188" i="63"/>
  <c r="AK188" i="63"/>
  <c r="MX188" i="63"/>
  <c r="OU188" i="63"/>
  <c r="IB188" i="63"/>
  <c r="LX188" i="63"/>
  <c r="PT188" i="63"/>
  <c r="BI188" i="63"/>
  <c r="GD188" i="63"/>
  <c r="JZ188" i="63"/>
  <c r="K188" i="63"/>
  <c r="PU188" i="63"/>
  <c r="CH188" i="63"/>
  <c r="JA188" i="63"/>
  <c r="MW188" i="63"/>
  <c r="HC188" i="63"/>
  <c r="AJ188" i="63"/>
  <c r="FE188" i="63"/>
  <c r="KY188" i="63"/>
  <c r="NV188" i="63"/>
  <c r="EF188" i="63"/>
  <c r="DG188" i="63"/>
  <c r="AI188" i="63"/>
  <c r="EE188" i="63"/>
  <c r="IA188" i="63"/>
  <c r="PS188" i="63"/>
  <c r="FD188" i="63"/>
  <c r="JY188" i="63"/>
  <c r="HB188" i="63"/>
  <c r="NU188" i="63"/>
  <c r="LW188" i="63"/>
  <c r="J188" i="63"/>
  <c r="BH188" i="63"/>
  <c r="GC188" i="63"/>
  <c r="OT188" i="63"/>
  <c r="KX188" i="63"/>
  <c r="DF188" i="63"/>
  <c r="MV188" i="63"/>
  <c r="CG188" i="63"/>
  <c r="IZ188" i="63"/>
  <c r="BG188" i="63"/>
  <c r="JX188" i="63"/>
  <c r="DE188" i="63"/>
  <c r="HA188" i="63"/>
  <c r="OS188" i="63"/>
  <c r="LV188" i="63"/>
  <c r="IY188" i="63"/>
  <c r="FC188" i="63"/>
  <c r="AH188" i="63"/>
  <c r="CF188" i="63"/>
  <c r="HZ188" i="63"/>
  <c r="KW188" i="63"/>
  <c r="GB188" i="63"/>
  <c r="NT188" i="63"/>
  <c r="ED188" i="63"/>
  <c r="PR188" i="63"/>
  <c r="MU188" i="63"/>
  <c r="HY188" i="63"/>
  <c r="EC188" i="63"/>
  <c r="PQ188" i="63"/>
  <c r="KV188" i="63"/>
  <c r="DD188" i="63"/>
  <c r="MT188" i="63"/>
  <c r="GA188" i="63"/>
  <c r="GZ188" i="63"/>
  <c r="JW188" i="63"/>
  <c r="CE188" i="63"/>
  <c r="OR188" i="63"/>
  <c r="FB188" i="63"/>
  <c r="BF188" i="63"/>
  <c r="NS188" i="63"/>
  <c r="IX188" i="63"/>
  <c r="LU188" i="63"/>
  <c r="DC188" i="63"/>
  <c r="JV188" i="63"/>
  <c r="CD188" i="63"/>
  <c r="HX188" i="63"/>
  <c r="MS188" i="63"/>
  <c r="PP188" i="63"/>
  <c r="NR188" i="63"/>
  <c r="OQ188" i="63"/>
  <c r="LT188" i="63"/>
  <c r="FZ188" i="63"/>
  <c r="KU188" i="63"/>
  <c r="EB188" i="63"/>
  <c r="GY188" i="63"/>
  <c r="FA188" i="63"/>
  <c r="IW188" i="63"/>
  <c r="LS188" i="63"/>
  <c r="EA188" i="63"/>
  <c r="OP188" i="63"/>
  <c r="KT188" i="63"/>
  <c r="FY188" i="63"/>
  <c r="JU188" i="63"/>
  <c r="GX188" i="63"/>
  <c r="NQ188" i="63"/>
  <c r="EZ188" i="63"/>
  <c r="DB188" i="63"/>
  <c r="HW188" i="63"/>
  <c r="IV188" i="63"/>
  <c r="MR188" i="63"/>
  <c r="PO188" i="63"/>
  <c r="MQ188" i="63"/>
  <c r="IU188" i="63"/>
  <c r="LR188" i="63"/>
  <c r="PN188" i="63"/>
  <c r="EY188" i="63"/>
  <c r="FX188" i="63"/>
  <c r="JT188" i="63"/>
  <c r="OO188" i="63"/>
  <c r="HV188" i="63"/>
  <c r="GW188" i="63"/>
  <c r="NP188" i="63"/>
  <c r="DZ188" i="63"/>
  <c r="KS188" i="63"/>
  <c r="MP188" i="63"/>
  <c r="HU188" i="63"/>
  <c r="GV188" i="63"/>
  <c r="JS188" i="63"/>
  <c r="NO188" i="63"/>
  <c r="PM188" i="63"/>
  <c r="EX188" i="63"/>
  <c r="LQ188" i="63"/>
  <c r="ON188" i="63"/>
  <c r="KR188" i="63"/>
  <c r="FW188" i="63"/>
  <c r="IT188" i="63"/>
  <c r="MO188" i="63"/>
  <c r="FV188" i="63"/>
  <c r="IS188" i="63"/>
  <c r="OM188" i="63"/>
  <c r="LP188" i="63"/>
  <c r="GU188" i="63"/>
  <c r="KQ188" i="63"/>
  <c r="HT188" i="63"/>
  <c r="NN188" i="63"/>
  <c r="PL188" i="63"/>
  <c r="JR188" i="63"/>
  <c r="LO188" i="63"/>
  <c r="HS188" i="63"/>
  <c r="OL188" i="63"/>
  <c r="KP188" i="63"/>
  <c r="NM188" i="63"/>
  <c r="JQ188" i="63"/>
  <c r="IR188" i="63"/>
  <c r="MN188" i="63"/>
  <c r="GT188" i="63"/>
  <c r="PK188" i="63"/>
  <c r="OK188" i="63"/>
  <c r="PJ188" i="63"/>
  <c r="JP188" i="63"/>
  <c r="LN188" i="63"/>
  <c r="IQ188" i="63"/>
  <c r="HR188" i="63"/>
  <c r="KO188" i="63"/>
  <c r="MM188" i="63"/>
  <c r="NL188" i="63"/>
  <c r="LM188" i="63"/>
  <c r="OJ188" i="63"/>
  <c r="IP188" i="63"/>
  <c r="JO188" i="63"/>
  <c r="ML188" i="63"/>
  <c r="PI188" i="63"/>
  <c r="NK188" i="63"/>
  <c r="KN188" i="63"/>
  <c r="OI188" i="63"/>
  <c r="PH188" i="63"/>
  <c r="MK188" i="63"/>
  <c r="LL188" i="63"/>
  <c r="JN188" i="63"/>
  <c r="KM188" i="63"/>
  <c r="NJ188" i="63"/>
  <c r="LK188" i="63"/>
  <c r="PG188" i="63"/>
  <c r="KL188" i="63"/>
  <c r="OH188" i="63"/>
  <c r="MJ188" i="63"/>
  <c r="NI188" i="63"/>
  <c r="OF188" i="63"/>
  <c r="OF187" i="63"/>
  <c r="OF186" i="63"/>
  <c r="OF185" i="63"/>
  <c r="OF184" i="63"/>
  <c r="OF183" i="63"/>
  <c r="PD174" i="63"/>
  <c r="OF181" i="63"/>
  <c r="OF179" i="63"/>
  <c r="OF175" i="63"/>
  <c r="OF180" i="63"/>
  <c r="OF176" i="63"/>
  <c r="OF182" i="63"/>
  <c r="OF178" i="63"/>
  <c r="OF177" i="63"/>
  <c r="OG188" i="63"/>
  <c r="PD125" i="63"/>
  <c r="PD124" i="63"/>
  <c r="PD123" i="63"/>
  <c r="PD122" i="63"/>
  <c r="PD121" i="63"/>
  <c r="PD120" i="63"/>
  <c r="PD119" i="63"/>
  <c r="PD118" i="63"/>
  <c r="PD116" i="63"/>
  <c r="PD115" i="63"/>
  <c r="PD114" i="63"/>
  <c r="PD113" i="63"/>
  <c r="PD112" i="63"/>
  <c r="PD111" i="63"/>
  <c r="PD117" i="63"/>
  <c r="MH187" i="63"/>
  <c r="MH183" i="63"/>
  <c r="MH182" i="63"/>
  <c r="MH181" i="63"/>
  <c r="MH180" i="63"/>
  <c r="MH179" i="63"/>
  <c r="MH178" i="63"/>
  <c r="MH177" i="63"/>
  <c r="MH176" i="63"/>
  <c r="MH175" i="63"/>
  <c r="NF174" i="63"/>
  <c r="MH189" i="63"/>
  <c r="MH186" i="63"/>
  <c r="MH184" i="63"/>
  <c r="MH188" i="63"/>
  <c r="MG175" i="63"/>
  <c r="MG176" i="63" s="1"/>
  <c r="MG177" i="63" s="1"/>
  <c r="MG178" i="63" s="1"/>
  <c r="MG179" i="63" s="1"/>
  <c r="MG180" i="63" s="1"/>
  <c r="MG181" i="63" s="1"/>
  <c r="MG182" i="63" s="1"/>
  <c r="MG183" i="63" s="1"/>
  <c r="MG184" i="63" s="1"/>
  <c r="MG185" i="63" s="1"/>
  <c r="MG186" i="63" s="1"/>
  <c r="MG187" i="63" s="1"/>
  <c r="MG188" i="63" s="1"/>
  <c r="MG189" i="63" s="1"/>
  <c r="MG190" i="63" s="1"/>
  <c r="MG191" i="63" s="1"/>
  <c r="MG192" i="63" s="1"/>
  <c r="MG193" i="63" s="1"/>
  <c r="MG194" i="63" s="1"/>
  <c r="MG195" i="63" s="1"/>
  <c r="MH185" i="63"/>
  <c r="MI188" i="63"/>
  <c r="NG186" i="63"/>
  <c r="NG187" i="63"/>
  <c r="NG184" i="63"/>
  <c r="NG183" i="63"/>
  <c r="NG180" i="63"/>
  <c r="NG188" i="63"/>
  <c r="NG176" i="63"/>
  <c r="NG177" i="63"/>
  <c r="NG181" i="63"/>
  <c r="NG175" i="63"/>
  <c r="OE174" i="63"/>
  <c r="NG182" i="63"/>
  <c r="NG178" i="63"/>
  <c r="NG185" i="63"/>
  <c r="NG179" i="63"/>
  <c r="PF188" i="63"/>
  <c r="NF118" i="63"/>
  <c r="NF123" i="63"/>
  <c r="NF121" i="63"/>
  <c r="NF115" i="63"/>
  <c r="NF112" i="63"/>
  <c r="NF116" i="63"/>
  <c r="NE111" i="63"/>
  <c r="NE112" i="63" s="1"/>
  <c r="NE113" i="63" s="1"/>
  <c r="NE114" i="63" s="1"/>
  <c r="NE115" i="63" s="1"/>
  <c r="NE116" i="63" s="1"/>
  <c r="NE117" i="63" s="1"/>
  <c r="NE118" i="63" s="1"/>
  <c r="NE119" i="63" s="1"/>
  <c r="NE120" i="63" s="1"/>
  <c r="NE121" i="63" s="1"/>
  <c r="NE122" i="63" s="1"/>
  <c r="NE123" i="63" s="1"/>
  <c r="NE124" i="63" s="1"/>
  <c r="NE125" i="63" s="1"/>
  <c r="NE126" i="63" s="1"/>
  <c r="NE127" i="63" s="1"/>
  <c r="NE128" i="63" s="1"/>
  <c r="NE129" i="63" s="1"/>
  <c r="NE130" i="63" s="1"/>
  <c r="NE131" i="63" s="1"/>
  <c r="NF124" i="63"/>
  <c r="NF122" i="63"/>
  <c r="NF120" i="63"/>
  <c r="NF119" i="63"/>
  <c r="NF125" i="63"/>
  <c r="NF117" i="63"/>
  <c r="NF114" i="63"/>
  <c r="NF113" i="63"/>
  <c r="NF111" i="63"/>
  <c r="OD110" i="63"/>
  <c r="OE125" i="63"/>
  <c r="OE124" i="63"/>
  <c r="OE123" i="63"/>
  <c r="OE122" i="63"/>
  <c r="OE121" i="63"/>
  <c r="OE120" i="63"/>
  <c r="OE119" i="63"/>
  <c r="OE118" i="63"/>
  <c r="OE117" i="63"/>
  <c r="OE116" i="63"/>
  <c r="PC110" i="63"/>
  <c r="OE114" i="63"/>
  <c r="OE113" i="63"/>
  <c r="OE112" i="63"/>
  <c r="OE111" i="63"/>
  <c r="OE115" i="63"/>
  <c r="LI238" i="63"/>
  <c r="LI239" i="63" s="1"/>
  <c r="LI240" i="63" s="1"/>
  <c r="LI241" i="63" s="1"/>
  <c r="LI242" i="63" s="1"/>
  <c r="LI243" i="63" s="1"/>
  <c r="LI244" i="63" s="1"/>
  <c r="LI245" i="63" s="1"/>
  <c r="LI246" i="63" s="1"/>
  <c r="LI247" i="63" s="1"/>
  <c r="LI248" i="63" s="1"/>
  <c r="LI249" i="63" s="1"/>
  <c r="LI250" i="63" s="1"/>
  <c r="LI251" i="63" s="1"/>
  <c r="LI252" i="63" s="1"/>
  <c r="LI253" i="63" s="1"/>
  <c r="LI254" i="63" s="1"/>
  <c r="LI255" i="63" s="1"/>
  <c r="LI256" i="63" s="1"/>
  <c r="LI257" i="63" s="1"/>
  <c r="LI258" i="63" s="1"/>
  <c r="MH237" i="63"/>
  <c r="I126" i="63"/>
  <c r="AD125" i="63"/>
  <c r="AC125" i="63"/>
  <c r="AB125" i="63"/>
  <c r="BB125" i="63"/>
  <c r="BZ125" i="63"/>
  <c r="AZ125" i="63"/>
  <c r="AA125" i="63"/>
  <c r="BA125" i="63"/>
  <c r="CX125" i="63"/>
  <c r="Z125" i="63"/>
  <c r="AY125" i="63"/>
  <c r="BX125" i="63"/>
  <c r="BY125" i="63"/>
  <c r="AX125" i="63"/>
  <c r="CW125" i="63"/>
  <c r="CV125" i="63"/>
  <c r="DV125" i="63"/>
  <c r="BW125" i="63"/>
  <c r="Y125" i="63"/>
  <c r="AW125" i="63"/>
  <c r="DU125" i="63"/>
  <c r="ET125" i="63"/>
  <c r="CU125" i="63"/>
  <c r="DT125" i="63"/>
  <c r="BV125" i="63"/>
  <c r="X125" i="63"/>
  <c r="AV125" i="63"/>
  <c r="FR125" i="63"/>
  <c r="CT125" i="63"/>
  <c r="ES125" i="63"/>
  <c r="ER125" i="63"/>
  <c r="W125" i="63"/>
  <c r="BU125" i="63"/>
  <c r="DS125" i="63"/>
  <c r="DR125" i="63"/>
  <c r="GP125" i="63"/>
  <c r="CS125" i="63"/>
  <c r="V125" i="63"/>
  <c r="AU125" i="63"/>
  <c r="FQ125" i="63"/>
  <c r="EQ125" i="63"/>
  <c r="FP125" i="63"/>
  <c r="BT125" i="63"/>
  <c r="GO125" i="63"/>
  <c r="CR125" i="63"/>
  <c r="HN125" i="63"/>
  <c r="DQ125" i="63"/>
  <c r="GN125" i="63"/>
  <c r="U125" i="63"/>
  <c r="EP125" i="63"/>
  <c r="FO125" i="63"/>
  <c r="AT125" i="63"/>
  <c r="BS125" i="63"/>
  <c r="CQ125" i="63"/>
  <c r="HM125" i="63"/>
  <c r="FN125" i="63"/>
  <c r="EO125" i="63"/>
  <c r="T125" i="63"/>
  <c r="BR125" i="63"/>
  <c r="HL125" i="63"/>
  <c r="AS125" i="63"/>
  <c r="GM125" i="63"/>
  <c r="IL125" i="63"/>
  <c r="DP125" i="63"/>
  <c r="EN125" i="63"/>
  <c r="AR125" i="63"/>
  <c r="HK125" i="63"/>
  <c r="BQ125" i="63"/>
  <c r="DO125" i="63"/>
  <c r="CP125" i="63"/>
  <c r="FM125" i="63"/>
  <c r="IK125" i="63"/>
  <c r="S125" i="63"/>
  <c r="JJ125" i="63"/>
  <c r="IJ125" i="63"/>
  <c r="GL125" i="63"/>
  <c r="KH125" i="63"/>
  <c r="R125" i="63"/>
  <c r="DN125" i="63"/>
  <c r="HJ125" i="63"/>
  <c r="JI125" i="63"/>
  <c r="II125" i="63"/>
  <c r="CO125" i="63"/>
  <c r="JH125" i="63"/>
  <c r="EM125" i="63"/>
  <c r="FL125" i="63"/>
  <c r="GK125" i="63"/>
  <c r="BP125" i="63"/>
  <c r="AQ125" i="63"/>
  <c r="KF125" i="63"/>
  <c r="GJ125" i="63"/>
  <c r="JG125" i="63"/>
  <c r="CN125" i="63"/>
  <c r="AP125" i="63"/>
  <c r="IH125" i="63"/>
  <c r="EL125" i="63"/>
  <c r="DM125" i="63"/>
  <c r="HI125" i="63"/>
  <c r="Q125" i="63"/>
  <c r="BO125" i="63"/>
  <c r="LF125" i="63"/>
  <c r="FK125" i="63"/>
  <c r="KG125" i="63"/>
  <c r="AO125" i="63"/>
  <c r="EK125" i="63"/>
  <c r="GI125" i="63"/>
  <c r="MD125" i="63"/>
  <c r="CM125" i="63"/>
  <c r="KE125" i="63"/>
  <c r="HH125" i="63"/>
  <c r="LD125" i="63"/>
  <c r="BN125" i="63"/>
  <c r="LE125" i="63"/>
  <c r="JF125" i="63"/>
  <c r="IG125" i="63"/>
  <c r="P125" i="63"/>
  <c r="FJ125" i="63"/>
  <c r="DL125" i="63"/>
  <c r="LC125" i="63"/>
  <c r="AN125" i="63"/>
  <c r="CL125" i="63"/>
  <c r="MB125" i="63"/>
  <c r="NB125" i="63"/>
  <c r="DK125" i="63"/>
  <c r="BM125" i="63"/>
  <c r="GH125" i="63"/>
  <c r="EJ125" i="63"/>
  <c r="JE125" i="63"/>
  <c r="MC125" i="63"/>
  <c r="IF125" i="63"/>
  <c r="KD125" i="63"/>
  <c r="O125" i="63"/>
  <c r="HG125" i="63"/>
  <c r="FI125" i="63"/>
  <c r="NZ125" i="63"/>
  <c r="LB125" i="63"/>
  <c r="N125" i="63"/>
  <c r="CK125" i="63"/>
  <c r="IE125" i="63"/>
  <c r="GG125" i="63"/>
  <c r="DJ125" i="63"/>
  <c r="EI125" i="63"/>
  <c r="MZ125" i="63"/>
  <c r="BL125" i="63"/>
  <c r="JD125" i="63"/>
  <c r="AM125" i="63"/>
  <c r="HF125" i="63"/>
  <c r="NA125" i="63"/>
  <c r="KC125" i="63"/>
  <c r="MA125" i="63"/>
  <c r="FH125" i="63"/>
  <c r="GF125" i="63"/>
  <c r="OX125" i="63"/>
  <c r="LA125" i="63"/>
  <c r="KB125" i="63"/>
  <c r="M125" i="63"/>
  <c r="HE125" i="63"/>
  <c r="JC125" i="63"/>
  <c r="EH125" i="63"/>
  <c r="BK125" i="63"/>
  <c r="NY125" i="63"/>
  <c r="LZ125" i="63"/>
  <c r="DI125" i="63"/>
  <c r="AL125" i="63"/>
  <c r="MY125" i="63"/>
  <c r="ID125" i="63"/>
  <c r="CJ125" i="63"/>
  <c r="NX125" i="63"/>
  <c r="FG125" i="63"/>
  <c r="DH125" i="63"/>
  <c r="LY125" i="63"/>
  <c r="AK125" i="63"/>
  <c r="JB125" i="63"/>
  <c r="BJ125" i="63"/>
  <c r="HD125" i="63"/>
  <c r="IC125" i="63"/>
  <c r="EG125" i="63"/>
  <c r="OV125" i="63"/>
  <c r="GE125" i="63"/>
  <c r="FF125" i="63"/>
  <c r="CI125" i="63"/>
  <c r="MX125" i="63"/>
  <c r="L125" i="63"/>
  <c r="PV125" i="63"/>
  <c r="KA125" i="63"/>
  <c r="NW125" i="63"/>
  <c r="OW125" i="63"/>
  <c r="KZ125" i="63"/>
  <c r="GD125" i="63"/>
  <c r="BI125" i="63"/>
  <c r="K125" i="63"/>
  <c r="HC125" i="63"/>
  <c r="OU125" i="63"/>
  <c r="LX125" i="63"/>
  <c r="FE125" i="63"/>
  <c r="EF125" i="63"/>
  <c r="MW125" i="63"/>
  <c r="PT125" i="63"/>
  <c r="NV125" i="63"/>
  <c r="PU125" i="63"/>
  <c r="CH125" i="63"/>
  <c r="JZ125" i="63"/>
  <c r="DG125" i="63"/>
  <c r="AJ125" i="63"/>
  <c r="KY125" i="63"/>
  <c r="JA125" i="63"/>
  <c r="IB125" i="63"/>
  <c r="KX125" i="63"/>
  <c r="CG125" i="63"/>
  <c r="OT125" i="63"/>
  <c r="IZ125" i="63"/>
  <c r="EE125" i="63"/>
  <c r="MV125" i="63"/>
  <c r="JY125" i="63"/>
  <c r="AI125" i="63"/>
  <c r="FD125" i="63"/>
  <c r="PS125" i="63"/>
  <c r="HB125" i="63"/>
  <c r="NU125" i="63"/>
  <c r="BH125" i="63"/>
  <c r="J125" i="63"/>
  <c r="IA125" i="63"/>
  <c r="LW125" i="63"/>
  <c r="DF125" i="63"/>
  <c r="GC125" i="63"/>
  <c r="IY125" i="63"/>
  <c r="JX125" i="63"/>
  <c r="HZ125" i="63"/>
  <c r="PR125" i="63"/>
  <c r="AH125" i="63"/>
  <c r="GB125" i="63"/>
  <c r="FC125" i="63"/>
  <c r="NT125" i="63"/>
  <c r="OS125" i="63"/>
  <c r="ED125" i="63"/>
  <c r="MU125" i="63"/>
  <c r="HA125" i="63"/>
  <c r="KW125" i="63"/>
  <c r="BG125" i="63"/>
  <c r="CF125" i="63"/>
  <c r="LV125" i="63"/>
  <c r="DE125" i="63"/>
  <c r="PQ125" i="63"/>
  <c r="GA125" i="63"/>
  <c r="GZ125" i="63"/>
  <c r="EC125" i="63"/>
  <c r="JW125" i="63"/>
  <c r="MT125" i="63"/>
  <c r="BF125" i="63"/>
  <c r="NS125" i="63"/>
  <c r="HY125" i="63"/>
  <c r="CE125" i="63"/>
  <c r="DD125" i="63"/>
  <c r="IX125" i="63"/>
  <c r="KV125" i="63"/>
  <c r="OR125" i="63"/>
  <c r="LU125" i="63"/>
  <c r="FB125" i="63"/>
  <c r="PP125" i="63"/>
  <c r="FZ125" i="63"/>
  <c r="CD125" i="63"/>
  <c r="OQ125" i="63"/>
  <c r="KU125" i="63"/>
  <c r="LT125" i="63"/>
  <c r="FA125" i="63"/>
  <c r="NR125" i="63"/>
  <c r="EB125" i="63"/>
  <c r="IW125" i="63"/>
  <c r="GY125" i="63"/>
  <c r="JV125" i="63"/>
  <c r="DC125" i="63"/>
  <c r="HX125" i="63"/>
  <c r="MS125" i="63"/>
  <c r="JU125" i="63"/>
  <c r="MR125" i="63"/>
  <c r="KT125" i="63"/>
  <c r="EZ125" i="63"/>
  <c r="EA125" i="63"/>
  <c r="DB125" i="63"/>
  <c r="OP125" i="63"/>
  <c r="FY125" i="63"/>
  <c r="IV125" i="63"/>
  <c r="GX125" i="63"/>
  <c r="PO125" i="63"/>
  <c r="NQ125" i="63"/>
  <c r="HW125" i="63"/>
  <c r="LS125" i="63"/>
  <c r="DZ125" i="63"/>
  <c r="IU125" i="63"/>
  <c r="FX125" i="63"/>
  <c r="OO125" i="63"/>
  <c r="HV125" i="63"/>
  <c r="JT125" i="63"/>
  <c r="MQ125" i="63"/>
  <c r="NP125" i="63"/>
  <c r="KS125" i="63"/>
  <c r="EY125" i="63"/>
  <c r="LR125" i="63"/>
  <c r="GW125" i="63"/>
  <c r="PN125" i="63"/>
  <c r="KR125" i="63"/>
  <c r="PM125" i="63"/>
  <c r="GV125" i="63"/>
  <c r="NO125" i="63"/>
  <c r="FW125" i="63"/>
  <c r="HU125" i="63"/>
  <c r="MP125" i="63"/>
  <c r="ON125" i="63"/>
  <c r="LQ125" i="63"/>
  <c r="IT125" i="63"/>
  <c r="EX125" i="63"/>
  <c r="JS125" i="63"/>
  <c r="IS125" i="63"/>
  <c r="FV125" i="63"/>
  <c r="LP125" i="63"/>
  <c r="KQ125" i="63"/>
  <c r="NN125" i="63"/>
  <c r="JR125" i="63"/>
  <c r="HT125" i="63"/>
  <c r="OM125" i="63"/>
  <c r="PL125" i="63"/>
  <c r="GU125" i="63"/>
  <c r="MO125" i="63"/>
  <c r="PK125" i="63"/>
  <c r="NM125" i="63"/>
  <c r="MN125" i="63"/>
  <c r="IR125" i="63"/>
  <c r="LO125" i="63"/>
  <c r="HS125" i="63"/>
  <c r="OL125" i="63"/>
  <c r="KP125" i="63"/>
  <c r="GT125" i="63"/>
  <c r="JQ125" i="63"/>
  <c r="HR125" i="63"/>
  <c r="OK125" i="63"/>
  <c r="KO125" i="63"/>
  <c r="NL125" i="63"/>
  <c r="IQ125" i="63"/>
  <c r="LN125" i="63"/>
  <c r="PJ125" i="63"/>
  <c r="JP125" i="63"/>
  <c r="MM125" i="63"/>
  <c r="LM125" i="63"/>
  <c r="NK125" i="63"/>
  <c r="ML125" i="63"/>
  <c r="IP125" i="63"/>
  <c r="PI125" i="63"/>
  <c r="JO125" i="63"/>
  <c r="KN125" i="63"/>
  <c r="OJ125" i="63"/>
  <c r="MK125" i="63"/>
  <c r="JN125" i="63"/>
  <c r="LL125" i="63"/>
  <c r="OI125" i="63"/>
  <c r="NJ125" i="63"/>
  <c r="PH125" i="63"/>
  <c r="KM125" i="63"/>
  <c r="MJ125" i="63"/>
  <c r="PG125" i="63"/>
  <c r="LK125" i="63"/>
  <c r="NI125" i="63"/>
  <c r="KL125" i="63"/>
  <c r="OH125" i="63"/>
  <c r="NH125" i="63"/>
  <c r="LJ125" i="63"/>
  <c r="PF125" i="63"/>
  <c r="OG125" i="63"/>
  <c r="MI125" i="63"/>
  <c r="NH188" i="63"/>
  <c r="NG125" i="63"/>
  <c r="LJ188" i="63"/>
  <c r="BS112" i="65" l="1"/>
  <c r="BR112" i="65"/>
  <c r="Q167" i="65"/>
  <c r="BR167" i="65"/>
  <c r="BS167" i="65"/>
  <c r="P167" i="65"/>
  <c r="O168" i="65"/>
  <c r="BM167" i="65"/>
  <c r="BN167" i="65"/>
  <c r="BK167" i="65"/>
  <c r="BL167" i="65"/>
  <c r="BJ167" i="65"/>
  <c r="BI167" i="65"/>
  <c r="BH167" i="65"/>
  <c r="BG167" i="65"/>
  <c r="BF167" i="65"/>
  <c r="BE167" i="65"/>
  <c r="BD167" i="65"/>
  <c r="BC167" i="65"/>
  <c r="BB167" i="65"/>
  <c r="BA167" i="65"/>
  <c r="AZ167" i="65"/>
  <c r="AY167" i="65"/>
  <c r="AX167" i="65"/>
  <c r="AW167" i="65"/>
  <c r="AV167" i="65"/>
  <c r="AU167" i="65"/>
  <c r="AT167" i="65"/>
  <c r="AS167" i="65"/>
  <c r="AR167" i="65"/>
  <c r="AQ167" i="65"/>
  <c r="AP167" i="65"/>
  <c r="AO167" i="65"/>
  <c r="AN167" i="65"/>
  <c r="AM167" i="65"/>
  <c r="AL167" i="65"/>
  <c r="AK167" i="65"/>
  <c r="AJ167" i="65"/>
  <c r="AI167" i="65"/>
  <c r="AH167" i="65"/>
  <c r="AG167" i="65"/>
  <c r="AF167" i="65"/>
  <c r="AE167" i="65"/>
  <c r="AD167" i="65"/>
  <c r="AC167" i="65"/>
  <c r="AB167" i="65"/>
  <c r="AA167" i="65"/>
  <c r="Z167" i="65"/>
  <c r="Y167" i="65"/>
  <c r="X167" i="65"/>
  <c r="W167" i="65"/>
  <c r="V167" i="65"/>
  <c r="U167" i="65"/>
  <c r="T167" i="65"/>
  <c r="S167" i="65"/>
  <c r="R167" i="65"/>
  <c r="O113" i="65"/>
  <c r="BN112" i="65"/>
  <c r="BM112" i="65"/>
  <c r="BL112" i="65"/>
  <c r="BK112" i="65"/>
  <c r="BJ112" i="65"/>
  <c r="BI112" i="65"/>
  <c r="BH112" i="65"/>
  <c r="BG112" i="65"/>
  <c r="BF112" i="65"/>
  <c r="BE112" i="65"/>
  <c r="BD112" i="65"/>
  <c r="BC112" i="65"/>
  <c r="BB112" i="65"/>
  <c r="BA112" i="65"/>
  <c r="AZ112" i="65"/>
  <c r="AY112" i="65"/>
  <c r="AX112" i="65"/>
  <c r="AW112" i="65"/>
  <c r="AV112" i="65"/>
  <c r="AU112" i="65"/>
  <c r="AT112" i="65"/>
  <c r="AS112" i="65"/>
  <c r="AR112" i="65"/>
  <c r="AQ112" i="65"/>
  <c r="AP112" i="65"/>
  <c r="AO112" i="65"/>
  <c r="AN112" i="65"/>
  <c r="AM112" i="65"/>
  <c r="AL112" i="65"/>
  <c r="AK112" i="65"/>
  <c r="AJ112" i="65"/>
  <c r="AI112" i="65"/>
  <c r="AH112" i="65"/>
  <c r="AG112" i="65"/>
  <c r="AF112" i="65"/>
  <c r="AE112" i="65"/>
  <c r="AD112" i="65"/>
  <c r="AC112" i="65"/>
  <c r="AB112" i="65"/>
  <c r="AA112" i="65"/>
  <c r="Z112" i="65"/>
  <c r="Y112" i="65"/>
  <c r="X112" i="65"/>
  <c r="W112" i="65"/>
  <c r="V112" i="65"/>
  <c r="U112" i="65"/>
  <c r="T112" i="65"/>
  <c r="S112" i="65"/>
  <c r="R112" i="65"/>
  <c r="P112" i="65"/>
  <c r="Q112" i="65"/>
  <c r="BN181" i="39"/>
  <c r="BH181" i="39"/>
  <c r="BI181" i="39"/>
  <c r="BM181" i="39"/>
  <c r="BE181" i="39"/>
  <c r="BG181" i="39"/>
  <c r="AW181" i="39"/>
  <c r="BC181" i="39"/>
  <c r="AS181" i="39"/>
  <c r="AN181" i="39"/>
  <c r="BB181" i="39"/>
  <c r="AK181" i="39"/>
  <c r="AO181" i="39"/>
  <c r="AR181" i="39"/>
  <c r="AT181" i="39"/>
  <c r="AL181" i="39"/>
  <c r="BF181" i="39"/>
  <c r="AZ181" i="39"/>
  <c r="AM181" i="39"/>
  <c r="BA181" i="39"/>
  <c r="BK181" i="39"/>
  <c r="AU181" i="39"/>
  <c r="BJ181" i="39"/>
  <c r="BL181" i="39"/>
  <c r="BD181" i="39"/>
  <c r="AP181" i="39"/>
  <c r="AX181" i="39"/>
  <c r="AY181" i="39"/>
  <c r="AV181" i="39"/>
  <c r="AQ181" i="39"/>
  <c r="AD181" i="39"/>
  <c r="AG181" i="39"/>
  <c r="W181" i="39"/>
  <c r="X181" i="39"/>
  <c r="AB181" i="39"/>
  <c r="AE181" i="39"/>
  <c r="AJ181" i="39"/>
  <c r="Y181" i="39"/>
  <c r="AA181" i="39"/>
  <c r="AF181" i="39"/>
  <c r="Z181" i="39"/>
  <c r="AH181" i="39"/>
  <c r="AC181" i="39"/>
  <c r="AI181" i="39"/>
  <c r="V181" i="39"/>
  <c r="U181" i="39"/>
  <c r="T181" i="39"/>
  <c r="S181" i="39"/>
  <c r="R181" i="39"/>
  <c r="Q181" i="39"/>
  <c r="P181" i="39"/>
  <c r="O182" i="39"/>
  <c r="BN125" i="39"/>
  <c r="AQ125" i="39"/>
  <c r="BL125" i="39"/>
  <c r="BD125" i="39"/>
  <c r="BG125" i="39"/>
  <c r="AY125" i="39"/>
  <c r="AS125" i="39"/>
  <c r="AW125" i="39"/>
  <c r="BM125" i="39"/>
  <c r="BE125" i="39"/>
  <c r="AV125" i="39"/>
  <c r="AX125" i="39"/>
  <c r="AP125" i="39"/>
  <c r="AN125" i="39"/>
  <c r="AZ125" i="39"/>
  <c r="BF125" i="39"/>
  <c r="AT125" i="39"/>
  <c r="BK125" i="39"/>
  <c r="AO125" i="39"/>
  <c r="BJ125" i="39"/>
  <c r="BH125" i="39"/>
  <c r="BB125" i="39"/>
  <c r="AU125" i="39"/>
  <c r="AM125" i="39"/>
  <c r="BA125" i="39"/>
  <c r="BC125" i="39"/>
  <c r="AR125" i="39"/>
  <c r="AL125" i="39"/>
  <c r="AK125" i="39"/>
  <c r="BI125" i="39"/>
  <c r="AB125" i="39"/>
  <c r="Z125" i="39"/>
  <c r="X125" i="39"/>
  <c r="AI125" i="39"/>
  <c r="Y125" i="39"/>
  <c r="AH125" i="39"/>
  <c r="AC125" i="39"/>
  <c r="AE125" i="39"/>
  <c r="AD125" i="39"/>
  <c r="AF125" i="39"/>
  <c r="AA125" i="39"/>
  <c r="AJ125" i="39"/>
  <c r="AG125" i="39"/>
  <c r="W125" i="39"/>
  <c r="V125" i="39"/>
  <c r="U125" i="39"/>
  <c r="T125" i="39"/>
  <c r="S125" i="39"/>
  <c r="R125" i="39"/>
  <c r="Q125" i="39"/>
  <c r="P125" i="39"/>
  <c r="O126" i="39"/>
  <c r="PC126" i="63"/>
  <c r="PC124" i="63"/>
  <c r="PC122" i="63"/>
  <c r="PC120" i="63"/>
  <c r="PC116" i="63"/>
  <c r="PC115" i="63"/>
  <c r="PC114" i="63"/>
  <c r="PC113" i="63"/>
  <c r="PC112" i="63"/>
  <c r="PC111" i="63"/>
  <c r="PC119" i="63"/>
  <c r="PC118" i="63"/>
  <c r="PC117" i="63"/>
  <c r="PC125" i="63"/>
  <c r="PC123" i="63"/>
  <c r="PC121" i="63"/>
  <c r="NF189" i="63"/>
  <c r="NF188" i="63"/>
  <c r="NF187" i="63"/>
  <c r="NF186" i="63"/>
  <c r="NF185" i="63"/>
  <c r="NF184" i="63"/>
  <c r="NF183" i="63"/>
  <c r="NF181" i="63"/>
  <c r="NF180" i="63"/>
  <c r="NF177" i="63"/>
  <c r="NF182" i="63"/>
  <c r="NF178" i="63"/>
  <c r="NE175" i="63"/>
  <c r="NE176" i="63" s="1"/>
  <c r="NE177" i="63" s="1"/>
  <c r="NE178" i="63" s="1"/>
  <c r="NE179" i="63" s="1"/>
  <c r="NE180" i="63" s="1"/>
  <c r="NE181" i="63" s="1"/>
  <c r="NE182" i="63" s="1"/>
  <c r="NE183" i="63" s="1"/>
  <c r="NE184" i="63" s="1"/>
  <c r="NE185" i="63" s="1"/>
  <c r="NE186" i="63" s="1"/>
  <c r="NE187" i="63" s="1"/>
  <c r="NE188" i="63" s="1"/>
  <c r="NE189" i="63" s="1"/>
  <c r="NE190" i="63" s="1"/>
  <c r="NE191" i="63" s="1"/>
  <c r="NE192" i="63" s="1"/>
  <c r="NE193" i="63" s="1"/>
  <c r="NE194" i="63" s="1"/>
  <c r="NE195" i="63" s="1"/>
  <c r="NF176" i="63"/>
  <c r="NF179" i="63"/>
  <c r="NF175" i="63"/>
  <c r="OD174" i="63"/>
  <c r="PE189" i="63"/>
  <c r="I127" i="63"/>
  <c r="OD127" i="63" s="1"/>
  <c r="AD126" i="63"/>
  <c r="AC126" i="63"/>
  <c r="AB126" i="63"/>
  <c r="BB126" i="63"/>
  <c r="BZ126" i="63"/>
  <c r="AZ126" i="63"/>
  <c r="AA126" i="63"/>
  <c r="BA126" i="63"/>
  <c r="AY126" i="63"/>
  <c r="BX126" i="63"/>
  <c r="BY126" i="63"/>
  <c r="Z126" i="63"/>
  <c r="CX126" i="63"/>
  <c r="AX126" i="63"/>
  <c r="DV126" i="63"/>
  <c r="CW126" i="63"/>
  <c r="CV126" i="63"/>
  <c r="BW126" i="63"/>
  <c r="Y126" i="63"/>
  <c r="BV126" i="63"/>
  <c r="X126" i="63"/>
  <c r="AW126" i="63"/>
  <c r="DU126" i="63"/>
  <c r="ET126" i="63"/>
  <c r="DT126" i="63"/>
  <c r="CU126" i="63"/>
  <c r="CT126" i="63"/>
  <c r="BU126" i="63"/>
  <c r="ES126" i="63"/>
  <c r="ER126" i="63"/>
  <c r="DS126" i="63"/>
  <c r="AV126" i="63"/>
  <c r="W126" i="63"/>
  <c r="FR126" i="63"/>
  <c r="FQ126" i="63"/>
  <c r="GP126" i="63"/>
  <c r="BT126" i="63"/>
  <c r="V126" i="63"/>
  <c r="DR126" i="63"/>
  <c r="FP126" i="63"/>
  <c r="AU126" i="63"/>
  <c r="CS126" i="63"/>
  <c r="EQ126" i="63"/>
  <c r="DQ126" i="63"/>
  <c r="FO126" i="63"/>
  <c r="CR126" i="63"/>
  <c r="U126" i="63"/>
  <c r="EP126" i="63"/>
  <c r="HN126" i="63"/>
  <c r="AT126" i="63"/>
  <c r="BS126" i="63"/>
  <c r="GN126" i="63"/>
  <c r="GO126" i="63"/>
  <c r="BR126" i="63"/>
  <c r="GM126" i="63"/>
  <c r="HM126" i="63"/>
  <c r="HL126" i="63"/>
  <c r="IL126" i="63"/>
  <c r="AS126" i="63"/>
  <c r="CQ126" i="63"/>
  <c r="FN126" i="63"/>
  <c r="EO126" i="63"/>
  <c r="T126" i="63"/>
  <c r="DP126" i="63"/>
  <c r="DO126" i="63"/>
  <c r="IJ126" i="63"/>
  <c r="EN126" i="63"/>
  <c r="AR126" i="63"/>
  <c r="FM126" i="63"/>
  <c r="GL126" i="63"/>
  <c r="HK126" i="63"/>
  <c r="BQ126" i="63"/>
  <c r="CP126" i="63"/>
  <c r="IK126" i="63"/>
  <c r="S126" i="63"/>
  <c r="JJ126" i="63"/>
  <c r="DN126" i="63"/>
  <c r="II126" i="63"/>
  <c r="CO126" i="63"/>
  <c r="KH126" i="63"/>
  <c r="EM126" i="63"/>
  <c r="JI126" i="63"/>
  <c r="JH126" i="63"/>
  <c r="AQ126" i="63"/>
  <c r="FL126" i="63"/>
  <c r="R126" i="63"/>
  <c r="GK126" i="63"/>
  <c r="HJ126" i="63"/>
  <c r="BP126" i="63"/>
  <c r="EL126" i="63"/>
  <c r="BO126" i="63"/>
  <c r="DM126" i="63"/>
  <c r="HI126" i="63"/>
  <c r="LF126" i="63"/>
  <c r="KG126" i="63"/>
  <c r="GJ126" i="63"/>
  <c r="JG126" i="63"/>
  <c r="IH126" i="63"/>
  <c r="CN126" i="63"/>
  <c r="FK126" i="63"/>
  <c r="Q126" i="63"/>
  <c r="AP126" i="63"/>
  <c r="KF126" i="63"/>
  <c r="IG126" i="63"/>
  <c r="DL126" i="63"/>
  <c r="P126" i="63"/>
  <c r="LE126" i="63"/>
  <c r="CM126" i="63"/>
  <c r="KE126" i="63"/>
  <c r="JF126" i="63"/>
  <c r="HH126" i="63"/>
  <c r="AO126" i="63"/>
  <c r="EK126" i="63"/>
  <c r="MD126" i="63"/>
  <c r="LD126" i="63"/>
  <c r="FJ126" i="63"/>
  <c r="GI126" i="63"/>
  <c r="BN126" i="63"/>
  <c r="NB126" i="63"/>
  <c r="DK126" i="63"/>
  <c r="HG126" i="63"/>
  <c r="EJ126" i="63"/>
  <c r="JE126" i="63"/>
  <c r="MC126" i="63"/>
  <c r="CL126" i="63"/>
  <c r="FI126" i="63"/>
  <c r="IF126" i="63"/>
  <c r="O126" i="63"/>
  <c r="LC126" i="63"/>
  <c r="KD126" i="63"/>
  <c r="GH126" i="63"/>
  <c r="AN126" i="63"/>
  <c r="MB126" i="63"/>
  <c r="BM126" i="63"/>
  <c r="N126" i="63"/>
  <c r="CK126" i="63"/>
  <c r="KC126" i="63"/>
  <c r="MZ126" i="63"/>
  <c r="IE126" i="63"/>
  <c r="AM126" i="63"/>
  <c r="GG126" i="63"/>
  <c r="EI126" i="63"/>
  <c r="MA126" i="63"/>
  <c r="HF126" i="63"/>
  <c r="FH126" i="63"/>
  <c r="BL126" i="63"/>
  <c r="NZ126" i="63"/>
  <c r="LB126" i="63"/>
  <c r="NA126" i="63"/>
  <c r="DJ126" i="63"/>
  <c r="JD126" i="63"/>
  <c r="JC126" i="63"/>
  <c r="EH126" i="63"/>
  <c r="LZ126" i="63"/>
  <c r="BK126" i="63"/>
  <c r="AL126" i="63"/>
  <c r="NY126" i="63"/>
  <c r="M126" i="63"/>
  <c r="MY126" i="63"/>
  <c r="LA126" i="63"/>
  <c r="CJ126" i="63"/>
  <c r="NX126" i="63"/>
  <c r="FG126" i="63"/>
  <c r="DI126" i="63"/>
  <c r="HE126" i="63"/>
  <c r="GF126" i="63"/>
  <c r="OX126" i="63"/>
  <c r="ID126" i="63"/>
  <c r="KB126" i="63"/>
  <c r="DH126" i="63"/>
  <c r="CI126" i="63"/>
  <c r="IC126" i="63"/>
  <c r="EG126" i="63"/>
  <c r="OV126" i="63"/>
  <c r="FF126" i="63"/>
  <c r="MX126" i="63"/>
  <c r="PV126" i="63"/>
  <c r="NW126" i="63"/>
  <c r="HD126" i="63"/>
  <c r="GE126" i="63"/>
  <c r="OW126" i="63"/>
  <c r="L126" i="63"/>
  <c r="KA126" i="63"/>
  <c r="LY126" i="63"/>
  <c r="AK126" i="63"/>
  <c r="JB126" i="63"/>
  <c r="BJ126" i="63"/>
  <c r="KZ126" i="63"/>
  <c r="AJ126" i="63"/>
  <c r="GD126" i="63"/>
  <c r="KY126" i="63"/>
  <c r="EF126" i="63"/>
  <c r="PT126" i="63"/>
  <c r="NV126" i="63"/>
  <c r="DG126" i="63"/>
  <c r="MW126" i="63"/>
  <c r="BI126" i="63"/>
  <c r="JZ126" i="63"/>
  <c r="FE126" i="63"/>
  <c r="IB126" i="63"/>
  <c r="JA126" i="63"/>
  <c r="OU126" i="63"/>
  <c r="CH126" i="63"/>
  <c r="LX126" i="63"/>
  <c r="PU126" i="63"/>
  <c r="K126" i="63"/>
  <c r="HC126" i="63"/>
  <c r="EE126" i="63"/>
  <c r="AI126" i="63"/>
  <c r="PS126" i="63"/>
  <c r="JY126" i="63"/>
  <c r="IA126" i="63"/>
  <c r="GC126" i="63"/>
  <c r="J126" i="63"/>
  <c r="IZ126" i="63"/>
  <c r="HB126" i="63"/>
  <c r="DF126" i="63"/>
  <c r="CG126" i="63"/>
  <c r="NU126" i="63"/>
  <c r="MV126" i="63"/>
  <c r="FD126" i="63"/>
  <c r="BH126" i="63"/>
  <c r="KX126" i="63"/>
  <c r="LW126" i="63"/>
  <c r="OT126" i="63"/>
  <c r="ED126" i="63"/>
  <c r="GB126" i="63"/>
  <c r="FC126" i="63"/>
  <c r="HZ126" i="63"/>
  <c r="NT126" i="63"/>
  <c r="KW126" i="63"/>
  <c r="BG126" i="63"/>
  <c r="CF126" i="63"/>
  <c r="LV126" i="63"/>
  <c r="PR126" i="63"/>
  <c r="AH126" i="63"/>
  <c r="MU126" i="63"/>
  <c r="IY126" i="63"/>
  <c r="JX126" i="63"/>
  <c r="HA126" i="63"/>
  <c r="OS126" i="63"/>
  <c r="DE126" i="63"/>
  <c r="MT126" i="63"/>
  <c r="BF126" i="63"/>
  <c r="HY126" i="63"/>
  <c r="GA126" i="63"/>
  <c r="JW126" i="63"/>
  <c r="NS126" i="63"/>
  <c r="IX126" i="63"/>
  <c r="KV126" i="63"/>
  <c r="GZ126" i="63"/>
  <c r="CE126" i="63"/>
  <c r="PQ126" i="63"/>
  <c r="DD126" i="63"/>
  <c r="EC126" i="63"/>
  <c r="OR126" i="63"/>
  <c r="LU126" i="63"/>
  <c r="FB126" i="63"/>
  <c r="OQ126" i="63"/>
  <c r="KU126" i="63"/>
  <c r="LT126" i="63"/>
  <c r="FZ126" i="63"/>
  <c r="CD126" i="63"/>
  <c r="EB126" i="63"/>
  <c r="FA126" i="63"/>
  <c r="GY126" i="63"/>
  <c r="JV126" i="63"/>
  <c r="NR126" i="63"/>
  <c r="DC126" i="63"/>
  <c r="HX126" i="63"/>
  <c r="PP126" i="63"/>
  <c r="MS126" i="63"/>
  <c r="IW126" i="63"/>
  <c r="OP126" i="63"/>
  <c r="FY126" i="63"/>
  <c r="DB126" i="63"/>
  <c r="IV126" i="63"/>
  <c r="EA126" i="63"/>
  <c r="GX126" i="63"/>
  <c r="EZ126" i="63"/>
  <c r="PO126" i="63"/>
  <c r="MR126" i="63"/>
  <c r="NQ126" i="63"/>
  <c r="HW126" i="63"/>
  <c r="KT126" i="63"/>
  <c r="JU126" i="63"/>
  <c r="LS126" i="63"/>
  <c r="DZ126" i="63"/>
  <c r="HV126" i="63"/>
  <c r="MQ126" i="63"/>
  <c r="NP126" i="63"/>
  <c r="EY126" i="63"/>
  <c r="IU126" i="63"/>
  <c r="FX126" i="63"/>
  <c r="PN126" i="63"/>
  <c r="KS126" i="63"/>
  <c r="LR126" i="63"/>
  <c r="JT126" i="63"/>
  <c r="OO126" i="63"/>
  <c r="GW126" i="63"/>
  <c r="PM126" i="63"/>
  <c r="JS126" i="63"/>
  <c r="ON126" i="63"/>
  <c r="KR126" i="63"/>
  <c r="FW126" i="63"/>
  <c r="HU126" i="63"/>
  <c r="GV126" i="63"/>
  <c r="MP126" i="63"/>
  <c r="NO126" i="63"/>
  <c r="LQ126" i="63"/>
  <c r="IT126" i="63"/>
  <c r="EX126" i="63"/>
  <c r="KQ126" i="63"/>
  <c r="IS126" i="63"/>
  <c r="JR126" i="63"/>
  <c r="OM126" i="63"/>
  <c r="PL126" i="63"/>
  <c r="LP126" i="63"/>
  <c r="MO126" i="63"/>
  <c r="HT126" i="63"/>
  <c r="NN126" i="63"/>
  <c r="FV126" i="63"/>
  <c r="GU126" i="63"/>
  <c r="JQ126" i="63"/>
  <c r="HS126" i="63"/>
  <c r="OL126" i="63"/>
  <c r="IR126" i="63"/>
  <c r="KP126" i="63"/>
  <c r="GT126" i="63"/>
  <c r="NM126" i="63"/>
  <c r="MN126" i="63"/>
  <c r="PK126" i="63"/>
  <c r="LO126" i="63"/>
  <c r="KO126" i="63"/>
  <c r="LN126" i="63"/>
  <c r="MM126" i="63"/>
  <c r="IQ126" i="63"/>
  <c r="JP126" i="63"/>
  <c r="HR126" i="63"/>
  <c r="PJ126" i="63"/>
  <c r="OK126" i="63"/>
  <c r="NL126" i="63"/>
  <c r="ML126" i="63"/>
  <c r="IP126" i="63"/>
  <c r="KN126" i="63"/>
  <c r="NK126" i="63"/>
  <c r="PI126" i="63"/>
  <c r="JO126" i="63"/>
  <c r="OJ126" i="63"/>
  <c r="LM126" i="63"/>
  <c r="LL126" i="63"/>
  <c r="OI126" i="63"/>
  <c r="MK126" i="63"/>
  <c r="JN126" i="63"/>
  <c r="PH126" i="63"/>
  <c r="NJ126" i="63"/>
  <c r="KM126" i="63"/>
  <c r="PG126" i="63"/>
  <c r="KL126" i="63"/>
  <c r="MJ126" i="63"/>
  <c r="LK126" i="63"/>
  <c r="OH126" i="63"/>
  <c r="NI126" i="63"/>
  <c r="LJ126" i="63"/>
  <c r="NH126" i="63"/>
  <c r="OG126" i="63"/>
  <c r="MI126" i="63"/>
  <c r="PF126" i="63"/>
  <c r="NG126" i="63"/>
  <c r="MH126" i="63"/>
  <c r="OF126" i="63"/>
  <c r="PE126" i="63"/>
  <c r="NF126" i="63"/>
  <c r="OE126" i="63"/>
  <c r="OD126" i="63"/>
  <c r="OD125" i="63"/>
  <c r="OD124" i="63"/>
  <c r="OD123" i="63"/>
  <c r="OD122" i="63"/>
  <c r="OD121" i="63"/>
  <c r="OD120" i="63"/>
  <c r="OD117" i="63"/>
  <c r="OC111" i="63"/>
  <c r="OC112" i="63" s="1"/>
  <c r="OC113" i="63" s="1"/>
  <c r="OC114" i="63" s="1"/>
  <c r="OC115" i="63" s="1"/>
  <c r="OC116" i="63" s="1"/>
  <c r="OC117" i="63" s="1"/>
  <c r="OC118" i="63" s="1"/>
  <c r="OC119" i="63" s="1"/>
  <c r="OC120" i="63" s="1"/>
  <c r="OC121" i="63" s="1"/>
  <c r="OC122" i="63" s="1"/>
  <c r="OC123" i="63" s="1"/>
  <c r="OC124" i="63" s="1"/>
  <c r="OC125" i="63" s="1"/>
  <c r="OC126" i="63" s="1"/>
  <c r="OC127" i="63" s="1"/>
  <c r="OC128" i="63" s="1"/>
  <c r="OC129" i="63" s="1"/>
  <c r="OC130" i="63" s="1"/>
  <c r="OC131" i="63" s="1"/>
  <c r="OD116" i="63"/>
  <c r="OD119" i="63"/>
  <c r="OD118" i="63"/>
  <c r="OD115" i="63"/>
  <c r="OD114" i="63"/>
  <c r="OD113" i="63"/>
  <c r="OD112" i="63"/>
  <c r="OD111" i="63"/>
  <c r="PB110" i="63"/>
  <c r="PD188" i="63"/>
  <c r="PD184" i="63"/>
  <c r="PD182" i="63"/>
  <c r="PD181" i="63"/>
  <c r="PD180" i="63"/>
  <c r="PD179" i="63"/>
  <c r="PD178" i="63"/>
  <c r="PD177" i="63"/>
  <c r="PD176" i="63"/>
  <c r="PD175" i="63"/>
  <c r="PD185" i="63"/>
  <c r="PD189" i="63"/>
  <c r="PD183" i="63"/>
  <c r="PD187" i="63"/>
  <c r="PD186" i="63"/>
  <c r="I190" i="63"/>
  <c r="AD189" i="63"/>
  <c r="AB189" i="63"/>
  <c r="BB189" i="63"/>
  <c r="AC189" i="63"/>
  <c r="AZ189" i="63"/>
  <c r="BA189" i="63"/>
  <c r="AA189" i="63"/>
  <c r="BZ189" i="63"/>
  <c r="BY189" i="63"/>
  <c r="AY189" i="63"/>
  <c r="CX189" i="63"/>
  <c r="Z189" i="63"/>
  <c r="BX189" i="63"/>
  <c r="AX189" i="63"/>
  <c r="BW189" i="63"/>
  <c r="DV189" i="63"/>
  <c r="Y189" i="63"/>
  <c r="CV189" i="63"/>
  <c r="CW189" i="63"/>
  <c r="BV189" i="63"/>
  <c r="X189" i="63"/>
  <c r="AW189" i="63"/>
  <c r="DT189" i="63"/>
  <c r="DU189" i="63"/>
  <c r="ET189" i="63"/>
  <c r="CU189" i="63"/>
  <c r="CT189" i="63"/>
  <c r="FR189" i="63"/>
  <c r="DS189" i="63"/>
  <c r="ES189" i="63"/>
  <c r="AV189" i="63"/>
  <c r="W189" i="63"/>
  <c r="ER189" i="63"/>
  <c r="BU189" i="63"/>
  <c r="GP189" i="63"/>
  <c r="FP189" i="63"/>
  <c r="BT189" i="63"/>
  <c r="AU189" i="63"/>
  <c r="EQ189" i="63"/>
  <c r="FQ189" i="63"/>
  <c r="V189" i="63"/>
  <c r="CS189" i="63"/>
  <c r="DR189" i="63"/>
  <c r="AT189" i="63"/>
  <c r="FO189" i="63"/>
  <c r="GO189" i="63"/>
  <c r="HN189" i="63"/>
  <c r="BS189" i="63"/>
  <c r="U189" i="63"/>
  <c r="CR189" i="63"/>
  <c r="GN189" i="63"/>
  <c r="DQ189" i="63"/>
  <c r="EP189" i="63"/>
  <c r="HL189" i="63"/>
  <c r="IL189" i="63"/>
  <c r="GM189" i="63"/>
  <c r="AS189" i="63"/>
  <c r="BR189" i="63"/>
  <c r="FN189" i="63"/>
  <c r="HM189" i="63"/>
  <c r="CQ189" i="63"/>
  <c r="DP189" i="63"/>
  <c r="EO189" i="63"/>
  <c r="T189" i="63"/>
  <c r="CP189" i="63"/>
  <c r="IJ189" i="63"/>
  <c r="IK189" i="63"/>
  <c r="BQ189" i="63"/>
  <c r="DO189" i="63"/>
  <c r="GL189" i="63"/>
  <c r="HK189" i="63"/>
  <c r="EN189" i="63"/>
  <c r="S189" i="63"/>
  <c r="AR189" i="63"/>
  <c r="JJ189" i="63"/>
  <c r="FM189" i="63"/>
  <c r="II189" i="63"/>
  <c r="CO189" i="63"/>
  <c r="KH189" i="63"/>
  <c r="HJ189" i="63"/>
  <c r="DN189" i="63"/>
  <c r="BP189" i="63"/>
  <c r="R189" i="63"/>
  <c r="FL189" i="63"/>
  <c r="JI189" i="63"/>
  <c r="GK189" i="63"/>
  <c r="AQ189" i="63"/>
  <c r="JH189" i="63"/>
  <c r="EM189" i="63"/>
  <c r="DM189" i="63"/>
  <c r="HI189" i="63"/>
  <c r="KF189" i="63"/>
  <c r="EL189" i="63"/>
  <c r="IH189" i="63"/>
  <c r="Q189" i="63"/>
  <c r="BO189" i="63"/>
  <c r="CN189" i="63"/>
  <c r="KG189" i="63"/>
  <c r="FK189" i="63"/>
  <c r="GJ189" i="63"/>
  <c r="AP189" i="63"/>
  <c r="JG189" i="63"/>
  <c r="LF189" i="63"/>
  <c r="BN189" i="63"/>
  <c r="DL189" i="63"/>
  <c r="CM189" i="63"/>
  <c r="EK189" i="63"/>
  <c r="LD189" i="63"/>
  <c r="P189" i="63"/>
  <c r="IG189" i="63"/>
  <c r="AO189" i="63"/>
  <c r="JF189" i="63"/>
  <c r="GI189" i="63"/>
  <c r="LE189" i="63"/>
  <c r="FJ189" i="63"/>
  <c r="HH189" i="63"/>
  <c r="MD189" i="63"/>
  <c r="KE189" i="63"/>
  <c r="O189" i="63"/>
  <c r="IF189" i="63"/>
  <c r="KD189" i="63"/>
  <c r="FI189" i="63"/>
  <c r="HG189" i="63"/>
  <c r="AN189" i="63"/>
  <c r="CL189" i="63"/>
  <c r="NB189" i="63"/>
  <c r="DK189" i="63"/>
  <c r="MC189" i="63"/>
  <c r="EJ189" i="63"/>
  <c r="JE189" i="63"/>
  <c r="BM189" i="63"/>
  <c r="MB189" i="63"/>
  <c r="GH189" i="63"/>
  <c r="LC189" i="63"/>
  <c r="LB189" i="63"/>
  <c r="MZ189" i="63"/>
  <c r="NZ189" i="63"/>
  <c r="BL189" i="63"/>
  <c r="KC189" i="63"/>
  <c r="HF189" i="63"/>
  <c r="NA189" i="63"/>
  <c r="GG189" i="63"/>
  <c r="EI189" i="63"/>
  <c r="N189" i="63"/>
  <c r="JD189" i="63"/>
  <c r="DJ189" i="63"/>
  <c r="MA189" i="63"/>
  <c r="FH189" i="63"/>
  <c r="IE189" i="63"/>
  <c r="AM189" i="63"/>
  <c r="CK189" i="63"/>
  <c r="DI189" i="63"/>
  <c r="ID189" i="63"/>
  <c r="MY189" i="63"/>
  <c r="AL189" i="63"/>
  <c r="OX189" i="63"/>
  <c r="FG189" i="63"/>
  <c r="LA189" i="63"/>
  <c r="GF189" i="63"/>
  <c r="HE189" i="63"/>
  <c r="JC189" i="63"/>
  <c r="M189" i="63"/>
  <c r="NY189" i="63"/>
  <c r="LZ189" i="63"/>
  <c r="KB189" i="63"/>
  <c r="BK189" i="63"/>
  <c r="NX189" i="63"/>
  <c r="EH189" i="63"/>
  <c r="CJ189" i="63"/>
  <c r="GE189" i="63"/>
  <c r="LY189" i="63"/>
  <c r="L189" i="63"/>
  <c r="MX189" i="63"/>
  <c r="AK189" i="63"/>
  <c r="KZ189" i="63"/>
  <c r="DH189" i="63"/>
  <c r="FF189" i="63"/>
  <c r="JB189" i="63"/>
  <c r="CI189" i="63"/>
  <c r="BJ189" i="63"/>
  <c r="IC189" i="63"/>
  <c r="HD189" i="63"/>
  <c r="OW189" i="63"/>
  <c r="EG189" i="63"/>
  <c r="PV189" i="63"/>
  <c r="KA189" i="63"/>
  <c r="OV189" i="63"/>
  <c r="NW189" i="63"/>
  <c r="GD189" i="63"/>
  <c r="LX189" i="63"/>
  <c r="BI189" i="63"/>
  <c r="K189" i="63"/>
  <c r="EF189" i="63"/>
  <c r="DG189" i="63"/>
  <c r="KY189" i="63"/>
  <c r="NV189" i="63"/>
  <c r="OU189" i="63"/>
  <c r="IB189" i="63"/>
  <c r="JA189" i="63"/>
  <c r="PT189" i="63"/>
  <c r="AJ189" i="63"/>
  <c r="MW189" i="63"/>
  <c r="CH189" i="63"/>
  <c r="FE189" i="63"/>
  <c r="JZ189" i="63"/>
  <c r="PU189" i="63"/>
  <c r="HC189" i="63"/>
  <c r="AI189" i="63"/>
  <c r="J189" i="63"/>
  <c r="DF189" i="63"/>
  <c r="OT189" i="63"/>
  <c r="IZ189" i="63"/>
  <c r="BH189" i="63"/>
  <c r="GC189" i="63"/>
  <c r="IA189" i="63"/>
  <c r="LW189" i="63"/>
  <c r="EE189" i="63"/>
  <c r="KX189" i="63"/>
  <c r="CG189" i="63"/>
  <c r="FD189" i="63"/>
  <c r="JY189" i="63"/>
  <c r="HB189" i="63"/>
  <c r="NU189" i="63"/>
  <c r="PS189" i="63"/>
  <c r="MV189" i="63"/>
  <c r="OS189" i="63"/>
  <c r="KW189" i="63"/>
  <c r="FC189" i="63"/>
  <c r="NT189" i="63"/>
  <c r="LV189" i="63"/>
  <c r="IY189" i="63"/>
  <c r="HA189" i="63"/>
  <c r="BG189" i="63"/>
  <c r="AH189" i="63"/>
  <c r="JX189" i="63"/>
  <c r="DE189" i="63"/>
  <c r="HZ189" i="63"/>
  <c r="ED189" i="63"/>
  <c r="PR189" i="63"/>
  <c r="CF189" i="63"/>
  <c r="GB189" i="63"/>
  <c r="MU189" i="63"/>
  <c r="JW189" i="63"/>
  <c r="OR189" i="63"/>
  <c r="GA189" i="63"/>
  <c r="IX189" i="63"/>
  <c r="EC189" i="63"/>
  <c r="LU189" i="63"/>
  <c r="MT189" i="63"/>
  <c r="FB189" i="63"/>
  <c r="HY189" i="63"/>
  <c r="KV189" i="63"/>
  <c r="DD189" i="63"/>
  <c r="GZ189" i="63"/>
  <c r="BF189" i="63"/>
  <c r="PQ189" i="63"/>
  <c r="NS189" i="63"/>
  <c r="CE189" i="63"/>
  <c r="GY189" i="63"/>
  <c r="OQ189" i="63"/>
  <c r="IW189" i="63"/>
  <c r="FZ189" i="63"/>
  <c r="FA189" i="63"/>
  <c r="CD189" i="63"/>
  <c r="LT189" i="63"/>
  <c r="KU189" i="63"/>
  <c r="EB189" i="63"/>
  <c r="PP189" i="63"/>
  <c r="MS189" i="63"/>
  <c r="NR189" i="63"/>
  <c r="DC189" i="63"/>
  <c r="JV189" i="63"/>
  <c r="HX189" i="63"/>
  <c r="LS189" i="63"/>
  <c r="KT189" i="63"/>
  <c r="JU189" i="63"/>
  <c r="NQ189" i="63"/>
  <c r="FY189" i="63"/>
  <c r="MR189" i="63"/>
  <c r="DB189" i="63"/>
  <c r="IV189" i="63"/>
  <c r="PO189" i="63"/>
  <c r="EA189" i="63"/>
  <c r="GX189" i="63"/>
  <c r="OP189" i="63"/>
  <c r="HW189" i="63"/>
  <c r="EZ189" i="63"/>
  <c r="OO189" i="63"/>
  <c r="PN189" i="63"/>
  <c r="GW189" i="63"/>
  <c r="IU189" i="63"/>
  <c r="HV189" i="63"/>
  <c r="KS189" i="63"/>
  <c r="MQ189" i="63"/>
  <c r="DZ189" i="63"/>
  <c r="NP189" i="63"/>
  <c r="EY189" i="63"/>
  <c r="JT189" i="63"/>
  <c r="LR189" i="63"/>
  <c r="FX189" i="63"/>
  <c r="HU189" i="63"/>
  <c r="ON189" i="63"/>
  <c r="KR189" i="63"/>
  <c r="JS189" i="63"/>
  <c r="IT189" i="63"/>
  <c r="PM189" i="63"/>
  <c r="LQ189" i="63"/>
  <c r="MP189" i="63"/>
  <c r="GV189" i="63"/>
  <c r="FW189" i="63"/>
  <c r="EX189" i="63"/>
  <c r="NO189" i="63"/>
  <c r="JR189" i="63"/>
  <c r="FV189" i="63"/>
  <c r="IS189" i="63"/>
  <c r="LP189" i="63"/>
  <c r="GU189" i="63"/>
  <c r="KQ189" i="63"/>
  <c r="HT189" i="63"/>
  <c r="NN189" i="63"/>
  <c r="OM189" i="63"/>
  <c r="PL189" i="63"/>
  <c r="MO189" i="63"/>
  <c r="NM189" i="63"/>
  <c r="LO189" i="63"/>
  <c r="PK189" i="63"/>
  <c r="GT189" i="63"/>
  <c r="OL189" i="63"/>
  <c r="HS189" i="63"/>
  <c r="KP189" i="63"/>
  <c r="IR189" i="63"/>
  <c r="MN189" i="63"/>
  <c r="JQ189" i="63"/>
  <c r="IQ189" i="63"/>
  <c r="OK189" i="63"/>
  <c r="LN189" i="63"/>
  <c r="MM189" i="63"/>
  <c r="HR189" i="63"/>
  <c r="NL189" i="63"/>
  <c r="KO189" i="63"/>
  <c r="JP189" i="63"/>
  <c r="PJ189" i="63"/>
  <c r="ML189" i="63"/>
  <c r="LM189" i="63"/>
  <c r="OJ189" i="63"/>
  <c r="NK189" i="63"/>
  <c r="PI189" i="63"/>
  <c r="KN189" i="63"/>
  <c r="IP189" i="63"/>
  <c r="JO189" i="63"/>
  <c r="MK189" i="63"/>
  <c r="LL189" i="63"/>
  <c r="KM189" i="63"/>
  <c r="NJ189" i="63"/>
  <c r="OI189" i="63"/>
  <c r="PH189" i="63"/>
  <c r="JN189" i="63"/>
  <c r="OH189" i="63"/>
  <c r="LK189" i="63"/>
  <c r="PG189" i="63"/>
  <c r="MJ189" i="63"/>
  <c r="KL189" i="63"/>
  <c r="NI189" i="63"/>
  <c r="NH189" i="63"/>
  <c r="PF189" i="63"/>
  <c r="MI189" i="63"/>
  <c r="LJ189" i="63"/>
  <c r="OG189" i="63"/>
  <c r="OE189" i="63"/>
  <c r="OE185" i="63"/>
  <c r="OE188" i="63"/>
  <c r="OE187" i="63"/>
  <c r="OE184" i="63"/>
  <c r="OE180" i="63"/>
  <c r="OE176" i="63"/>
  <c r="OE183" i="63"/>
  <c r="OE177" i="63"/>
  <c r="OE175" i="63"/>
  <c r="PC174" i="63"/>
  <c r="OE182" i="63"/>
  <c r="OE178" i="63"/>
  <c r="OE186" i="63"/>
  <c r="OE181" i="63"/>
  <c r="OE179" i="63"/>
  <c r="NF237" i="63"/>
  <c r="MG238" i="63"/>
  <c r="MG239" i="63" s="1"/>
  <c r="MG240" i="63" s="1"/>
  <c r="MG241" i="63" s="1"/>
  <c r="MG242" i="63" s="1"/>
  <c r="MG243" i="63" s="1"/>
  <c r="MG244" i="63" s="1"/>
  <c r="MG245" i="63" s="1"/>
  <c r="MG246" i="63" s="1"/>
  <c r="MG247" i="63" s="1"/>
  <c r="MG248" i="63" s="1"/>
  <c r="MG249" i="63" s="1"/>
  <c r="MG250" i="63" s="1"/>
  <c r="MG251" i="63" s="1"/>
  <c r="MG252" i="63" s="1"/>
  <c r="MG253" i="63" s="1"/>
  <c r="MG254" i="63" s="1"/>
  <c r="MG255" i="63" s="1"/>
  <c r="MG256" i="63" s="1"/>
  <c r="MG257" i="63" s="1"/>
  <c r="MG258" i="63" s="1"/>
  <c r="PD126" i="63"/>
  <c r="OF189" i="63"/>
  <c r="BS113" i="65" l="1"/>
  <c r="BR113" i="65"/>
  <c r="BR168" i="65"/>
  <c r="BS168" i="65"/>
  <c r="O114" i="65"/>
  <c r="BN113" i="65"/>
  <c r="BM113" i="65"/>
  <c r="BK113" i="65"/>
  <c r="BL113" i="65"/>
  <c r="BJ113" i="65"/>
  <c r="BI113" i="65"/>
  <c r="BH113" i="65"/>
  <c r="BG113" i="65"/>
  <c r="BF113" i="65"/>
  <c r="BE113" i="65"/>
  <c r="BD113" i="65"/>
  <c r="BC113" i="65"/>
  <c r="BB113" i="65"/>
  <c r="BA113" i="65"/>
  <c r="AZ113" i="65"/>
  <c r="AY113" i="65"/>
  <c r="AX113" i="65"/>
  <c r="AW113" i="65"/>
  <c r="AV113" i="65"/>
  <c r="AU113" i="65"/>
  <c r="AT113" i="65"/>
  <c r="AS113" i="65"/>
  <c r="AR113" i="65"/>
  <c r="AQ113" i="65"/>
  <c r="AP113" i="65"/>
  <c r="AO113" i="65"/>
  <c r="AN113" i="65"/>
  <c r="AM113" i="65"/>
  <c r="AL113" i="65"/>
  <c r="AK113" i="65"/>
  <c r="AJ113" i="65"/>
  <c r="AI113" i="65"/>
  <c r="AH113" i="65"/>
  <c r="AG113" i="65"/>
  <c r="AF113" i="65"/>
  <c r="AE113" i="65"/>
  <c r="AD113" i="65"/>
  <c r="AC113" i="65"/>
  <c r="AB113" i="65"/>
  <c r="AA113" i="65"/>
  <c r="Z113" i="65"/>
  <c r="Y113" i="65"/>
  <c r="X113" i="65"/>
  <c r="W113" i="65"/>
  <c r="V113" i="65"/>
  <c r="U113" i="65"/>
  <c r="T113" i="65"/>
  <c r="S113" i="65"/>
  <c r="R113" i="65"/>
  <c r="P113" i="65"/>
  <c r="Q113" i="65"/>
  <c r="O169" i="65"/>
  <c r="BM168" i="65"/>
  <c r="BN168" i="65"/>
  <c r="BK168" i="65"/>
  <c r="BL168" i="65"/>
  <c r="BJ168" i="65"/>
  <c r="BI168" i="65"/>
  <c r="BH168" i="65"/>
  <c r="BG168" i="65"/>
  <c r="BF168" i="65"/>
  <c r="BE168" i="65"/>
  <c r="BD168" i="65"/>
  <c r="BC168" i="65"/>
  <c r="BB168" i="65"/>
  <c r="BA168" i="65"/>
  <c r="AZ168" i="65"/>
  <c r="AY168" i="65"/>
  <c r="AX168" i="65"/>
  <c r="AW168" i="65"/>
  <c r="AV168" i="65"/>
  <c r="AU168" i="65"/>
  <c r="AT168" i="65"/>
  <c r="AS168" i="65"/>
  <c r="AR168" i="65"/>
  <c r="AQ168" i="65"/>
  <c r="AP168" i="65"/>
  <c r="AO168" i="65"/>
  <c r="AN168" i="65"/>
  <c r="AM168" i="65"/>
  <c r="AL168" i="65"/>
  <c r="AK168" i="65"/>
  <c r="AJ168" i="65"/>
  <c r="AI168" i="65"/>
  <c r="AH168" i="65"/>
  <c r="AG168" i="65"/>
  <c r="AF168" i="65"/>
  <c r="AE168" i="65"/>
  <c r="AD168" i="65"/>
  <c r="AC168" i="65"/>
  <c r="AB168" i="65"/>
  <c r="AA168" i="65"/>
  <c r="Z168" i="65"/>
  <c r="Y168" i="65"/>
  <c r="X168" i="65"/>
  <c r="W168" i="65"/>
  <c r="V168" i="65"/>
  <c r="U168" i="65"/>
  <c r="T168" i="65"/>
  <c r="S168" i="65"/>
  <c r="R168" i="65"/>
  <c r="Q168" i="65"/>
  <c r="P168" i="65"/>
  <c r="BN182" i="39"/>
  <c r="BM182" i="39"/>
  <c r="AN182" i="39"/>
  <c r="BC182" i="39"/>
  <c r="BI182" i="39"/>
  <c r="BG182" i="39"/>
  <c r="AW182" i="39"/>
  <c r="BE182" i="39"/>
  <c r="AS182" i="39"/>
  <c r="BA182" i="39"/>
  <c r="AK182" i="39"/>
  <c r="BJ182" i="39"/>
  <c r="BH182" i="39"/>
  <c r="BB182" i="39"/>
  <c r="AT182" i="39"/>
  <c r="BK182" i="39"/>
  <c r="BF182" i="39"/>
  <c r="AU182" i="39"/>
  <c r="AV182" i="39"/>
  <c r="AZ182" i="39"/>
  <c r="AL182" i="39"/>
  <c r="BD182" i="39"/>
  <c r="AP182" i="39"/>
  <c r="AY182" i="39"/>
  <c r="AM182" i="39"/>
  <c r="BL182" i="39"/>
  <c r="AR182" i="39"/>
  <c r="AQ182" i="39"/>
  <c r="AX182" i="39"/>
  <c r="AO182" i="39"/>
  <c r="W182" i="39"/>
  <c r="AD182" i="39"/>
  <c r="AG182" i="39"/>
  <c r="Y182" i="39"/>
  <c r="AB182" i="39"/>
  <c r="X182" i="39"/>
  <c r="AJ182" i="39"/>
  <c r="AE182" i="39"/>
  <c r="AF182" i="39"/>
  <c r="AH182" i="39"/>
  <c r="AI182" i="39"/>
  <c r="AC182" i="39"/>
  <c r="Z182" i="39"/>
  <c r="AA182" i="39"/>
  <c r="V182" i="39"/>
  <c r="U182" i="39"/>
  <c r="T182" i="39"/>
  <c r="S182" i="39"/>
  <c r="R182" i="39"/>
  <c r="Q182" i="39"/>
  <c r="P182" i="39"/>
  <c r="O183" i="39"/>
  <c r="BN126" i="39"/>
  <c r="BD126" i="39"/>
  <c r="AX126" i="39"/>
  <c r="BM126" i="39"/>
  <c r="AR126" i="39"/>
  <c r="BL126" i="39"/>
  <c r="BC126" i="39"/>
  <c r="AT126" i="39"/>
  <c r="AZ126" i="39"/>
  <c r="AL126" i="39"/>
  <c r="AN126" i="39"/>
  <c r="BB126" i="39"/>
  <c r="BI126" i="39"/>
  <c r="AQ126" i="39"/>
  <c r="AV126" i="39"/>
  <c r="AM126" i="39"/>
  <c r="BA126" i="39"/>
  <c r="BG126" i="39"/>
  <c r="AY126" i="39"/>
  <c r="AS126" i="39"/>
  <c r="AU126" i="39"/>
  <c r="BE126" i="39"/>
  <c r="BH126" i="39"/>
  <c r="BK126" i="39"/>
  <c r="AP126" i="39"/>
  <c r="AK126" i="39"/>
  <c r="AW126" i="39"/>
  <c r="AO126" i="39"/>
  <c r="BJ126" i="39"/>
  <c r="BF126" i="39"/>
  <c r="Y126" i="39"/>
  <c r="Z126" i="39"/>
  <c r="AB126" i="39"/>
  <c r="AE126" i="39"/>
  <c r="AH126" i="39"/>
  <c r="AC126" i="39"/>
  <c r="X126" i="39"/>
  <c r="AI126" i="39"/>
  <c r="AF126" i="39"/>
  <c r="AA126" i="39"/>
  <c r="AJ126" i="39"/>
  <c r="AD126" i="39"/>
  <c r="AG126" i="39"/>
  <c r="W126" i="39"/>
  <c r="V126" i="39"/>
  <c r="U126" i="39"/>
  <c r="T126" i="39"/>
  <c r="S126" i="39"/>
  <c r="R126" i="39"/>
  <c r="Q126" i="39"/>
  <c r="P126" i="39"/>
  <c r="O127" i="39"/>
  <c r="PC189" i="63"/>
  <c r="PC185" i="63"/>
  <c r="PC188" i="63"/>
  <c r="PC190" i="63"/>
  <c r="PC187" i="63"/>
  <c r="PC184" i="63"/>
  <c r="PC181" i="63"/>
  <c r="PC179" i="63"/>
  <c r="PC175" i="63"/>
  <c r="PC186" i="63"/>
  <c r="PC180" i="63"/>
  <c r="PC176" i="63"/>
  <c r="PC182" i="63"/>
  <c r="PC178" i="63"/>
  <c r="PC177" i="63"/>
  <c r="PC183" i="63"/>
  <c r="I191" i="63"/>
  <c r="AD190" i="63"/>
  <c r="AC190" i="63"/>
  <c r="AB190" i="63"/>
  <c r="BB190" i="63"/>
  <c r="AA190" i="63"/>
  <c r="AZ190" i="63"/>
  <c r="BZ190" i="63"/>
  <c r="BA190" i="63"/>
  <c r="BX190" i="63"/>
  <c r="CX190" i="63"/>
  <c r="BY190" i="63"/>
  <c r="Z190" i="63"/>
  <c r="AY190" i="63"/>
  <c r="Y190" i="63"/>
  <c r="CW190" i="63"/>
  <c r="AX190" i="63"/>
  <c r="DV190" i="63"/>
  <c r="CV190" i="63"/>
  <c r="BW190" i="63"/>
  <c r="BV190" i="63"/>
  <c r="AW190" i="63"/>
  <c r="DT190" i="63"/>
  <c r="ET190" i="63"/>
  <c r="CU190" i="63"/>
  <c r="DU190" i="63"/>
  <c r="X190" i="63"/>
  <c r="FR190" i="63"/>
  <c r="W190" i="63"/>
  <c r="ES190" i="63"/>
  <c r="CT190" i="63"/>
  <c r="ER190" i="63"/>
  <c r="DS190" i="63"/>
  <c r="AV190" i="63"/>
  <c r="BU190" i="63"/>
  <c r="EQ190" i="63"/>
  <c r="V190" i="63"/>
  <c r="FP190" i="63"/>
  <c r="FQ190" i="63"/>
  <c r="GP190" i="63"/>
  <c r="BT190" i="63"/>
  <c r="CS190" i="63"/>
  <c r="DR190" i="63"/>
  <c r="AU190" i="63"/>
  <c r="BS190" i="63"/>
  <c r="U190" i="63"/>
  <c r="GN190" i="63"/>
  <c r="FO190" i="63"/>
  <c r="CR190" i="63"/>
  <c r="EP190" i="63"/>
  <c r="DQ190" i="63"/>
  <c r="AT190" i="63"/>
  <c r="GO190" i="63"/>
  <c r="HN190" i="63"/>
  <c r="AS190" i="63"/>
  <c r="BR190" i="63"/>
  <c r="CQ190" i="63"/>
  <c r="GM190" i="63"/>
  <c r="HM190" i="63"/>
  <c r="HL190" i="63"/>
  <c r="IL190" i="63"/>
  <c r="FN190" i="63"/>
  <c r="T190" i="63"/>
  <c r="EO190" i="63"/>
  <c r="DP190" i="63"/>
  <c r="EN190" i="63"/>
  <c r="FM190" i="63"/>
  <c r="BQ190" i="63"/>
  <c r="IJ190" i="63"/>
  <c r="AR190" i="63"/>
  <c r="IK190" i="63"/>
  <c r="CP190" i="63"/>
  <c r="HK190" i="63"/>
  <c r="JJ190" i="63"/>
  <c r="S190" i="63"/>
  <c r="DO190" i="63"/>
  <c r="GL190" i="63"/>
  <c r="R190" i="63"/>
  <c r="EM190" i="63"/>
  <c r="GK190" i="63"/>
  <c r="AQ190" i="63"/>
  <c r="CO190" i="63"/>
  <c r="JH190" i="63"/>
  <c r="JI190" i="63"/>
  <c r="KH190" i="63"/>
  <c r="HJ190" i="63"/>
  <c r="DN190" i="63"/>
  <c r="II190" i="63"/>
  <c r="BP190" i="63"/>
  <c r="FL190" i="63"/>
  <c r="HI190" i="63"/>
  <c r="JG190" i="63"/>
  <c r="AP190" i="63"/>
  <c r="CN190" i="63"/>
  <c r="KF190" i="63"/>
  <c r="FK190" i="63"/>
  <c r="DM190" i="63"/>
  <c r="GJ190" i="63"/>
  <c r="BO190" i="63"/>
  <c r="LF190" i="63"/>
  <c r="KG190" i="63"/>
  <c r="EL190" i="63"/>
  <c r="IH190" i="63"/>
  <c r="Q190" i="63"/>
  <c r="LD190" i="63"/>
  <c r="JF190" i="63"/>
  <c r="GI190" i="63"/>
  <c r="LE190" i="63"/>
  <c r="P190" i="63"/>
  <c r="KE190" i="63"/>
  <c r="IG190" i="63"/>
  <c r="CM190" i="63"/>
  <c r="HH190" i="63"/>
  <c r="AO190" i="63"/>
  <c r="BN190" i="63"/>
  <c r="EK190" i="63"/>
  <c r="DL190" i="63"/>
  <c r="FJ190" i="63"/>
  <c r="MD190" i="63"/>
  <c r="NB190" i="63"/>
  <c r="DK190" i="63"/>
  <c r="GH190" i="63"/>
  <c r="EJ190" i="63"/>
  <c r="JE190" i="63"/>
  <c r="MC190" i="63"/>
  <c r="AN190" i="63"/>
  <c r="KD190" i="63"/>
  <c r="FI190" i="63"/>
  <c r="LC190" i="63"/>
  <c r="MB190" i="63"/>
  <c r="CL190" i="63"/>
  <c r="O190" i="63"/>
  <c r="HG190" i="63"/>
  <c r="BM190" i="63"/>
  <c r="IF190" i="63"/>
  <c r="GG190" i="63"/>
  <c r="EI190" i="63"/>
  <c r="NZ190" i="63"/>
  <c r="BL190" i="63"/>
  <c r="HF190" i="63"/>
  <c r="NA190" i="63"/>
  <c r="N190" i="63"/>
  <c r="JD190" i="63"/>
  <c r="KC190" i="63"/>
  <c r="IE190" i="63"/>
  <c r="AM190" i="63"/>
  <c r="DJ190" i="63"/>
  <c r="CK190" i="63"/>
  <c r="FH190" i="63"/>
  <c r="LB190" i="63"/>
  <c r="MA190" i="63"/>
  <c r="MZ190" i="63"/>
  <c r="BK190" i="63"/>
  <c r="HE190" i="63"/>
  <c r="JC190" i="63"/>
  <c r="LZ190" i="63"/>
  <c r="GF190" i="63"/>
  <c r="MY190" i="63"/>
  <c r="NX190" i="63"/>
  <c r="DI190" i="63"/>
  <c r="LA190" i="63"/>
  <c r="NY190" i="63"/>
  <c r="EH190" i="63"/>
  <c r="KB190" i="63"/>
  <c r="OX190" i="63"/>
  <c r="ID190" i="63"/>
  <c r="AL190" i="63"/>
  <c r="M190" i="63"/>
  <c r="CJ190" i="63"/>
  <c r="FG190" i="63"/>
  <c r="AK190" i="63"/>
  <c r="PV190" i="63"/>
  <c r="FF190" i="63"/>
  <c r="KA190" i="63"/>
  <c r="LY190" i="63"/>
  <c r="HD190" i="63"/>
  <c r="MX190" i="63"/>
  <c r="JB190" i="63"/>
  <c r="CI190" i="63"/>
  <c r="L190" i="63"/>
  <c r="GE190" i="63"/>
  <c r="OV190" i="63"/>
  <c r="EG190" i="63"/>
  <c r="KZ190" i="63"/>
  <c r="BJ190" i="63"/>
  <c r="IC190" i="63"/>
  <c r="NW190" i="63"/>
  <c r="DH190" i="63"/>
  <c r="OW190" i="63"/>
  <c r="IB190" i="63"/>
  <c r="JA190" i="63"/>
  <c r="NV190" i="63"/>
  <c r="OU190" i="63"/>
  <c r="MW190" i="63"/>
  <c r="HC190" i="63"/>
  <c r="FE190" i="63"/>
  <c r="KY190" i="63"/>
  <c r="BI190" i="63"/>
  <c r="AJ190" i="63"/>
  <c r="PU190" i="63"/>
  <c r="CH190" i="63"/>
  <c r="DG190" i="63"/>
  <c r="LX190" i="63"/>
  <c r="EF190" i="63"/>
  <c r="GD190" i="63"/>
  <c r="PT190" i="63"/>
  <c r="JZ190" i="63"/>
  <c r="K190" i="63"/>
  <c r="GC190" i="63"/>
  <c r="OT190" i="63"/>
  <c r="IZ190" i="63"/>
  <c r="BH190" i="63"/>
  <c r="HB190" i="63"/>
  <c r="MV190" i="63"/>
  <c r="LW190" i="63"/>
  <c r="KX190" i="63"/>
  <c r="CG190" i="63"/>
  <c r="DF190" i="63"/>
  <c r="JY190" i="63"/>
  <c r="NU190" i="63"/>
  <c r="AI190" i="63"/>
  <c r="EE190" i="63"/>
  <c r="IA190" i="63"/>
  <c r="PS190" i="63"/>
  <c r="J190" i="63"/>
  <c r="FD190" i="63"/>
  <c r="OS190" i="63"/>
  <c r="KW190" i="63"/>
  <c r="AH190" i="63"/>
  <c r="CF190" i="63"/>
  <c r="HZ190" i="63"/>
  <c r="GB190" i="63"/>
  <c r="ED190" i="63"/>
  <c r="DE190" i="63"/>
  <c r="PR190" i="63"/>
  <c r="HA190" i="63"/>
  <c r="MU190" i="63"/>
  <c r="FC190" i="63"/>
  <c r="NT190" i="63"/>
  <c r="BG190" i="63"/>
  <c r="JX190" i="63"/>
  <c r="LV190" i="63"/>
  <c r="IY190" i="63"/>
  <c r="HY190" i="63"/>
  <c r="OR190" i="63"/>
  <c r="CE190" i="63"/>
  <c r="EC190" i="63"/>
  <c r="PQ190" i="63"/>
  <c r="NS190" i="63"/>
  <c r="MT190" i="63"/>
  <c r="DD190" i="63"/>
  <c r="GZ190" i="63"/>
  <c r="FB190" i="63"/>
  <c r="LU190" i="63"/>
  <c r="GA190" i="63"/>
  <c r="IX190" i="63"/>
  <c r="JW190" i="63"/>
  <c r="BF190" i="63"/>
  <c r="KV190" i="63"/>
  <c r="GY190" i="63"/>
  <c r="FZ190" i="63"/>
  <c r="FA190" i="63"/>
  <c r="NR190" i="63"/>
  <c r="IW190" i="63"/>
  <c r="HX190" i="63"/>
  <c r="EB190" i="63"/>
  <c r="PP190" i="63"/>
  <c r="MS190" i="63"/>
  <c r="DC190" i="63"/>
  <c r="JV190" i="63"/>
  <c r="OQ190" i="63"/>
  <c r="CD190" i="63"/>
  <c r="LT190" i="63"/>
  <c r="KU190" i="63"/>
  <c r="EZ190" i="63"/>
  <c r="PO190" i="63"/>
  <c r="HW190" i="63"/>
  <c r="GX190" i="63"/>
  <c r="OP190" i="63"/>
  <c r="FY190" i="63"/>
  <c r="DB190" i="63"/>
  <c r="LS190" i="63"/>
  <c r="KT190" i="63"/>
  <c r="EA190" i="63"/>
  <c r="NQ190" i="63"/>
  <c r="MR190" i="63"/>
  <c r="IV190" i="63"/>
  <c r="JU190" i="63"/>
  <c r="OO190" i="63"/>
  <c r="HV190" i="63"/>
  <c r="NP190" i="63"/>
  <c r="MQ190" i="63"/>
  <c r="DZ190" i="63"/>
  <c r="GW190" i="63"/>
  <c r="IU190" i="63"/>
  <c r="JT190" i="63"/>
  <c r="EY190" i="63"/>
  <c r="LR190" i="63"/>
  <c r="PN190" i="63"/>
  <c r="KS190" i="63"/>
  <c r="FX190" i="63"/>
  <c r="EX190" i="63"/>
  <c r="NO190" i="63"/>
  <c r="PM190" i="63"/>
  <c r="JS190" i="63"/>
  <c r="MP190" i="63"/>
  <c r="ON190" i="63"/>
  <c r="KR190" i="63"/>
  <c r="LQ190" i="63"/>
  <c r="HU190" i="63"/>
  <c r="GV190" i="63"/>
  <c r="FW190" i="63"/>
  <c r="IT190" i="63"/>
  <c r="NN190" i="63"/>
  <c r="MO190" i="63"/>
  <c r="GU190" i="63"/>
  <c r="IS190" i="63"/>
  <c r="OM190" i="63"/>
  <c r="PL190" i="63"/>
  <c r="HT190" i="63"/>
  <c r="JR190" i="63"/>
  <c r="FV190" i="63"/>
  <c r="LP190" i="63"/>
  <c r="KQ190" i="63"/>
  <c r="PK190" i="63"/>
  <c r="HS190" i="63"/>
  <c r="NM190" i="63"/>
  <c r="LO190" i="63"/>
  <c r="KP190" i="63"/>
  <c r="JQ190" i="63"/>
  <c r="GT190" i="63"/>
  <c r="IR190" i="63"/>
  <c r="MN190" i="63"/>
  <c r="OL190" i="63"/>
  <c r="IQ190" i="63"/>
  <c r="HR190" i="63"/>
  <c r="JP190" i="63"/>
  <c r="OK190" i="63"/>
  <c r="KO190" i="63"/>
  <c r="PJ190" i="63"/>
  <c r="MM190" i="63"/>
  <c r="NL190" i="63"/>
  <c r="LN190" i="63"/>
  <c r="JO190" i="63"/>
  <c r="LM190" i="63"/>
  <c r="KN190" i="63"/>
  <c r="IP190" i="63"/>
  <c r="NK190" i="63"/>
  <c r="ML190" i="63"/>
  <c r="OJ190" i="63"/>
  <c r="PI190" i="63"/>
  <c r="OI190" i="63"/>
  <c r="PH190" i="63"/>
  <c r="NJ190" i="63"/>
  <c r="KM190" i="63"/>
  <c r="LL190" i="63"/>
  <c r="MK190" i="63"/>
  <c r="JN190" i="63"/>
  <c r="OH190" i="63"/>
  <c r="MJ190" i="63"/>
  <c r="LK190" i="63"/>
  <c r="NI190" i="63"/>
  <c r="PG190" i="63"/>
  <c r="KL190" i="63"/>
  <c r="NH190" i="63"/>
  <c r="LJ190" i="63"/>
  <c r="OG190" i="63"/>
  <c r="MI190" i="63"/>
  <c r="PF190" i="63"/>
  <c r="MH190" i="63"/>
  <c r="PE190" i="63"/>
  <c r="OF190" i="63"/>
  <c r="NG190" i="63"/>
  <c r="PC127" i="63"/>
  <c r="NE238" i="63"/>
  <c r="NE239" i="63" s="1"/>
  <c r="NE240" i="63" s="1"/>
  <c r="NE241" i="63" s="1"/>
  <c r="NE242" i="63" s="1"/>
  <c r="NE243" i="63" s="1"/>
  <c r="NE244" i="63" s="1"/>
  <c r="NE245" i="63" s="1"/>
  <c r="NE246" i="63" s="1"/>
  <c r="NE247" i="63" s="1"/>
  <c r="NE248" i="63" s="1"/>
  <c r="NE249" i="63" s="1"/>
  <c r="NE250" i="63" s="1"/>
  <c r="NE251" i="63" s="1"/>
  <c r="NE252" i="63" s="1"/>
  <c r="NE253" i="63" s="1"/>
  <c r="NE254" i="63" s="1"/>
  <c r="NE255" i="63" s="1"/>
  <c r="NE256" i="63" s="1"/>
  <c r="NE257" i="63" s="1"/>
  <c r="NE258" i="63" s="1"/>
  <c r="OD237" i="63"/>
  <c r="PD190" i="63"/>
  <c r="PB117" i="63"/>
  <c r="PB122" i="63"/>
  <c r="PB120" i="63"/>
  <c r="PB116" i="63"/>
  <c r="PB114" i="63"/>
  <c r="PB113" i="63"/>
  <c r="PB112" i="63"/>
  <c r="PB111" i="63"/>
  <c r="PB119" i="63"/>
  <c r="PB127" i="63"/>
  <c r="PB125" i="63"/>
  <c r="PB123" i="63"/>
  <c r="PB121" i="63"/>
  <c r="PB118" i="63"/>
  <c r="PB126" i="63"/>
  <c r="PB124" i="63"/>
  <c r="PB115" i="63"/>
  <c r="PA111" i="63"/>
  <c r="PA112" i="63" s="1"/>
  <c r="PA113" i="63" s="1"/>
  <c r="PA114" i="63" s="1"/>
  <c r="PA115" i="63" s="1"/>
  <c r="PA116" i="63" s="1"/>
  <c r="PA117" i="63" s="1"/>
  <c r="PA118" i="63" s="1"/>
  <c r="PA119" i="63" s="1"/>
  <c r="PA120" i="63" s="1"/>
  <c r="PA121" i="63" s="1"/>
  <c r="PA122" i="63" s="1"/>
  <c r="PA123" i="63" s="1"/>
  <c r="PA124" i="63" s="1"/>
  <c r="PA125" i="63" s="1"/>
  <c r="PA126" i="63" s="1"/>
  <c r="PA127" i="63" s="1"/>
  <c r="PA128" i="63" s="1"/>
  <c r="PA129" i="63" s="1"/>
  <c r="PA130" i="63" s="1"/>
  <c r="PA131" i="63" s="1"/>
  <c r="NF190" i="63"/>
  <c r="I128" i="63"/>
  <c r="PB128" i="63" s="1"/>
  <c r="AD127" i="63"/>
  <c r="AC127" i="63"/>
  <c r="AB127" i="63"/>
  <c r="BB127" i="63"/>
  <c r="AZ127" i="63"/>
  <c r="AA127" i="63"/>
  <c r="BA127" i="63"/>
  <c r="BZ127" i="63"/>
  <c r="Z127" i="63"/>
  <c r="CX127" i="63"/>
  <c r="AY127" i="63"/>
  <c r="BX127" i="63"/>
  <c r="BY127" i="63"/>
  <c r="DV127" i="63"/>
  <c r="BW127" i="63"/>
  <c r="Y127" i="63"/>
  <c r="CW127" i="63"/>
  <c r="AX127" i="63"/>
  <c r="CV127" i="63"/>
  <c r="CU127" i="63"/>
  <c r="AW127" i="63"/>
  <c r="BV127" i="63"/>
  <c r="DU127" i="63"/>
  <c r="ET127" i="63"/>
  <c r="X127" i="63"/>
  <c r="DT127" i="63"/>
  <c r="W127" i="63"/>
  <c r="CT127" i="63"/>
  <c r="ES127" i="63"/>
  <c r="FR127" i="63"/>
  <c r="BU127" i="63"/>
  <c r="DS127" i="63"/>
  <c r="AV127" i="63"/>
  <c r="ER127" i="63"/>
  <c r="FQ127" i="63"/>
  <c r="EQ127" i="63"/>
  <c r="FP127" i="63"/>
  <c r="AU127" i="63"/>
  <c r="CS127" i="63"/>
  <c r="GP127" i="63"/>
  <c r="V127" i="63"/>
  <c r="BT127" i="63"/>
  <c r="DR127" i="63"/>
  <c r="HN127" i="63"/>
  <c r="BS127" i="63"/>
  <c r="GN127" i="63"/>
  <c r="GO127" i="63"/>
  <c r="CR127" i="63"/>
  <c r="FO127" i="63"/>
  <c r="AT127" i="63"/>
  <c r="DQ127" i="63"/>
  <c r="U127" i="63"/>
  <c r="EP127" i="63"/>
  <c r="AS127" i="63"/>
  <c r="DP127" i="63"/>
  <c r="FN127" i="63"/>
  <c r="HL127" i="63"/>
  <c r="CQ127" i="63"/>
  <c r="BR127" i="63"/>
  <c r="HM127" i="63"/>
  <c r="GM127" i="63"/>
  <c r="EO127" i="63"/>
  <c r="IL127" i="63"/>
  <c r="T127" i="63"/>
  <c r="GL127" i="63"/>
  <c r="BQ127" i="63"/>
  <c r="CP127" i="63"/>
  <c r="IK127" i="63"/>
  <c r="JJ127" i="63"/>
  <c r="IJ127" i="63"/>
  <c r="EN127" i="63"/>
  <c r="DO127" i="63"/>
  <c r="S127" i="63"/>
  <c r="AR127" i="63"/>
  <c r="FM127" i="63"/>
  <c r="HK127" i="63"/>
  <c r="CO127" i="63"/>
  <c r="EM127" i="63"/>
  <c r="II127" i="63"/>
  <c r="R127" i="63"/>
  <c r="GK127" i="63"/>
  <c r="DN127" i="63"/>
  <c r="KH127" i="63"/>
  <c r="HJ127" i="63"/>
  <c r="FL127" i="63"/>
  <c r="JI127" i="63"/>
  <c r="BP127" i="63"/>
  <c r="AQ127" i="63"/>
  <c r="JH127" i="63"/>
  <c r="FK127" i="63"/>
  <c r="EL127" i="63"/>
  <c r="KF127" i="63"/>
  <c r="Q127" i="63"/>
  <c r="CN127" i="63"/>
  <c r="LF127" i="63"/>
  <c r="KG127" i="63"/>
  <c r="AP127" i="63"/>
  <c r="IH127" i="63"/>
  <c r="DM127" i="63"/>
  <c r="GJ127" i="63"/>
  <c r="JG127" i="63"/>
  <c r="HI127" i="63"/>
  <c r="BO127" i="63"/>
  <c r="FJ127" i="63"/>
  <c r="CM127" i="63"/>
  <c r="P127" i="63"/>
  <c r="MD127" i="63"/>
  <c r="KE127" i="63"/>
  <c r="HH127" i="63"/>
  <c r="BN127" i="63"/>
  <c r="DL127" i="63"/>
  <c r="AO127" i="63"/>
  <c r="EK127" i="63"/>
  <c r="IG127" i="63"/>
  <c r="GI127" i="63"/>
  <c r="LD127" i="63"/>
  <c r="JF127" i="63"/>
  <c r="LE127" i="63"/>
  <c r="HG127" i="63"/>
  <c r="EJ127" i="63"/>
  <c r="KD127" i="63"/>
  <c r="BM127" i="63"/>
  <c r="GH127" i="63"/>
  <c r="MC127" i="63"/>
  <c r="IF127" i="63"/>
  <c r="JE127" i="63"/>
  <c r="O127" i="63"/>
  <c r="LC127" i="63"/>
  <c r="AN127" i="63"/>
  <c r="NB127" i="63"/>
  <c r="DK127" i="63"/>
  <c r="CL127" i="63"/>
  <c r="FI127" i="63"/>
  <c r="MB127" i="63"/>
  <c r="JD127" i="63"/>
  <c r="IE127" i="63"/>
  <c r="DJ127" i="63"/>
  <c r="EI127" i="63"/>
  <c r="AM127" i="63"/>
  <c r="N127" i="63"/>
  <c r="CK127" i="63"/>
  <c r="KC127" i="63"/>
  <c r="MA127" i="63"/>
  <c r="NZ127" i="63"/>
  <c r="NA127" i="63"/>
  <c r="GG127" i="63"/>
  <c r="HF127" i="63"/>
  <c r="FH127" i="63"/>
  <c r="MZ127" i="63"/>
  <c r="BL127" i="63"/>
  <c r="LB127" i="63"/>
  <c r="BK127" i="63"/>
  <c r="EH127" i="63"/>
  <c r="NY127" i="63"/>
  <c r="LA127" i="63"/>
  <c r="ID127" i="63"/>
  <c r="MY127" i="63"/>
  <c r="LZ127" i="63"/>
  <c r="CJ127" i="63"/>
  <c r="NX127" i="63"/>
  <c r="FG127" i="63"/>
  <c r="DI127" i="63"/>
  <c r="AL127" i="63"/>
  <c r="GF127" i="63"/>
  <c r="OX127" i="63"/>
  <c r="KB127" i="63"/>
  <c r="JC127" i="63"/>
  <c r="M127" i="63"/>
  <c r="HE127" i="63"/>
  <c r="FF127" i="63"/>
  <c r="MX127" i="63"/>
  <c r="GE127" i="63"/>
  <c r="CI127" i="63"/>
  <c r="L127" i="63"/>
  <c r="NW127" i="63"/>
  <c r="LY127" i="63"/>
  <c r="OW127" i="63"/>
  <c r="AK127" i="63"/>
  <c r="JB127" i="63"/>
  <c r="KA127" i="63"/>
  <c r="BJ127" i="63"/>
  <c r="OV127" i="63"/>
  <c r="KZ127" i="63"/>
  <c r="DH127" i="63"/>
  <c r="IC127" i="63"/>
  <c r="PV127" i="63"/>
  <c r="EG127" i="63"/>
  <c r="HD127" i="63"/>
  <c r="IB127" i="63"/>
  <c r="OU127" i="63"/>
  <c r="FE127" i="63"/>
  <c r="MW127" i="63"/>
  <c r="NV127" i="63"/>
  <c r="CH127" i="63"/>
  <c r="JZ127" i="63"/>
  <c r="HC127" i="63"/>
  <c r="AJ127" i="63"/>
  <c r="GD127" i="63"/>
  <c r="KY127" i="63"/>
  <c r="BI127" i="63"/>
  <c r="LX127" i="63"/>
  <c r="EF127" i="63"/>
  <c r="PT127" i="63"/>
  <c r="JA127" i="63"/>
  <c r="PU127" i="63"/>
  <c r="DG127" i="63"/>
  <c r="K127" i="63"/>
  <c r="MV127" i="63"/>
  <c r="JY127" i="63"/>
  <c r="EE127" i="63"/>
  <c r="J127" i="63"/>
  <c r="HB127" i="63"/>
  <c r="DF127" i="63"/>
  <c r="NU127" i="63"/>
  <c r="AI127" i="63"/>
  <c r="KX127" i="63"/>
  <c r="PS127" i="63"/>
  <c r="CG127" i="63"/>
  <c r="OT127" i="63"/>
  <c r="LW127" i="63"/>
  <c r="FD127" i="63"/>
  <c r="IA127" i="63"/>
  <c r="BH127" i="63"/>
  <c r="GC127" i="63"/>
  <c r="IZ127" i="63"/>
  <c r="BG127" i="63"/>
  <c r="CF127" i="63"/>
  <c r="MU127" i="63"/>
  <c r="KW127" i="63"/>
  <c r="OS127" i="63"/>
  <c r="DE127" i="63"/>
  <c r="JX127" i="63"/>
  <c r="HA127" i="63"/>
  <c r="GB127" i="63"/>
  <c r="FC127" i="63"/>
  <c r="HZ127" i="63"/>
  <c r="NT127" i="63"/>
  <c r="PR127" i="63"/>
  <c r="AH127" i="63"/>
  <c r="ED127" i="63"/>
  <c r="IY127" i="63"/>
  <c r="LV127" i="63"/>
  <c r="HY127" i="63"/>
  <c r="KV127" i="63"/>
  <c r="NS127" i="63"/>
  <c r="IX127" i="63"/>
  <c r="LU127" i="63"/>
  <c r="FB127" i="63"/>
  <c r="CE127" i="63"/>
  <c r="PQ127" i="63"/>
  <c r="DD127" i="63"/>
  <c r="EC127" i="63"/>
  <c r="OR127" i="63"/>
  <c r="MT127" i="63"/>
  <c r="GA127" i="63"/>
  <c r="GZ127" i="63"/>
  <c r="BF127" i="63"/>
  <c r="JW127" i="63"/>
  <c r="MS127" i="63"/>
  <c r="FA127" i="63"/>
  <c r="GY127" i="63"/>
  <c r="NR127" i="63"/>
  <c r="IW127" i="63"/>
  <c r="DC127" i="63"/>
  <c r="HX127" i="63"/>
  <c r="PP127" i="63"/>
  <c r="CD127" i="63"/>
  <c r="OQ127" i="63"/>
  <c r="KU127" i="63"/>
  <c r="LT127" i="63"/>
  <c r="JV127" i="63"/>
  <c r="FZ127" i="63"/>
  <c r="EB127" i="63"/>
  <c r="GX127" i="63"/>
  <c r="NQ127" i="63"/>
  <c r="IV127" i="63"/>
  <c r="KT127" i="63"/>
  <c r="EA127" i="63"/>
  <c r="HW127" i="63"/>
  <c r="LS127" i="63"/>
  <c r="OP127" i="63"/>
  <c r="MR127" i="63"/>
  <c r="PO127" i="63"/>
  <c r="DB127" i="63"/>
  <c r="EZ127" i="63"/>
  <c r="JU127" i="63"/>
  <c r="FY127" i="63"/>
  <c r="PN127" i="63"/>
  <c r="JT127" i="63"/>
  <c r="NP127" i="63"/>
  <c r="EY127" i="63"/>
  <c r="HV127" i="63"/>
  <c r="LR127" i="63"/>
  <c r="DZ127" i="63"/>
  <c r="OO127" i="63"/>
  <c r="KS127" i="63"/>
  <c r="GW127" i="63"/>
  <c r="MQ127" i="63"/>
  <c r="IU127" i="63"/>
  <c r="FX127" i="63"/>
  <c r="HU127" i="63"/>
  <c r="GV127" i="63"/>
  <c r="JS127" i="63"/>
  <c r="MP127" i="63"/>
  <c r="NO127" i="63"/>
  <c r="LQ127" i="63"/>
  <c r="FW127" i="63"/>
  <c r="IT127" i="63"/>
  <c r="EX127" i="63"/>
  <c r="PM127" i="63"/>
  <c r="KR127" i="63"/>
  <c r="ON127" i="63"/>
  <c r="HT127" i="63"/>
  <c r="MO127" i="63"/>
  <c r="JR127" i="63"/>
  <c r="LP127" i="63"/>
  <c r="KQ127" i="63"/>
  <c r="NN127" i="63"/>
  <c r="IS127" i="63"/>
  <c r="FV127" i="63"/>
  <c r="OM127" i="63"/>
  <c r="PL127" i="63"/>
  <c r="GU127" i="63"/>
  <c r="OL127" i="63"/>
  <c r="MN127" i="63"/>
  <c r="IR127" i="63"/>
  <c r="HS127" i="63"/>
  <c r="KP127" i="63"/>
  <c r="GT127" i="63"/>
  <c r="NM127" i="63"/>
  <c r="PK127" i="63"/>
  <c r="JQ127" i="63"/>
  <c r="LO127" i="63"/>
  <c r="MM127" i="63"/>
  <c r="NL127" i="63"/>
  <c r="IQ127" i="63"/>
  <c r="KO127" i="63"/>
  <c r="LN127" i="63"/>
  <c r="HR127" i="63"/>
  <c r="OK127" i="63"/>
  <c r="JP127" i="63"/>
  <c r="PJ127" i="63"/>
  <c r="PI127" i="63"/>
  <c r="KN127" i="63"/>
  <c r="JO127" i="63"/>
  <c r="NK127" i="63"/>
  <c r="OJ127" i="63"/>
  <c r="LM127" i="63"/>
  <c r="ML127" i="63"/>
  <c r="IP127" i="63"/>
  <c r="MK127" i="63"/>
  <c r="PH127" i="63"/>
  <c r="NJ127" i="63"/>
  <c r="KM127" i="63"/>
  <c r="JN127" i="63"/>
  <c r="LL127" i="63"/>
  <c r="OI127" i="63"/>
  <c r="KL127" i="63"/>
  <c r="OH127" i="63"/>
  <c r="LK127" i="63"/>
  <c r="NI127" i="63"/>
  <c r="MJ127" i="63"/>
  <c r="PG127" i="63"/>
  <c r="PF127" i="63"/>
  <c r="OG127" i="63"/>
  <c r="MI127" i="63"/>
  <c r="LJ127" i="63"/>
  <c r="NH127" i="63"/>
  <c r="NG127" i="63"/>
  <c r="MH127" i="63"/>
  <c r="PE127" i="63"/>
  <c r="OF127" i="63"/>
  <c r="PD127" i="63"/>
  <c r="NF127" i="63"/>
  <c r="OE127" i="63"/>
  <c r="OE190" i="63"/>
  <c r="OD190" i="63"/>
  <c r="OD186" i="63"/>
  <c r="OD182" i="63"/>
  <c r="OD181" i="63"/>
  <c r="OD180" i="63"/>
  <c r="OD179" i="63"/>
  <c r="OD178" i="63"/>
  <c r="OD177" i="63"/>
  <c r="OD176" i="63"/>
  <c r="OD175" i="63"/>
  <c r="OD187" i="63"/>
  <c r="OD184" i="63"/>
  <c r="OD183" i="63"/>
  <c r="OD185" i="63"/>
  <c r="OD189" i="63"/>
  <c r="OD188" i="63"/>
  <c r="OC175" i="63"/>
  <c r="OC176" i="63" s="1"/>
  <c r="OC177" i="63" s="1"/>
  <c r="OC178" i="63" s="1"/>
  <c r="OC179" i="63" s="1"/>
  <c r="OC180" i="63" s="1"/>
  <c r="OC181" i="63" s="1"/>
  <c r="OC182" i="63" s="1"/>
  <c r="OC183" i="63" s="1"/>
  <c r="OC184" i="63" s="1"/>
  <c r="OC185" i="63" s="1"/>
  <c r="OC186" i="63" s="1"/>
  <c r="OC187" i="63" s="1"/>
  <c r="OC188" i="63" s="1"/>
  <c r="OC189" i="63" s="1"/>
  <c r="OC190" i="63" s="1"/>
  <c r="OC191" i="63" s="1"/>
  <c r="OC192" i="63" s="1"/>
  <c r="OC193" i="63" s="1"/>
  <c r="OC194" i="63" s="1"/>
  <c r="OC195" i="63" s="1"/>
  <c r="PB174" i="63"/>
  <c r="BR114" i="65" l="1"/>
  <c r="BS114" i="65"/>
  <c r="BR169" i="65"/>
  <c r="BS169" i="65"/>
  <c r="O170" i="65"/>
  <c r="BN169" i="65"/>
  <c r="BM169" i="65"/>
  <c r="BL169" i="65"/>
  <c r="BK169" i="65"/>
  <c r="BJ169" i="65"/>
  <c r="BI169" i="65"/>
  <c r="BH169" i="65"/>
  <c r="BG169" i="65"/>
  <c r="BF169" i="65"/>
  <c r="BE169" i="65"/>
  <c r="BD169" i="65"/>
  <c r="BC169" i="65"/>
  <c r="BB169" i="65"/>
  <c r="BA169" i="65"/>
  <c r="AZ169" i="65"/>
  <c r="AY169" i="65"/>
  <c r="AX169" i="65"/>
  <c r="AW169" i="65"/>
  <c r="AV169" i="65"/>
  <c r="AU169" i="65"/>
  <c r="AT169" i="65"/>
  <c r="AS169" i="65"/>
  <c r="AR169" i="65"/>
  <c r="AQ169" i="65"/>
  <c r="AP169" i="65"/>
  <c r="AO169" i="65"/>
  <c r="AN169" i="65"/>
  <c r="AM169" i="65"/>
  <c r="AL169" i="65"/>
  <c r="AK169" i="65"/>
  <c r="AJ169" i="65"/>
  <c r="AI169" i="65"/>
  <c r="AH169" i="65"/>
  <c r="AG169" i="65"/>
  <c r="AF169" i="65"/>
  <c r="AE169" i="65"/>
  <c r="AD169" i="65"/>
  <c r="AC169" i="65"/>
  <c r="AB169" i="65"/>
  <c r="AA169" i="65"/>
  <c r="Z169" i="65"/>
  <c r="Y169" i="65"/>
  <c r="X169" i="65"/>
  <c r="W169" i="65"/>
  <c r="V169" i="65"/>
  <c r="U169" i="65"/>
  <c r="T169" i="65"/>
  <c r="S169" i="65"/>
  <c r="R169" i="65"/>
  <c r="P169" i="65"/>
  <c r="Q169" i="65"/>
  <c r="O115" i="65"/>
  <c r="BM114" i="65"/>
  <c r="BN114" i="65"/>
  <c r="BK114" i="65"/>
  <c r="BL114" i="65"/>
  <c r="BJ114" i="65"/>
  <c r="BI114" i="65"/>
  <c r="BH114" i="65"/>
  <c r="BG114" i="65"/>
  <c r="BF114" i="65"/>
  <c r="BE114" i="65"/>
  <c r="BD114" i="65"/>
  <c r="BC114" i="65"/>
  <c r="BB114" i="65"/>
  <c r="BA114" i="65"/>
  <c r="AZ114" i="65"/>
  <c r="AY114" i="65"/>
  <c r="AX114" i="65"/>
  <c r="AW114" i="65"/>
  <c r="AV114" i="65"/>
  <c r="AU114" i="65"/>
  <c r="AT114" i="65"/>
  <c r="AS114" i="65"/>
  <c r="AR114" i="65"/>
  <c r="AQ114" i="65"/>
  <c r="AP114" i="65"/>
  <c r="AO114" i="65"/>
  <c r="AN114" i="65"/>
  <c r="AM114" i="65"/>
  <c r="AL114" i="65"/>
  <c r="AK114" i="65"/>
  <c r="AJ114" i="65"/>
  <c r="AI114" i="65"/>
  <c r="AH114" i="65"/>
  <c r="AG114" i="65"/>
  <c r="AF114" i="65"/>
  <c r="AE114" i="65"/>
  <c r="AD114" i="65"/>
  <c r="AC114" i="65"/>
  <c r="AB114" i="65"/>
  <c r="AA114" i="65"/>
  <c r="Z114" i="65"/>
  <c r="Y114" i="65"/>
  <c r="X114" i="65"/>
  <c r="W114" i="65"/>
  <c r="V114" i="65"/>
  <c r="U114" i="65"/>
  <c r="T114" i="65"/>
  <c r="S114" i="65"/>
  <c r="R114" i="65"/>
  <c r="Q114" i="65"/>
  <c r="P114" i="65"/>
  <c r="BN183" i="39"/>
  <c r="AW183" i="39"/>
  <c r="AS183" i="39"/>
  <c r="BC183" i="39"/>
  <c r="BH183" i="39"/>
  <c r="BE183" i="39"/>
  <c r="BG183" i="39"/>
  <c r="BB183" i="39"/>
  <c r="AT183" i="39"/>
  <c r="BK183" i="39"/>
  <c r="AO183" i="39"/>
  <c r="AV183" i="39"/>
  <c r="AP183" i="39"/>
  <c r="BM183" i="39"/>
  <c r="AN183" i="39"/>
  <c r="AL183" i="39"/>
  <c r="AM183" i="39"/>
  <c r="AK183" i="39"/>
  <c r="AU183" i="39"/>
  <c r="BF183" i="39"/>
  <c r="BA183" i="39"/>
  <c r="AQ183" i="39"/>
  <c r="BL183" i="39"/>
  <c r="BI183" i="39"/>
  <c r="AZ183" i="39"/>
  <c r="AY183" i="39"/>
  <c r="BJ183" i="39"/>
  <c r="AX183" i="39"/>
  <c r="BD183" i="39"/>
  <c r="AR183" i="39"/>
  <c r="W183" i="39"/>
  <c r="AD183" i="39"/>
  <c r="Y183" i="39"/>
  <c r="AE183" i="39"/>
  <c r="AB183" i="39"/>
  <c r="X183" i="39"/>
  <c r="AG183" i="39"/>
  <c r="AJ183" i="39"/>
  <c r="AH183" i="39"/>
  <c r="AI183" i="39"/>
  <c r="AF183" i="39"/>
  <c r="AC183" i="39"/>
  <c r="AA183" i="39"/>
  <c r="Z183" i="39"/>
  <c r="V183" i="39"/>
  <c r="U183" i="39"/>
  <c r="T183" i="39"/>
  <c r="S183" i="39"/>
  <c r="R183" i="39"/>
  <c r="Q183" i="39"/>
  <c r="P183" i="39"/>
  <c r="O184" i="39"/>
  <c r="BN127" i="39"/>
  <c r="BM127" i="39"/>
  <c r="AS127" i="39"/>
  <c r="BD127" i="39"/>
  <c r="BE127" i="39"/>
  <c r="AY127" i="39"/>
  <c r="AQ127" i="39"/>
  <c r="AX127" i="39"/>
  <c r="AW127" i="39"/>
  <c r="BL127" i="39"/>
  <c r="BH127" i="39"/>
  <c r="BC127" i="39"/>
  <c r="BB127" i="39"/>
  <c r="AL127" i="39"/>
  <c r="AK127" i="39"/>
  <c r="AN127" i="39"/>
  <c r="AT127" i="39"/>
  <c r="BJ127" i="39"/>
  <c r="BK127" i="39"/>
  <c r="AV127" i="39"/>
  <c r="AP127" i="39"/>
  <c r="BG127" i="39"/>
  <c r="AZ127" i="39"/>
  <c r="AO127" i="39"/>
  <c r="BA127" i="39"/>
  <c r="AU127" i="39"/>
  <c r="AM127" i="39"/>
  <c r="BI127" i="39"/>
  <c r="BF127" i="39"/>
  <c r="AR127" i="39"/>
  <c r="AB127" i="39"/>
  <c r="AE127" i="39"/>
  <c r="AH127" i="39"/>
  <c r="Z127" i="39"/>
  <c r="AC127" i="39"/>
  <c r="X127" i="39"/>
  <c r="AI127" i="39"/>
  <c r="Y127" i="39"/>
  <c r="AF127" i="39"/>
  <c r="AD127" i="39"/>
  <c r="AA127" i="39"/>
  <c r="AJ127" i="39"/>
  <c r="AG127" i="39"/>
  <c r="W127" i="39"/>
  <c r="V127" i="39"/>
  <c r="U127" i="39"/>
  <c r="T127" i="39"/>
  <c r="S127" i="39"/>
  <c r="R127" i="39"/>
  <c r="Q127" i="39"/>
  <c r="P127" i="39"/>
  <c r="O128" i="39"/>
  <c r="PB192" i="63"/>
  <c r="PB191" i="63"/>
  <c r="PB190" i="63"/>
  <c r="PB189" i="63"/>
  <c r="PB188" i="63"/>
  <c r="PB187" i="63"/>
  <c r="PB186" i="63"/>
  <c r="PB185" i="63"/>
  <c r="PB184" i="63"/>
  <c r="PB183" i="63"/>
  <c r="PB180" i="63"/>
  <c r="PB176" i="63"/>
  <c r="PB177" i="63"/>
  <c r="PB181" i="63"/>
  <c r="PB175" i="63"/>
  <c r="PB178" i="63"/>
  <c r="PB182" i="63"/>
  <c r="PA175" i="63"/>
  <c r="PA176" i="63" s="1"/>
  <c r="PA177" i="63" s="1"/>
  <c r="PA178" i="63" s="1"/>
  <c r="PA179" i="63" s="1"/>
  <c r="PA180" i="63" s="1"/>
  <c r="PA181" i="63" s="1"/>
  <c r="PA182" i="63" s="1"/>
  <c r="PA183" i="63" s="1"/>
  <c r="PA184" i="63" s="1"/>
  <c r="PA185" i="63" s="1"/>
  <c r="PA186" i="63" s="1"/>
  <c r="PA187" i="63" s="1"/>
  <c r="PA188" i="63" s="1"/>
  <c r="PA189" i="63" s="1"/>
  <c r="PA190" i="63" s="1"/>
  <c r="PA191" i="63" s="1"/>
  <c r="PA192" i="63" s="1"/>
  <c r="PA193" i="63" s="1"/>
  <c r="PA194" i="63" s="1"/>
  <c r="PA195" i="63" s="1"/>
  <c r="PB179" i="63"/>
  <c r="I192" i="63"/>
  <c r="AD191" i="63"/>
  <c r="AC191" i="63"/>
  <c r="AB191" i="63"/>
  <c r="BB191" i="63"/>
  <c r="AZ191" i="63"/>
  <c r="AA191" i="63"/>
  <c r="BA191" i="63"/>
  <c r="BZ191" i="63"/>
  <c r="BX191" i="63"/>
  <c r="AY191" i="63"/>
  <c r="Z191" i="63"/>
  <c r="CX191" i="63"/>
  <c r="BY191" i="63"/>
  <c r="BW191" i="63"/>
  <c r="Y191" i="63"/>
  <c r="CW191" i="63"/>
  <c r="AX191" i="63"/>
  <c r="DV191" i="63"/>
  <c r="CV191" i="63"/>
  <c r="ET191" i="63"/>
  <c r="BV191" i="63"/>
  <c r="DU191" i="63"/>
  <c r="X191" i="63"/>
  <c r="AW191" i="63"/>
  <c r="CU191" i="63"/>
  <c r="DT191" i="63"/>
  <c r="FR191" i="63"/>
  <c r="W191" i="63"/>
  <c r="ER191" i="63"/>
  <c r="BU191" i="63"/>
  <c r="AV191" i="63"/>
  <c r="DS191" i="63"/>
  <c r="ES191" i="63"/>
  <c r="CT191" i="63"/>
  <c r="BT191" i="63"/>
  <c r="FQ191" i="63"/>
  <c r="DR191" i="63"/>
  <c r="FP191" i="63"/>
  <c r="EQ191" i="63"/>
  <c r="CS191" i="63"/>
  <c r="AU191" i="63"/>
  <c r="V191" i="63"/>
  <c r="GP191" i="63"/>
  <c r="EP191" i="63"/>
  <c r="CR191" i="63"/>
  <c r="U191" i="63"/>
  <c r="HN191" i="63"/>
  <c r="DQ191" i="63"/>
  <c r="BS191" i="63"/>
  <c r="GO191" i="63"/>
  <c r="FO191" i="63"/>
  <c r="AT191" i="63"/>
  <c r="GN191" i="63"/>
  <c r="EO191" i="63"/>
  <c r="CQ191" i="63"/>
  <c r="T191" i="63"/>
  <c r="DP191" i="63"/>
  <c r="FN191" i="63"/>
  <c r="GM191" i="63"/>
  <c r="HL191" i="63"/>
  <c r="IL191" i="63"/>
  <c r="AS191" i="63"/>
  <c r="BR191" i="63"/>
  <c r="HM191" i="63"/>
  <c r="GL191" i="63"/>
  <c r="BQ191" i="63"/>
  <c r="CP191" i="63"/>
  <c r="HK191" i="63"/>
  <c r="AR191" i="63"/>
  <c r="DO191" i="63"/>
  <c r="IJ191" i="63"/>
  <c r="JJ191" i="63"/>
  <c r="FM191" i="63"/>
  <c r="IK191" i="63"/>
  <c r="EN191" i="63"/>
  <c r="S191" i="63"/>
  <c r="JH191" i="63"/>
  <c r="KH191" i="63"/>
  <c r="DN191" i="63"/>
  <c r="EM191" i="63"/>
  <c r="R191" i="63"/>
  <c r="AQ191" i="63"/>
  <c r="HJ191" i="63"/>
  <c r="BP191" i="63"/>
  <c r="FL191" i="63"/>
  <c r="II191" i="63"/>
  <c r="CO191" i="63"/>
  <c r="JI191" i="63"/>
  <c r="GK191" i="63"/>
  <c r="Q191" i="63"/>
  <c r="AP191" i="63"/>
  <c r="KG191" i="63"/>
  <c r="FK191" i="63"/>
  <c r="EL191" i="63"/>
  <c r="IH191" i="63"/>
  <c r="HI191" i="63"/>
  <c r="CN191" i="63"/>
  <c r="KF191" i="63"/>
  <c r="LF191" i="63"/>
  <c r="GJ191" i="63"/>
  <c r="BO191" i="63"/>
  <c r="JG191" i="63"/>
  <c r="DM191" i="63"/>
  <c r="FJ191" i="63"/>
  <c r="KE191" i="63"/>
  <c r="HH191" i="63"/>
  <c r="BN191" i="63"/>
  <c r="JF191" i="63"/>
  <c r="GI191" i="63"/>
  <c r="MD191" i="63"/>
  <c r="CM191" i="63"/>
  <c r="EK191" i="63"/>
  <c r="LE191" i="63"/>
  <c r="DL191" i="63"/>
  <c r="IG191" i="63"/>
  <c r="LD191" i="63"/>
  <c r="P191" i="63"/>
  <c r="AO191" i="63"/>
  <c r="GH191" i="63"/>
  <c r="AN191" i="63"/>
  <c r="EJ191" i="63"/>
  <c r="O191" i="63"/>
  <c r="HG191" i="63"/>
  <c r="MC191" i="63"/>
  <c r="CL191" i="63"/>
  <c r="IF191" i="63"/>
  <c r="FI191" i="63"/>
  <c r="BM191" i="63"/>
  <c r="LC191" i="63"/>
  <c r="MB191" i="63"/>
  <c r="NB191" i="63"/>
  <c r="DK191" i="63"/>
  <c r="JE191" i="63"/>
  <c r="KD191" i="63"/>
  <c r="JD191" i="63"/>
  <c r="AM191" i="63"/>
  <c r="FH191" i="63"/>
  <c r="HF191" i="63"/>
  <c r="CK191" i="63"/>
  <c r="GG191" i="63"/>
  <c r="EI191" i="63"/>
  <c r="MZ191" i="63"/>
  <c r="NA191" i="63"/>
  <c r="NZ191" i="63"/>
  <c r="BL191" i="63"/>
  <c r="N191" i="63"/>
  <c r="KC191" i="63"/>
  <c r="LB191" i="63"/>
  <c r="IE191" i="63"/>
  <c r="DJ191" i="63"/>
  <c r="MA191" i="63"/>
  <c r="BK191" i="63"/>
  <c r="LZ191" i="63"/>
  <c r="LA191" i="63"/>
  <c r="NX191" i="63"/>
  <c r="M191" i="63"/>
  <c r="GF191" i="63"/>
  <c r="JC191" i="63"/>
  <c r="NY191" i="63"/>
  <c r="EH191" i="63"/>
  <c r="CJ191" i="63"/>
  <c r="FG191" i="63"/>
  <c r="ID191" i="63"/>
  <c r="AL191" i="63"/>
  <c r="OX191" i="63"/>
  <c r="DI191" i="63"/>
  <c r="MY191" i="63"/>
  <c r="HE191" i="63"/>
  <c r="KB191" i="63"/>
  <c r="FF191" i="63"/>
  <c r="OV191" i="63"/>
  <c r="CI191" i="63"/>
  <c r="KZ191" i="63"/>
  <c r="DH191" i="63"/>
  <c r="GE191" i="63"/>
  <c r="L191" i="63"/>
  <c r="AK191" i="63"/>
  <c r="KA191" i="63"/>
  <c r="LY191" i="63"/>
  <c r="EG191" i="63"/>
  <c r="NW191" i="63"/>
  <c r="MX191" i="63"/>
  <c r="PV191" i="63"/>
  <c r="JB191" i="63"/>
  <c r="BJ191" i="63"/>
  <c r="IC191" i="63"/>
  <c r="HD191" i="63"/>
  <c r="OW191" i="63"/>
  <c r="NV191" i="63"/>
  <c r="IB191" i="63"/>
  <c r="BI191" i="63"/>
  <c r="HC191" i="63"/>
  <c r="GD191" i="63"/>
  <c r="PT191" i="63"/>
  <c r="JZ191" i="63"/>
  <c r="K191" i="63"/>
  <c r="AJ191" i="63"/>
  <c r="PU191" i="63"/>
  <c r="JA191" i="63"/>
  <c r="LX191" i="63"/>
  <c r="OU191" i="63"/>
  <c r="CH191" i="63"/>
  <c r="DG191" i="63"/>
  <c r="KY191" i="63"/>
  <c r="MW191" i="63"/>
  <c r="EF191" i="63"/>
  <c r="FE191" i="63"/>
  <c r="LW191" i="63"/>
  <c r="KX191" i="63"/>
  <c r="JY191" i="63"/>
  <c r="MV191" i="63"/>
  <c r="CG191" i="63"/>
  <c r="J191" i="63"/>
  <c r="FD191" i="63"/>
  <c r="OT191" i="63"/>
  <c r="DF191" i="63"/>
  <c r="HB191" i="63"/>
  <c r="AI191" i="63"/>
  <c r="EE191" i="63"/>
  <c r="IZ191" i="63"/>
  <c r="PS191" i="63"/>
  <c r="BH191" i="63"/>
  <c r="NU191" i="63"/>
  <c r="GC191" i="63"/>
  <c r="IA191" i="63"/>
  <c r="HZ191" i="63"/>
  <c r="GB191" i="63"/>
  <c r="JX191" i="63"/>
  <c r="ED191" i="63"/>
  <c r="PR191" i="63"/>
  <c r="IY191" i="63"/>
  <c r="OS191" i="63"/>
  <c r="BG191" i="63"/>
  <c r="KW191" i="63"/>
  <c r="NT191" i="63"/>
  <c r="LV191" i="63"/>
  <c r="MU191" i="63"/>
  <c r="CF191" i="63"/>
  <c r="FC191" i="63"/>
  <c r="AH191" i="63"/>
  <c r="DE191" i="63"/>
  <c r="HA191" i="63"/>
  <c r="NS191" i="63"/>
  <c r="GA191" i="63"/>
  <c r="IX191" i="63"/>
  <c r="HY191" i="63"/>
  <c r="KV191" i="63"/>
  <c r="DD191" i="63"/>
  <c r="GZ191" i="63"/>
  <c r="CE191" i="63"/>
  <c r="FB191" i="63"/>
  <c r="EC191" i="63"/>
  <c r="LU191" i="63"/>
  <c r="PQ191" i="63"/>
  <c r="MT191" i="63"/>
  <c r="OR191" i="63"/>
  <c r="JW191" i="63"/>
  <c r="BF191" i="63"/>
  <c r="NR191" i="63"/>
  <c r="IW191" i="63"/>
  <c r="LT191" i="63"/>
  <c r="KU191" i="63"/>
  <c r="EB191" i="63"/>
  <c r="PP191" i="63"/>
  <c r="DC191" i="63"/>
  <c r="JV191" i="63"/>
  <c r="CD191" i="63"/>
  <c r="FA191" i="63"/>
  <c r="MS191" i="63"/>
  <c r="GY191" i="63"/>
  <c r="FZ191" i="63"/>
  <c r="OQ191" i="63"/>
  <c r="HX191" i="63"/>
  <c r="DB191" i="63"/>
  <c r="LS191" i="63"/>
  <c r="PO191" i="63"/>
  <c r="IV191" i="63"/>
  <c r="GX191" i="63"/>
  <c r="NQ191" i="63"/>
  <c r="KT191" i="63"/>
  <c r="FY191" i="63"/>
  <c r="MR191" i="63"/>
  <c r="HW191" i="63"/>
  <c r="JU191" i="63"/>
  <c r="OP191" i="63"/>
  <c r="EZ191" i="63"/>
  <c r="EA191" i="63"/>
  <c r="DZ191" i="63"/>
  <c r="EY191" i="63"/>
  <c r="FX191" i="63"/>
  <c r="OO191" i="63"/>
  <c r="KS191" i="63"/>
  <c r="LR191" i="63"/>
  <c r="PN191" i="63"/>
  <c r="GW191" i="63"/>
  <c r="JT191" i="63"/>
  <c r="MQ191" i="63"/>
  <c r="HV191" i="63"/>
  <c r="IU191" i="63"/>
  <c r="NP191" i="63"/>
  <c r="FW191" i="63"/>
  <c r="IT191" i="63"/>
  <c r="MP191" i="63"/>
  <c r="KR191" i="63"/>
  <c r="PM191" i="63"/>
  <c r="HU191" i="63"/>
  <c r="LQ191" i="63"/>
  <c r="JS191" i="63"/>
  <c r="EX191" i="63"/>
  <c r="GV191" i="63"/>
  <c r="ON191" i="63"/>
  <c r="NO191" i="63"/>
  <c r="PL191" i="63"/>
  <c r="KQ191" i="63"/>
  <c r="HT191" i="63"/>
  <c r="NN191" i="63"/>
  <c r="MO191" i="63"/>
  <c r="GU191" i="63"/>
  <c r="JR191" i="63"/>
  <c r="FV191" i="63"/>
  <c r="IS191" i="63"/>
  <c r="OM191" i="63"/>
  <c r="LP191" i="63"/>
  <c r="JQ191" i="63"/>
  <c r="IR191" i="63"/>
  <c r="MN191" i="63"/>
  <c r="NM191" i="63"/>
  <c r="PK191" i="63"/>
  <c r="GT191" i="63"/>
  <c r="HS191" i="63"/>
  <c r="OL191" i="63"/>
  <c r="KP191" i="63"/>
  <c r="LO191" i="63"/>
  <c r="KO191" i="63"/>
  <c r="MM191" i="63"/>
  <c r="IQ191" i="63"/>
  <c r="JP191" i="63"/>
  <c r="PJ191" i="63"/>
  <c r="NL191" i="63"/>
  <c r="LN191" i="63"/>
  <c r="OK191" i="63"/>
  <c r="HR191" i="63"/>
  <c r="ML191" i="63"/>
  <c r="KN191" i="63"/>
  <c r="IP191" i="63"/>
  <c r="NK191" i="63"/>
  <c r="JO191" i="63"/>
  <c r="PI191" i="63"/>
  <c r="OJ191" i="63"/>
  <c r="LM191" i="63"/>
  <c r="JN191" i="63"/>
  <c r="PH191" i="63"/>
  <c r="OI191" i="63"/>
  <c r="LL191" i="63"/>
  <c r="MK191" i="63"/>
  <c r="NJ191" i="63"/>
  <c r="KM191" i="63"/>
  <c r="NI191" i="63"/>
  <c r="PG191" i="63"/>
  <c r="OH191" i="63"/>
  <c r="MJ191" i="63"/>
  <c r="KL191" i="63"/>
  <c r="LK191" i="63"/>
  <c r="NH191" i="63"/>
  <c r="PF191" i="63"/>
  <c r="LJ191" i="63"/>
  <c r="OG191" i="63"/>
  <c r="MI191" i="63"/>
  <c r="NG191" i="63"/>
  <c r="PE191" i="63"/>
  <c r="MH191" i="63"/>
  <c r="OF191" i="63"/>
  <c r="OE191" i="63"/>
  <c r="NF191" i="63"/>
  <c r="PD191" i="63"/>
  <c r="OC238" i="63"/>
  <c r="OC239" i="63" s="1"/>
  <c r="OC240" i="63" s="1"/>
  <c r="OC241" i="63" s="1"/>
  <c r="OC242" i="63" s="1"/>
  <c r="OC243" i="63" s="1"/>
  <c r="OC244" i="63" s="1"/>
  <c r="OC245" i="63" s="1"/>
  <c r="OC246" i="63" s="1"/>
  <c r="OC247" i="63" s="1"/>
  <c r="OC248" i="63" s="1"/>
  <c r="OC249" i="63" s="1"/>
  <c r="OC250" i="63" s="1"/>
  <c r="OC251" i="63" s="1"/>
  <c r="OC252" i="63" s="1"/>
  <c r="OC253" i="63" s="1"/>
  <c r="OC254" i="63" s="1"/>
  <c r="OC255" i="63" s="1"/>
  <c r="OC256" i="63" s="1"/>
  <c r="OC257" i="63" s="1"/>
  <c r="OC258" i="63" s="1"/>
  <c r="PB237" i="63"/>
  <c r="PA238" i="63" s="1"/>
  <c r="PA239" i="63" s="1"/>
  <c r="PA240" i="63" s="1"/>
  <c r="PA241" i="63" s="1"/>
  <c r="PA242" i="63" s="1"/>
  <c r="PA243" i="63" s="1"/>
  <c r="PA244" i="63" s="1"/>
  <c r="PA245" i="63" s="1"/>
  <c r="PA246" i="63" s="1"/>
  <c r="PA247" i="63" s="1"/>
  <c r="PA248" i="63" s="1"/>
  <c r="PA249" i="63" s="1"/>
  <c r="PA250" i="63" s="1"/>
  <c r="PA251" i="63" s="1"/>
  <c r="PA252" i="63" s="1"/>
  <c r="PA253" i="63" s="1"/>
  <c r="PA254" i="63" s="1"/>
  <c r="PA255" i="63" s="1"/>
  <c r="PA256" i="63" s="1"/>
  <c r="PA257" i="63" s="1"/>
  <c r="PA258" i="63" s="1"/>
  <c r="OD191" i="63"/>
  <c r="I129" i="63"/>
  <c r="AD128" i="63"/>
  <c r="BB128" i="63"/>
  <c r="AC128" i="63"/>
  <c r="AB128" i="63"/>
  <c r="BA128" i="63"/>
  <c r="BZ128" i="63"/>
  <c r="AZ128" i="63"/>
  <c r="AA128" i="63"/>
  <c r="CX128" i="63"/>
  <c r="AY128" i="63"/>
  <c r="BX128" i="63"/>
  <c r="Z128" i="63"/>
  <c r="BY128" i="63"/>
  <c r="AX128" i="63"/>
  <c r="DV128" i="63"/>
  <c r="BW128" i="63"/>
  <c r="CW128" i="63"/>
  <c r="CV128" i="63"/>
  <c r="Y128" i="63"/>
  <c r="DT128" i="63"/>
  <c r="X128" i="63"/>
  <c r="AW128" i="63"/>
  <c r="CU128" i="63"/>
  <c r="BV128" i="63"/>
  <c r="DU128" i="63"/>
  <c r="ET128" i="63"/>
  <c r="FR128" i="63"/>
  <c r="DS128" i="63"/>
  <c r="ES128" i="63"/>
  <c r="ER128" i="63"/>
  <c r="W128" i="63"/>
  <c r="CT128" i="63"/>
  <c r="BU128" i="63"/>
  <c r="AV128" i="63"/>
  <c r="V128" i="63"/>
  <c r="FQ128" i="63"/>
  <c r="BT128" i="63"/>
  <c r="DR128" i="63"/>
  <c r="GP128" i="63"/>
  <c r="EQ128" i="63"/>
  <c r="FP128" i="63"/>
  <c r="CS128" i="63"/>
  <c r="AU128" i="63"/>
  <c r="AT128" i="63"/>
  <c r="EP128" i="63"/>
  <c r="FO128" i="63"/>
  <c r="HN128" i="63"/>
  <c r="DQ128" i="63"/>
  <c r="BS128" i="63"/>
  <c r="GN128" i="63"/>
  <c r="GO128" i="63"/>
  <c r="CR128" i="63"/>
  <c r="U128" i="63"/>
  <c r="GM128" i="63"/>
  <c r="HM128" i="63"/>
  <c r="FN128" i="63"/>
  <c r="CQ128" i="63"/>
  <c r="AS128" i="63"/>
  <c r="HL128" i="63"/>
  <c r="IL128" i="63"/>
  <c r="DP128" i="63"/>
  <c r="EO128" i="63"/>
  <c r="T128" i="63"/>
  <c r="BR128" i="63"/>
  <c r="IK128" i="63"/>
  <c r="S128" i="63"/>
  <c r="JJ128" i="63"/>
  <c r="IJ128" i="63"/>
  <c r="HK128" i="63"/>
  <c r="EN128" i="63"/>
  <c r="AR128" i="63"/>
  <c r="FM128" i="63"/>
  <c r="GL128" i="63"/>
  <c r="BQ128" i="63"/>
  <c r="DO128" i="63"/>
  <c r="CP128" i="63"/>
  <c r="KH128" i="63"/>
  <c r="EM128" i="63"/>
  <c r="AQ128" i="63"/>
  <c r="GK128" i="63"/>
  <c r="HJ128" i="63"/>
  <c r="FL128" i="63"/>
  <c r="II128" i="63"/>
  <c r="CO128" i="63"/>
  <c r="BP128" i="63"/>
  <c r="R128" i="63"/>
  <c r="JI128" i="63"/>
  <c r="JH128" i="63"/>
  <c r="DN128" i="63"/>
  <c r="KG128" i="63"/>
  <c r="Q128" i="63"/>
  <c r="BO128" i="63"/>
  <c r="AP128" i="63"/>
  <c r="LF128" i="63"/>
  <c r="FK128" i="63"/>
  <c r="HI128" i="63"/>
  <c r="KF128" i="63"/>
  <c r="GJ128" i="63"/>
  <c r="JG128" i="63"/>
  <c r="CN128" i="63"/>
  <c r="IH128" i="63"/>
  <c r="EL128" i="63"/>
  <c r="DM128" i="63"/>
  <c r="BN128" i="63"/>
  <c r="CM128" i="63"/>
  <c r="GI128" i="63"/>
  <c r="JF128" i="63"/>
  <c r="EK128" i="63"/>
  <c r="HH128" i="63"/>
  <c r="P128" i="63"/>
  <c r="MD128" i="63"/>
  <c r="LD128" i="63"/>
  <c r="FJ128" i="63"/>
  <c r="LE128" i="63"/>
  <c r="DL128" i="63"/>
  <c r="KE128" i="63"/>
  <c r="AO128" i="63"/>
  <c r="IG128" i="63"/>
  <c r="IF128" i="63"/>
  <c r="JE128" i="63"/>
  <c r="CL128" i="63"/>
  <c r="FI128" i="63"/>
  <c r="O128" i="63"/>
  <c r="LC128" i="63"/>
  <c r="BM128" i="63"/>
  <c r="GH128" i="63"/>
  <c r="AN128" i="63"/>
  <c r="MB128" i="63"/>
  <c r="NB128" i="63"/>
  <c r="HG128" i="63"/>
  <c r="EJ128" i="63"/>
  <c r="MC128" i="63"/>
  <c r="KD128" i="63"/>
  <c r="DK128" i="63"/>
  <c r="NA128" i="63"/>
  <c r="GG128" i="63"/>
  <c r="DJ128" i="63"/>
  <c r="IE128" i="63"/>
  <c r="AM128" i="63"/>
  <c r="HF128" i="63"/>
  <c r="EI128" i="63"/>
  <c r="MA128" i="63"/>
  <c r="JD128" i="63"/>
  <c r="LB128" i="63"/>
  <c r="CK128" i="63"/>
  <c r="BL128" i="63"/>
  <c r="NZ128" i="63"/>
  <c r="MZ128" i="63"/>
  <c r="FH128" i="63"/>
  <c r="N128" i="63"/>
  <c r="KC128" i="63"/>
  <c r="AL128" i="63"/>
  <c r="MY128" i="63"/>
  <c r="CJ128" i="63"/>
  <c r="NX128" i="63"/>
  <c r="FG128" i="63"/>
  <c r="M128" i="63"/>
  <c r="HE128" i="63"/>
  <c r="GF128" i="63"/>
  <c r="EH128" i="63"/>
  <c r="OX128" i="63"/>
  <c r="LA128" i="63"/>
  <c r="KB128" i="63"/>
  <c r="DI128" i="63"/>
  <c r="JC128" i="63"/>
  <c r="ID128" i="63"/>
  <c r="BK128" i="63"/>
  <c r="NY128" i="63"/>
  <c r="LZ128" i="63"/>
  <c r="PV128" i="63"/>
  <c r="KZ128" i="63"/>
  <c r="HD128" i="63"/>
  <c r="DH128" i="63"/>
  <c r="LY128" i="63"/>
  <c r="OW128" i="63"/>
  <c r="AK128" i="63"/>
  <c r="JB128" i="63"/>
  <c r="L128" i="63"/>
  <c r="KA128" i="63"/>
  <c r="BJ128" i="63"/>
  <c r="GE128" i="63"/>
  <c r="IC128" i="63"/>
  <c r="EG128" i="63"/>
  <c r="NW128" i="63"/>
  <c r="FF128" i="63"/>
  <c r="CI128" i="63"/>
  <c r="MX128" i="63"/>
  <c r="OV128" i="63"/>
  <c r="LX128" i="63"/>
  <c r="EF128" i="63"/>
  <c r="PT128" i="63"/>
  <c r="JA128" i="63"/>
  <c r="PU128" i="63"/>
  <c r="JZ128" i="63"/>
  <c r="DG128" i="63"/>
  <c r="KY128" i="63"/>
  <c r="BI128" i="63"/>
  <c r="FE128" i="63"/>
  <c r="IB128" i="63"/>
  <c r="GD128" i="63"/>
  <c r="MW128" i="63"/>
  <c r="OU128" i="63"/>
  <c r="CH128" i="63"/>
  <c r="NV128" i="63"/>
  <c r="K128" i="63"/>
  <c r="HC128" i="63"/>
  <c r="AJ128" i="63"/>
  <c r="AI128" i="63"/>
  <c r="PS128" i="63"/>
  <c r="J128" i="63"/>
  <c r="KX128" i="63"/>
  <c r="CG128" i="63"/>
  <c r="OT128" i="63"/>
  <c r="LW128" i="63"/>
  <c r="IZ128" i="63"/>
  <c r="MV128" i="63"/>
  <c r="EE128" i="63"/>
  <c r="FD128" i="63"/>
  <c r="IA128" i="63"/>
  <c r="HB128" i="63"/>
  <c r="GC128" i="63"/>
  <c r="JY128" i="63"/>
  <c r="DF128" i="63"/>
  <c r="BH128" i="63"/>
  <c r="NU128" i="63"/>
  <c r="MU128" i="63"/>
  <c r="LV128" i="63"/>
  <c r="PR128" i="63"/>
  <c r="AH128" i="63"/>
  <c r="IY128" i="63"/>
  <c r="JX128" i="63"/>
  <c r="OS128" i="63"/>
  <c r="DE128" i="63"/>
  <c r="FC128" i="63"/>
  <c r="HZ128" i="63"/>
  <c r="NT128" i="63"/>
  <c r="ED128" i="63"/>
  <c r="KW128" i="63"/>
  <c r="BG128" i="63"/>
  <c r="CF128" i="63"/>
  <c r="GB128" i="63"/>
  <c r="HA128" i="63"/>
  <c r="IX128" i="63"/>
  <c r="GA128" i="63"/>
  <c r="JW128" i="63"/>
  <c r="LU128" i="63"/>
  <c r="NS128" i="63"/>
  <c r="FB128" i="63"/>
  <c r="PQ128" i="63"/>
  <c r="KV128" i="63"/>
  <c r="GZ128" i="63"/>
  <c r="EC128" i="63"/>
  <c r="CE128" i="63"/>
  <c r="MT128" i="63"/>
  <c r="DD128" i="63"/>
  <c r="BF128" i="63"/>
  <c r="OR128" i="63"/>
  <c r="HY128" i="63"/>
  <c r="FA128" i="63"/>
  <c r="DC128" i="63"/>
  <c r="HX128" i="63"/>
  <c r="PP128" i="63"/>
  <c r="JV128" i="63"/>
  <c r="IW128" i="63"/>
  <c r="FZ128" i="63"/>
  <c r="NR128" i="63"/>
  <c r="OQ128" i="63"/>
  <c r="KU128" i="63"/>
  <c r="LT128" i="63"/>
  <c r="MS128" i="63"/>
  <c r="EB128" i="63"/>
  <c r="CD128" i="63"/>
  <c r="GY128" i="63"/>
  <c r="MR128" i="63"/>
  <c r="HW128" i="63"/>
  <c r="DB128" i="63"/>
  <c r="EA128" i="63"/>
  <c r="LS128" i="63"/>
  <c r="GX128" i="63"/>
  <c r="KT128" i="63"/>
  <c r="JU128" i="63"/>
  <c r="PO128" i="63"/>
  <c r="OP128" i="63"/>
  <c r="FY128" i="63"/>
  <c r="IV128" i="63"/>
  <c r="EZ128" i="63"/>
  <c r="NQ128" i="63"/>
  <c r="JT128" i="63"/>
  <c r="OO128" i="63"/>
  <c r="GW128" i="63"/>
  <c r="MQ128" i="63"/>
  <c r="NP128" i="63"/>
  <c r="EY128" i="63"/>
  <c r="DZ128" i="63"/>
  <c r="IU128" i="63"/>
  <c r="FX128" i="63"/>
  <c r="KS128" i="63"/>
  <c r="HV128" i="63"/>
  <c r="LR128" i="63"/>
  <c r="PN128" i="63"/>
  <c r="LQ128" i="63"/>
  <c r="IT128" i="63"/>
  <c r="GV128" i="63"/>
  <c r="NO128" i="63"/>
  <c r="EX128" i="63"/>
  <c r="PM128" i="63"/>
  <c r="KR128" i="63"/>
  <c r="FW128" i="63"/>
  <c r="HU128" i="63"/>
  <c r="JS128" i="63"/>
  <c r="MP128" i="63"/>
  <c r="ON128" i="63"/>
  <c r="HT128" i="63"/>
  <c r="OM128" i="63"/>
  <c r="PL128" i="63"/>
  <c r="GU128" i="63"/>
  <c r="NN128" i="63"/>
  <c r="FV128" i="63"/>
  <c r="LP128" i="63"/>
  <c r="JR128" i="63"/>
  <c r="IS128" i="63"/>
  <c r="MO128" i="63"/>
  <c r="KQ128" i="63"/>
  <c r="PK128" i="63"/>
  <c r="LO128" i="63"/>
  <c r="HS128" i="63"/>
  <c r="KP128" i="63"/>
  <c r="GT128" i="63"/>
  <c r="JQ128" i="63"/>
  <c r="MN128" i="63"/>
  <c r="OL128" i="63"/>
  <c r="IR128" i="63"/>
  <c r="NM128" i="63"/>
  <c r="JP128" i="63"/>
  <c r="HR128" i="63"/>
  <c r="OK128" i="63"/>
  <c r="KO128" i="63"/>
  <c r="MM128" i="63"/>
  <c r="NL128" i="63"/>
  <c r="IQ128" i="63"/>
  <c r="LN128" i="63"/>
  <c r="PJ128" i="63"/>
  <c r="NK128" i="63"/>
  <c r="JO128" i="63"/>
  <c r="OJ128" i="63"/>
  <c r="LM128" i="63"/>
  <c r="ML128" i="63"/>
  <c r="IP128" i="63"/>
  <c r="PI128" i="63"/>
  <c r="KN128" i="63"/>
  <c r="JN128" i="63"/>
  <c r="PH128" i="63"/>
  <c r="KM128" i="63"/>
  <c r="NJ128" i="63"/>
  <c r="LL128" i="63"/>
  <c r="OI128" i="63"/>
  <c r="MK128" i="63"/>
  <c r="MJ128" i="63"/>
  <c r="LK128" i="63"/>
  <c r="NI128" i="63"/>
  <c r="PG128" i="63"/>
  <c r="KL128" i="63"/>
  <c r="OH128" i="63"/>
  <c r="LJ128" i="63"/>
  <c r="OG128" i="63"/>
  <c r="MI128" i="63"/>
  <c r="NH128" i="63"/>
  <c r="PF128" i="63"/>
  <c r="NG128" i="63"/>
  <c r="MH128" i="63"/>
  <c r="PE128" i="63"/>
  <c r="OF128" i="63"/>
  <c r="NF128" i="63"/>
  <c r="OE128" i="63"/>
  <c r="PD128" i="63"/>
  <c r="PC128" i="63"/>
  <c r="OD128" i="63"/>
  <c r="PC191" i="63"/>
  <c r="BR170" i="65" l="1"/>
  <c r="BS170" i="65"/>
  <c r="BR115" i="65"/>
  <c r="BS115" i="65"/>
  <c r="O116" i="65"/>
  <c r="BM115" i="65"/>
  <c r="BN115" i="65"/>
  <c r="BK115" i="65"/>
  <c r="BL115" i="65"/>
  <c r="BJ115" i="65"/>
  <c r="BI115" i="65"/>
  <c r="BH115" i="65"/>
  <c r="BG115" i="65"/>
  <c r="BF115" i="65"/>
  <c r="BE115" i="65"/>
  <c r="BD115" i="65"/>
  <c r="BC115" i="65"/>
  <c r="BB115" i="65"/>
  <c r="BA115" i="65"/>
  <c r="AZ115" i="65"/>
  <c r="AY115" i="65"/>
  <c r="AX115" i="65"/>
  <c r="AW115" i="65"/>
  <c r="AV115" i="65"/>
  <c r="AU115" i="65"/>
  <c r="AT115" i="65"/>
  <c r="AS115" i="65"/>
  <c r="AR115" i="65"/>
  <c r="AQ115" i="65"/>
  <c r="AP115" i="65"/>
  <c r="AO115" i="65"/>
  <c r="AN115" i="65"/>
  <c r="AM115" i="65"/>
  <c r="AL115" i="65"/>
  <c r="AK115" i="65"/>
  <c r="AJ115" i="65"/>
  <c r="AI115" i="65"/>
  <c r="AH115" i="65"/>
  <c r="AG115" i="65"/>
  <c r="AF115" i="65"/>
  <c r="AE115" i="65"/>
  <c r="AD115" i="65"/>
  <c r="AC115" i="65"/>
  <c r="AB115" i="65"/>
  <c r="AA115" i="65"/>
  <c r="Z115" i="65"/>
  <c r="Y115" i="65"/>
  <c r="X115" i="65"/>
  <c r="W115" i="65"/>
  <c r="V115" i="65"/>
  <c r="U115" i="65"/>
  <c r="T115" i="65"/>
  <c r="S115" i="65"/>
  <c r="R115" i="65"/>
  <c r="P115" i="65"/>
  <c r="Q115" i="65"/>
  <c r="O171" i="65"/>
  <c r="BM170" i="65"/>
  <c r="BN170" i="65"/>
  <c r="BL170" i="65"/>
  <c r="BK170" i="65"/>
  <c r="BJ170" i="65"/>
  <c r="BI170" i="65"/>
  <c r="BH170" i="65"/>
  <c r="BG170" i="65"/>
  <c r="BF170" i="65"/>
  <c r="BE170" i="65"/>
  <c r="BD170" i="65"/>
  <c r="BC170" i="65"/>
  <c r="BB170" i="65"/>
  <c r="BA170" i="65"/>
  <c r="AZ170" i="65"/>
  <c r="AY170" i="65"/>
  <c r="AX170" i="65"/>
  <c r="AW170" i="65"/>
  <c r="AV170" i="65"/>
  <c r="AU170" i="65"/>
  <c r="AT170" i="65"/>
  <c r="AS170" i="65"/>
  <c r="AR170" i="65"/>
  <c r="AQ170" i="65"/>
  <c r="AP170" i="65"/>
  <c r="AO170" i="65"/>
  <c r="AN170" i="65"/>
  <c r="AM170" i="65"/>
  <c r="AL170" i="65"/>
  <c r="AK170" i="65"/>
  <c r="AJ170" i="65"/>
  <c r="AI170" i="65"/>
  <c r="AH170" i="65"/>
  <c r="AG170" i="65"/>
  <c r="AF170" i="65"/>
  <c r="AE170" i="65"/>
  <c r="AD170" i="65"/>
  <c r="AC170" i="65"/>
  <c r="AB170" i="65"/>
  <c r="AA170" i="65"/>
  <c r="Z170" i="65"/>
  <c r="Y170" i="65"/>
  <c r="X170" i="65"/>
  <c r="W170" i="65"/>
  <c r="V170" i="65"/>
  <c r="U170" i="65"/>
  <c r="T170" i="65"/>
  <c r="S170" i="65"/>
  <c r="R170" i="65"/>
  <c r="P170" i="65"/>
  <c r="Q170" i="65"/>
  <c r="BN184" i="39"/>
  <c r="BH184" i="39"/>
  <c r="AW184" i="39"/>
  <c r="BC184" i="39"/>
  <c r="BM184" i="39"/>
  <c r="BG184" i="39"/>
  <c r="BE184" i="39"/>
  <c r="AL184" i="39"/>
  <c r="BL184" i="39"/>
  <c r="AX184" i="39"/>
  <c r="AY184" i="39"/>
  <c r="AS184" i="39"/>
  <c r="AT184" i="39"/>
  <c r="BF184" i="39"/>
  <c r="AM184" i="39"/>
  <c r="BB184" i="39"/>
  <c r="AZ184" i="39"/>
  <c r="BI184" i="39"/>
  <c r="AK184" i="39"/>
  <c r="AN184" i="39"/>
  <c r="AO184" i="39"/>
  <c r="BJ184" i="39"/>
  <c r="AR184" i="39"/>
  <c r="BK184" i="39"/>
  <c r="AU184" i="39"/>
  <c r="BA184" i="39"/>
  <c r="AQ184" i="39"/>
  <c r="AP184" i="39"/>
  <c r="AV184" i="39"/>
  <c r="BD184" i="39"/>
  <c r="X184" i="39"/>
  <c r="Y184" i="39"/>
  <c r="AG184" i="39"/>
  <c r="AJ184" i="39"/>
  <c r="AB184" i="39"/>
  <c r="W184" i="39"/>
  <c r="AE184" i="39"/>
  <c r="AD184" i="39"/>
  <c r="AH184" i="39"/>
  <c r="AA184" i="39"/>
  <c r="Z184" i="39"/>
  <c r="AF184" i="39"/>
  <c r="AI184" i="39"/>
  <c r="AC184" i="39"/>
  <c r="V184" i="39"/>
  <c r="U184" i="39"/>
  <c r="T184" i="39"/>
  <c r="S184" i="39"/>
  <c r="R184" i="39"/>
  <c r="Q184" i="39"/>
  <c r="P184" i="39"/>
  <c r="O185" i="39"/>
  <c r="BN128" i="39"/>
  <c r="BL128" i="39"/>
  <c r="AX128" i="39"/>
  <c r="BM128" i="39"/>
  <c r="BE128" i="39"/>
  <c r="AR128" i="39"/>
  <c r="AW128" i="39"/>
  <c r="BG128" i="39"/>
  <c r="BB128" i="39"/>
  <c r="BD128" i="39"/>
  <c r="AN128" i="39"/>
  <c r="AT128" i="39"/>
  <c r="AM128" i="39"/>
  <c r="AY128" i="39"/>
  <c r="BI128" i="39"/>
  <c r="AL128" i="39"/>
  <c r="BF128" i="39"/>
  <c r="AZ128" i="39"/>
  <c r="AQ128" i="39"/>
  <c r="AV128" i="39"/>
  <c r="AS128" i="39"/>
  <c r="BC128" i="39"/>
  <c r="AP128" i="39"/>
  <c r="AK128" i="39"/>
  <c r="AU128" i="39"/>
  <c r="BH128" i="39"/>
  <c r="BA128" i="39"/>
  <c r="AO128" i="39"/>
  <c r="BJ128" i="39"/>
  <c r="BK128" i="39"/>
  <c r="Z128" i="39"/>
  <c r="AE128" i="39"/>
  <c r="AC128" i="39"/>
  <c r="X128" i="39"/>
  <c r="AH128" i="39"/>
  <c r="Y128" i="39"/>
  <c r="AB128" i="39"/>
  <c r="AI128" i="39"/>
  <c r="AG128" i="39"/>
  <c r="AD128" i="39"/>
  <c r="AA128" i="39"/>
  <c r="AF128" i="39"/>
  <c r="AJ128" i="39"/>
  <c r="W128" i="39"/>
  <c r="V128" i="39"/>
  <c r="U128" i="39"/>
  <c r="T128" i="39"/>
  <c r="S128" i="39"/>
  <c r="R128" i="39"/>
  <c r="Q128" i="39"/>
  <c r="P128" i="39"/>
  <c r="O129" i="39"/>
  <c r="I130" i="63"/>
  <c r="AD129" i="63"/>
  <c r="AB129" i="63"/>
  <c r="BB129" i="63"/>
  <c r="AC129" i="63"/>
  <c r="BZ129" i="63"/>
  <c r="AZ129" i="63"/>
  <c r="AA129" i="63"/>
  <c r="BA129" i="63"/>
  <c r="BX129" i="63"/>
  <c r="Z129" i="63"/>
  <c r="CX129" i="63"/>
  <c r="AY129" i="63"/>
  <c r="BY129" i="63"/>
  <c r="CW129" i="63"/>
  <c r="CV129" i="63"/>
  <c r="AX129" i="63"/>
  <c r="DV129" i="63"/>
  <c r="BW129" i="63"/>
  <c r="Y129" i="63"/>
  <c r="AW129" i="63"/>
  <c r="BV129" i="63"/>
  <c r="DT129" i="63"/>
  <c r="CU129" i="63"/>
  <c r="X129" i="63"/>
  <c r="DU129" i="63"/>
  <c r="ET129" i="63"/>
  <c r="BU129" i="63"/>
  <c r="AV129" i="63"/>
  <c r="FR129" i="63"/>
  <c r="CT129" i="63"/>
  <c r="ES129" i="63"/>
  <c r="ER129" i="63"/>
  <c r="W129" i="63"/>
  <c r="DS129" i="63"/>
  <c r="DR129" i="63"/>
  <c r="BT129" i="63"/>
  <c r="CS129" i="63"/>
  <c r="GP129" i="63"/>
  <c r="EQ129" i="63"/>
  <c r="V129" i="63"/>
  <c r="FP129" i="63"/>
  <c r="AU129" i="63"/>
  <c r="FQ129" i="63"/>
  <c r="GO129" i="63"/>
  <c r="CR129" i="63"/>
  <c r="FO129" i="63"/>
  <c r="GN129" i="63"/>
  <c r="BS129" i="63"/>
  <c r="HN129" i="63"/>
  <c r="U129" i="63"/>
  <c r="EP129" i="63"/>
  <c r="AT129" i="63"/>
  <c r="DQ129" i="63"/>
  <c r="CQ129" i="63"/>
  <c r="GM129" i="63"/>
  <c r="HM129" i="63"/>
  <c r="EO129" i="63"/>
  <c r="DP129" i="63"/>
  <c r="BR129" i="63"/>
  <c r="FN129" i="63"/>
  <c r="HL129" i="63"/>
  <c r="IL129" i="63"/>
  <c r="T129" i="63"/>
  <c r="AS129" i="63"/>
  <c r="EN129" i="63"/>
  <c r="AR129" i="63"/>
  <c r="HK129" i="63"/>
  <c r="BQ129" i="63"/>
  <c r="S129" i="63"/>
  <c r="JJ129" i="63"/>
  <c r="CP129" i="63"/>
  <c r="FM129" i="63"/>
  <c r="DO129" i="63"/>
  <c r="GL129" i="63"/>
  <c r="IK129" i="63"/>
  <c r="IJ129" i="63"/>
  <c r="KH129" i="63"/>
  <c r="II129" i="63"/>
  <c r="CO129" i="63"/>
  <c r="JI129" i="63"/>
  <c r="AQ129" i="63"/>
  <c r="GK129" i="63"/>
  <c r="JH129" i="63"/>
  <c r="R129" i="63"/>
  <c r="DN129" i="63"/>
  <c r="EM129" i="63"/>
  <c r="HJ129" i="63"/>
  <c r="FL129" i="63"/>
  <c r="BP129" i="63"/>
  <c r="KF129" i="63"/>
  <c r="AP129" i="63"/>
  <c r="IH129" i="63"/>
  <c r="CN129" i="63"/>
  <c r="Q129" i="63"/>
  <c r="LF129" i="63"/>
  <c r="EL129" i="63"/>
  <c r="BO129" i="63"/>
  <c r="DM129" i="63"/>
  <c r="GJ129" i="63"/>
  <c r="JG129" i="63"/>
  <c r="KG129" i="63"/>
  <c r="FK129" i="63"/>
  <c r="HI129" i="63"/>
  <c r="AO129" i="63"/>
  <c r="IG129" i="63"/>
  <c r="EK129" i="63"/>
  <c r="LE129" i="63"/>
  <c r="DL129" i="63"/>
  <c r="LD129" i="63"/>
  <c r="FJ129" i="63"/>
  <c r="BN129" i="63"/>
  <c r="CM129" i="63"/>
  <c r="P129" i="63"/>
  <c r="HH129" i="63"/>
  <c r="JF129" i="63"/>
  <c r="MD129" i="63"/>
  <c r="KE129" i="63"/>
  <c r="GI129" i="63"/>
  <c r="AN129" i="63"/>
  <c r="MB129" i="63"/>
  <c r="NB129" i="63"/>
  <c r="KD129" i="63"/>
  <c r="DK129" i="63"/>
  <c r="GH129" i="63"/>
  <c r="HG129" i="63"/>
  <c r="IF129" i="63"/>
  <c r="EJ129" i="63"/>
  <c r="CL129" i="63"/>
  <c r="LC129" i="63"/>
  <c r="JE129" i="63"/>
  <c r="BM129" i="63"/>
  <c r="FI129" i="63"/>
  <c r="O129" i="63"/>
  <c r="MC129" i="63"/>
  <c r="NZ129" i="63"/>
  <c r="FH129" i="63"/>
  <c r="KC129" i="63"/>
  <c r="BL129" i="63"/>
  <c r="NA129" i="63"/>
  <c r="MA129" i="63"/>
  <c r="LB129" i="63"/>
  <c r="DJ129" i="63"/>
  <c r="N129" i="63"/>
  <c r="CK129" i="63"/>
  <c r="EI129" i="63"/>
  <c r="AM129" i="63"/>
  <c r="HF129" i="63"/>
  <c r="GG129" i="63"/>
  <c r="MZ129" i="63"/>
  <c r="JD129" i="63"/>
  <c r="IE129" i="63"/>
  <c r="LA129" i="63"/>
  <c r="LZ129" i="63"/>
  <c r="ID129" i="63"/>
  <c r="KB129" i="63"/>
  <c r="AL129" i="63"/>
  <c r="NY129" i="63"/>
  <c r="NX129" i="63"/>
  <c r="HE129" i="63"/>
  <c r="BK129" i="63"/>
  <c r="GF129" i="63"/>
  <c r="MY129" i="63"/>
  <c r="M129" i="63"/>
  <c r="JC129" i="63"/>
  <c r="EH129" i="63"/>
  <c r="OX129" i="63"/>
  <c r="CJ129" i="63"/>
  <c r="FG129" i="63"/>
  <c r="DI129" i="63"/>
  <c r="GE129" i="63"/>
  <c r="OW129" i="63"/>
  <c r="AK129" i="63"/>
  <c r="JB129" i="63"/>
  <c r="L129" i="63"/>
  <c r="KA129" i="63"/>
  <c r="BJ129" i="63"/>
  <c r="LY129" i="63"/>
  <c r="IC129" i="63"/>
  <c r="PV129" i="63"/>
  <c r="EG129" i="63"/>
  <c r="KZ129" i="63"/>
  <c r="HD129" i="63"/>
  <c r="DH129" i="63"/>
  <c r="FF129" i="63"/>
  <c r="CI129" i="63"/>
  <c r="MX129" i="63"/>
  <c r="OV129" i="63"/>
  <c r="NW129" i="63"/>
  <c r="KY129" i="63"/>
  <c r="NV129" i="63"/>
  <c r="BI129" i="63"/>
  <c r="K129" i="63"/>
  <c r="IB129" i="63"/>
  <c r="JA129" i="63"/>
  <c r="JZ129" i="63"/>
  <c r="EF129" i="63"/>
  <c r="PT129" i="63"/>
  <c r="LX129" i="63"/>
  <c r="FE129" i="63"/>
  <c r="AJ129" i="63"/>
  <c r="GD129" i="63"/>
  <c r="MW129" i="63"/>
  <c r="PU129" i="63"/>
  <c r="CH129" i="63"/>
  <c r="OU129" i="63"/>
  <c r="DG129" i="63"/>
  <c r="HC129" i="63"/>
  <c r="EE129" i="63"/>
  <c r="CG129" i="63"/>
  <c r="MV129" i="63"/>
  <c r="OT129" i="63"/>
  <c r="JY129" i="63"/>
  <c r="FD129" i="63"/>
  <c r="BH129" i="63"/>
  <c r="PS129" i="63"/>
  <c r="DF129" i="63"/>
  <c r="KX129" i="63"/>
  <c r="LW129" i="63"/>
  <c r="IZ129" i="63"/>
  <c r="NU129" i="63"/>
  <c r="HB129" i="63"/>
  <c r="GC129" i="63"/>
  <c r="AI129" i="63"/>
  <c r="J129" i="63"/>
  <c r="IA129" i="63"/>
  <c r="DE129" i="63"/>
  <c r="ED129" i="63"/>
  <c r="GB129" i="63"/>
  <c r="FC129" i="63"/>
  <c r="HA129" i="63"/>
  <c r="BG129" i="63"/>
  <c r="JX129" i="63"/>
  <c r="CF129" i="63"/>
  <c r="MU129" i="63"/>
  <c r="KW129" i="63"/>
  <c r="IY129" i="63"/>
  <c r="HZ129" i="63"/>
  <c r="OS129" i="63"/>
  <c r="LV129" i="63"/>
  <c r="PR129" i="63"/>
  <c r="NT129" i="63"/>
  <c r="AH129" i="63"/>
  <c r="GZ129" i="63"/>
  <c r="EC129" i="63"/>
  <c r="OR129" i="63"/>
  <c r="CE129" i="63"/>
  <c r="MT129" i="63"/>
  <c r="DD129" i="63"/>
  <c r="KV129" i="63"/>
  <c r="BF129" i="63"/>
  <c r="JW129" i="63"/>
  <c r="LU129" i="63"/>
  <c r="HY129" i="63"/>
  <c r="PQ129" i="63"/>
  <c r="IX129" i="63"/>
  <c r="GA129" i="63"/>
  <c r="NS129" i="63"/>
  <c r="FB129" i="63"/>
  <c r="KU129" i="63"/>
  <c r="LT129" i="63"/>
  <c r="JV129" i="63"/>
  <c r="MS129" i="63"/>
  <c r="CD129" i="63"/>
  <c r="GY129" i="63"/>
  <c r="HX129" i="63"/>
  <c r="EB129" i="63"/>
  <c r="FA129" i="63"/>
  <c r="OQ129" i="63"/>
  <c r="PP129" i="63"/>
  <c r="IW129" i="63"/>
  <c r="FZ129" i="63"/>
  <c r="NR129" i="63"/>
  <c r="DC129" i="63"/>
  <c r="EA129" i="63"/>
  <c r="HW129" i="63"/>
  <c r="LS129" i="63"/>
  <c r="KT129" i="63"/>
  <c r="OP129" i="63"/>
  <c r="PO129" i="63"/>
  <c r="GX129" i="63"/>
  <c r="EZ129" i="63"/>
  <c r="NQ129" i="63"/>
  <c r="JU129" i="63"/>
  <c r="MR129" i="63"/>
  <c r="FY129" i="63"/>
  <c r="IV129" i="63"/>
  <c r="DB129" i="63"/>
  <c r="IU129" i="63"/>
  <c r="JT129" i="63"/>
  <c r="PN129" i="63"/>
  <c r="OO129" i="63"/>
  <c r="GW129" i="63"/>
  <c r="MQ129" i="63"/>
  <c r="FX129" i="63"/>
  <c r="NP129" i="63"/>
  <c r="KS129" i="63"/>
  <c r="LR129" i="63"/>
  <c r="HV129" i="63"/>
  <c r="EY129" i="63"/>
  <c r="DZ129" i="63"/>
  <c r="KR129" i="63"/>
  <c r="HU129" i="63"/>
  <c r="MP129" i="63"/>
  <c r="ON129" i="63"/>
  <c r="NO129" i="63"/>
  <c r="PM129" i="63"/>
  <c r="LQ129" i="63"/>
  <c r="FW129" i="63"/>
  <c r="IT129" i="63"/>
  <c r="EX129" i="63"/>
  <c r="GV129" i="63"/>
  <c r="JS129" i="63"/>
  <c r="KQ129" i="63"/>
  <c r="FV129" i="63"/>
  <c r="OM129" i="63"/>
  <c r="LP129" i="63"/>
  <c r="HT129" i="63"/>
  <c r="NN129" i="63"/>
  <c r="PL129" i="63"/>
  <c r="MO129" i="63"/>
  <c r="JR129" i="63"/>
  <c r="GU129" i="63"/>
  <c r="IS129" i="63"/>
  <c r="NM129" i="63"/>
  <c r="JQ129" i="63"/>
  <c r="KP129" i="63"/>
  <c r="IR129" i="63"/>
  <c r="HS129" i="63"/>
  <c r="MN129" i="63"/>
  <c r="PK129" i="63"/>
  <c r="GT129" i="63"/>
  <c r="LO129" i="63"/>
  <c r="OL129" i="63"/>
  <c r="PJ129" i="63"/>
  <c r="MM129" i="63"/>
  <c r="OK129" i="63"/>
  <c r="IQ129" i="63"/>
  <c r="JP129" i="63"/>
  <c r="NL129" i="63"/>
  <c r="KO129" i="63"/>
  <c r="HR129" i="63"/>
  <c r="LN129" i="63"/>
  <c r="NK129" i="63"/>
  <c r="LM129" i="63"/>
  <c r="PI129" i="63"/>
  <c r="ML129" i="63"/>
  <c r="OJ129" i="63"/>
  <c r="KN129" i="63"/>
  <c r="JO129" i="63"/>
  <c r="IP129" i="63"/>
  <c r="OI129" i="63"/>
  <c r="PH129" i="63"/>
  <c r="LL129" i="63"/>
  <c r="KM129" i="63"/>
  <c r="MK129" i="63"/>
  <c r="JN129" i="63"/>
  <c r="NJ129" i="63"/>
  <c r="PG129" i="63"/>
  <c r="OH129" i="63"/>
  <c r="MJ129" i="63"/>
  <c r="KL129" i="63"/>
  <c r="LK129" i="63"/>
  <c r="NI129" i="63"/>
  <c r="OG129" i="63"/>
  <c r="LJ129" i="63"/>
  <c r="NH129" i="63"/>
  <c r="PF129" i="63"/>
  <c r="MI129" i="63"/>
  <c r="MH129" i="63"/>
  <c r="OF129" i="63"/>
  <c r="PE129" i="63"/>
  <c r="NG129" i="63"/>
  <c r="OE129" i="63"/>
  <c r="NF129" i="63"/>
  <c r="PD129" i="63"/>
  <c r="OD129" i="63"/>
  <c r="PC129" i="63"/>
  <c r="PB129" i="63"/>
  <c r="I193" i="63"/>
  <c r="AD192" i="63"/>
  <c r="AC192" i="63"/>
  <c r="AB192" i="63"/>
  <c r="BB192" i="63"/>
  <c r="BZ192" i="63"/>
  <c r="BA192" i="63"/>
  <c r="AA192" i="63"/>
  <c r="AZ192" i="63"/>
  <c r="Z192" i="63"/>
  <c r="CX192" i="63"/>
  <c r="AY192" i="63"/>
  <c r="BY192" i="63"/>
  <c r="BX192" i="63"/>
  <c r="Y192" i="63"/>
  <c r="CW192" i="63"/>
  <c r="BW192" i="63"/>
  <c r="DV192" i="63"/>
  <c r="CV192" i="63"/>
  <c r="AX192" i="63"/>
  <c r="X192" i="63"/>
  <c r="AW192" i="63"/>
  <c r="DT192" i="63"/>
  <c r="ET192" i="63"/>
  <c r="DU192" i="63"/>
  <c r="BV192" i="63"/>
  <c r="CU192" i="63"/>
  <c r="AV192" i="63"/>
  <c r="FR192" i="63"/>
  <c r="W192" i="63"/>
  <c r="ER192" i="63"/>
  <c r="ES192" i="63"/>
  <c r="CT192" i="63"/>
  <c r="BU192" i="63"/>
  <c r="DS192" i="63"/>
  <c r="DR192" i="63"/>
  <c r="V192" i="63"/>
  <c r="EQ192" i="63"/>
  <c r="CS192" i="63"/>
  <c r="FQ192" i="63"/>
  <c r="GP192" i="63"/>
  <c r="AU192" i="63"/>
  <c r="FP192" i="63"/>
  <c r="BT192" i="63"/>
  <c r="FO192" i="63"/>
  <c r="GN192" i="63"/>
  <c r="AT192" i="63"/>
  <c r="BS192" i="63"/>
  <c r="U192" i="63"/>
  <c r="CR192" i="63"/>
  <c r="GO192" i="63"/>
  <c r="EP192" i="63"/>
  <c r="DQ192" i="63"/>
  <c r="HN192" i="63"/>
  <c r="EO192" i="63"/>
  <c r="DP192" i="63"/>
  <c r="HL192" i="63"/>
  <c r="AS192" i="63"/>
  <c r="FN192" i="63"/>
  <c r="GM192" i="63"/>
  <c r="T192" i="63"/>
  <c r="IL192" i="63"/>
  <c r="HM192" i="63"/>
  <c r="BR192" i="63"/>
  <c r="CQ192" i="63"/>
  <c r="DO192" i="63"/>
  <c r="CP192" i="63"/>
  <c r="S192" i="63"/>
  <c r="BQ192" i="63"/>
  <c r="IJ192" i="63"/>
  <c r="HK192" i="63"/>
  <c r="IK192" i="63"/>
  <c r="GL192" i="63"/>
  <c r="EN192" i="63"/>
  <c r="FM192" i="63"/>
  <c r="JJ192" i="63"/>
  <c r="AR192" i="63"/>
  <c r="BP192" i="63"/>
  <c r="AQ192" i="63"/>
  <c r="FL192" i="63"/>
  <c r="JH192" i="63"/>
  <c r="JI192" i="63"/>
  <c r="R192" i="63"/>
  <c r="KH192" i="63"/>
  <c r="CO192" i="63"/>
  <c r="HJ192" i="63"/>
  <c r="DN192" i="63"/>
  <c r="EM192" i="63"/>
  <c r="II192" i="63"/>
  <c r="GK192" i="63"/>
  <c r="DM192" i="63"/>
  <c r="IH192" i="63"/>
  <c r="GJ192" i="63"/>
  <c r="BO192" i="63"/>
  <c r="JG192" i="63"/>
  <c r="Q192" i="63"/>
  <c r="HI192" i="63"/>
  <c r="FK192" i="63"/>
  <c r="AP192" i="63"/>
  <c r="CN192" i="63"/>
  <c r="KG192" i="63"/>
  <c r="KF192" i="63"/>
  <c r="EL192" i="63"/>
  <c r="LF192" i="63"/>
  <c r="EK192" i="63"/>
  <c r="MD192" i="63"/>
  <c r="IG192" i="63"/>
  <c r="KE192" i="63"/>
  <c r="GI192" i="63"/>
  <c r="DL192" i="63"/>
  <c r="FJ192" i="63"/>
  <c r="LD192" i="63"/>
  <c r="AO192" i="63"/>
  <c r="BN192" i="63"/>
  <c r="JF192" i="63"/>
  <c r="LE192" i="63"/>
  <c r="HH192" i="63"/>
  <c r="P192" i="63"/>
  <c r="CM192" i="63"/>
  <c r="JE192" i="63"/>
  <c r="HG192" i="63"/>
  <c r="IF192" i="63"/>
  <c r="LC192" i="63"/>
  <c r="EJ192" i="63"/>
  <c r="KD192" i="63"/>
  <c r="MB192" i="63"/>
  <c r="MC192" i="63"/>
  <c r="GH192" i="63"/>
  <c r="NB192" i="63"/>
  <c r="DK192" i="63"/>
  <c r="FI192" i="63"/>
  <c r="CL192" i="63"/>
  <c r="AN192" i="63"/>
  <c r="O192" i="63"/>
  <c r="BM192" i="63"/>
  <c r="EI192" i="63"/>
  <c r="FH192" i="63"/>
  <c r="NA192" i="63"/>
  <c r="GG192" i="63"/>
  <c r="AM192" i="63"/>
  <c r="MZ192" i="63"/>
  <c r="NZ192" i="63"/>
  <c r="BL192" i="63"/>
  <c r="KC192" i="63"/>
  <c r="HF192" i="63"/>
  <c r="LB192" i="63"/>
  <c r="IE192" i="63"/>
  <c r="MA192" i="63"/>
  <c r="CK192" i="63"/>
  <c r="N192" i="63"/>
  <c r="JD192" i="63"/>
  <c r="DJ192" i="63"/>
  <c r="GF192" i="63"/>
  <c r="HE192" i="63"/>
  <c r="EH192" i="63"/>
  <c r="ID192" i="63"/>
  <c r="LA192" i="63"/>
  <c r="MY192" i="63"/>
  <c r="AL192" i="63"/>
  <c r="NY192" i="63"/>
  <c r="KB192" i="63"/>
  <c r="BK192" i="63"/>
  <c r="NX192" i="63"/>
  <c r="JC192" i="63"/>
  <c r="DI192" i="63"/>
  <c r="LZ192" i="63"/>
  <c r="M192" i="63"/>
  <c r="CJ192" i="63"/>
  <c r="OX192" i="63"/>
  <c r="FG192" i="63"/>
  <c r="GE192" i="63"/>
  <c r="JB192" i="63"/>
  <c r="HD192" i="63"/>
  <c r="OW192" i="63"/>
  <c r="CI192" i="63"/>
  <c r="EG192" i="63"/>
  <c r="AK192" i="63"/>
  <c r="KA192" i="63"/>
  <c r="OV192" i="63"/>
  <c r="KZ192" i="63"/>
  <c r="DH192" i="63"/>
  <c r="FF192" i="63"/>
  <c r="BJ192" i="63"/>
  <c r="IC192" i="63"/>
  <c r="L192" i="63"/>
  <c r="NW192" i="63"/>
  <c r="MX192" i="63"/>
  <c r="LY192" i="63"/>
  <c r="PV192" i="63"/>
  <c r="GD192" i="63"/>
  <c r="OU192" i="63"/>
  <c r="IB192" i="63"/>
  <c r="LX192" i="63"/>
  <c r="MW192" i="63"/>
  <c r="JZ192" i="63"/>
  <c r="K192" i="63"/>
  <c r="AJ192" i="63"/>
  <c r="CH192" i="63"/>
  <c r="JA192" i="63"/>
  <c r="NV192" i="63"/>
  <c r="EF192" i="63"/>
  <c r="HC192" i="63"/>
  <c r="FE192" i="63"/>
  <c r="DG192" i="63"/>
  <c r="BI192" i="63"/>
  <c r="PT192" i="63"/>
  <c r="PU192" i="63"/>
  <c r="KY192" i="63"/>
  <c r="GC192" i="63"/>
  <c r="DF192" i="63"/>
  <c r="FD192" i="63"/>
  <c r="AI192" i="63"/>
  <c r="IA192" i="63"/>
  <c r="PS192" i="63"/>
  <c r="LW192" i="63"/>
  <c r="IZ192" i="63"/>
  <c r="BH192" i="63"/>
  <c r="EE192" i="63"/>
  <c r="OT192" i="63"/>
  <c r="KX192" i="63"/>
  <c r="CG192" i="63"/>
  <c r="J192" i="63"/>
  <c r="JY192" i="63"/>
  <c r="HB192" i="63"/>
  <c r="NU192" i="63"/>
  <c r="MV192" i="63"/>
  <c r="CF192" i="63"/>
  <c r="GB192" i="63"/>
  <c r="DE192" i="63"/>
  <c r="OS192" i="63"/>
  <c r="JX192" i="63"/>
  <c r="LV192" i="63"/>
  <c r="HA192" i="63"/>
  <c r="KW192" i="63"/>
  <c r="NT192" i="63"/>
  <c r="AH192" i="63"/>
  <c r="BG192" i="63"/>
  <c r="HZ192" i="63"/>
  <c r="FC192" i="63"/>
  <c r="ED192" i="63"/>
  <c r="PR192" i="63"/>
  <c r="IY192" i="63"/>
  <c r="MU192" i="63"/>
  <c r="KV192" i="63"/>
  <c r="DD192" i="63"/>
  <c r="GA192" i="63"/>
  <c r="GZ192" i="63"/>
  <c r="IX192" i="63"/>
  <c r="CE192" i="63"/>
  <c r="EC192" i="63"/>
  <c r="PQ192" i="63"/>
  <c r="MT192" i="63"/>
  <c r="FB192" i="63"/>
  <c r="BF192" i="63"/>
  <c r="OR192" i="63"/>
  <c r="HY192" i="63"/>
  <c r="LU192" i="63"/>
  <c r="NS192" i="63"/>
  <c r="JW192" i="63"/>
  <c r="JV192" i="63"/>
  <c r="CD192" i="63"/>
  <c r="LT192" i="63"/>
  <c r="KU192" i="63"/>
  <c r="DC192" i="63"/>
  <c r="FA192" i="63"/>
  <c r="FZ192" i="63"/>
  <c r="EB192" i="63"/>
  <c r="MS192" i="63"/>
  <c r="OQ192" i="63"/>
  <c r="IW192" i="63"/>
  <c r="GY192" i="63"/>
  <c r="NR192" i="63"/>
  <c r="HX192" i="63"/>
  <c r="PP192" i="63"/>
  <c r="OP192" i="63"/>
  <c r="FY192" i="63"/>
  <c r="PO192" i="63"/>
  <c r="EA192" i="63"/>
  <c r="DB192" i="63"/>
  <c r="GX192" i="63"/>
  <c r="EZ192" i="63"/>
  <c r="KT192" i="63"/>
  <c r="IV192" i="63"/>
  <c r="JU192" i="63"/>
  <c r="NQ192" i="63"/>
  <c r="MR192" i="63"/>
  <c r="LS192" i="63"/>
  <c r="HW192" i="63"/>
  <c r="IU192" i="63"/>
  <c r="KS192" i="63"/>
  <c r="JT192" i="63"/>
  <c r="LR192" i="63"/>
  <c r="PN192" i="63"/>
  <c r="GW192" i="63"/>
  <c r="HV192" i="63"/>
  <c r="NP192" i="63"/>
  <c r="FX192" i="63"/>
  <c r="MQ192" i="63"/>
  <c r="DZ192" i="63"/>
  <c r="OO192" i="63"/>
  <c r="EY192" i="63"/>
  <c r="GV192" i="63"/>
  <c r="KR192" i="63"/>
  <c r="NO192" i="63"/>
  <c r="HU192" i="63"/>
  <c r="JS192" i="63"/>
  <c r="MP192" i="63"/>
  <c r="LQ192" i="63"/>
  <c r="ON192" i="63"/>
  <c r="FW192" i="63"/>
  <c r="PM192" i="63"/>
  <c r="EX192" i="63"/>
  <c r="IT192" i="63"/>
  <c r="IS192" i="63"/>
  <c r="LP192" i="63"/>
  <c r="GU192" i="63"/>
  <c r="OM192" i="63"/>
  <c r="FV192" i="63"/>
  <c r="PL192" i="63"/>
  <c r="KQ192" i="63"/>
  <c r="HT192" i="63"/>
  <c r="MO192" i="63"/>
  <c r="NN192" i="63"/>
  <c r="JR192" i="63"/>
  <c r="KP192" i="63"/>
  <c r="PK192" i="63"/>
  <c r="NM192" i="63"/>
  <c r="LO192" i="63"/>
  <c r="IR192" i="63"/>
  <c r="MN192" i="63"/>
  <c r="GT192" i="63"/>
  <c r="OL192" i="63"/>
  <c r="JQ192" i="63"/>
  <c r="HS192" i="63"/>
  <c r="MM192" i="63"/>
  <c r="OK192" i="63"/>
  <c r="NL192" i="63"/>
  <c r="KO192" i="63"/>
  <c r="PJ192" i="63"/>
  <c r="IQ192" i="63"/>
  <c r="LN192" i="63"/>
  <c r="HR192" i="63"/>
  <c r="JP192" i="63"/>
  <c r="LM192" i="63"/>
  <c r="JO192" i="63"/>
  <c r="ML192" i="63"/>
  <c r="OJ192" i="63"/>
  <c r="PI192" i="63"/>
  <c r="IP192" i="63"/>
  <c r="KN192" i="63"/>
  <c r="NK192" i="63"/>
  <c r="MK192" i="63"/>
  <c r="OI192" i="63"/>
  <c r="LL192" i="63"/>
  <c r="PH192" i="63"/>
  <c r="JN192" i="63"/>
  <c r="KM192" i="63"/>
  <c r="NJ192" i="63"/>
  <c r="PG192" i="63"/>
  <c r="KL192" i="63"/>
  <c r="OH192" i="63"/>
  <c r="MJ192" i="63"/>
  <c r="LK192" i="63"/>
  <c r="NI192" i="63"/>
  <c r="OG192" i="63"/>
  <c r="NH192" i="63"/>
  <c r="PF192" i="63"/>
  <c r="MI192" i="63"/>
  <c r="LJ192" i="63"/>
  <c r="NG192" i="63"/>
  <c r="OF192" i="63"/>
  <c r="PE192" i="63"/>
  <c r="MH192" i="63"/>
  <c r="PD192" i="63"/>
  <c r="NF192" i="63"/>
  <c r="OE192" i="63"/>
  <c r="PC192" i="63"/>
  <c r="OD192" i="63"/>
  <c r="BR116" i="65" l="1"/>
  <c r="BS116" i="65"/>
  <c r="BS171" i="65"/>
  <c r="BR171" i="65"/>
  <c r="O172" i="65"/>
  <c r="BN171" i="65"/>
  <c r="BM171" i="65"/>
  <c r="BL171" i="65"/>
  <c r="BK171" i="65"/>
  <c r="BJ171" i="65"/>
  <c r="BI171" i="65"/>
  <c r="BH171" i="65"/>
  <c r="BG171" i="65"/>
  <c r="BF171" i="65"/>
  <c r="BE171" i="65"/>
  <c r="BD171" i="65"/>
  <c r="BC171" i="65"/>
  <c r="BB171" i="65"/>
  <c r="BA171" i="65"/>
  <c r="AZ171" i="65"/>
  <c r="AY171" i="65"/>
  <c r="AX171" i="65"/>
  <c r="AW171" i="65"/>
  <c r="AV171" i="65"/>
  <c r="AU171" i="65"/>
  <c r="AT171" i="65"/>
  <c r="AS171" i="65"/>
  <c r="AR171" i="65"/>
  <c r="AQ171" i="65"/>
  <c r="AP171" i="65"/>
  <c r="AO171" i="65"/>
  <c r="AN171" i="65"/>
  <c r="AM171" i="65"/>
  <c r="AL171" i="65"/>
  <c r="AK171" i="65"/>
  <c r="AJ171" i="65"/>
  <c r="AI171" i="65"/>
  <c r="AH171" i="65"/>
  <c r="AG171" i="65"/>
  <c r="AF171" i="65"/>
  <c r="AE171" i="65"/>
  <c r="AD171" i="65"/>
  <c r="AC171" i="65"/>
  <c r="AB171" i="65"/>
  <c r="AA171" i="65"/>
  <c r="Z171" i="65"/>
  <c r="Y171" i="65"/>
  <c r="X171" i="65"/>
  <c r="W171" i="65"/>
  <c r="V171" i="65"/>
  <c r="U171" i="65"/>
  <c r="T171" i="65"/>
  <c r="S171" i="65"/>
  <c r="R171" i="65"/>
  <c r="Q171" i="65"/>
  <c r="P171" i="65"/>
  <c r="O117" i="65"/>
  <c r="BM116" i="65"/>
  <c r="BN116" i="65"/>
  <c r="BK116" i="65"/>
  <c r="BL116" i="65"/>
  <c r="BJ116" i="65"/>
  <c r="BI116" i="65"/>
  <c r="BH116" i="65"/>
  <c r="BG116" i="65"/>
  <c r="BF116" i="65"/>
  <c r="BE116" i="65"/>
  <c r="BD116" i="65"/>
  <c r="BC116" i="65"/>
  <c r="BB116" i="65"/>
  <c r="BA116" i="65"/>
  <c r="AZ116" i="65"/>
  <c r="AY116" i="65"/>
  <c r="AX116" i="65"/>
  <c r="AW116" i="65"/>
  <c r="AV116" i="65"/>
  <c r="AU116" i="65"/>
  <c r="AT116" i="65"/>
  <c r="AS116" i="65"/>
  <c r="AR116" i="65"/>
  <c r="AQ116" i="65"/>
  <c r="AP116" i="65"/>
  <c r="AO116" i="65"/>
  <c r="AN116" i="65"/>
  <c r="AM116" i="65"/>
  <c r="AL116" i="65"/>
  <c r="AK116" i="65"/>
  <c r="AJ116" i="65"/>
  <c r="AI116" i="65"/>
  <c r="AH116" i="65"/>
  <c r="AG116" i="65"/>
  <c r="AF116" i="65"/>
  <c r="AE116" i="65"/>
  <c r="AD116" i="65"/>
  <c r="AC116" i="65"/>
  <c r="AB116" i="65"/>
  <c r="AA116" i="65"/>
  <c r="Z116" i="65"/>
  <c r="Y116" i="65"/>
  <c r="X116" i="65"/>
  <c r="W116" i="65"/>
  <c r="V116" i="65"/>
  <c r="U116" i="65"/>
  <c r="T116" i="65"/>
  <c r="S116" i="65"/>
  <c r="R116" i="65"/>
  <c r="Q116" i="65"/>
  <c r="P116" i="65"/>
  <c r="BN185" i="39"/>
  <c r="BG185" i="39"/>
  <c r="AW185" i="39"/>
  <c r="BM185" i="39"/>
  <c r="BE185" i="39"/>
  <c r="AS185" i="39"/>
  <c r="AN185" i="39"/>
  <c r="BI185" i="39"/>
  <c r="BB185" i="39"/>
  <c r="AK185" i="39"/>
  <c r="AU185" i="39"/>
  <c r="AY185" i="39"/>
  <c r="BH185" i="39"/>
  <c r="AL185" i="39"/>
  <c r="BF185" i="39"/>
  <c r="AM185" i="39"/>
  <c r="BC185" i="39"/>
  <c r="BK185" i="39"/>
  <c r="AT185" i="39"/>
  <c r="AV185" i="39"/>
  <c r="AX185" i="39"/>
  <c r="AZ185" i="39"/>
  <c r="AO185" i="39"/>
  <c r="AP185" i="39"/>
  <c r="BJ185" i="39"/>
  <c r="BA185" i="39"/>
  <c r="AQ185" i="39"/>
  <c r="BL185" i="39"/>
  <c r="AR185" i="39"/>
  <c r="BD185" i="39"/>
  <c r="AE185" i="39"/>
  <c r="AJ185" i="39"/>
  <c r="Y185" i="39"/>
  <c r="W185" i="39"/>
  <c r="AD185" i="39"/>
  <c r="X185" i="39"/>
  <c r="AG185" i="39"/>
  <c r="AB185" i="39"/>
  <c r="AC185" i="39"/>
  <c r="AA185" i="39"/>
  <c r="Z185" i="39"/>
  <c r="AH185" i="39"/>
  <c r="AI185" i="39"/>
  <c r="AF185" i="39"/>
  <c r="V185" i="39"/>
  <c r="U185" i="39"/>
  <c r="T185" i="39"/>
  <c r="S185" i="39"/>
  <c r="R185" i="39"/>
  <c r="Q185" i="39"/>
  <c r="P185" i="39"/>
  <c r="O186" i="39"/>
  <c r="BN129" i="39"/>
  <c r="BD129" i="39"/>
  <c r="AX129" i="39"/>
  <c r="BG129" i="39"/>
  <c r="AY129" i="39"/>
  <c r="AQ129" i="39"/>
  <c r="BE129" i="39"/>
  <c r="BM129" i="39"/>
  <c r="BH129" i="39"/>
  <c r="AL129" i="39"/>
  <c r="AP129" i="39"/>
  <c r="BC129" i="39"/>
  <c r="BI129" i="39"/>
  <c r="AM129" i="39"/>
  <c r="AN129" i="39"/>
  <c r="BL129" i="39"/>
  <c r="AV129" i="39"/>
  <c r="AR129" i="39"/>
  <c r="AS129" i="39"/>
  <c r="AT129" i="39"/>
  <c r="BK129" i="39"/>
  <c r="BF129" i="39"/>
  <c r="AO129" i="39"/>
  <c r="AZ129" i="39"/>
  <c r="BJ129" i="39"/>
  <c r="AW129" i="39"/>
  <c r="BB129" i="39"/>
  <c r="AU129" i="39"/>
  <c r="BA129" i="39"/>
  <c r="AK129" i="39"/>
  <c r="Z129" i="39"/>
  <c r="X129" i="39"/>
  <c r="AC129" i="39"/>
  <c r="AE129" i="39"/>
  <c r="Y129" i="39"/>
  <c r="AI129" i="39"/>
  <c r="AB129" i="39"/>
  <c r="AH129" i="39"/>
  <c r="AF129" i="39"/>
  <c r="AD129" i="39"/>
  <c r="AG129" i="39"/>
  <c r="AA129" i="39"/>
  <c r="AJ129" i="39"/>
  <c r="W129" i="39"/>
  <c r="V129" i="39"/>
  <c r="U129" i="39"/>
  <c r="T129" i="39"/>
  <c r="S129" i="39"/>
  <c r="R129" i="39"/>
  <c r="Q129" i="39"/>
  <c r="P129" i="39"/>
  <c r="O130" i="39"/>
  <c r="I131" i="63"/>
  <c r="AD130" i="63"/>
  <c r="AB130" i="63"/>
  <c r="AC130" i="63"/>
  <c r="BB130" i="63"/>
  <c r="BA130" i="63"/>
  <c r="BZ130" i="63"/>
  <c r="AZ130" i="63"/>
  <c r="AA130" i="63"/>
  <c r="AY130" i="63"/>
  <c r="CX130" i="63"/>
  <c r="BY130" i="63"/>
  <c r="BX130" i="63"/>
  <c r="Z130" i="63"/>
  <c r="AX130" i="63"/>
  <c r="DV130" i="63"/>
  <c r="BW130" i="63"/>
  <c r="CW130" i="63"/>
  <c r="CV130" i="63"/>
  <c r="Y130" i="63"/>
  <c r="BV130" i="63"/>
  <c r="DU130" i="63"/>
  <c r="AW130" i="63"/>
  <c r="ET130" i="63"/>
  <c r="X130" i="63"/>
  <c r="DT130" i="63"/>
  <c r="CU130" i="63"/>
  <c r="W130" i="63"/>
  <c r="FR130" i="63"/>
  <c r="BU130" i="63"/>
  <c r="AV130" i="63"/>
  <c r="ES130" i="63"/>
  <c r="DS130" i="63"/>
  <c r="CT130" i="63"/>
  <c r="ER130" i="63"/>
  <c r="FQ130" i="63"/>
  <c r="FP130" i="63"/>
  <c r="CS130" i="63"/>
  <c r="EQ130" i="63"/>
  <c r="V130" i="63"/>
  <c r="BT130" i="63"/>
  <c r="AU130" i="63"/>
  <c r="DR130" i="63"/>
  <c r="GP130" i="63"/>
  <c r="DQ130" i="63"/>
  <c r="U130" i="63"/>
  <c r="BS130" i="63"/>
  <c r="GN130" i="63"/>
  <c r="HN130" i="63"/>
  <c r="GO130" i="63"/>
  <c r="CR130" i="63"/>
  <c r="AT130" i="63"/>
  <c r="FO130" i="63"/>
  <c r="EP130" i="63"/>
  <c r="CQ130" i="63"/>
  <c r="FN130" i="63"/>
  <c r="T130" i="63"/>
  <c r="DP130" i="63"/>
  <c r="AS130" i="63"/>
  <c r="GM130" i="63"/>
  <c r="HL130" i="63"/>
  <c r="BR130" i="63"/>
  <c r="HM130" i="63"/>
  <c r="EO130" i="63"/>
  <c r="IL130" i="63"/>
  <c r="EN130" i="63"/>
  <c r="DO130" i="63"/>
  <c r="S130" i="63"/>
  <c r="CP130" i="63"/>
  <c r="FM130" i="63"/>
  <c r="JJ130" i="63"/>
  <c r="HK130" i="63"/>
  <c r="AR130" i="63"/>
  <c r="GL130" i="63"/>
  <c r="IK130" i="63"/>
  <c r="BQ130" i="63"/>
  <c r="IJ130" i="63"/>
  <c r="DN130" i="63"/>
  <c r="EM130" i="63"/>
  <c r="FL130" i="63"/>
  <c r="II130" i="63"/>
  <c r="JH130" i="63"/>
  <c r="BP130" i="63"/>
  <c r="KH130" i="63"/>
  <c r="HJ130" i="63"/>
  <c r="CO130" i="63"/>
  <c r="JI130" i="63"/>
  <c r="AQ130" i="63"/>
  <c r="GK130" i="63"/>
  <c r="R130" i="63"/>
  <c r="BO130" i="63"/>
  <c r="KF130" i="63"/>
  <c r="FK130" i="63"/>
  <c r="HI130" i="63"/>
  <c r="Q130" i="63"/>
  <c r="DM130" i="63"/>
  <c r="KG130" i="63"/>
  <c r="AP130" i="63"/>
  <c r="IH130" i="63"/>
  <c r="EL130" i="63"/>
  <c r="CN130" i="63"/>
  <c r="GJ130" i="63"/>
  <c r="JG130" i="63"/>
  <c r="LF130" i="63"/>
  <c r="FJ130" i="63"/>
  <c r="JF130" i="63"/>
  <c r="MD130" i="63"/>
  <c r="KE130" i="63"/>
  <c r="LD130" i="63"/>
  <c r="AO130" i="63"/>
  <c r="IG130" i="63"/>
  <c r="BN130" i="63"/>
  <c r="CM130" i="63"/>
  <c r="HH130" i="63"/>
  <c r="DL130" i="63"/>
  <c r="LE130" i="63"/>
  <c r="GI130" i="63"/>
  <c r="P130" i="63"/>
  <c r="EK130" i="63"/>
  <c r="HG130" i="63"/>
  <c r="KD130" i="63"/>
  <c r="JE130" i="63"/>
  <c r="GH130" i="63"/>
  <c r="AN130" i="63"/>
  <c r="MC130" i="63"/>
  <c r="EJ130" i="63"/>
  <c r="DK130" i="63"/>
  <c r="O130" i="63"/>
  <c r="IF130" i="63"/>
  <c r="LC130" i="63"/>
  <c r="NB130" i="63"/>
  <c r="CL130" i="63"/>
  <c r="BM130" i="63"/>
  <c r="MB130" i="63"/>
  <c r="FI130" i="63"/>
  <c r="NA130" i="63"/>
  <c r="N130" i="63"/>
  <c r="KC130" i="63"/>
  <c r="AM130" i="63"/>
  <c r="DJ130" i="63"/>
  <c r="MZ130" i="63"/>
  <c r="JD130" i="63"/>
  <c r="GG130" i="63"/>
  <c r="CK130" i="63"/>
  <c r="MA130" i="63"/>
  <c r="BL130" i="63"/>
  <c r="NZ130" i="63"/>
  <c r="IE130" i="63"/>
  <c r="HF130" i="63"/>
  <c r="FH130" i="63"/>
  <c r="LB130" i="63"/>
  <c r="EI130" i="63"/>
  <c r="GF130" i="63"/>
  <c r="JC130" i="63"/>
  <c r="NY130" i="63"/>
  <c r="OX130" i="63"/>
  <c r="LA130" i="63"/>
  <c r="EH130" i="63"/>
  <c r="CJ130" i="63"/>
  <c r="NX130" i="63"/>
  <c r="FG130" i="63"/>
  <c r="KB130" i="63"/>
  <c r="HE130" i="63"/>
  <c r="BK130" i="63"/>
  <c r="AL130" i="63"/>
  <c r="MY130" i="63"/>
  <c r="LZ130" i="63"/>
  <c r="ID130" i="63"/>
  <c r="M130" i="63"/>
  <c r="DI130" i="63"/>
  <c r="IC130" i="63"/>
  <c r="PV130" i="63"/>
  <c r="EG130" i="63"/>
  <c r="KZ130" i="63"/>
  <c r="NW130" i="63"/>
  <c r="HD130" i="63"/>
  <c r="GE130" i="63"/>
  <c r="OW130" i="63"/>
  <c r="L130" i="63"/>
  <c r="BJ130" i="63"/>
  <c r="CI130" i="63"/>
  <c r="AK130" i="63"/>
  <c r="JB130" i="63"/>
  <c r="MX130" i="63"/>
  <c r="KA130" i="63"/>
  <c r="OV130" i="63"/>
  <c r="DH130" i="63"/>
  <c r="LY130" i="63"/>
  <c r="FF130" i="63"/>
  <c r="FE130" i="63"/>
  <c r="IB130" i="63"/>
  <c r="GD130" i="63"/>
  <c r="JA130" i="63"/>
  <c r="BI130" i="63"/>
  <c r="DG130" i="63"/>
  <c r="PU130" i="63"/>
  <c r="OU130" i="63"/>
  <c r="LX130" i="63"/>
  <c r="NV130" i="63"/>
  <c r="CH130" i="63"/>
  <c r="HC130" i="63"/>
  <c r="AJ130" i="63"/>
  <c r="PT130" i="63"/>
  <c r="KY130" i="63"/>
  <c r="JZ130" i="63"/>
  <c r="K130" i="63"/>
  <c r="EF130" i="63"/>
  <c r="MW130" i="63"/>
  <c r="KX130" i="63"/>
  <c r="J130" i="63"/>
  <c r="AI130" i="63"/>
  <c r="LW130" i="63"/>
  <c r="FD130" i="63"/>
  <c r="BH130" i="63"/>
  <c r="OT130" i="63"/>
  <c r="IA130" i="63"/>
  <c r="DF130" i="63"/>
  <c r="PS130" i="63"/>
  <c r="IZ130" i="63"/>
  <c r="EE130" i="63"/>
  <c r="JY130" i="63"/>
  <c r="NU130" i="63"/>
  <c r="CG130" i="63"/>
  <c r="GC130" i="63"/>
  <c r="MV130" i="63"/>
  <c r="HB130" i="63"/>
  <c r="MU130" i="63"/>
  <c r="KW130" i="63"/>
  <c r="IY130" i="63"/>
  <c r="HA130" i="63"/>
  <c r="JX130" i="63"/>
  <c r="CF130" i="63"/>
  <c r="NT130" i="63"/>
  <c r="ED130" i="63"/>
  <c r="LV130" i="63"/>
  <c r="PR130" i="63"/>
  <c r="GB130" i="63"/>
  <c r="BG130" i="63"/>
  <c r="FC130" i="63"/>
  <c r="OS130" i="63"/>
  <c r="DE130" i="63"/>
  <c r="HZ130" i="63"/>
  <c r="AH130" i="63"/>
  <c r="HY130" i="63"/>
  <c r="PQ130" i="63"/>
  <c r="KV130" i="63"/>
  <c r="NS130" i="63"/>
  <c r="GA130" i="63"/>
  <c r="BF130" i="63"/>
  <c r="FB130" i="63"/>
  <c r="DD130" i="63"/>
  <c r="CE130" i="63"/>
  <c r="MT130" i="63"/>
  <c r="IX130" i="63"/>
  <c r="GZ130" i="63"/>
  <c r="EC130" i="63"/>
  <c r="OR130" i="63"/>
  <c r="JW130" i="63"/>
  <c r="LU130" i="63"/>
  <c r="OQ130" i="63"/>
  <c r="KU130" i="63"/>
  <c r="PP130" i="63"/>
  <c r="JV130" i="63"/>
  <c r="IW130" i="63"/>
  <c r="FA130" i="63"/>
  <c r="DC130" i="63"/>
  <c r="HX130" i="63"/>
  <c r="FZ130" i="63"/>
  <c r="GY130" i="63"/>
  <c r="NR130" i="63"/>
  <c r="LT130" i="63"/>
  <c r="MS130" i="63"/>
  <c r="CD130" i="63"/>
  <c r="EB130" i="63"/>
  <c r="OP130" i="63"/>
  <c r="PO130" i="63"/>
  <c r="EA130" i="63"/>
  <c r="DB130" i="63"/>
  <c r="KT130" i="63"/>
  <c r="LS130" i="63"/>
  <c r="FY130" i="63"/>
  <c r="MR130" i="63"/>
  <c r="HW130" i="63"/>
  <c r="GX130" i="63"/>
  <c r="NQ130" i="63"/>
  <c r="IV130" i="63"/>
  <c r="EZ130" i="63"/>
  <c r="JU130" i="63"/>
  <c r="GW130" i="63"/>
  <c r="KS130" i="63"/>
  <c r="LR130" i="63"/>
  <c r="HV130" i="63"/>
  <c r="EY130" i="63"/>
  <c r="JT130" i="63"/>
  <c r="PN130" i="63"/>
  <c r="NP130" i="63"/>
  <c r="MQ130" i="63"/>
  <c r="DZ130" i="63"/>
  <c r="IU130" i="63"/>
  <c r="FX130" i="63"/>
  <c r="OO130" i="63"/>
  <c r="PM130" i="63"/>
  <c r="FW130" i="63"/>
  <c r="MP130" i="63"/>
  <c r="HU130" i="63"/>
  <c r="IT130" i="63"/>
  <c r="GV130" i="63"/>
  <c r="KR130" i="63"/>
  <c r="LQ130" i="63"/>
  <c r="JS130" i="63"/>
  <c r="ON130" i="63"/>
  <c r="NO130" i="63"/>
  <c r="EX130" i="63"/>
  <c r="KQ130" i="63"/>
  <c r="IS130" i="63"/>
  <c r="MO130" i="63"/>
  <c r="LP130" i="63"/>
  <c r="HT130" i="63"/>
  <c r="NN130" i="63"/>
  <c r="FV130" i="63"/>
  <c r="GU130" i="63"/>
  <c r="PL130" i="63"/>
  <c r="OM130" i="63"/>
  <c r="JR130" i="63"/>
  <c r="NM130" i="63"/>
  <c r="LO130" i="63"/>
  <c r="OL130" i="63"/>
  <c r="KP130" i="63"/>
  <c r="IR130" i="63"/>
  <c r="PK130" i="63"/>
  <c r="GT130" i="63"/>
  <c r="HS130" i="63"/>
  <c r="JQ130" i="63"/>
  <c r="MN130" i="63"/>
  <c r="KO130" i="63"/>
  <c r="NL130" i="63"/>
  <c r="IQ130" i="63"/>
  <c r="MM130" i="63"/>
  <c r="HR130" i="63"/>
  <c r="LN130" i="63"/>
  <c r="PJ130" i="63"/>
  <c r="OK130" i="63"/>
  <c r="JP130" i="63"/>
  <c r="PI130" i="63"/>
  <c r="JO130" i="63"/>
  <c r="OJ130" i="63"/>
  <c r="ML130" i="63"/>
  <c r="KN130" i="63"/>
  <c r="NK130" i="63"/>
  <c r="IP130" i="63"/>
  <c r="LM130" i="63"/>
  <c r="OI130" i="63"/>
  <c r="MK130" i="63"/>
  <c r="JN130" i="63"/>
  <c r="PH130" i="63"/>
  <c r="NJ130" i="63"/>
  <c r="KM130" i="63"/>
  <c r="LL130" i="63"/>
  <c r="KL130" i="63"/>
  <c r="NI130" i="63"/>
  <c r="PG130" i="63"/>
  <c r="LK130" i="63"/>
  <c r="MJ130" i="63"/>
  <c r="OH130" i="63"/>
  <c r="LJ130" i="63"/>
  <c r="OG130" i="63"/>
  <c r="NH130" i="63"/>
  <c r="PF130" i="63"/>
  <c r="MI130" i="63"/>
  <c r="NG130" i="63"/>
  <c r="OF130" i="63"/>
  <c r="MH130" i="63"/>
  <c r="PE130" i="63"/>
  <c r="PD130" i="63"/>
  <c r="OE130" i="63"/>
  <c r="NF130" i="63"/>
  <c r="PC130" i="63"/>
  <c r="OD130" i="63"/>
  <c r="PB130" i="63"/>
  <c r="I194" i="63"/>
  <c r="AD193" i="63"/>
  <c r="AB193" i="63"/>
  <c r="BB193" i="63"/>
  <c r="AC193" i="63"/>
  <c r="AA193" i="63"/>
  <c r="BZ193" i="63"/>
  <c r="AZ193" i="63"/>
  <c r="BA193" i="63"/>
  <c r="BY193" i="63"/>
  <c r="AY193" i="63"/>
  <c r="Z193" i="63"/>
  <c r="CX193" i="63"/>
  <c r="BX193" i="63"/>
  <c r="Y193" i="63"/>
  <c r="CV193" i="63"/>
  <c r="AX193" i="63"/>
  <c r="BW193" i="63"/>
  <c r="CW193" i="63"/>
  <c r="DV193" i="63"/>
  <c r="CU193" i="63"/>
  <c r="AW193" i="63"/>
  <c r="BV193" i="63"/>
  <c r="X193" i="63"/>
  <c r="DU193" i="63"/>
  <c r="DT193" i="63"/>
  <c r="ET193" i="63"/>
  <c r="DS193" i="63"/>
  <c r="ES193" i="63"/>
  <c r="CT193" i="63"/>
  <c r="AV193" i="63"/>
  <c r="FR193" i="63"/>
  <c r="BU193" i="63"/>
  <c r="ER193" i="63"/>
  <c r="W193" i="63"/>
  <c r="DR193" i="63"/>
  <c r="FQ193" i="63"/>
  <c r="GP193" i="63"/>
  <c r="V193" i="63"/>
  <c r="FP193" i="63"/>
  <c r="BT193" i="63"/>
  <c r="EQ193" i="63"/>
  <c r="CS193" i="63"/>
  <c r="AU193" i="63"/>
  <c r="CR193" i="63"/>
  <c r="AT193" i="63"/>
  <c r="U193" i="63"/>
  <c r="FO193" i="63"/>
  <c r="EP193" i="63"/>
  <c r="BS193" i="63"/>
  <c r="GO193" i="63"/>
  <c r="GN193" i="63"/>
  <c r="HN193" i="63"/>
  <c r="DQ193" i="63"/>
  <c r="HL193" i="63"/>
  <c r="IL193" i="63"/>
  <c r="FN193" i="63"/>
  <c r="HM193" i="63"/>
  <c r="GM193" i="63"/>
  <c r="CQ193" i="63"/>
  <c r="DP193" i="63"/>
  <c r="EO193" i="63"/>
  <c r="AS193" i="63"/>
  <c r="BR193" i="63"/>
  <c r="T193" i="63"/>
  <c r="CP193" i="63"/>
  <c r="BQ193" i="63"/>
  <c r="HK193" i="63"/>
  <c r="IK193" i="63"/>
  <c r="GL193" i="63"/>
  <c r="JJ193" i="63"/>
  <c r="DO193" i="63"/>
  <c r="S193" i="63"/>
  <c r="AR193" i="63"/>
  <c r="FM193" i="63"/>
  <c r="IJ193" i="63"/>
  <c r="EN193" i="63"/>
  <c r="JI193" i="63"/>
  <c r="R193" i="63"/>
  <c r="CO193" i="63"/>
  <c r="JH193" i="63"/>
  <c r="AQ193" i="63"/>
  <c r="GK193" i="63"/>
  <c r="BP193" i="63"/>
  <c r="EM193" i="63"/>
  <c r="FL193" i="63"/>
  <c r="II193" i="63"/>
  <c r="HJ193" i="63"/>
  <c r="KH193" i="63"/>
  <c r="DN193" i="63"/>
  <c r="KF193" i="63"/>
  <c r="KG193" i="63"/>
  <c r="LF193" i="63"/>
  <c r="GJ193" i="63"/>
  <c r="AP193" i="63"/>
  <c r="HI193" i="63"/>
  <c r="DM193" i="63"/>
  <c r="IH193" i="63"/>
  <c r="BO193" i="63"/>
  <c r="JG193" i="63"/>
  <c r="Q193" i="63"/>
  <c r="CN193" i="63"/>
  <c r="FK193" i="63"/>
  <c r="EL193" i="63"/>
  <c r="DL193" i="63"/>
  <c r="BN193" i="63"/>
  <c r="EK193" i="63"/>
  <c r="LD193" i="63"/>
  <c r="JF193" i="63"/>
  <c r="GI193" i="63"/>
  <c r="P193" i="63"/>
  <c r="CM193" i="63"/>
  <c r="IG193" i="63"/>
  <c r="AO193" i="63"/>
  <c r="LE193" i="63"/>
  <c r="MD193" i="63"/>
  <c r="FJ193" i="63"/>
  <c r="KE193" i="63"/>
  <c r="HH193" i="63"/>
  <c r="NB193" i="63"/>
  <c r="JE193" i="63"/>
  <c r="BM193" i="63"/>
  <c r="LC193" i="63"/>
  <c r="KD193" i="63"/>
  <c r="HG193" i="63"/>
  <c r="FI193" i="63"/>
  <c r="GH193" i="63"/>
  <c r="O193" i="63"/>
  <c r="DK193" i="63"/>
  <c r="CL193" i="63"/>
  <c r="EJ193" i="63"/>
  <c r="IF193" i="63"/>
  <c r="MB193" i="63"/>
  <c r="AN193" i="63"/>
  <c r="MC193" i="63"/>
  <c r="N193" i="63"/>
  <c r="KC193" i="63"/>
  <c r="HF193" i="63"/>
  <c r="IE193" i="63"/>
  <c r="MZ193" i="63"/>
  <c r="CK193" i="63"/>
  <c r="NA193" i="63"/>
  <c r="EI193" i="63"/>
  <c r="NZ193" i="63"/>
  <c r="BL193" i="63"/>
  <c r="LB193" i="63"/>
  <c r="AM193" i="63"/>
  <c r="MA193" i="63"/>
  <c r="JD193" i="63"/>
  <c r="DJ193" i="63"/>
  <c r="GG193" i="63"/>
  <c r="FH193" i="63"/>
  <c r="ID193" i="63"/>
  <c r="LA193" i="63"/>
  <c r="JC193" i="63"/>
  <c r="AL193" i="63"/>
  <c r="DI193" i="63"/>
  <c r="GF193" i="63"/>
  <c r="OX193" i="63"/>
  <c r="BK193" i="63"/>
  <c r="LZ193" i="63"/>
  <c r="MY193" i="63"/>
  <c r="NX193" i="63"/>
  <c r="HE193" i="63"/>
  <c r="M193" i="63"/>
  <c r="NY193" i="63"/>
  <c r="KB193" i="63"/>
  <c r="EH193" i="63"/>
  <c r="CJ193" i="63"/>
  <c r="FG193" i="63"/>
  <c r="KA193" i="63"/>
  <c r="BJ193" i="63"/>
  <c r="L193" i="63"/>
  <c r="GE193" i="63"/>
  <c r="FF193" i="63"/>
  <c r="OV193" i="63"/>
  <c r="KZ193" i="63"/>
  <c r="IC193" i="63"/>
  <c r="AK193" i="63"/>
  <c r="HD193" i="63"/>
  <c r="LY193" i="63"/>
  <c r="EG193" i="63"/>
  <c r="NW193" i="63"/>
  <c r="MX193" i="63"/>
  <c r="PV193" i="63"/>
  <c r="OW193" i="63"/>
  <c r="JB193" i="63"/>
  <c r="CI193" i="63"/>
  <c r="DH193" i="63"/>
  <c r="GD193" i="63"/>
  <c r="MW193" i="63"/>
  <c r="OU193" i="63"/>
  <c r="JA193" i="63"/>
  <c r="BI193" i="63"/>
  <c r="HC193" i="63"/>
  <c r="AJ193" i="63"/>
  <c r="PU193" i="63"/>
  <c r="FE193" i="63"/>
  <c r="NV193" i="63"/>
  <c r="LX193" i="63"/>
  <c r="JZ193" i="63"/>
  <c r="CH193" i="63"/>
  <c r="IB193" i="63"/>
  <c r="PT193" i="63"/>
  <c r="K193" i="63"/>
  <c r="DG193" i="63"/>
  <c r="KY193" i="63"/>
  <c r="EF193" i="63"/>
  <c r="EE193" i="63"/>
  <c r="J193" i="63"/>
  <c r="GC193" i="63"/>
  <c r="IA193" i="63"/>
  <c r="KX193" i="63"/>
  <c r="IZ193" i="63"/>
  <c r="PS193" i="63"/>
  <c r="BH193" i="63"/>
  <c r="JY193" i="63"/>
  <c r="HB193" i="63"/>
  <c r="NU193" i="63"/>
  <c r="OT193" i="63"/>
  <c r="LW193" i="63"/>
  <c r="AI193" i="63"/>
  <c r="CG193" i="63"/>
  <c r="DF193" i="63"/>
  <c r="FD193" i="63"/>
  <c r="MV193" i="63"/>
  <c r="CF193" i="63"/>
  <c r="JX193" i="63"/>
  <c r="LV193" i="63"/>
  <c r="FC193" i="63"/>
  <c r="NT193" i="63"/>
  <c r="AH193" i="63"/>
  <c r="DE193" i="63"/>
  <c r="IY193" i="63"/>
  <c r="MU193" i="63"/>
  <c r="BG193" i="63"/>
  <c r="HZ193" i="63"/>
  <c r="GB193" i="63"/>
  <c r="ED193" i="63"/>
  <c r="OS193" i="63"/>
  <c r="KW193" i="63"/>
  <c r="HA193" i="63"/>
  <c r="PR193" i="63"/>
  <c r="PQ193" i="63"/>
  <c r="MT193" i="63"/>
  <c r="FB193" i="63"/>
  <c r="EC193" i="63"/>
  <c r="NS193" i="63"/>
  <c r="OR193" i="63"/>
  <c r="IX193" i="63"/>
  <c r="JW193" i="63"/>
  <c r="GA193" i="63"/>
  <c r="BF193" i="63"/>
  <c r="HY193" i="63"/>
  <c r="KV193" i="63"/>
  <c r="DD193" i="63"/>
  <c r="GZ193" i="63"/>
  <c r="CE193" i="63"/>
  <c r="LU193" i="63"/>
  <c r="GY193" i="63"/>
  <c r="FZ193" i="63"/>
  <c r="KU193" i="63"/>
  <c r="PP193" i="63"/>
  <c r="FA193" i="63"/>
  <c r="MS193" i="63"/>
  <c r="DC193" i="63"/>
  <c r="OQ193" i="63"/>
  <c r="LT193" i="63"/>
  <c r="NR193" i="63"/>
  <c r="IW193" i="63"/>
  <c r="HX193" i="63"/>
  <c r="EB193" i="63"/>
  <c r="JV193" i="63"/>
  <c r="CD193" i="63"/>
  <c r="PO193" i="63"/>
  <c r="JU193" i="63"/>
  <c r="GX193" i="63"/>
  <c r="MR193" i="63"/>
  <c r="KT193" i="63"/>
  <c r="IV193" i="63"/>
  <c r="EA193" i="63"/>
  <c r="OP193" i="63"/>
  <c r="LS193" i="63"/>
  <c r="NQ193" i="63"/>
  <c r="FY193" i="63"/>
  <c r="EZ193" i="63"/>
  <c r="DB193" i="63"/>
  <c r="HW193" i="63"/>
  <c r="MQ193" i="63"/>
  <c r="PN193" i="63"/>
  <c r="HV193" i="63"/>
  <c r="GW193" i="63"/>
  <c r="EY193" i="63"/>
  <c r="FX193" i="63"/>
  <c r="JT193" i="63"/>
  <c r="DZ193" i="63"/>
  <c r="OO193" i="63"/>
  <c r="KS193" i="63"/>
  <c r="IU193" i="63"/>
  <c r="NP193" i="63"/>
  <c r="LR193" i="63"/>
  <c r="ON193" i="63"/>
  <c r="KR193" i="63"/>
  <c r="EX193" i="63"/>
  <c r="GV193" i="63"/>
  <c r="LQ193" i="63"/>
  <c r="NO193" i="63"/>
  <c r="JS193" i="63"/>
  <c r="FW193" i="63"/>
  <c r="IT193" i="63"/>
  <c r="PM193" i="63"/>
  <c r="HU193" i="63"/>
  <c r="MP193" i="63"/>
  <c r="GU193" i="63"/>
  <c r="KQ193" i="63"/>
  <c r="JR193" i="63"/>
  <c r="FV193" i="63"/>
  <c r="IS193" i="63"/>
  <c r="OM193" i="63"/>
  <c r="HT193" i="63"/>
  <c r="NN193" i="63"/>
  <c r="LP193" i="63"/>
  <c r="PL193" i="63"/>
  <c r="MO193" i="63"/>
  <c r="JQ193" i="63"/>
  <c r="HS193" i="63"/>
  <c r="OL193" i="63"/>
  <c r="KP193" i="63"/>
  <c r="LO193" i="63"/>
  <c r="IR193" i="63"/>
  <c r="MN193" i="63"/>
  <c r="GT193" i="63"/>
  <c r="NM193" i="63"/>
  <c r="PK193" i="63"/>
  <c r="JP193" i="63"/>
  <c r="LN193" i="63"/>
  <c r="HR193" i="63"/>
  <c r="NL193" i="63"/>
  <c r="MM193" i="63"/>
  <c r="IQ193" i="63"/>
  <c r="KO193" i="63"/>
  <c r="OK193" i="63"/>
  <c r="PJ193" i="63"/>
  <c r="OJ193" i="63"/>
  <c r="JO193" i="63"/>
  <c r="ML193" i="63"/>
  <c r="IP193" i="63"/>
  <c r="NK193" i="63"/>
  <c r="KN193" i="63"/>
  <c r="PI193" i="63"/>
  <c r="LM193" i="63"/>
  <c r="KM193" i="63"/>
  <c r="PH193" i="63"/>
  <c r="NJ193" i="63"/>
  <c r="OI193" i="63"/>
  <c r="MK193" i="63"/>
  <c r="LL193" i="63"/>
  <c r="JN193" i="63"/>
  <c r="OH193" i="63"/>
  <c r="PG193" i="63"/>
  <c r="LK193" i="63"/>
  <c r="KL193" i="63"/>
  <c r="MJ193" i="63"/>
  <c r="NI193" i="63"/>
  <c r="NH193" i="63"/>
  <c r="MI193" i="63"/>
  <c r="PF193" i="63"/>
  <c r="LJ193" i="63"/>
  <c r="OG193" i="63"/>
  <c r="OF193" i="63"/>
  <c r="PE193" i="63"/>
  <c r="MH193" i="63"/>
  <c r="NG193" i="63"/>
  <c r="NF193" i="63"/>
  <c r="PD193" i="63"/>
  <c r="OE193" i="63"/>
  <c r="OD193" i="63"/>
  <c r="PC193" i="63"/>
  <c r="PB193" i="63"/>
  <c r="BS172" i="65" l="1"/>
  <c r="BR172" i="65"/>
  <c r="BR117" i="65"/>
  <c r="BS117" i="65"/>
  <c r="O118" i="65"/>
  <c r="BM117" i="65"/>
  <c r="BN117" i="65"/>
  <c r="BK117" i="65"/>
  <c r="BL117" i="65"/>
  <c r="BJ117" i="65"/>
  <c r="BI117" i="65"/>
  <c r="BH117" i="65"/>
  <c r="BG117" i="65"/>
  <c r="BF117" i="65"/>
  <c r="BE117" i="65"/>
  <c r="BD117" i="65"/>
  <c r="BC117" i="65"/>
  <c r="BB117" i="65"/>
  <c r="BA117" i="65"/>
  <c r="AZ117" i="65"/>
  <c r="AY117" i="65"/>
  <c r="AX117" i="65"/>
  <c r="AW117" i="65"/>
  <c r="AV117" i="65"/>
  <c r="AU117" i="65"/>
  <c r="AT117" i="65"/>
  <c r="AS117" i="65"/>
  <c r="AR117" i="65"/>
  <c r="AQ117" i="65"/>
  <c r="AP117" i="65"/>
  <c r="AO117" i="65"/>
  <c r="AN117" i="65"/>
  <c r="AM117" i="65"/>
  <c r="AL117" i="65"/>
  <c r="AK117" i="65"/>
  <c r="AJ117" i="65"/>
  <c r="AI117" i="65"/>
  <c r="AH117" i="65"/>
  <c r="AG117" i="65"/>
  <c r="AF117" i="65"/>
  <c r="AE117" i="65"/>
  <c r="AD117" i="65"/>
  <c r="AC117" i="65"/>
  <c r="AB117" i="65"/>
  <c r="AA117" i="65"/>
  <c r="Z117" i="65"/>
  <c r="Y117" i="65"/>
  <c r="X117" i="65"/>
  <c r="W117" i="65"/>
  <c r="V117" i="65"/>
  <c r="U117" i="65"/>
  <c r="T117" i="65"/>
  <c r="S117" i="65"/>
  <c r="R117" i="65"/>
  <c r="Q117" i="65"/>
  <c r="P117" i="65"/>
  <c r="O173" i="65"/>
  <c r="BN172" i="65"/>
  <c r="BM172" i="65"/>
  <c r="BK172" i="65"/>
  <c r="BL172" i="65"/>
  <c r="BJ172" i="65"/>
  <c r="BI172" i="65"/>
  <c r="BH172" i="65"/>
  <c r="BG172" i="65"/>
  <c r="BF172" i="65"/>
  <c r="BE172" i="65"/>
  <c r="BD172" i="65"/>
  <c r="BC172" i="65"/>
  <c r="BB172" i="65"/>
  <c r="BA172" i="65"/>
  <c r="AZ172" i="65"/>
  <c r="AY172" i="65"/>
  <c r="AX172" i="65"/>
  <c r="AW172" i="65"/>
  <c r="AV172" i="65"/>
  <c r="AU172" i="65"/>
  <c r="AT172" i="65"/>
  <c r="AS172" i="65"/>
  <c r="AR172" i="65"/>
  <c r="AQ172" i="65"/>
  <c r="AP172" i="65"/>
  <c r="AO172" i="65"/>
  <c r="AN172" i="65"/>
  <c r="AM172" i="65"/>
  <c r="AL172" i="65"/>
  <c r="AK172" i="65"/>
  <c r="AJ172" i="65"/>
  <c r="AI172" i="65"/>
  <c r="AH172" i="65"/>
  <c r="AG172" i="65"/>
  <c r="AF172" i="65"/>
  <c r="AE172" i="65"/>
  <c r="AD172" i="65"/>
  <c r="AC172" i="65"/>
  <c r="AB172" i="65"/>
  <c r="AA172" i="65"/>
  <c r="Z172" i="65"/>
  <c r="Y172" i="65"/>
  <c r="X172" i="65"/>
  <c r="W172" i="65"/>
  <c r="V172" i="65"/>
  <c r="U172" i="65"/>
  <c r="T172" i="65"/>
  <c r="S172" i="65"/>
  <c r="R172" i="65"/>
  <c r="Q172" i="65"/>
  <c r="P172" i="65"/>
  <c r="BN186" i="39"/>
  <c r="AS186" i="39"/>
  <c r="BG186" i="39"/>
  <c r="BH186" i="39"/>
  <c r="BM186" i="39"/>
  <c r="AW186" i="39"/>
  <c r="BC186" i="39"/>
  <c r="AT186" i="39"/>
  <c r="BJ186" i="39"/>
  <c r="BE186" i="39"/>
  <c r="BB186" i="39"/>
  <c r="BI186" i="39"/>
  <c r="BK186" i="39"/>
  <c r="AZ186" i="39"/>
  <c r="AK186" i="39"/>
  <c r="AO186" i="39"/>
  <c r="AM186" i="39"/>
  <c r="AN186" i="39"/>
  <c r="AU186" i="39"/>
  <c r="BA186" i="39"/>
  <c r="AQ186" i="39"/>
  <c r="AR186" i="39"/>
  <c r="AL186" i="39"/>
  <c r="BF186" i="39"/>
  <c r="BL186" i="39"/>
  <c r="AX186" i="39"/>
  <c r="AP186" i="39"/>
  <c r="AV186" i="39"/>
  <c r="AY186" i="39"/>
  <c r="BD186" i="39"/>
  <c r="AJ186" i="39"/>
  <c r="Y186" i="39"/>
  <c r="AD186" i="39"/>
  <c r="AG186" i="39"/>
  <c r="AE186" i="39"/>
  <c r="W186" i="39"/>
  <c r="X186" i="39"/>
  <c r="AB186" i="39"/>
  <c r="AH186" i="39"/>
  <c r="AF186" i="39"/>
  <c r="AI186" i="39"/>
  <c r="AA186" i="39"/>
  <c r="AC186" i="39"/>
  <c r="Z186" i="39"/>
  <c r="V186" i="39"/>
  <c r="U186" i="39"/>
  <c r="T186" i="39"/>
  <c r="S186" i="39"/>
  <c r="R186" i="39"/>
  <c r="Q186" i="39"/>
  <c r="P186" i="39"/>
  <c r="O187" i="39"/>
  <c r="BN130" i="39"/>
  <c r="AQ130" i="39"/>
  <c r="AP130" i="39"/>
  <c r="BG130" i="39"/>
  <c r="AY130" i="39"/>
  <c r="BL130" i="39"/>
  <c r="BD130" i="39"/>
  <c r="AV130" i="39"/>
  <c r="BE130" i="39"/>
  <c r="AX130" i="39"/>
  <c r="BM130" i="39"/>
  <c r="BB130" i="39"/>
  <c r="BK130" i="39"/>
  <c r="AL130" i="39"/>
  <c r="AU130" i="39"/>
  <c r="AM130" i="39"/>
  <c r="BC130" i="39"/>
  <c r="AN130" i="39"/>
  <c r="BH130" i="39"/>
  <c r="BI130" i="39"/>
  <c r="AR130" i="39"/>
  <c r="AW130" i="39"/>
  <c r="AK130" i="39"/>
  <c r="BF130" i="39"/>
  <c r="BA130" i="39"/>
  <c r="AS130" i="39"/>
  <c r="BJ130" i="39"/>
  <c r="AT130" i="39"/>
  <c r="AZ130" i="39"/>
  <c r="AO130" i="39"/>
  <c r="AB130" i="39"/>
  <c r="Z130" i="39"/>
  <c r="X130" i="39"/>
  <c r="AC130" i="39"/>
  <c r="AE130" i="39"/>
  <c r="Y130" i="39"/>
  <c r="AH130" i="39"/>
  <c r="AI130" i="39"/>
  <c r="AD130" i="39"/>
  <c r="AF130" i="39"/>
  <c r="AG130" i="39"/>
  <c r="AA130" i="39"/>
  <c r="W130" i="39"/>
  <c r="V130" i="39"/>
  <c r="U130" i="39"/>
  <c r="T130" i="39"/>
  <c r="S130" i="39"/>
  <c r="R130" i="39"/>
  <c r="Q130" i="39"/>
  <c r="P130" i="39"/>
  <c r="O131" i="39"/>
  <c r="I195" i="63"/>
  <c r="AD194" i="63"/>
  <c r="AB194" i="63"/>
  <c r="AC194" i="63"/>
  <c r="BB194" i="63"/>
  <c r="AA194" i="63"/>
  <c r="BZ194" i="63"/>
  <c r="AZ194" i="63"/>
  <c r="BA194" i="63"/>
  <c r="BY194" i="63"/>
  <c r="AY194" i="63"/>
  <c r="BX194" i="63"/>
  <c r="Z194" i="63"/>
  <c r="CX194" i="63"/>
  <c r="Y194" i="63"/>
  <c r="AX194" i="63"/>
  <c r="DV194" i="63"/>
  <c r="CV194" i="63"/>
  <c r="CW194" i="63"/>
  <c r="BW194" i="63"/>
  <c r="BV194" i="63"/>
  <c r="DT194" i="63"/>
  <c r="CU194" i="63"/>
  <c r="AW194" i="63"/>
  <c r="DU194" i="63"/>
  <c r="ET194" i="63"/>
  <c r="X194" i="63"/>
  <c r="ER194" i="63"/>
  <c r="BU194" i="63"/>
  <c r="FR194" i="63"/>
  <c r="CT194" i="63"/>
  <c r="AV194" i="63"/>
  <c r="W194" i="63"/>
  <c r="ES194" i="63"/>
  <c r="DS194" i="63"/>
  <c r="AU194" i="63"/>
  <c r="V194" i="63"/>
  <c r="FP194" i="63"/>
  <c r="EQ194" i="63"/>
  <c r="DR194" i="63"/>
  <c r="FQ194" i="63"/>
  <c r="GP194" i="63"/>
  <c r="BT194" i="63"/>
  <c r="CS194" i="63"/>
  <c r="FO194" i="63"/>
  <c r="CR194" i="63"/>
  <c r="GO194" i="63"/>
  <c r="HN194" i="63"/>
  <c r="EP194" i="63"/>
  <c r="BS194" i="63"/>
  <c r="AT194" i="63"/>
  <c r="U194" i="63"/>
  <c r="GN194" i="63"/>
  <c r="DQ194" i="63"/>
  <c r="HM194" i="63"/>
  <c r="AS194" i="63"/>
  <c r="BR194" i="63"/>
  <c r="FN194" i="63"/>
  <c r="T194" i="63"/>
  <c r="EO194" i="63"/>
  <c r="HL194" i="63"/>
  <c r="IL194" i="63"/>
  <c r="CQ194" i="63"/>
  <c r="GM194" i="63"/>
  <c r="DP194" i="63"/>
  <c r="IK194" i="63"/>
  <c r="GL194" i="63"/>
  <c r="S194" i="63"/>
  <c r="AR194" i="63"/>
  <c r="EN194" i="63"/>
  <c r="FM194" i="63"/>
  <c r="CP194" i="63"/>
  <c r="BQ194" i="63"/>
  <c r="IJ194" i="63"/>
  <c r="JJ194" i="63"/>
  <c r="DO194" i="63"/>
  <c r="HK194" i="63"/>
  <c r="GK194" i="63"/>
  <c r="AQ194" i="63"/>
  <c r="HJ194" i="63"/>
  <c r="DN194" i="63"/>
  <c r="BP194" i="63"/>
  <c r="R194" i="63"/>
  <c r="FL194" i="63"/>
  <c r="EM194" i="63"/>
  <c r="JH194" i="63"/>
  <c r="KH194" i="63"/>
  <c r="II194" i="63"/>
  <c r="CO194" i="63"/>
  <c r="JI194" i="63"/>
  <c r="GJ194" i="63"/>
  <c r="KG194" i="63"/>
  <c r="IH194" i="63"/>
  <c r="BO194" i="63"/>
  <c r="CN194" i="63"/>
  <c r="KF194" i="63"/>
  <c r="LF194" i="63"/>
  <c r="Q194" i="63"/>
  <c r="JG194" i="63"/>
  <c r="DM194" i="63"/>
  <c r="AP194" i="63"/>
  <c r="HI194" i="63"/>
  <c r="FK194" i="63"/>
  <c r="EL194" i="63"/>
  <c r="EK194" i="63"/>
  <c r="LD194" i="63"/>
  <c r="P194" i="63"/>
  <c r="IG194" i="63"/>
  <c r="CM194" i="63"/>
  <c r="BN194" i="63"/>
  <c r="MD194" i="63"/>
  <c r="FJ194" i="63"/>
  <c r="KE194" i="63"/>
  <c r="JF194" i="63"/>
  <c r="GI194" i="63"/>
  <c r="LE194" i="63"/>
  <c r="DL194" i="63"/>
  <c r="HH194" i="63"/>
  <c r="AO194" i="63"/>
  <c r="JE194" i="63"/>
  <c r="BM194" i="63"/>
  <c r="MB194" i="63"/>
  <c r="FI194" i="63"/>
  <c r="CL194" i="63"/>
  <c r="IF194" i="63"/>
  <c r="AN194" i="63"/>
  <c r="EJ194" i="63"/>
  <c r="NB194" i="63"/>
  <c r="HG194" i="63"/>
  <c r="MC194" i="63"/>
  <c r="KD194" i="63"/>
  <c r="GH194" i="63"/>
  <c r="O194" i="63"/>
  <c r="DK194" i="63"/>
  <c r="LC194" i="63"/>
  <c r="NZ194" i="63"/>
  <c r="BL194" i="63"/>
  <c r="HF194" i="63"/>
  <c r="AM194" i="63"/>
  <c r="DJ194" i="63"/>
  <c r="EI194" i="63"/>
  <c r="JD194" i="63"/>
  <c r="KC194" i="63"/>
  <c r="NA194" i="63"/>
  <c r="FH194" i="63"/>
  <c r="N194" i="63"/>
  <c r="LB194" i="63"/>
  <c r="IE194" i="63"/>
  <c r="CK194" i="63"/>
  <c r="GG194" i="63"/>
  <c r="MZ194" i="63"/>
  <c r="MA194" i="63"/>
  <c r="MY194" i="63"/>
  <c r="M194" i="63"/>
  <c r="FG194" i="63"/>
  <c r="LZ194" i="63"/>
  <c r="KB194" i="63"/>
  <c r="DI194" i="63"/>
  <c r="LA194" i="63"/>
  <c r="JC194" i="63"/>
  <c r="NY194" i="63"/>
  <c r="EH194" i="63"/>
  <c r="CJ194" i="63"/>
  <c r="OX194" i="63"/>
  <c r="BK194" i="63"/>
  <c r="ID194" i="63"/>
  <c r="GF194" i="63"/>
  <c r="NX194" i="63"/>
  <c r="HE194" i="63"/>
  <c r="AL194" i="63"/>
  <c r="KA194" i="63"/>
  <c r="JB194" i="63"/>
  <c r="EG194" i="63"/>
  <c r="BJ194" i="63"/>
  <c r="NW194" i="63"/>
  <c r="PV194" i="63"/>
  <c r="OW194" i="63"/>
  <c r="FF194" i="63"/>
  <c r="LY194" i="63"/>
  <c r="CI194" i="63"/>
  <c r="IC194" i="63"/>
  <c r="L194" i="63"/>
  <c r="MX194" i="63"/>
  <c r="GE194" i="63"/>
  <c r="AK194" i="63"/>
  <c r="OV194" i="63"/>
  <c r="KZ194" i="63"/>
  <c r="DH194" i="63"/>
  <c r="HD194" i="63"/>
  <c r="PT194" i="63"/>
  <c r="NV194" i="63"/>
  <c r="JA194" i="63"/>
  <c r="LX194" i="63"/>
  <c r="MW194" i="63"/>
  <c r="K194" i="63"/>
  <c r="OU194" i="63"/>
  <c r="AJ194" i="63"/>
  <c r="IB194" i="63"/>
  <c r="BI194" i="63"/>
  <c r="JZ194" i="63"/>
  <c r="PU194" i="63"/>
  <c r="GD194" i="63"/>
  <c r="CH194" i="63"/>
  <c r="FE194" i="63"/>
  <c r="HC194" i="63"/>
  <c r="DG194" i="63"/>
  <c r="KY194" i="63"/>
  <c r="EF194" i="63"/>
  <c r="IZ194" i="63"/>
  <c r="BH194" i="63"/>
  <c r="LW194" i="63"/>
  <c r="GC194" i="63"/>
  <c r="KX194" i="63"/>
  <c r="CG194" i="63"/>
  <c r="DF194" i="63"/>
  <c r="HB194" i="63"/>
  <c r="MV194" i="63"/>
  <c r="IA194" i="63"/>
  <c r="PS194" i="63"/>
  <c r="J194" i="63"/>
  <c r="FD194" i="63"/>
  <c r="AI194" i="63"/>
  <c r="EE194" i="63"/>
  <c r="OT194" i="63"/>
  <c r="JY194" i="63"/>
  <c r="NU194" i="63"/>
  <c r="BG194" i="63"/>
  <c r="GB194" i="63"/>
  <c r="AH194" i="63"/>
  <c r="DE194" i="63"/>
  <c r="OS194" i="63"/>
  <c r="HZ194" i="63"/>
  <c r="KW194" i="63"/>
  <c r="FC194" i="63"/>
  <c r="ED194" i="63"/>
  <c r="PR194" i="63"/>
  <c r="CF194" i="63"/>
  <c r="IY194" i="63"/>
  <c r="NT194" i="63"/>
  <c r="JX194" i="63"/>
  <c r="LV194" i="63"/>
  <c r="HA194" i="63"/>
  <c r="MU194" i="63"/>
  <c r="HY194" i="63"/>
  <c r="LU194" i="63"/>
  <c r="PQ194" i="63"/>
  <c r="MT194" i="63"/>
  <c r="OR194" i="63"/>
  <c r="GA194" i="63"/>
  <c r="IX194" i="63"/>
  <c r="BF194" i="63"/>
  <c r="CE194" i="63"/>
  <c r="NS194" i="63"/>
  <c r="EC194" i="63"/>
  <c r="KV194" i="63"/>
  <c r="GZ194" i="63"/>
  <c r="JW194" i="63"/>
  <c r="FB194" i="63"/>
  <c r="DD194" i="63"/>
  <c r="OQ194" i="63"/>
  <c r="KU194" i="63"/>
  <c r="EB194" i="63"/>
  <c r="FA194" i="63"/>
  <c r="DC194" i="63"/>
  <c r="IW194" i="63"/>
  <c r="LT194" i="63"/>
  <c r="FZ194" i="63"/>
  <c r="NR194" i="63"/>
  <c r="JV194" i="63"/>
  <c r="CD194" i="63"/>
  <c r="HX194" i="63"/>
  <c r="PP194" i="63"/>
  <c r="MS194" i="63"/>
  <c r="GY194" i="63"/>
  <c r="HW194" i="63"/>
  <c r="EA194" i="63"/>
  <c r="EZ194" i="63"/>
  <c r="KT194" i="63"/>
  <c r="NQ194" i="63"/>
  <c r="FY194" i="63"/>
  <c r="DB194" i="63"/>
  <c r="PO194" i="63"/>
  <c r="JU194" i="63"/>
  <c r="GX194" i="63"/>
  <c r="OP194" i="63"/>
  <c r="MR194" i="63"/>
  <c r="IV194" i="63"/>
  <c r="LS194" i="63"/>
  <c r="HV194" i="63"/>
  <c r="NP194" i="63"/>
  <c r="KS194" i="63"/>
  <c r="DZ194" i="63"/>
  <c r="EY194" i="63"/>
  <c r="JT194" i="63"/>
  <c r="MQ194" i="63"/>
  <c r="IU194" i="63"/>
  <c r="OO194" i="63"/>
  <c r="PN194" i="63"/>
  <c r="GW194" i="63"/>
  <c r="FX194" i="63"/>
  <c r="LR194" i="63"/>
  <c r="LQ194" i="63"/>
  <c r="NO194" i="63"/>
  <c r="IT194" i="63"/>
  <c r="MP194" i="63"/>
  <c r="HU194" i="63"/>
  <c r="ON194" i="63"/>
  <c r="KR194" i="63"/>
  <c r="EX194" i="63"/>
  <c r="FW194" i="63"/>
  <c r="PM194" i="63"/>
  <c r="GV194" i="63"/>
  <c r="JS194" i="63"/>
  <c r="IS194" i="63"/>
  <c r="OM194" i="63"/>
  <c r="MO194" i="63"/>
  <c r="GU194" i="63"/>
  <c r="LP194" i="63"/>
  <c r="PL194" i="63"/>
  <c r="HT194" i="63"/>
  <c r="KQ194" i="63"/>
  <c r="JR194" i="63"/>
  <c r="FV194" i="63"/>
  <c r="NN194" i="63"/>
  <c r="KP194" i="63"/>
  <c r="NM194" i="63"/>
  <c r="LO194" i="63"/>
  <c r="JQ194" i="63"/>
  <c r="HS194" i="63"/>
  <c r="GT194" i="63"/>
  <c r="OL194" i="63"/>
  <c r="PK194" i="63"/>
  <c r="IR194" i="63"/>
  <c r="MN194" i="63"/>
  <c r="MM194" i="63"/>
  <c r="HR194" i="63"/>
  <c r="IQ194" i="63"/>
  <c r="JP194" i="63"/>
  <c r="KO194" i="63"/>
  <c r="NL194" i="63"/>
  <c r="PJ194" i="63"/>
  <c r="OK194" i="63"/>
  <c r="LN194" i="63"/>
  <c r="PI194" i="63"/>
  <c r="NK194" i="63"/>
  <c r="KN194" i="63"/>
  <c r="LM194" i="63"/>
  <c r="ML194" i="63"/>
  <c r="OJ194" i="63"/>
  <c r="IP194" i="63"/>
  <c r="JO194" i="63"/>
  <c r="LL194" i="63"/>
  <c r="NJ194" i="63"/>
  <c r="JN194" i="63"/>
  <c r="OI194" i="63"/>
  <c r="KM194" i="63"/>
  <c r="PH194" i="63"/>
  <c r="MK194" i="63"/>
  <c r="MJ194" i="63"/>
  <c r="PG194" i="63"/>
  <c r="KL194" i="63"/>
  <c r="NI194" i="63"/>
  <c r="OH194" i="63"/>
  <c r="LK194" i="63"/>
  <c r="PF194" i="63"/>
  <c r="NH194" i="63"/>
  <c r="MI194" i="63"/>
  <c r="OG194" i="63"/>
  <c r="LJ194" i="63"/>
  <c r="MH194" i="63"/>
  <c r="PE194" i="63"/>
  <c r="OF194" i="63"/>
  <c r="NG194" i="63"/>
  <c r="PD194" i="63"/>
  <c r="OE194" i="63"/>
  <c r="NF194" i="63"/>
  <c r="PC194" i="63"/>
  <c r="OD194" i="63"/>
  <c r="PB194" i="63"/>
  <c r="AD131" i="63"/>
  <c r="AC131" i="63"/>
  <c r="BB131" i="63"/>
  <c r="AB131" i="63"/>
  <c r="BZ131" i="63"/>
  <c r="AZ131" i="63"/>
  <c r="AA131" i="63"/>
  <c r="BA131" i="63"/>
  <c r="BX131" i="63"/>
  <c r="Z131" i="63"/>
  <c r="BY131" i="63"/>
  <c r="AY131" i="63"/>
  <c r="CX131" i="63"/>
  <c r="AX131" i="63"/>
  <c r="Y131" i="63"/>
  <c r="DV131" i="63"/>
  <c r="BW131" i="63"/>
  <c r="CW131" i="63"/>
  <c r="CV131" i="63"/>
  <c r="DT131" i="63"/>
  <c r="AW131" i="63"/>
  <c r="ET131" i="63"/>
  <c r="DU131" i="63"/>
  <c r="CU131" i="63"/>
  <c r="BV131" i="63"/>
  <c r="X131" i="63"/>
  <c r="ER131" i="63"/>
  <c r="DS131" i="63"/>
  <c r="FR131" i="63"/>
  <c r="ES131" i="63"/>
  <c r="W131" i="63"/>
  <c r="CT131" i="63"/>
  <c r="BU131" i="63"/>
  <c r="AV131" i="63"/>
  <c r="EQ131" i="63"/>
  <c r="AU131" i="63"/>
  <c r="V131" i="63"/>
  <c r="BT131" i="63"/>
  <c r="FQ131" i="63"/>
  <c r="DR131" i="63"/>
  <c r="FP131" i="63"/>
  <c r="GP131" i="63"/>
  <c r="CS131" i="63"/>
  <c r="HN131" i="63"/>
  <c r="GO131" i="63"/>
  <c r="U131" i="63"/>
  <c r="EP131" i="63"/>
  <c r="GN131" i="63"/>
  <c r="DQ131" i="63"/>
  <c r="AT131" i="63"/>
  <c r="CR131" i="63"/>
  <c r="FO131" i="63"/>
  <c r="BS131" i="63"/>
  <c r="BR131" i="63"/>
  <c r="AS131" i="63"/>
  <c r="GM131" i="63"/>
  <c r="CQ131" i="63"/>
  <c r="HL131" i="63"/>
  <c r="HM131" i="63"/>
  <c r="FN131" i="63"/>
  <c r="EO131" i="63"/>
  <c r="T131" i="63"/>
  <c r="DP131" i="63"/>
  <c r="IL131" i="63"/>
  <c r="FM131" i="63"/>
  <c r="GL131" i="63"/>
  <c r="HK131" i="63"/>
  <c r="AR131" i="63"/>
  <c r="IK131" i="63"/>
  <c r="BQ131" i="63"/>
  <c r="DO131" i="63"/>
  <c r="JJ131" i="63"/>
  <c r="IJ131" i="63"/>
  <c r="CP131" i="63"/>
  <c r="EN131" i="63"/>
  <c r="S131" i="63"/>
  <c r="EM131" i="63"/>
  <c r="JH131" i="63"/>
  <c r="KH131" i="63"/>
  <c r="DN131" i="63"/>
  <c r="FL131" i="63"/>
  <c r="R131" i="63"/>
  <c r="HJ131" i="63"/>
  <c r="JI131" i="63"/>
  <c r="AQ131" i="63"/>
  <c r="GK131" i="63"/>
  <c r="II131" i="63"/>
  <c r="CO131" i="63"/>
  <c r="BP131" i="63"/>
  <c r="EL131" i="63"/>
  <c r="DM131" i="63"/>
  <c r="GJ131" i="63"/>
  <c r="JG131" i="63"/>
  <c r="FK131" i="63"/>
  <c r="LF131" i="63"/>
  <c r="CN131" i="63"/>
  <c r="BO131" i="63"/>
  <c r="KF131" i="63"/>
  <c r="Q131" i="63"/>
  <c r="KG131" i="63"/>
  <c r="HI131" i="63"/>
  <c r="AP131" i="63"/>
  <c r="IH131" i="63"/>
  <c r="BN131" i="63"/>
  <c r="LE131" i="63"/>
  <c r="P131" i="63"/>
  <c r="IG131" i="63"/>
  <c r="JF131" i="63"/>
  <c r="FJ131" i="63"/>
  <c r="CM131" i="63"/>
  <c r="DL131" i="63"/>
  <c r="AO131" i="63"/>
  <c r="EK131" i="63"/>
  <c r="GI131" i="63"/>
  <c r="MD131" i="63"/>
  <c r="KE131" i="63"/>
  <c r="LD131" i="63"/>
  <c r="HH131" i="63"/>
  <c r="LC131" i="63"/>
  <c r="MC131" i="63"/>
  <c r="MB131" i="63"/>
  <c r="IF131" i="63"/>
  <c r="EJ131" i="63"/>
  <c r="NB131" i="63"/>
  <c r="BM131" i="63"/>
  <c r="AN131" i="63"/>
  <c r="HG131" i="63"/>
  <c r="JE131" i="63"/>
  <c r="KD131" i="63"/>
  <c r="DK131" i="63"/>
  <c r="GH131" i="63"/>
  <c r="FI131" i="63"/>
  <c r="CL131" i="63"/>
  <c r="O131" i="63"/>
  <c r="CK131" i="63"/>
  <c r="EI131" i="63"/>
  <c r="MA131" i="63"/>
  <c r="MZ131" i="63"/>
  <c r="JD131" i="63"/>
  <c r="LB131" i="63"/>
  <c r="BL131" i="63"/>
  <c r="IE131" i="63"/>
  <c r="AM131" i="63"/>
  <c r="HF131" i="63"/>
  <c r="FH131" i="63"/>
  <c r="NA131" i="63"/>
  <c r="N131" i="63"/>
  <c r="DJ131" i="63"/>
  <c r="GG131" i="63"/>
  <c r="KC131" i="63"/>
  <c r="NZ131" i="63"/>
  <c r="EH131" i="63"/>
  <c r="DI131" i="63"/>
  <c r="JC131" i="63"/>
  <c r="MY131" i="63"/>
  <c r="M131" i="63"/>
  <c r="HE131" i="63"/>
  <c r="AL131" i="63"/>
  <c r="GF131" i="63"/>
  <c r="NY131" i="63"/>
  <c r="OX131" i="63"/>
  <c r="LZ131" i="63"/>
  <c r="ID131" i="63"/>
  <c r="CJ131" i="63"/>
  <c r="NX131" i="63"/>
  <c r="FG131" i="63"/>
  <c r="BK131" i="63"/>
  <c r="LA131" i="63"/>
  <c r="KB131" i="63"/>
  <c r="GE131" i="63"/>
  <c r="LY131" i="63"/>
  <c r="OW131" i="63"/>
  <c r="JB131" i="63"/>
  <c r="MX131" i="63"/>
  <c r="L131" i="63"/>
  <c r="FF131" i="63"/>
  <c r="BJ131" i="63"/>
  <c r="OV131" i="63"/>
  <c r="DH131" i="63"/>
  <c r="CI131" i="63"/>
  <c r="AK131" i="63"/>
  <c r="IC131" i="63"/>
  <c r="PV131" i="63"/>
  <c r="KA131" i="63"/>
  <c r="EG131" i="63"/>
  <c r="KZ131" i="63"/>
  <c r="NW131" i="63"/>
  <c r="HD131" i="63"/>
  <c r="FE131" i="63"/>
  <c r="IB131" i="63"/>
  <c r="AJ131" i="63"/>
  <c r="OU131" i="63"/>
  <c r="JZ131" i="63"/>
  <c r="HC131" i="63"/>
  <c r="KY131" i="63"/>
  <c r="NV131" i="63"/>
  <c r="CH131" i="63"/>
  <c r="K131" i="63"/>
  <c r="LX131" i="63"/>
  <c r="GD131" i="63"/>
  <c r="PT131" i="63"/>
  <c r="JA131" i="63"/>
  <c r="PU131" i="63"/>
  <c r="EF131" i="63"/>
  <c r="MW131" i="63"/>
  <c r="BI131" i="63"/>
  <c r="DG131" i="63"/>
  <c r="OT131" i="63"/>
  <c r="AI131" i="63"/>
  <c r="CG131" i="63"/>
  <c r="LW131" i="63"/>
  <c r="DF131" i="63"/>
  <c r="EE131" i="63"/>
  <c r="KX131" i="63"/>
  <c r="MV131" i="63"/>
  <c r="JY131" i="63"/>
  <c r="IZ131" i="63"/>
  <c r="FD131" i="63"/>
  <c r="PS131" i="63"/>
  <c r="J131" i="63"/>
  <c r="IA131" i="63"/>
  <c r="HB131" i="63"/>
  <c r="BH131" i="63"/>
  <c r="NU131" i="63"/>
  <c r="GC131" i="63"/>
  <c r="FC131" i="63"/>
  <c r="OS131" i="63"/>
  <c r="DE131" i="63"/>
  <c r="ED131" i="63"/>
  <c r="MU131" i="63"/>
  <c r="BG131" i="63"/>
  <c r="IY131" i="63"/>
  <c r="HZ131" i="63"/>
  <c r="HA131" i="63"/>
  <c r="NT131" i="63"/>
  <c r="LV131" i="63"/>
  <c r="PR131" i="63"/>
  <c r="AH131" i="63"/>
  <c r="GB131" i="63"/>
  <c r="KW131" i="63"/>
  <c r="JX131" i="63"/>
  <c r="CF131" i="63"/>
  <c r="CE131" i="63"/>
  <c r="DD131" i="63"/>
  <c r="IX131" i="63"/>
  <c r="JW131" i="63"/>
  <c r="HY131" i="63"/>
  <c r="MT131" i="63"/>
  <c r="PQ131" i="63"/>
  <c r="GA131" i="63"/>
  <c r="GZ131" i="63"/>
  <c r="BF131" i="63"/>
  <c r="OR131" i="63"/>
  <c r="FB131" i="63"/>
  <c r="KV131" i="63"/>
  <c r="LU131" i="63"/>
  <c r="NS131" i="63"/>
  <c r="EC131" i="63"/>
  <c r="IW131" i="63"/>
  <c r="MS131" i="63"/>
  <c r="GY131" i="63"/>
  <c r="OQ131" i="63"/>
  <c r="LT131" i="63"/>
  <c r="FZ131" i="63"/>
  <c r="NR131" i="63"/>
  <c r="PP131" i="63"/>
  <c r="DC131" i="63"/>
  <c r="EB131" i="63"/>
  <c r="KU131" i="63"/>
  <c r="JV131" i="63"/>
  <c r="FA131" i="63"/>
  <c r="HX131" i="63"/>
  <c r="CD131" i="63"/>
  <c r="GX131" i="63"/>
  <c r="JU131" i="63"/>
  <c r="PO131" i="63"/>
  <c r="MR131" i="63"/>
  <c r="FY131" i="63"/>
  <c r="NQ131" i="63"/>
  <c r="IV131" i="63"/>
  <c r="EA131" i="63"/>
  <c r="HW131" i="63"/>
  <c r="KT131" i="63"/>
  <c r="LS131" i="63"/>
  <c r="EZ131" i="63"/>
  <c r="DB131" i="63"/>
  <c r="OP131" i="63"/>
  <c r="EY131" i="63"/>
  <c r="LR131" i="63"/>
  <c r="DZ131" i="63"/>
  <c r="NP131" i="63"/>
  <c r="FX131" i="63"/>
  <c r="JT131" i="63"/>
  <c r="GW131" i="63"/>
  <c r="MQ131" i="63"/>
  <c r="HV131" i="63"/>
  <c r="KS131" i="63"/>
  <c r="IU131" i="63"/>
  <c r="OO131" i="63"/>
  <c r="PN131" i="63"/>
  <c r="GV131" i="63"/>
  <c r="PM131" i="63"/>
  <c r="FW131" i="63"/>
  <c r="IT131" i="63"/>
  <c r="MP131" i="63"/>
  <c r="EX131" i="63"/>
  <c r="KR131" i="63"/>
  <c r="HU131" i="63"/>
  <c r="NO131" i="63"/>
  <c r="LQ131" i="63"/>
  <c r="JS131" i="63"/>
  <c r="ON131" i="63"/>
  <c r="KQ131" i="63"/>
  <c r="NN131" i="63"/>
  <c r="GU131" i="63"/>
  <c r="LP131" i="63"/>
  <c r="HT131" i="63"/>
  <c r="OM131" i="63"/>
  <c r="PL131" i="63"/>
  <c r="IS131" i="63"/>
  <c r="JR131" i="63"/>
  <c r="MO131" i="63"/>
  <c r="FV131" i="63"/>
  <c r="LO131" i="63"/>
  <c r="MN131" i="63"/>
  <c r="GT131" i="63"/>
  <c r="PK131" i="63"/>
  <c r="NM131" i="63"/>
  <c r="OL131" i="63"/>
  <c r="HS131" i="63"/>
  <c r="KP131" i="63"/>
  <c r="IR131" i="63"/>
  <c r="JQ131" i="63"/>
  <c r="KO131" i="63"/>
  <c r="OK131" i="63"/>
  <c r="HR131" i="63"/>
  <c r="IQ131" i="63"/>
  <c r="JP131" i="63"/>
  <c r="NL131" i="63"/>
  <c r="LN131" i="63"/>
  <c r="PJ131" i="63"/>
  <c r="MM131" i="63"/>
  <c r="OJ131" i="63"/>
  <c r="IP131" i="63"/>
  <c r="KN131" i="63"/>
  <c r="ML131" i="63"/>
  <c r="PI131" i="63"/>
  <c r="LM131" i="63"/>
  <c r="NK131" i="63"/>
  <c r="JO131" i="63"/>
  <c r="LL131" i="63"/>
  <c r="JN131" i="63"/>
  <c r="OI131" i="63"/>
  <c r="NJ131" i="63"/>
  <c r="PH131" i="63"/>
  <c r="MK131" i="63"/>
  <c r="KM131" i="63"/>
  <c r="OH131" i="63"/>
  <c r="KL131" i="63"/>
  <c r="PG131" i="63"/>
  <c r="NI131" i="63"/>
  <c r="MJ131" i="63"/>
  <c r="LK131" i="63"/>
  <c r="PF131" i="63"/>
  <c r="NH131" i="63"/>
  <c r="OG131" i="63"/>
  <c r="LJ131" i="63"/>
  <c r="MI131" i="63"/>
  <c r="MH131" i="63"/>
  <c r="NG131" i="63"/>
  <c r="PE131" i="63"/>
  <c r="OF131" i="63"/>
  <c r="OE131" i="63"/>
  <c r="PD131" i="63"/>
  <c r="NF131" i="63"/>
  <c r="OD131" i="63"/>
  <c r="PC131" i="63"/>
  <c r="PB131" i="63"/>
  <c r="BR118" i="65" l="1"/>
  <c r="BS118" i="65"/>
  <c r="BS173" i="65"/>
  <c r="BR173" i="65"/>
  <c r="O174" i="65"/>
  <c r="BM173" i="65"/>
  <c r="BN173" i="65"/>
  <c r="BL173" i="65"/>
  <c r="BK173" i="65"/>
  <c r="BJ173" i="65"/>
  <c r="BI173" i="65"/>
  <c r="BH173" i="65"/>
  <c r="BG173" i="65"/>
  <c r="BF173" i="65"/>
  <c r="BE173" i="65"/>
  <c r="BD173" i="65"/>
  <c r="BC173" i="65"/>
  <c r="BB173" i="65"/>
  <c r="BA173" i="65"/>
  <c r="AZ173" i="65"/>
  <c r="AY173" i="65"/>
  <c r="AX173" i="65"/>
  <c r="AW173" i="65"/>
  <c r="AV173" i="65"/>
  <c r="AU173" i="65"/>
  <c r="AT173" i="65"/>
  <c r="AS173" i="65"/>
  <c r="AR173" i="65"/>
  <c r="AQ173" i="65"/>
  <c r="AP173" i="65"/>
  <c r="AO173" i="65"/>
  <c r="AN173" i="65"/>
  <c r="AM173" i="65"/>
  <c r="AL173" i="65"/>
  <c r="AK173" i="65"/>
  <c r="AJ173" i="65"/>
  <c r="AI173" i="65"/>
  <c r="AH173" i="65"/>
  <c r="AG173" i="65"/>
  <c r="AF173" i="65"/>
  <c r="AE173" i="65"/>
  <c r="AD173" i="65"/>
  <c r="AC173" i="65"/>
  <c r="AB173" i="65"/>
  <c r="AA173" i="65"/>
  <c r="Z173" i="65"/>
  <c r="Y173" i="65"/>
  <c r="X173" i="65"/>
  <c r="W173" i="65"/>
  <c r="V173" i="65"/>
  <c r="U173" i="65"/>
  <c r="T173" i="65"/>
  <c r="S173" i="65"/>
  <c r="R173" i="65"/>
  <c r="Q173" i="65"/>
  <c r="P173" i="65"/>
  <c r="O119" i="65"/>
  <c r="BM118" i="65"/>
  <c r="BN118" i="65"/>
  <c r="BL118" i="65"/>
  <c r="BK118" i="65"/>
  <c r="BJ118" i="65"/>
  <c r="BI118" i="65"/>
  <c r="BH118" i="65"/>
  <c r="BG118" i="65"/>
  <c r="BF118" i="65"/>
  <c r="BE118" i="65"/>
  <c r="BD118" i="65"/>
  <c r="BC118" i="65"/>
  <c r="BB118" i="65"/>
  <c r="BA118" i="65"/>
  <c r="AZ118" i="65"/>
  <c r="AY118" i="65"/>
  <c r="AX118" i="65"/>
  <c r="AW118" i="65"/>
  <c r="AV118" i="65"/>
  <c r="AU118" i="65"/>
  <c r="AT118" i="65"/>
  <c r="AS118" i="65"/>
  <c r="AR118" i="65"/>
  <c r="AQ118" i="65"/>
  <c r="AP118" i="65"/>
  <c r="AO118" i="65"/>
  <c r="AN118" i="65"/>
  <c r="AM118" i="65"/>
  <c r="AL118" i="65"/>
  <c r="AK118" i="65"/>
  <c r="AJ118" i="65"/>
  <c r="AI118" i="65"/>
  <c r="AH118" i="65"/>
  <c r="AG118" i="65"/>
  <c r="AF118" i="65"/>
  <c r="AE118" i="65"/>
  <c r="AD118" i="65"/>
  <c r="AC118" i="65"/>
  <c r="AB118" i="65"/>
  <c r="AA118" i="65"/>
  <c r="Z118" i="65"/>
  <c r="Y118" i="65"/>
  <c r="X118" i="65"/>
  <c r="W118" i="65"/>
  <c r="V118" i="65"/>
  <c r="U118" i="65"/>
  <c r="T118" i="65"/>
  <c r="S118" i="65"/>
  <c r="R118" i="65"/>
  <c r="Q118" i="65"/>
  <c r="P118" i="65"/>
  <c r="BN187" i="39"/>
  <c r="BM187" i="39"/>
  <c r="BE187" i="39"/>
  <c r="BB187" i="39"/>
  <c r="BI187" i="39"/>
  <c r="AW187" i="39"/>
  <c r="AS187" i="39"/>
  <c r="BG187" i="39"/>
  <c r="AO187" i="39"/>
  <c r="AQ187" i="39"/>
  <c r="BL187" i="39"/>
  <c r="AX187" i="39"/>
  <c r="AT187" i="39"/>
  <c r="AZ187" i="39"/>
  <c r="BF187" i="39"/>
  <c r="AM187" i="39"/>
  <c r="AP187" i="39"/>
  <c r="AY187" i="39"/>
  <c r="BC187" i="39"/>
  <c r="AK187" i="39"/>
  <c r="BJ187" i="39"/>
  <c r="BH187" i="39"/>
  <c r="AL187" i="39"/>
  <c r="AN187" i="39"/>
  <c r="BK187" i="39"/>
  <c r="AU187" i="39"/>
  <c r="BA187" i="39"/>
  <c r="AV187" i="39"/>
  <c r="AR187" i="39"/>
  <c r="BD187" i="39"/>
  <c r="X187" i="39"/>
  <c r="AB187" i="39"/>
  <c r="W187" i="39"/>
  <c r="AJ187" i="39"/>
  <c r="AE187" i="39"/>
  <c r="AG187" i="39"/>
  <c r="AD187" i="39"/>
  <c r="Y187" i="39"/>
  <c r="AC187" i="39"/>
  <c r="AH187" i="39"/>
  <c r="Z187" i="39"/>
  <c r="AF187" i="39"/>
  <c r="AI187" i="39"/>
  <c r="AA187" i="39"/>
  <c r="V187" i="39"/>
  <c r="U187" i="39"/>
  <c r="T187" i="39"/>
  <c r="S187" i="39"/>
  <c r="R187" i="39"/>
  <c r="Q187" i="39"/>
  <c r="P187" i="39"/>
  <c r="O188" i="39"/>
  <c r="O132" i="39"/>
  <c r="O133" i="39" s="1"/>
  <c r="BN131" i="39"/>
  <c r="AQ131" i="39"/>
  <c r="BD131" i="39"/>
  <c r="AS131" i="39"/>
  <c r="AX131" i="39"/>
  <c r="AW131" i="39"/>
  <c r="BM131" i="39"/>
  <c r="BL131" i="39"/>
  <c r="BE131" i="39"/>
  <c r="AY131" i="39"/>
  <c r="BC131" i="39"/>
  <c r="AV131" i="39"/>
  <c r="AR131" i="39"/>
  <c r="AN131" i="39"/>
  <c r="AO131" i="39"/>
  <c r="BA131" i="39"/>
  <c r="BI131" i="39"/>
  <c r="AT131" i="39"/>
  <c r="BJ131" i="39"/>
  <c r="BG131" i="39"/>
  <c r="BK131" i="39"/>
  <c r="AP131" i="39"/>
  <c r="BH131" i="39"/>
  <c r="AZ131" i="39"/>
  <c r="AU131" i="39"/>
  <c r="BF131" i="39"/>
  <c r="AM131" i="39"/>
  <c r="BB131" i="39"/>
  <c r="AL131" i="39"/>
  <c r="AH131" i="39"/>
  <c r="AI131" i="39"/>
  <c r="AB131" i="39"/>
  <c r="AE131" i="39"/>
  <c r="X131" i="39"/>
  <c r="AC131" i="39"/>
  <c r="Z131" i="39"/>
  <c r="Y131" i="39"/>
  <c r="AF131" i="39"/>
  <c r="AD131" i="39"/>
  <c r="AG131" i="39"/>
  <c r="AA131" i="39"/>
  <c r="W131" i="39"/>
  <c r="V131" i="39"/>
  <c r="U131" i="39"/>
  <c r="T131" i="39"/>
  <c r="S131" i="39"/>
  <c r="R131" i="39"/>
  <c r="Q131" i="39"/>
  <c r="P131" i="39"/>
  <c r="CD238" i="63" a="1"/>
  <c r="BF238" i="63" a="1"/>
  <c r="AH238" i="63" a="1"/>
  <c r="EX238" i="63" a="1"/>
  <c r="FV238" i="63" a="1"/>
  <c r="DZ238" i="63" a="1"/>
  <c r="AD195" i="63"/>
  <c r="AC195" i="63"/>
  <c r="AB195" i="63"/>
  <c r="BB195" i="63"/>
  <c r="AA195" i="63"/>
  <c r="BA195" i="63"/>
  <c r="BZ195" i="63"/>
  <c r="AZ195" i="63"/>
  <c r="BX195" i="63"/>
  <c r="BY195" i="63"/>
  <c r="AY195" i="63"/>
  <c r="Z195" i="63"/>
  <c r="CX195" i="63"/>
  <c r="CW195" i="63"/>
  <c r="AX195" i="63"/>
  <c r="DV195" i="63"/>
  <c r="Y195" i="63"/>
  <c r="CV195" i="63"/>
  <c r="BW195" i="63"/>
  <c r="BV195" i="63"/>
  <c r="DU195" i="63"/>
  <c r="ET195" i="63"/>
  <c r="CU195" i="63"/>
  <c r="AW195" i="63"/>
  <c r="X195" i="63"/>
  <c r="DT195" i="63"/>
  <c r="ER195" i="63"/>
  <c r="ES195" i="63"/>
  <c r="AV195" i="63"/>
  <c r="BU195" i="63"/>
  <c r="CT195" i="63"/>
  <c r="DS195" i="63"/>
  <c r="FR195" i="63"/>
  <c r="W195" i="63"/>
  <c r="BT195" i="63"/>
  <c r="EQ195" i="63"/>
  <c r="FQ195" i="63"/>
  <c r="V195" i="63"/>
  <c r="AU195" i="63"/>
  <c r="GP195" i="63"/>
  <c r="DR195" i="63"/>
  <c r="FP195" i="63"/>
  <c r="CS195" i="63"/>
  <c r="EP195" i="63"/>
  <c r="HN195" i="63"/>
  <c r="CR195" i="63"/>
  <c r="U195" i="63"/>
  <c r="AT195" i="63"/>
  <c r="FO195" i="63"/>
  <c r="GN195" i="63"/>
  <c r="BS195" i="63"/>
  <c r="GO195" i="63"/>
  <c r="DQ195" i="63"/>
  <c r="T195" i="63"/>
  <c r="EO195" i="63"/>
  <c r="AS195" i="63"/>
  <c r="BR195" i="63"/>
  <c r="CQ195" i="63"/>
  <c r="HM195" i="63"/>
  <c r="DP195" i="63"/>
  <c r="HL195" i="63"/>
  <c r="IL195" i="63"/>
  <c r="FN195" i="63"/>
  <c r="GM195" i="63"/>
  <c r="IK195" i="63"/>
  <c r="GL195" i="63"/>
  <c r="CP195" i="63"/>
  <c r="BQ195" i="63"/>
  <c r="IJ195" i="63"/>
  <c r="EN195" i="63"/>
  <c r="JJ195" i="63"/>
  <c r="DO195" i="63"/>
  <c r="S195" i="63"/>
  <c r="AR195" i="63"/>
  <c r="FM195" i="63"/>
  <c r="HK195" i="63"/>
  <c r="JH195" i="63"/>
  <c r="KH195" i="63"/>
  <c r="HJ195" i="63"/>
  <c r="EM195" i="63"/>
  <c r="II195" i="63"/>
  <c r="JI195" i="63"/>
  <c r="GK195" i="63"/>
  <c r="CO195" i="63"/>
  <c r="BP195" i="63"/>
  <c r="R195" i="63"/>
  <c r="DN195" i="63"/>
  <c r="FL195" i="63"/>
  <c r="AQ195" i="63"/>
  <c r="AP195" i="63"/>
  <c r="CN195" i="63"/>
  <c r="HI195" i="63"/>
  <c r="EL195" i="63"/>
  <c r="LF195" i="63"/>
  <c r="KG195" i="63"/>
  <c r="DM195" i="63"/>
  <c r="IH195" i="63"/>
  <c r="Q195" i="63"/>
  <c r="GJ195" i="63"/>
  <c r="JG195" i="63"/>
  <c r="BO195" i="63"/>
  <c r="KF195" i="63"/>
  <c r="FK195" i="63"/>
  <c r="BN195" i="63"/>
  <c r="GI195" i="63"/>
  <c r="FJ195" i="63"/>
  <c r="HH195" i="63"/>
  <c r="EK195" i="63"/>
  <c r="LE195" i="63"/>
  <c r="MD195" i="63"/>
  <c r="CM195" i="63"/>
  <c r="DL195" i="63"/>
  <c r="LD195" i="63"/>
  <c r="P195" i="63"/>
  <c r="IG195" i="63"/>
  <c r="AO195" i="63"/>
  <c r="KE195" i="63"/>
  <c r="JF195" i="63"/>
  <c r="GH195" i="63"/>
  <c r="DK195" i="63"/>
  <c r="IF195" i="63"/>
  <c r="MB195" i="63"/>
  <c r="FI195" i="63"/>
  <c r="CL195" i="63"/>
  <c r="AN195" i="63"/>
  <c r="EJ195" i="63"/>
  <c r="NB195" i="63"/>
  <c r="LC195" i="63"/>
  <c r="KD195" i="63"/>
  <c r="O195" i="63"/>
  <c r="JE195" i="63"/>
  <c r="BM195" i="63"/>
  <c r="HG195" i="63"/>
  <c r="MC195" i="63"/>
  <c r="GG195" i="63"/>
  <c r="EI195" i="63"/>
  <c r="JD195" i="63"/>
  <c r="HF195" i="63"/>
  <c r="LB195" i="63"/>
  <c r="CK195" i="63"/>
  <c r="FH195" i="63"/>
  <c r="KC195" i="63"/>
  <c r="IE195" i="63"/>
  <c r="DJ195" i="63"/>
  <c r="N195" i="63"/>
  <c r="AM195" i="63"/>
  <c r="MZ195" i="63"/>
  <c r="MA195" i="63"/>
  <c r="NZ195" i="63"/>
  <c r="BL195" i="63"/>
  <c r="NA195" i="63"/>
  <c r="LZ195" i="63"/>
  <c r="LA195" i="63"/>
  <c r="GF195" i="63"/>
  <c r="JC195" i="63"/>
  <c r="M195" i="63"/>
  <c r="NY195" i="63"/>
  <c r="KB195" i="63"/>
  <c r="BK195" i="63"/>
  <c r="NX195" i="63"/>
  <c r="EH195" i="63"/>
  <c r="CJ195" i="63"/>
  <c r="OX195" i="63"/>
  <c r="DI195" i="63"/>
  <c r="ID195" i="63"/>
  <c r="AL195" i="63"/>
  <c r="FG195" i="63"/>
  <c r="MY195" i="63"/>
  <c r="HE195" i="63"/>
  <c r="OV195" i="63"/>
  <c r="KZ195" i="63"/>
  <c r="DH195" i="63"/>
  <c r="LY195" i="63"/>
  <c r="IC195" i="63"/>
  <c r="GE195" i="63"/>
  <c r="FF195" i="63"/>
  <c r="PV195" i="63"/>
  <c r="JB195" i="63"/>
  <c r="CI195" i="63"/>
  <c r="EG195" i="63"/>
  <c r="HD195" i="63"/>
  <c r="NW195" i="63"/>
  <c r="AK195" i="63"/>
  <c r="KA195" i="63"/>
  <c r="BJ195" i="63"/>
  <c r="L195" i="63"/>
  <c r="MX195" i="63"/>
  <c r="OW195" i="63"/>
  <c r="NV195" i="63"/>
  <c r="OU195" i="63"/>
  <c r="IB195" i="63"/>
  <c r="JA195" i="63"/>
  <c r="LX195" i="63"/>
  <c r="BI195" i="63"/>
  <c r="PT195" i="63"/>
  <c r="PU195" i="63"/>
  <c r="GD195" i="63"/>
  <c r="MW195" i="63"/>
  <c r="JZ195" i="63"/>
  <c r="HC195" i="63"/>
  <c r="CH195" i="63"/>
  <c r="K195" i="63"/>
  <c r="AJ195" i="63"/>
  <c r="EF195" i="63"/>
  <c r="FE195" i="63"/>
  <c r="KY195" i="63"/>
  <c r="DG195" i="63"/>
  <c r="AI195" i="63"/>
  <c r="PS195" i="63"/>
  <c r="MV195" i="63"/>
  <c r="LW195" i="63"/>
  <c r="EE195" i="63"/>
  <c r="IA195" i="63"/>
  <c r="CG195" i="63"/>
  <c r="FD195" i="63"/>
  <c r="JY195" i="63"/>
  <c r="NU195" i="63"/>
  <c r="GC195" i="63"/>
  <c r="OT195" i="63"/>
  <c r="KX195" i="63"/>
  <c r="IZ195" i="63"/>
  <c r="DF195" i="63"/>
  <c r="BH195" i="63"/>
  <c r="HB195" i="63"/>
  <c r="J195" i="63"/>
  <c r="HZ195" i="63"/>
  <c r="ED195" i="63"/>
  <c r="DE195" i="63"/>
  <c r="PR195" i="63"/>
  <c r="HA195" i="63"/>
  <c r="OS195" i="63"/>
  <c r="JX195" i="63"/>
  <c r="CF195" i="63"/>
  <c r="GB195" i="63"/>
  <c r="FC195" i="63"/>
  <c r="LV195" i="63"/>
  <c r="BG195" i="63"/>
  <c r="KW195" i="63"/>
  <c r="NT195" i="63"/>
  <c r="AH195" i="63"/>
  <c r="IY195" i="63"/>
  <c r="MU195" i="63"/>
  <c r="EC195" i="63"/>
  <c r="MT195" i="63"/>
  <c r="FB195" i="63"/>
  <c r="BF195" i="63"/>
  <c r="CE195" i="63"/>
  <c r="PQ195" i="63"/>
  <c r="KV195" i="63"/>
  <c r="DD195" i="63"/>
  <c r="GZ195" i="63"/>
  <c r="HY195" i="63"/>
  <c r="LU195" i="63"/>
  <c r="NS195" i="63"/>
  <c r="JW195" i="63"/>
  <c r="OR195" i="63"/>
  <c r="GA195" i="63"/>
  <c r="IX195" i="63"/>
  <c r="DC195" i="63"/>
  <c r="NR195" i="63"/>
  <c r="HX195" i="63"/>
  <c r="MS195" i="63"/>
  <c r="PP195" i="63"/>
  <c r="GY195" i="63"/>
  <c r="OQ195" i="63"/>
  <c r="LT195" i="63"/>
  <c r="EB195" i="63"/>
  <c r="JV195" i="63"/>
  <c r="IW195" i="63"/>
  <c r="CD195" i="63"/>
  <c r="FZ195" i="63"/>
  <c r="FA195" i="63"/>
  <c r="KU195" i="63"/>
  <c r="HW195" i="63"/>
  <c r="IV195" i="63"/>
  <c r="EA195" i="63"/>
  <c r="GX195" i="63"/>
  <c r="PO195" i="63"/>
  <c r="KT195" i="63"/>
  <c r="JU195" i="63"/>
  <c r="NQ195" i="63"/>
  <c r="FY195" i="63"/>
  <c r="MR195" i="63"/>
  <c r="DB195" i="63"/>
  <c r="LS195" i="63"/>
  <c r="OP195" i="63"/>
  <c r="EZ195" i="63"/>
  <c r="DZ195" i="63"/>
  <c r="IU195" i="63"/>
  <c r="KS195" i="63"/>
  <c r="FX195" i="63"/>
  <c r="LR195" i="63"/>
  <c r="OO195" i="63"/>
  <c r="PN195" i="63"/>
  <c r="GW195" i="63"/>
  <c r="EY195" i="63"/>
  <c r="NP195" i="63"/>
  <c r="MQ195" i="63"/>
  <c r="HV195" i="63"/>
  <c r="JT195" i="63"/>
  <c r="EX195" i="63"/>
  <c r="LQ195" i="63"/>
  <c r="JS195" i="63"/>
  <c r="PM195" i="63"/>
  <c r="KR195" i="63"/>
  <c r="MP195" i="63"/>
  <c r="IT195" i="63"/>
  <c r="GV195" i="63"/>
  <c r="FW195" i="63"/>
  <c r="HU195" i="63"/>
  <c r="ON195" i="63"/>
  <c r="NO195" i="63"/>
  <c r="LP195" i="63"/>
  <c r="HT195" i="63"/>
  <c r="NN195" i="63"/>
  <c r="KQ195" i="63"/>
  <c r="MO195" i="63"/>
  <c r="IS195" i="63"/>
  <c r="OM195" i="63"/>
  <c r="JR195" i="63"/>
  <c r="FV195" i="63"/>
  <c r="GU195" i="63"/>
  <c r="PL195" i="63"/>
  <c r="JQ195" i="63"/>
  <c r="JN238" i="63" s="1" a="1"/>
  <c r="IR195" i="63"/>
  <c r="HS195" i="63"/>
  <c r="MN195" i="63"/>
  <c r="NM195" i="63"/>
  <c r="LO195" i="63"/>
  <c r="GT195" i="63"/>
  <c r="GT238" i="63" s="1" a="1"/>
  <c r="OL195" i="63"/>
  <c r="KP195" i="63"/>
  <c r="PK195" i="63"/>
  <c r="MM195" i="63"/>
  <c r="JP195" i="63"/>
  <c r="KO195" i="63"/>
  <c r="PJ195" i="63"/>
  <c r="IQ195" i="63"/>
  <c r="OK195" i="63"/>
  <c r="LN195" i="63"/>
  <c r="HR195" i="63"/>
  <c r="NL195" i="63"/>
  <c r="LM195" i="63"/>
  <c r="KN195" i="63"/>
  <c r="ML195" i="63"/>
  <c r="IP195" i="63"/>
  <c r="JO195" i="63"/>
  <c r="OJ195" i="63"/>
  <c r="PI195" i="63"/>
  <c r="NK195" i="63"/>
  <c r="KM195" i="63"/>
  <c r="OI195" i="63"/>
  <c r="LL195" i="63"/>
  <c r="JN195" i="63"/>
  <c r="PH195" i="63"/>
  <c r="NJ195" i="63"/>
  <c r="MK195" i="63"/>
  <c r="MJ195" i="63"/>
  <c r="LK195" i="63"/>
  <c r="NI195" i="63"/>
  <c r="KL195" i="63"/>
  <c r="PG195" i="63"/>
  <c r="OH195" i="63"/>
  <c r="PF195" i="63"/>
  <c r="NH195" i="63"/>
  <c r="LJ195" i="63"/>
  <c r="LJ238" i="63" s="1" a="1"/>
  <c r="OG195" i="63"/>
  <c r="MI195" i="63"/>
  <c r="PE195" i="63"/>
  <c r="OF195" i="63"/>
  <c r="MH195" i="63"/>
  <c r="NG195" i="63"/>
  <c r="NF195" i="63"/>
  <c r="PD195" i="63"/>
  <c r="OE195" i="63"/>
  <c r="OD195" i="63"/>
  <c r="PC195" i="63"/>
  <c r="PB195" i="63"/>
  <c r="BR174" i="65" l="1"/>
  <c r="BS174" i="65"/>
  <c r="BR119" i="65"/>
  <c r="BS119" i="65"/>
  <c r="O120" i="65"/>
  <c r="BM119" i="65"/>
  <c r="BN119" i="65"/>
  <c r="BL119" i="65"/>
  <c r="BK119" i="65"/>
  <c r="BJ119" i="65"/>
  <c r="BI119" i="65"/>
  <c r="BH119" i="65"/>
  <c r="BG119" i="65"/>
  <c r="BF119" i="65"/>
  <c r="BE119" i="65"/>
  <c r="BD119" i="65"/>
  <c r="BC119" i="65"/>
  <c r="BB119" i="65"/>
  <c r="BA119" i="65"/>
  <c r="AZ119" i="65"/>
  <c r="AY119" i="65"/>
  <c r="AX119" i="65"/>
  <c r="AW119" i="65"/>
  <c r="AV119" i="65"/>
  <c r="AU119" i="65"/>
  <c r="AT119" i="65"/>
  <c r="AS119" i="65"/>
  <c r="AR119" i="65"/>
  <c r="AQ119" i="65"/>
  <c r="AP119" i="65"/>
  <c r="AO119" i="65"/>
  <c r="AN119" i="65"/>
  <c r="AM119" i="65"/>
  <c r="AL119" i="65"/>
  <c r="AK119" i="65"/>
  <c r="AJ119" i="65"/>
  <c r="AI119" i="65"/>
  <c r="AH119" i="65"/>
  <c r="AG119" i="65"/>
  <c r="AF119" i="65"/>
  <c r="AE119" i="65"/>
  <c r="AD119" i="65"/>
  <c r="AC119" i="65"/>
  <c r="AB119" i="65"/>
  <c r="AA119" i="65"/>
  <c r="Z119" i="65"/>
  <c r="Y119" i="65"/>
  <c r="X119" i="65"/>
  <c r="W119" i="65"/>
  <c r="V119" i="65"/>
  <c r="U119" i="65"/>
  <c r="T119" i="65"/>
  <c r="S119" i="65"/>
  <c r="R119" i="65"/>
  <c r="P119" i="65"/>
  <c r="Q119" i="65"/>
  <c r="O175" i="65"/>
  <c r="BM174" i="65"/>
  <c r="BN174" i="65"/>
  <c r="BL174" i="65"/>
  <c r="BK174" i="65"/>
  <c r="BJ174" i="65"/>
  <c r="BI174" i="65"/>
  <c r="BH174" i="65"/>
  <c r="BG174" i="65"/>
  <c r="BF174" i="65"/>
  <c r="BE174" i="65"/>
  <c r="BD174" i="65"/>
  <c r="BC174" i="65"/>
  <c r="BB174" i="65"/>
  <c r="BA174" i="65"/>
  <c r="AZ174" i="65"/>
  <c r="AY174" i="65"/>
  <c r="AX174" i="65"/>
  <c r="AW174" i="65"/>
  <c r="AV174" i="65"/>
  <c r="AU174" i="65"/>
  <c r="AT174" i="65"/>
  <c r="AS174" i="65"/>
  <c r="AR174" i="65"/>
  <c r="AQ174" i="65"/>
  <c r="AP174" i="65"/>
  <c r="AO174" i="65"/>
  <c r="AN174" i="65"/>
  <c r="AM174" i="65"/>
  <c r="AL174" i="65"/>
  <c r="AK174" i="65"/>
  <c r="AJ174" i="65"/>
  <c r="AI174" i="65"/>
  <c r="AH174" i="65"/>
  <c r="AG174" i="65"/>
  <c r="AF174" i="65"/>
  <c r="AE174" i="65"/>
  <c r="AD174" i="65"/>
  <c r="AC174" i="65"/>
  <c r="AB174" i="65"/>
  <c r="AA174" i="65"/>
  <c r="Z174" i="65"/>
  <c r="Y174" i="65"/>
  <c r="X174" i="65"/>
  <c r="W174" i="65"/>
  <c r="V174" i="65"/>
  <c r="U174" i="65"/>
  <c r="T174" i="65"/>
  <c r="S174" i="65"/>
  <c r="R174" i="65"/>
  <c r="Q174" i="65"/>
  <c r="P174" i="65"/>
  <c r="BN188" i="39"/>
  <c r="BE188" i="39"/>
  <c r="BM188" i="39"/>
  <c r="AS188" i="39"/>
  <c r="BB188" i="39"/>
  <c r="AW188" i="39"/>
  <c r="BC188" i="39"/>
  <c r="BH188" i="39"/>
  <c r="BK188" i="39"/>
  <c r="AL188" i="39"/>
  <c r="AM188" i="39"/>
  <c r="AO188" i="39"/>
  <c r="BD188" i="39"/>
  <c r="AX188" i="39"/>
  <c r="BG188" i="39"/>
  <c r="AT188" i="39"/>
  <c r="AZ188" i="39"/>
  <c r="AK188" i="39"/>
  <c r="BI188" i="39"/>
  <c r="BF188" i="39"/>
  <c r="AN188" i="39"/>
  <c r="AU188" i="39"/>
  <c r="BJ188" i="39"/>
  <c r="AQ188" i="39"/>
  <c r="AP188" i="39"/>
  <c r="AR188" i="39"/>
  <c r="BA188" i="39"/>
  <c r="BL188" i="39"/>
  <c r="AV188" i="39"/>
  <c r="AY188" i="39"/>
  <c r="Y188" i="39"/>
  <c r="AJ188" i="39"/>
  <c r="W188" i="39"/>
  <c r="X188" i="39"/>
  <c r="AE188" i="39"/>
  <c r="AB188" i="39"/>
  <c r="AD188" i="39"/>
  <c r="AG188" i="39"/>
  <c r="AI188" i="39"/>
  <c r="AC188" i="39"/>
  <c r="AA188" i="39"/>
  <c r="AH188" i="39"/>
  <c r="Z188" i="39"/>
  <c r="AF188" i="39"/>
  <c r="V188" i="39"/>
  <c r="U188" i="39"/>
  <c r="T188" i="39"/>
  <c r="S188" i="39"/>
  <c r="R188" i="39"/>
  <c r="Q188" i="39"/>
  <c r="P188" i="39"/>
  <c r="O189" i="39"/>
  <c r="BN133" i="39"/>
  <c r="AQ133" i="39"/>
  <c r="AX133" i="39"/>
  <c r="BD133" i="39"/>
  <c r="AP133" i="39"/>
  <c r="BM133" i="39"/>
  <c r="BG133" i="39"/>
  <c r="AR133" i="39"/>
  <c r="BE133" i="39"/>
  <c r="AS133" i="39"/>
  <c r="AZ133" i="39"/>
  <c r="BB133" i="39"/>
  <c r="BK133" i="39"/>
  <c r="AU133" i="39"/>
  <c r="AN133" i="39"/>
  <c r="BH133" i="39"/>
  <c r="BI133" i="39"/>
  <c r="BF133" i="39"/>
  <c r="BL133" i="39"/>
  <c r="AY133" i="39"/>
  <c r="BJ133" i="39"/>
  <c r="AW133" i="39"/>
  <c r="AO133" i="39"/>
  <c r="BC133" i="39"/>
  <c r="BA133" i="39"/>
  <c r="AT133" i="39"/>
  <c r="AV133" i="39"/>
  <c r="AB133" i="39"/>
  <c r="AE133" i="39"/>
  <c r="Z133" i="39"/>
  <c r="X133" i="39"/>
  <c r="AC133" i="39"/>
  <c r="AH133" i="39"/>
  <c r="Y133" i="39"/>
  <c r="AF133" i="39"/>
  <c r="AJ133" i="39"/>
  <c r="AI133" i="39"/>
  <c r="AA133" i="39"/>
  <c r="AD133" i="39"/>
  <c r="AG133" i="39"/>
  <c r="W133" i="39"/>
  <c r="V133" i="39"/>
  <c r="U133" i="39"/>
  <c r="T133" i="39"/>
  <c r="S133" i="39"/>
  <c r="R133" i="39"/>
  <c r="Q133" i="39"/>
  <c r="P133" i="39"/>
  <c r="BN132" i="39"/>
  <c r="BL132" i="39"/>
  <c r="AQ132" i="39"/>
  <c r="AP132" i="39"/>
  <c r="BM132" i="39"/>
  <c r="AR132" i="39"/>
  <c r="AX132" i="39"/>
  <c r="AW132" i="39"/>
  <c r="AY132" i="39"/>
  <c r="BC132" i="39"/>
  <c r="AN132" i="39"/>
  <c r="BD132" i="39"/>
  <c r="AV132" i="39"/>
  <c r="BG132" i="39"/>
  <c r="AZ132" i="39"/>
  <c r="BE132" i="39"/>
  <c r="BH132" i="39"/>
  <c r="BB132" i="39"/>
  <c r="BK132" i="39"/>
  <c r="BA132" i="39"/>
  <c r="AT132" i="39"/>
  <c r="AU132" i="39"/>
  <c r="AO132" i="39"/>
  <c r="AS132" i="39"/>
  <c r="BJ132" i="39"/>
  <c r="BI132" i="39"/>
  <c r="BF132" i="39"/>
  <c r="AM132" i="39"/>
  <c r="AB132" i="39"/>
  <c r="AH132" i="39"/>
  <c r="AC132" i="39"/>
  <c r="Y132" i="39"/>
  <c r="AE132" i="39"/>
  <c r="Z132" i="39"/>
  <c r="X132" i="39"/>
  <c r="AA132" i="39"/>
  <c r="AI132" i="39"/>
  <c r="AG132" i="39"/>
  <c r="AD132" i="39"/>
  <c r="AF132" i="39"/>
  <c r="W132" i="39"/>
  <c r="V132" i="39"/>
  <c r="U132" i="39"/>
  <c r="T132" i="39"/>
  <c r="S132" i="39"/>
  <c r="R132" i="39"/>
  <c r="Q132" i="39"/>
  <c r="P132" i="39"/>
  <c r="O134" i="39"/>
  <c r="PB238" i="63" a="1"/>
  <c r="HR238" i="63" a="1"/>
  <c r="OD238" i="63" a="1"/>
  <c r="MH238" i="63" a="1"/>
  <c r="J238" i="63" a="1"/>
  <c r="DB238" i="63" a="1"/>
  <c r="NF238" i="63" a="1"/>
  <c r="NL258" i="63" s="1"/>
  <c r="KL238" i="63" a="1"/>
  <c r="IP238" i="63" a="1"/>
  <c r="IV258" i="63" s="1"/>
  <c r="HN258" i="63"/>
  <c r="HJ258" i="63"/>
  <c r="HF258" i="63"/>
  <c r="HB258" i="63"/>
  <c r="GX258" i="63"/>
  <c r="GT258" i="63"/>
  <c r="HK257" i="63"/>
  <c r="HG257" i="63"/>
  <c r="HC257" i="63"/>
  <c r="GY257" i="63"/>
  <c r="GU257" i="63"/>
  <c r="HL256" i="63"/>
  <c r="HH256" i="63"/>
  <c r="HD256" i="63"/>
  <c r="GZ256" i="63"/>
  <c r="GV256" i="63"/>
  <c r="HM255" i="63"/>
  <c r="HI255" i="63"/>
  <c r="HE255" i="63"/>
  <c r="HA255" i="63"/>
  <c r="GW255" i="63"/>
  <c r="HN254" i="63"/>
  <c r="HJ254" i="63"/>
  <c r="HF254" i="63"/>
  <c r="HB254" i="63"/>
  <c r="GX254" i="63"/>
  <c r="GT254" i="63"/>
  <c r="HK253" i="63"/>
  <c r="HG253" i="63"/>
  <c r="HC253" i="63"/>
  <c r="GY253" i="63"/>
  <c r="GU253" i="63"/>
  <c r="HL252" i="63"/>
  <c r="HH252" i="63"/>
  <c r="HD252" i="63"/>
  <c r="GZ252" i="63"/>
  <c r="GV252" i="63"/>
  <c r="HM251" i="63"/>
  <c r="HI251" i="63"/>
  <c r="HE251" i="63"/>
  <c r="HA251" i="63"/>
  <c r="GW251" i="63"/>
  <c r="HN250" i="63"/>
  <c r="HJ250" i="63"/>
  <c r="HF250" i="63"/>
  <c r="HB250" i="63"/>
  <c r="GX250" i="63"/>
  <c r="GT250" i="63"/>
  <c r="HK249" i="63"/>
  <c r="HG249" i="63"/>
  <c r="HC249" i="63"/>
  <c r="GY249" i="63"/>
  <c r="GU249" i="63"/>
  <c r="HL248" i="63"/>
  <c r="HH248" i="63"/>
  <c r="HD248" i="63"/>
  <c r="GZ248" i="63"/>
  <c r="GV248" i="63"/>
  <c r="HM247" i="63"/>
  <c r="HI247" i="63"/>
  <c r="HE247" i="63"/>
  <c r="HA247" i="63"/>
  <c r="GW247" i="63"/>
  <c r="HN246" i="63"/>
  <c r="HJ246" i="63"/>
  <c r="HF246" i="63"/>
  <c r="HB246" i="63"/>
  <c r="GX246" i="63"/>
  <c r="GT246" i="63"/>
  <c r="HK245" i="63"/>
  <c r="HG245" i="63"/>
  <c r="HC245" i="63"/>
  <c r="GY245" i="63"/>
  <c r="GU245" i="63"/>
  <c r="HL244" i="63"/>
  <c r="HH244" i="63"/>
  <c r="HD244" i="63"/>
  <c r="GZ244" i="63"/>
  <c r="GV244" i="63"/>
  <c r="HM243" i="63"/>
  <c r="HI243" i="63"/>
  <c r="HE243" i="63"/>
  <c r="HA243" i="63"/>
  <c r="GW243" i="63"/>
  <c r="HN242" i="63"/>
  <c r="HJ242" i="63"/>
  <c r="HF242" i="63"/>
  <c r="HB242" i="63"/>
  <c r="GX242" i="63"/>
  <c r="GT242" i="63"/>
  <c r="HK241" i="63"/>
  <c r="HG241" i="63"/>
  <c r="HC241" i="63"/>
  <c r="GY241" i="63"/>
  <c r="GU241" i="63"/>
  <c r="HL240" i="63"/>
  <c r="HH240" i="63"/>
  <c r="HD240" i="63"/>
  <c r="GZ240" i="63"/>
  <c r="GV240" i="63"/>
  <c r="HM239" i="63"/>
  <c r="HI239" i="63"/>
  <c r="HE239" i="63"/>
  <c r="HA239" i="63"/>
  <c r="GW239" i="63"/>
  <c r="HN238" i="63"/>
  <c r="HJ238" i="63"/>
  <c r="HF238" i="63"/>
  <c r="HB238" i="63"/>
  <c r="GX238" i="63"/>
  <c r="GT238" i="63"/>
  <c r="HK258" i="63"/>
  <c r="HE258" i="63"/>
  <c r="GZ258" i="63"/>
  <c r="GU258" i="63"/>
  <c r="HJ257" i="63"/>
  <c r="HE257" i="63"/>
  <c r="GZ257" i="63"/>
  <c r="GT257" i="63"/>
  <c r="HJ256" i="63"/>
  <c r="HE256" i="63"/>
  <c r="GY256" i="63"/>
  <c r="GT256" i="63"/>
  <c r="HJ255" i="63"/>
  <c r="HD255" i="63"/>
  <c r="GY255" i="63"/>
  <c r="GT255" i="63"/>
  <c r="HI254" i="63"/>
  <c r="HD254" i="63"/>
  <c r="GY254" i="63"/>
  <c r="HN253" i="63"/>
  <c r="HI253" i="63"/>
  <c r="HD253" i="63"/>
  <c r="GX253" i="63"/>
  <c r="HN252" i="63"/>
  <c r="HI252" i="63"/>
  <c r="HC252" i="63"/>
  <c r="GX252" i="63"/>
  <c r="HN251" i="63"/>
  <c r="HH251" i="63"/>
  <c r="HC251" i="63"/>
  <c r="GX251" i="63"/>
  <c r="HM250" i="63"/>
  <c r="HH250" i="63"/>
  <c r="HC250" i="63"/>
  <c r="GW250" i="63"/>
  <c r="HM249" i="63"/>
  <c r="HH249" i="63"/>
  <c r="HB249" i="63"/>
  <c r="GW249" i="63"/>
  <c r="HM248" i="63"/>
  <c r="HG248" i="63"/>
  <c r="HB248" i="63"/>
  <c r="GW248" i="63"/>
  <c r="HL247" i="63"/>
  <c r="HG247" i="63"/>
  <c r="HB247" i="63"/>
  <c r="GV247" i="63"/>
  <c r="HL246" i="63"/>
  <c r="HG246" i="63"/>
  <c r="HA246" i="63"/>
  <c r="GV246" i="63"/>
  <c r="HL245" i="63"/>
  <c r="HF245" i="63"/>
  <c r="HA245" i="63"/>
  <c r="GV245" i="63"/>
  <c r="HK244" i="63"/>
  <c r="HF244" i="63"/>
  <c r="HA244" i="63"/>
  <c r="GU244" i="63"/>
  <c r="HK243" i="63"/>
  <c r="HF243" i="63"/>
  <c r="GZ243" i="63"/>
  <c r="GU243" i="63"/>
  <c r="HK242" i="63"/>
  <c r="HE242" i="63"/>
  <c r="GZ242" i="63"/>
  <c r="GU242" i="63"/>
  <c r="HJ241" i="63"/>
  <c r="HE241" i="63"/>
  <c r="GZ241" i="63"/>
  <c r="GT241" i="63"/>
  <c r="HJ240" i="63"/>
  <c r="HE240" i="63"/>
  <c r="GY240" i="63"/>
  <c r="GT240" i="63"/>
  <c r="HJ239" i="63"/>
  <c r="HD239" i="63"/>
  <c r="GY239" i="63"/>
  <c r="GT239" i="63"/>
  <c r="HI238" i="63"/>
  <c r="HD238" i="63"/>
  <c r="GY238" i="63"/>
  <c r="HI258" i="63"/>
  <c r="HC258" i="63"/>
  <c r="GV258" i="63"/>
  <c r="HI257" i="63"/>
  <c r="HB257" i="63"/>
  <c r="GV257" i="63"/>
  <c r="HI256" i="63"/>
  <c r="HB256" i="63"/>
  <c r="GU256" i="63"/>
  <c r="HH255" i="63"/>
  <c r="HB255" i="63"/>
  <c r="GU255" i="63"/>
  <c r="HH254" i="63"/>
  <c r="HA254" i="63"/>
  <c r="GU254" i="63"/>
  <c r="HH253" i="63"/>
  <c r="HA253" i="63"/>
  <c r="GT253" i="63"/>
  <c r="HG252" i="63"/>
  <c r="HA252" i="63"/>
  <c r="GT252" i="63"/>
  <c r="HG251" i="63"/>
  <c r="GZ251" i="63"/>
  <c r="GT251" i="63"/>
  <c r="HG250" i="63"/>
  <c r="GZ250" i="63"/>
  <c r="HN249" i="63"/>
  <c r="HF249" i="63"/>
  <c r="GZ249" i="63"/>
  <c r="HN248" i="63"/>
  <c r="HF248" i="63"/>
  <c r="GY248" i="63"/>
  <c r="HN247" i="63"/>
  <c r="HF247" i="63"/>
  <c r="GY247" i="63"/>
  <c r="HM246" i="63"/>
  <c r="HE246" i="63"/>
  <c r="GY246" i="63"/>
  <c r="HM245" i="63"/>
  <c r="HE245" i="63"/>
  <c r="GX245" i="63"/>
  <c r="HM244" i="63"/>
  <c r="HE244" i="63"/>
  <c r="GX244" i="63"/>
  <c r="HL243" i="63"/>
  <c r="HD243" i="63"/>
  <c r="GX243" i="63"/>
  <c r="HL242" i="63"/>
  <c r="HD242" i="63"/>
  <c r="GW242" i="63"/>
  <c r="HL241" i="63"/>
  <c r="HD241" i="63"/>
  <c r="GW241" i="63"/>
  <c r="HK240" i="63"/>
  <c r="HC240" i="63"/>
  <c r="GW240" i="63"/>
  <c r="HK239" i="63"/>
  <c r="HC239" i="63"/>
  <c r="GV239" i="63"/>
  <c r="HK238" i="63"/>
  <c r="HC238" i="63"/>
  <c r="GV238" i="63"/>
  <c r="HG258" i="63"/>
  <c r="GW258" i="63"/>
  <c r="HH257" i="63"/>
  <c r="GX257" i="63"/>
  <c r="HK256" i="63"/>
  <c r="HA256" i="63"/>
  <c r="HL255" i="63"/>
  <c r="HC255" i="63"/>
  <c r="HM254" i="63"/>
  <c r="HE254" i="63"/>
  <c r="GV254" i="63"/>
  <c r="HF253" i="63"/>
  <c r="GW253" i="63"/>
  <c r="HJ252" i="63"/>
  <c r="GY252" i="63"/>
  <c r="HK251" i="63"/>
  <c r="HB251" i="63"/>
  <c r="HL250" i="63"/>
  <c r="HD250" i="63"/>
  <c r="GU250" i="63"/>
  <c r="HE249" i="63"/>
  <c r="GV249" i="63"/>
  <c r="HI248" i="63"/>
  <c r="GX248" i="63"/>
  <c r="HJ247" i="63"/>
  <c r="GZ247" i="63"/>
  <c r="HK246" i="63"/>
  <c r="HC246" i="63"/>
  <c r="HN245" i="63"/>
  <c r="HD245" i="63"/>
  <c r="GT245" i="63"/>
  <c r="HG244" i="63"/>
  <c r="GW244" i="63"/>
  <c r="HH243" i="63"/>
  <c r="GY243" i="63"/>
  <c r="HI242" i="63"/>
  <c r="HA242" i="63"/>
  <c r="HM241" i="63"/>
  <c r="HB241" i="63"/>
  <c r="HN240" i="63"/>
  <c r="HF240" i="63"/>
  <c r="GU240" i="63"/>
  <c r="HG239" i="63"/>
  <c r="GX239" i="63"/>
  <c r="HH238" i="63"/>
  <c r="GZ238" i="63"/>
  <c r="HM258" i="63"/>
  <c r="HA258" i="63"/>
  <c r="HL257" i="63"/>
  <c r="GW257" i="63"/>
  <c r="HF256" i="63"/>
  <c r="HN255" i="63"/>
  <c r="GZ255" i="63"/>
  <c r="HK254" i="63"/>
  <c r="GW254" i="63"/>
  <c r="HE253" i="63"/>
  <c r="HM252" i="63"/>
  <c r="HB252" i="63"/>
  <c r="HJ251" i="63"/>
  <c r="GV251" i="63"/>
  <c r="HE250" i="63"/>
  <c r="HL249" i="63"/>
  <c r="HA249" i="63"/>
  <c r="HJ248" i="63"/>
  <c r="GU248" i="63"/>
  <c r="HD247" i="63"/>
  <c r="GT247" i="63"/>
  <c r="GZ246" i="63"/>
  <c r="HI245" i="63"/>
  <c r="GW245" i="63"/>
  <c r="HC244" i="63"/>
  <c r="HN243" i="63"/>
  <c r="HB243" i="63"/>
  <c r="HH242" i="63"/>
  <c r="GV242" i="63"/>
  <c r="HF241" i="63"/>
  <c r="HM240" i="63"/>
  <c r="HA240" i="63"/>
  <c r="HH239" i="63"/>
  <c r="GU239" i="63"/>
  <c r="HE238" i="63"/>
  <c r="HD258" i="63"/>
  <c r="HM257" i="63"/>
  <c r="HA257" i="63"/>
  <c r="HG256" i="63"/>
  <c r="GW256" i="63"/>
  <c r="HF255" i="63"/>
  <c r="HL254" i="63"/>
  <c r="GZ254" i="63"/>
  <c r="HJ253" i="63"/>
  <c r="GV253" i="63"/>
  <c r="HE252" i="63"/>
  <c r="HL251" i="63"/>
  <c r="GY251" i="63"/>
  <c r="HI250" i="63"/>
  <c r="GV250" i="63"/>
  <c r="HD249" i="63"/>
  <c r="HK248" i="63"/>
  <c r="HA248" i="63"/>
  <c r="HH247" i="63"/>
  <c r="GU247" i="63"/>
  <c r="HD246" i="63"/>
  <c r="HJ245" i="63"/>
  <c r="GZ245" i="63"/>
  <c r="HI244" i="63"/>
  <c r="GT244" i="63"/>
  <c r="HC243" i="63"/>
  <c r="HM242" i="63"/>
  <c r="GY242" i="63"/>
  <c r="HH241" i="63"/>
  <c r="GV241" i="63"/>
  <c r="HB240" i="63"/>
  <c r="HL239" i="63"/>
  <c r="GZ239" i="63"/>
  <c r="HG238" i="63"/>
  <c r="GU238" i="63"/>
  <c r="GY258" i="63"/>
  <c r="HN256" i="63"/>
  <c r="HK255" i="63"/>
  <c r="HG254" i="63"/>
  <c r="HB253" i="63"/>
  <c r="GW252" i="63"/>
  <c r="GU251" i="63"/>
  <c r="HJ249" i="63"/>
  <c r="HE248" i="63"/>
  <c r="HC247" i="63"/>
  <c r="GW246" i="63"/>
  <c r="HN244" i="63"/>
  <c r="HJ243" i="63"/>
  <c r="HG242" i="63"/>
  <c r="HA241" i="63"/>
  <c r="GX240" i="63"/>
  <c r="HM238" i="63"/>
  <c r="HH258" i="63"/>
  <c r="HD257" i="63"/>
  <c r="GX256" i="63"/>
  <c r="GV255" i="63"/>
  <c r="HL253" i="63"/>
  <c r="HF252" i="63"/>
  <c r="HD251" i="63"/>
  <c r="GY250" i="63"/>
  <c r="GT249" i="63"/>
  <c r="HK247" i="63"/>
  <c r="HH246" i="63"/>
  <c r="HB245" i="63"/>
  <c r="GY244" i="63"/>
  <c r="GT243" i="63"/>
  <c r="HI241" i="63"/>
  <c r="HG240" i="63"/>
  <c r="HB239" i="63"/>
  <c r="GW238" i="63"/>
  <c r="HM256" i="63"/>
  <c r="HC254" i="63"/>
  <c r="GU252" i="63"/>
  <c r="HI249" i="63"/>
  <c r="GX247" i="63"/>
  <c r="HJ244" i="63"/>
  <c r="HC242" i="63"/>
  <c r="HN239" i="63"/>
  <c r="HF257" i="63"/>
  <c r="GX255" i="63"/>
  <c r="HK252" i="63"/>
  <c r="HA250" i="63"/>
  <c r="GT248" i="63"/>
  <c r="HH245" i="63"/>
  <c r="GV243" i="63"/>
  <c r="HI240" i="63"/>
  <c r="HA238" i="63"/>
  <c r="HC256" i="63"/>
  <c r="HF251" i="63"/>
  <c r="HI246" i="63"/>
  <c r="HN241" i="63"/>
  <c r="HG255" i="63"/>
  <c r="HK250" i="63"/>
  <c r="GU246" i="63"/>
  <c r="GX241" i="63"/>
  <c r="HL258" i="63"/>
  <c r="GX249" i="63"/>
  <c r="HF239" i="63"/>
  <c r="HN257" i="63"/>
  <c r="GZ253" i="63"/>
  <c r="HC248" i="63"/>
  <c r="HG243" i="63"/>
  <c r="HL238" i="63"/>
  <c r="HM253" i="63"/>
  <c r="HB244" i="63"/>
  <c r="NX258" i="63"/>
  <c r="NT258" i="63"/>
  <c r="NP258" i="63"/>
  <c r="NY257" i="63"/>
  <c r="NU257" i="63"/>
  <c r="NQ257" i="63"/>
  <c r="NM257" i="63"/>
  <c r="NV256" i="63"/>
  <c r="NR256" i="63"/>
  <c r="NN256" i="63"/>
  <c r="NJ256" i="63"/>
  <c r="NS255" i="63"/>
  <c r="NO255" i="63"/>
  <c r="NK255" i="63"/>
  <c r="NG255" i="63"/>
  <c r="NP254" i="63"/>
  <c r="NL254" i="63"/>
  <c r="NH254" i="63"/>
  <c r="NY253" i="63"/>
  <c r="NM253" i="63"/>
  <c r="NI253" i="63"/>
  <c r="NZ252" i="63"/>
  <c r="NV252" i="63"/>
  <c r="NJ252" i="63"/>
  <c r="NF252" i="63"/>
  <c r="NW251" i="63"/>
  <c r="NS251" i="63"/>
  <c r="NG251" i="63"/>
  <c r="NX250" i="63"/>
  <c r="NT250" i="63"/>
  <c r="NP250" i="63"/>
  <c r="NY249" i="63"/>
  <c r="NU249" i="63"/>
  <c r="NQ249" i="63"/>
  <c r="NM249" i="63"/>
  <c r="NV248" i="63"/>
  <c r="NR248" i="63"/>
  <c r="NN248" i="63"/>
  <c r="NJ248" i="63"/>
  <c r="NS247" i="63"/>
  <c r="NO247" i="63"/>
  <c r="NK247" i="63"/>
  <c r="NG247" i="63"/>
  <c r="NP246" i="63"/>
  <c r="NL246" i="63"/>
  <c r="NH246" i="63"/>
  <c r="NY245" i="63"/>
  <c r="NM245" i="63"/>
  <c r="NI245" i="63"/>
  <c r="NZ244" i="63"/>
  <c r="NV244" i="63"/>
  <c r="NJ244" i="63"/>
  <c r="NF244" i="63"/>
  <c r="NW243" i="63"/>
  <c r="NS243" i="63"/>
  <c r="NG243" i="63"/>
  <c r="NX242" i="63"/>
  <c r="NT242" i="63"/>
  <c r="NP242" i="63"/>
  <c r="NY241" i="63"/>
  <c r="NU241" i="63"/>
  <c r="NQ241" i="63"/>
  <c r="NM241" i="63"/>
  <c r="NV240" i="63"/>
  <c r="NR240" i="63"/>
  <c r="NN240" i="63"/>
  <c r="NJ240" i="63"/>
  <c r="NS239" i="63"/>
  <c r="NO239" i="63"/>
  <c r="NK239" i="63"/>
  <c r="NG239" i="63"/>
  <c r="NP238" i="63"/>
  <c r="NL238" i="63"/>
  <c r="NH238" i="63"/>
  <c r="NY258" i="63"/>
  <c r="NI258" i="63"/>
  <c r="NX257" i="63"/>
  <c r="NS257" i="63"/>
  <c r="NN257" i="63"/>
  <c r="NS256" i="63"/>
  <c r="NM256" i="63"/>
  <c r="NH256" i="63"/>
  <c r="NX255" i="63"/>
  <c r="NH255" i="63"/>
  <c r="NW254" i="63"/>
  <c r="NR254" i="63"/>
  <c r="NM254" i="63"/>
  <c r="NR253" i="63"/>
  <c r="NL253" i="63"/>
  <c r="NG253" i="63"/>
  <c r="NW252" i="63"/>
  <c r="NG252" i="63"/>
  <c r="NV251" i="63"/>
  <c r="NQ251" i="63"/>
  <c r="NL251" i="63"/>
  <c r="NQ250" i="63"/>
  <c r="NK250" i="63"/>
  <c r="NF250" i="63"/>
  <c r="NV249" i="63"/>
  <c r="NF249" i="63"/>
  <c r="NU248" i="63"/>
  <c r="NP248" i="63"/>
  <c r="NK248" i="63"/>
  <c r="NP247" i="63"/>
  <c r="NJ247" i="63"/>
  <c r="NZ246" i="63"/>
  <c r="NU246" i="63"/>
  <c r="NZ245" i="63"/>
  <c r="NT245" i="63"/>
  <c r="NO245" i="63"/>
  <c r="NJ245" i="63"/>
  <c r="NO244" i="63"/>
  <c r="NI244" i="63"/>
  <c r="NY243" i="63"/>
  <c r="NT243" i="63"/>
  <c r="NY242" i="63"/>
  <c r="NS242" i="63"/>
  <c r="NN242" i="63"/>
  <c r="NI242" i="63"/>
  <c r="NN241" i="63"/>
  <c r="NH241" i="63"/>
  <c r="NX240" i="63"/>
  <c r="NS240" i="63"/>
  <c r="NX239" i="63"/>
  <c r="NR239" i="63"/>
  <c r="NM239" i="63"/>
  <c r="NH239" i="63"/>
  <c r="NM238" i="63"/>
  <c r="NG238" i="63"/>
  <c r="NU258" i="63"/>
  <c r="NM258" i="63"/>
  <c r="NL257" i="63"/>
  <c r="NF257" i="63"/>
  <c r="NT256" i="63"/>
  <c r="NL256" i="63"/>
  <c r="NL255" i="63"/>
  <c r="NZ254" i="63"/>
  <c r="NS254" i="63"/>
  <c r="NK254" i="63"/>
  <c r="NK253" i="63"/>
  <c r="NY252" i="63"/>
  <c r="NS252" i="63"/>
  <c r="NK252" i="63"/>
  <c r="NJ251" i="63"/>
  <c r="NY250" i="63"/>
  <c r="NR250" i="63"/>
  <c r="NJ250" i="63"/>
  <c r="NJ249" i="63"/>
  <c r="NX248" i="63"/>
  <c r="NQ248" i="63"/>
  <c r="NI248" i="63"/>
  <c r="NI247" i="63"/>
  <c r="NW246" i="63"/>
  <c r="NQ246" i="63"/>
  <c r="NI246" i="63"/>
  <c r="NH245" i="63"/>
  <c r="NW244" i="63"/>
  <c r="NP244" i="63"/>
  <c r="NH244" i="63"/>
  <c r="NH243" i="63"/>
  <c r="NV242" i="63"/>
  <c r="NO242" i="63"/>
  <c r="NG242" i="63"/>
  <c r="NG241" i="63"/>
  <c r="NU240" i="63"/>
  <c r="NO240" i="63"/>
  <c r="NG240" i="63"/>
  <c r="NF239" i="63"/>
  <c r="NU238" i="63"/>
  <c r="NN238" i="63"/>
  <c r="NF238" i="63"/>
  <c r="NV257" i="63"/>
  <c r="NK257" i="63"/>
  <c r="NW256" i="63"/>
  <c r="NO256" i="63"/>
  <c r="NF255" i="63"/>
  <c r="NQ254" i="63"/>
  <c r="NI254" i="63"/>
  <c r="NT253" i="63"/>
  <c r="NM252" i="63"/>
  <c r="NX251" i="63"/>
  <c r="NN251" i="63"/>
  <c r="NZ250" i="63"/>
  <c r="NS249" i="63"/>
  <c r="NH249" i="63"/>
  <c r="NT248" i="63"/>
  <c r="NL248" i="63"/>
  <c r="NY246" i="63"/>
  <c r="NN246" i="63"/>
  <c r="NF246" i="63"/>
  <c r="NR245" i="63"/>
  <c r="NK244" i="63"/>
  <c r="NU243" i="63"/>
  <c r="NL243" i="63"/>
  <c r="NW242" i="63"/>
  <c r="NP241" i="63"/>
  <c r="NF241" i="63"/>
  <c r="NQ240" i="63"/>
  <c r="NI240" i="63"/>
  <c r="NV238" i="63"/>
  <c r="NK238" i="63"/>
  <c r="NQ258" i="63"/>
  <c r="NZ257" i="63"/>
  <c r="NI256" i="63"/>
  <c r="NQ255" i="63"/>
  <c r="NY254" i="63"/>
  <c r="NN254" i="63"/>
  <c r="NP252" i="63"/>
  <c r="NZ251" i="63"/>
  <c r="NM251" i="63"/>
  <c r="NU250" i="63"/>
  <c r="NY248" i="63"/>
  <c r="NM248" i="63"/>
  <c r="NT247" i="63"/>
  <c r="NH247" i="63"/>
  <c r="NL245" i="63"/>
  <c r="NU244" i="63"/>
  <c r="NG244" i="63"/>
  <c r="NQ243" i="63"/>
  <c r="NT241" i="63"/>
  <c r="NJ241" i="63"/>
  <c r="NP240" i="63"/>
  <c r="NY239" i="63"/>
  <c r="NI238" i="63"/>
  <c r="NV258" i="63"/>
  <c r="NG258" i="63"/>
  <c r="NP257" i="63"/>
  <c r="NU255" i="63"/>
  <c r="NI255" i="63"/>
  <c r="NO254" i="63"/>
  <c r="NX253" i="63"/>
  <c r="NH252" i="63"/>
  <c r="NP251" i="63"/>
  <c r="NW250" i="63"/>
  <c r="NM250" i="63"/>
  <c r="NO248" i="63"/>
  <c r="NY247" i="63"/>
  <c r="NL247" i="63"/>
  <c r="NS246" i="63"/>
  <c r="NX244" i="63"/>
  <c r="NL244" i="63"/>
  <c r="NR243" i="63"/>
  <c r="NF243" i="63"/>
  <c r="NK241" i="63"/>
  <c r="NT240" i="63"/>
  <c r="NZ239" i="63"/>
  <c r="NP239" i="63"/>
  <c r="NO258" i="63"/>
  <c r="NJ257" i="63"/>
  <c r="NG256" i="63"/>
  <c r="NV254" i="63"/>
  <c r="NI251" i="63"/>
  <c r="NZ249" i="63"/>
  <c r="NW248" i="63"/>
  <c r="NR247" i="63"/>
  <c r="NZ243" i="63"/>
  <c r="NU242" i="63"/>
  <c r="NR241" i="63"/>
  <c r="NL240" i="63"/>
  <c r="NR257" i="63"/>
  <c r="NP256" i="63"/>
  <c r="NJ255" i="63"/>
  <c r="NF254" i="63"/>
  <c r="NN250" i="63"/>
  <c r="NL249" i="63"/>
  <c r="NG248" i="63"/>
  <c r="NV246" i="63"/>
  <c r="NJ243" i="63"/>
  <c r="NF242" i="63"/>
  <c r="NW240" i="63"/>
  <c r="NQ239" i="63"/>
  <c r="NV255" i="63"/>
  <c r="NO253" i="63"/>
  <c r="NH251" i="63"/>
  <c r="NS248" i="63"/>
  <c r="NL241" i="63"/>
  <c r="NZ238" i="63"/>
  <c r="NZ258" i="63"/>
  <c r="NQ256" i="63"/>
  <c r="NN249" i="63"/>
  <c r="NF247" i="63"/>
  <c r="NQ244" i="63"/>
  <c r="NJ242" i="63"/>
  <c r="NF253" i="63"/>
  <c r="NH248" i="63"/>
  <c r="NM243" i="63"/>
  <c r="NQ238" i="63"/>
  <c r="NF245" i="63"/>
  <c r="NK240" i="63"/>
  <c r="NI252" i="63"/>
  <c r="NR242" i="63"/>
  <c r="NY240" i="63"/>
  <c r="NG257" i="63"/>
  <c r="NN247" i="63"/>
  <c r="NS250" i="63"/>
  <c r="MY258" i="63"/>
  <c r="MU258" i="63"/>
  <c r="MQ258" i="63"/>
  <c r="NA258" i="63"/>
  <c r="MV258" i="63"/>
  <c r="MP258" i="63"/>
  <c r="ML258" i="63"/>
  <c r="MH258" i="63"/>
  <c r="MY257" i="63"/>
  <c r="MU257" i="63"/>
  <c r="MQ257" i="63"/>
  <c r="MM257" i="63"/>
  <c r="MI257" i="63"/>
  <c r="MZ256" i="63"/>
  <c r="MV256" i="63"/>
  <c r="MR256" i="63"/>
  <c r="MN256" i="63"/>
  <c r="MJ256" i="63"/>
  <c r="NA255" i="63"/>
  <c r="MW255" i="63"/>
  <c r="MS255" i="63"/>
  <c r="MO255" i="63"/>
  <c r="MK255" i="63"/>
  <c r="NB254" i="63"/>
  <c r="MX254" i="63"/>
  <c r="MT254" i="63"/>
  <c r="MP254" i="63"/>
  <c r="ML254" i="63"/>
  <c r="MH254" i="63"/>
  <c r="MY253" i="63"/>
  <c r="MU253" i="63"/>
  <c r="MQ253" i="63"/>
  <c r="MM253" i="63"/>
  <c r="MI253" i="63"/>
  <c r="MZ252" i="63"/>
  <c r="MV252" i="63"/>
  <c r="MR252" i="63"/>
  <c r="MN252" i="63"/>
  <c r="MJ252" i="63"/>
  <c r="NA251" i="63"/>
  <c r="MW251" i="63"/>
  <c r="MS251" i="63"/>
  <c r="MO251" i="63"/>
  <c r="MK251" i="63"/>
  <c r="NB250" i="63"/>
  <c r="MX250" i="63"/>
  <c r="MT250" i="63"/>
  <c r="MP250" i="63"/>
  <c r="ML250" i="63"/>
  <c r="MH250" i="63"/>
  <c r="MY249" i="63"/>
  <c r="MU249" i="63"/>
  <c r="MQ249" i="63"/>
  <c r="MM249" i="63"/>
  <c r="MI249" i="63"/>
  <c r="MZ248" i="63"/>
  <c r="MV248" i="63"/>
  <c r="MR248" i="63"/>
  <c r="MN248" i="63"/>
  <c r="MJ248" i="63"/>
  <c r="NA247" i="63"/>
  <c r="MW247" i="63"/>
  <c r="MS247" i="63"/>
  <c r="MO247" i="63"/>
  <c r="MK247" i="63"/>
  <c r="NB246" i="63"/>
  <c r="MX246" i="63"/>
  <c r="MT246" i="63"/>
  <c r="MP246" i="63"/>
  <c r="ML246" i="63"/>
  <c r="MH246" i="63"/>
  <c r="MY245" i="63"/>
  <c r="MU245" i="63"/>
  <c r="MQ245" i="63"/>
  <c r="MM245" i="63"/>
  <c r="MI245" i="63"/>
  <c r="MZ244" i="63"/>
  <c r="MV244" i="63"/>
  <c r="MR244" i="63"/>
  <c r="MN244" i="63"/>
  <c r="MJ244" i="63"/>
  <c r="NA243" i="63"/>
  <c r="MW243" i="63"/>
  <c r="MS243" i="63"/>
  <c r="MO243" i="63"/>
  <c r="MK243" i="63"/>
  <c r="NB242" i="63"/>
  <c r="MX242" i="63"/>
  <c r="MT242" i="63"/>
  <c r="MP242" i="63"/>
  <c r="ML242" i="63"/>
  <c r="MH242" i="63"/>
  <c r="MY241" i="63"/>
  <c r="MU241" i="63"/>
  <c r="MQ241" i="63"/>
  <c r="MM241" i="63"/>
  <c r="MI241" i="63"/>
  <c r="MZ240" i="63"/>
  <c r="MV240" i="63"/>
  <c r="MR240" i="63"/>
  <c r="MN240" i="63"/>
  <c r="MJ240" i="63"/>
  <c r="NA239" i="63"/>
  <c r="MW239" i="63"/>
  <c r="MS239" i="63"/>
  <c r="MO239" i="63"/>
  <c r="MK239" i="63"/>
  <c r="NB238" i="63"/>
  <c r="MX238" i="63"/>
  <c r="MT238" i="63"/>
  <c r="MP238" i="63"/>
  <c r="ML238" i="63"/>
  <c r="MH238" i="63"/>
  <c r="MX258" i="63"/>
  <c r="MR258" i="63"/>
  <c r="MK258" i="63"/>
  <c r="NA257" i="63"/>
  <c r="MV257" i="63"/>
  <c r="MP257" i="63"/>
  <c r="MK257" i="63"/>
  <c r="NA256" i="63"/>
  <c r="MU256" i="63"/>
  <c r="MP256" i="63"/>
  <c r="MK256" i="63"/>
  <c r="MZ255" i="63"/>
  <c r="MU255" i="63"/>
  <c r="MP255" i="63"/>
  <c r="MJ255" i="63"/>
  <c r="MZ254" i="63"/>
  <c r="MU254" i="63"/>
  <c r="MO254" i="63"/>
  <c r="MJ254" i="63"/>
  <c r="MZ253" i="63"/>
  <c r="MT253" i="63"/>
  <c r="MO253" i="63"/>
  <c r="MJ253" i="63"/>
  <c r="MY252" i="63"/>
  <c r="MT252" i="63"/>
  <c r="MO252" i="63"/>
  <c r="MI252" i="63"/>
  <c r="MY251" i="63"/>
  <c r="MT251" i="63"/>
  <c r="MN251" i="63"/>
  <c r="MI251" i="63"/>
  <c r="MY250" i="63"/>
  <c r="MS250" i="63"/>
  <c r="MN250" i="63"/>
  <c r="MI250" i="63"/>
  <c r="MX249" i="63"/>
  <c r="MS249" i="63"/>
  <c r="MN249" i="63"/>
  <c r="MH249" i="63"/>
  <c r="MX248" i="63"/>
  <c r="MS248" i="63"/>
  <c r="MM248" i="63"/>
  <c r="MH248" i="63"/>
  <c r="MX247" i="63"/>
  <c r="MR247" i="63"/>
  <c r="MM247" i="63"/>
  <c r="MH247" i="63"/>
  <c r="MW246" i="63"/>
  <c r="MR246" i="63"/>
  <c r="MM246" i="63"/>
  <c r="NB245" i="63"/>
  <c r="MW245" i="63"/>
  <c r="MR245" i="63"/>
  <c r="ML245" i="63"/>
  <c r="NB244" i="63"/>
  <c r="MW244" i="63"/>
  <c r="MQ244" i="63"/>
  <c r="ML244" i="63"/>
  <c r="NB243" i="63"/>
  <c r="MV243" i="63"/>
  <c r="MQ243" i="63"/>
  <c r="ML243" i="63"/>
  <c r="NA242" i="63"/>
  <c r="MV242" i="63"/>
  <c r="MQ242" i="63"/>
  <c r="MK242" i="63"/>
  <c r="NA241" i="63"/>
  <c r="MV241" i="63"/>
  <c r="MP241" i="63"/>
  <c r="MK241" i="63"/>
  <c r="NA240" i="63"/>
  <c r="MU240" i="63"/>
  <c r="MP240" i="63"/>
  <c r="MK240" i="63"/>
  <c r="MZ239" i="63"/>
  <c r="MU239" i="63"/>
  <c r="MP239" i="63"/>
  <c r="MJ239" i="63"/>
  <c r="MZ238" i="63"/>
  <c r="MU238" i="63"/>
  <c r="MO238" i="63"/>
  <c r="MJ238" i="63"/>
  <c r="NB258" i="63"/>
  <c r="MS258" i="63"/>
  <c r="MJ258" i="63"/>
  <c r="MX257" i="63"/>
  <c r="MR257" i="63"/>
  <c r="MJ257" i="63"/>
  <c r="MX256" i="63"/>
  <c r="MQ256" i="63"/>
  <c r="MI256" i="63"/>
  <c r="MX255" i="63"/>
  <c r="MQ255" i="63"/>
  <c r="MI255" i="63"/>
  <c r="MW254" i="63"/>
  <c r="MQ254" i="63"/>
  <c r="MI254" i="63"/>
  <c r="MW253" i="63"/>
  <c r="MP253" i="63"/>
  <c r="MH253" i="63"/>
  <c r="MW252" i="63"/>
  <c r="MP252" i="63"/>
  <c r="MH252" i="63"/>
  <c r="MV251" i="63"/>
  <c r="MP251" i="63"/>
  <c r="MH251" i="63"/>
  <c r="MV250" i="63"/>
  <c r="MO250" i="63"/>
  <c r="NB249" i="63"/>
  <c r="MV249" i="63"/>
  <c r="MO249" i="63"/>
  <c r="NB248" i="63"/>
  <c r="MU248" i="63"/>
  <c r="MO248" i="63"/>
  <c r="NB247" i="63"/>
  <c r="MU247" i="63"/>
  <c r="MN247" i="63"/>
  <c r="NA246" i="63"/>
  <c r="MU246" i="63"/>
  <c r="MN246" i="63"/>
  <c r="NA245" i="63"/>
  <c r="MT245" i="63"/>
  <c r="MN245" i="63"/>
  <c r="NA244" i="63"/>
  <c r="MT244" i="63"/>
  <c r="MM244" i="63"/>
  <c r="MZ243" i="63"/>
  <c r="MT243" i="63"/>
  <c r="MM243" i="63"/>
  <c r="MZ242" i="63"/>
  <c r="MS242" i="63"/>
  <c r="MM242" i="63"/>
  <c r="MZ241" i="63"/>
  <c r="MS241" i="63"/>
  <c r="ML241" i="63"/>
  <c r="MY240" i="63"/>
  <c r="MS240" i="63"/>
  <c r="ML240" i="63"/>
  <c r="MY239" i="63"/>
  <c r="MR239" i="63"/>
  <c r="ML239" i="63"/>
  <c r="MY238" i="63"/>
  <c r="MR238" i="63"/>
  <c r="MK238" i="63"/>
  <c r="MT258" i="63"/>
  <c r="MI258" i="63"/>
  <c r="MT257" i="63"/>
  <c r="ML257" i="63"/>
  <c r="MW256" i="63"/>
  <c r="MM256" i="63"/>
  <c r="MY255" i="63"/>
  <c r="MN255" i="63"/>
  <c r="NA254" i="63"/>
  <c r="MR254" i="63"/>
  <c r="NB253" i="63"/>
  <c r="MS253" i="63"/>
  <c r="MK253" i="63"/>
  <c r="MU252" i="63"/>
  <c r="ML252" i="63"/>
  <c r="MX251" i="63"/>
  <c r="MM251" i="63"/>
  <c r="MZ250" i="63"/>
  <c r="MQ250" i="63"/>
  <c r="NA249" i="63"/>
  <c r="MR249" i="63"/>
  <c r="MJ249" i="63"/>
  <c r="MT248" i="63"/>
  <c r="MK248" i="63"/>
  <c r="MV247" i="63"/>
  <c r="ML247" i="63"/>
  <c r="MY246" i="63"/>
  <c r="MO246" i="63"/>
  <c r="MZ245" i="63"/>
  <c r="MP245" i="63"/>
  <c r="MH245" i="63"/>
  <c r="MS244" i="63"/>
  <c r="MI244" i="63"/>
  <c r="MU243" i="63"/>
  <c r="MJ243" i="63"/>
  <c r="MW242" i="63"/>
  <c r="MN242" i="63"/>
  <c r="MX241" i="63"/>
  <c r="MO241" i="63"/>
  <c r="NB240" i="63"/>
  <c r="MQ240" i="63"/>
  <c r="MH240" i="63"/>
  <c r="MT239" i="63"/>
  <c r="MI239" i="63"/>
  <c r="MV238" i="63"/>
  <c r="MM238" i="63"/>
  <c r="MW258" i="63"/>
  <c r="MM258" i="63"/>
  <c r="MW257" i="63"/>
  <c r="MN257" i="63"/>
  <c r="MY256" i="63"/>
  <c r="MO256" i="63"/>
  <c r="NB255" i="63"/>
  <c r="MR255" i="63"/>
  <c r="MH255" i="63"/>
  <c r="MS254" i="63"/>
  <c r="MK254" i="63"/>
  <c r="MV253" i="63"/>
  <c r="ML253" i="63"/>
  <c r="MX252" i="63"/>
  <c r="MM252" i="63"/>
  <c r="MZ251" i="63"/>
  <c r="MQ251" i="63"/>
  <c r="NA250" i="63"/>
  <c r="MR250" i="63"/>
  <c r="MJ250" i="63"/>
  <c r="MT249" i="63"/>
  <c r="MK249" i="63"/>
  <c r="MW248" i="63"/>
  <c r="ML248" i="63"/>
  <c r="MY247" i="63"/>
  <c r="MP247" i="63"/>
  <c r="MZ246" i="63"/>
  <c r="MQ246" i="63"/>
  <c r="MI246" i="63"/>
  <c r="MS245" i="63"/>
  <c r="MJ245" i="63"/>
  <c r="MU244" i="63"/>
  <c r="MK244" i="63"/>
  <c r="MX243" i="63"/>
  <c r="MN243" i="63"/>
  <c r="MY242" i="63"/>
  <c r="MO242" i="63"/>
  <c r="NB241" i="63"/>
  <c r="MR241" i="63"/>
  <c r="MH241" i="63"/>
  <c r="MT240" i="63"/>
  <c r="MI240" i="63"/>
  <c r="MV239" i="63"/>
  <c r="MM239" i="63"/>
  <c r="MW238" i="63"/>
  <c r="MN238" i="63"/>
  <c r="NB257" i="63"/>
  <c r="MH257" i="63"/>
  <c r="ML256" i="63"/>
  <c r="MM255" i="63"/>
  <c r="MN254" i="63"/>
  <c r="MR253" i="63"/>
  <c r="MN258" i="63"/>
  <c r="MO257" i="63"/>
  <c r="MS256" i="63"/>
  <c r="MT255" i="63"/>
  <c r="MV254" i="63"/>
  <c r="MX253" i="63"/>
  <c r="NA252" i="63"/>
  <c r="NB251" i="63"/>
  <c r="MJ251" i="63"/>
  <c r="MK250" i="63"/>
  <c r="ML249" i="63"/>
  <c r="MP248" i="63"/>
  <c r="MQ247" i="63"/>
  <c r="MS246" i="63"/>
  <c r="MV245" i="63"/>
  <c r="MX244" i="63"/>
  <c r="MY243" i="63"/>
  <c r="MH243" i="63"/>
  <c r="MI242" i="63"/>
  <c r="MJ241" i="63"/>
  <c r="MM240" i="63"/>
  <c r="MN239" i="63"/>
  <c r="MQ238" i="63"/>
  <c r="MZ257" i="63"/>
  <c r="MH256" i="63"/>
  <c r="MM254" i="63"/>
  <c r="MS252" i="63"/>
  <c r="MR251" i="63"/>
  <c r="MM250" i="63"/>
  <c r="NA248" i="63"/>
  <c r="MZ247" i="63"/>
  <c r="MV246" i="63"/>
  <c r="MO245" i="63"/>
  <c r="MO244" i="63"/>
  <c r="MI243" i="63"/>
  <c r="MW241" i="63"/>
  <c r="MW240" i="63"/>
  <c r="MQ239" i="63"/>
  <c r="MI238" i="63"/>
  <c r="MO258" i="63"/>
  <c r="MT256" i="63"/>
  <c r="MY254" i="63"/>
  <c r="NB252" i="63"/>
  <c r="MU251" i="63"/>
  <c r="MU250" i="63"/>
  <c r="MP249" i="63"/>
  <c r="MI248" i="63"/>
  <c r="MI247" i="63"/>
  <c r="MX245" i="63"/>
  <c r="MP244" i="63"/>
  <c r="MP243" i="63"/>
  <c r="MJ242" i="63"/>
  <c r="MX240" i="63"/>
  <c r="MX239" i="63"/>
  <c r="MS238" i="63"/>
  <c r="MV255" i="63"/>
  <c r="MQ252" i="63"/>
  <c r="MZ249" i="63"/>
  <c r="MT247" i="63"/>
  <c r="MK245" i="63"/>
  <c r="MU242" i="63"/>
  <c r="MO240" i="63"/>
  <c r="NB256" i="63"/>
  <c r="MN253" i="63"/>
  <c r="MW250" i="63"/>
  <c r="MQ248" i="63"/>
  <c r="MJ246" i="63"/>
  <c r="MR243" i="63"/>
  <c r="MN241" i="63"/>
  <c r="NA238" i="63"/>
  <c r="ML255" i="63"/>
  <c r="MW249" i="63"/>
  <c r="MY244" i="63"/>
  <c r="NB239" i="63"/>
  <c r="MS257" i="63"/>
  <c r="ML251" i="63"/>
  <c r="MK246" i="63"/>
  <c r="MT241" i="63"/>
  <c r="MY248" i="63"/>
  <c r="MH239" i="63"/>
  <c r="MZ258" i="63"/>
  <c r="MJ247" i="63"/>
  <c r="NA253" i="63"/>
  <c r="MK252" i="63"/>
  <c r="MR242" i="63"/>
  <c r="MH244" i="63"/>
  <c r="JH258" i="63"/>
  <c r="JD258" i="63"/>
  <c r="IZ258" i="63"/>
  <c r="JI257" i="63"/>
  <c r="JE257" i="63"/>
  <c r="JA257" i="63"/>
  <c r="IW257" i="63"/>
  <c r="JF256" i="63"/>
  <c r="JB256" i="63"/>
  <c r="IX256" i="63"/>
  <c r="IT256" i="63"/>
  <c r="JC255" i="63"/>
  <c r="IY255" i="63"/>
  <c r="IU255" i="63"/>
  <c r="IQ255" i="63"/>
  <c r="IZ254" i="63"/>
  <c r="IV254" i="63"/>
  <c r="IR254" i="63"/>
  <c r="JI253" i="63"/>
  <c r="IW253" i="63"/>
  <c r="IS253" i="63"/>
  <c r="JJ252" i="63"/>
  <c r="JF252" i="63"/>
  <c r="IT252" i="63"/>
  <c r="IP252" i="63"/>
  <c r="JG251" i="63"/>
  <c r="JC251" i="63"/>
  <c r="IQ251" i="63"/>
  <c r="JH250" i="63"/>
  <c r="JD250" i="63"/>
  <c r="IZ250" i="63"/>
  <c r="JI249" i="63"/>
  <c r="JE249" i="63"/>
  <c r="JA249" i="63"/>
  <c r="IW249" i="63"/>
  <c r="JF248" i="63"/>
  <c r="JB248" i="63"/>
  <c r="IX248" i="63"/>
  <c r="IT248" i="63"/>
  <c r="JC247" i="63"/>
  <c r="IY247" i="63"/>
  <c r="IU247" i="63"/>
  <c r="IQ247" i="63"/>
  <c r="IZ246" i="63"/>
  <c r="IV246" i="63"/>
  <c r="IR246" i="63"/>
  <c r="JI245" i="63"/>
  <c r="IW245" i="63"/>
  <c r="IS245" i="63"/>
  <c r="JJ244" i="63"/>
  <c r="JF244" i="63"/>
  <c r="IT244" i="63"/>
  <c r="IP244" i="63"/>
  <c r="JG243" i="63"/>
  <c r="JC243" i="63"/>
  <c r="IQ243" i="63"/>
  <c r="JH242" i="63"/>
  <c r="JD242" i="63"/>
  <c r="IZ242" i="63"/>
  <c r="JI241" i="63"/>
  <c r="JE241" i="63"/>
  <c r="JA241" i="63"/>
  <c r="IW241" i="63"/>
  <c r="JF240" i="63"/>
  <c r="JB240" i="63"/>
  <c r="IX240" i="63"/>
  <c r="IT240" i="63"/>
  <c r="JC239" i="63"/>
  <c r="IY239" i="63"/>
  <c r="IU239" i="63"/>
  <c r="IQ239" i="63"/>
  <c r="IZ238" i="63"/>
  <c r="IV238" i="63"/>
  <c r="IR238" i="63"/>
  <c r="JF258" i="63"/>
  <c r="IP258" i="63"/>
  <c r="JF257" i="63"/>
  <c r="IZ257" i="63"/>
  <c r="IU257" i="63"/>
  <c r="IZ256" i="63"/>
  <c r="IU256" i="63"/>
  <c r="JJ255" i="63"/>
  <c r="JE255" i="63"/>
  <c r="JJ254" i="63"/>
  <c r="JE254" i="63"/>
  <c r="IY254" i="63"/>
  <c r="IT254" i="63"/>
  <c r="IY253" i="63"/>
  <c r="IT253" i="63"/>
  <c r="JI252" i="63"/>
  <c r="JD252" i="63"/>
  <c r="JI251" i="63"/>
  <c r="JD251" i="63"/>
  <c r="IX251" i="63"/>
  <c r="IS251" i="63"/>
  <c r="IX250" i="63"/>
  <c r="IS250" i="63"/>
  <c r="JH249" i="63"/>
  <c r="JC249" i="63"/>
  <c r="JH248" i="63"/>
  <c r="JC248" i="63"/>
  <c r="IW248" i="63"/>
  <c r="IR248" i="63"/>
  <c r="IW247" i="63"/>
  <c r="IR247" i="63"/>
  <c r="JG246" i="63"/>
  <c r="JB246" i="63"/>
  <c r="JG245" i="63"/>
  <c r="JB245" i="63"/>
  <c r="IV245" i="63"/>
  <c r="IQ245" i="63"/>
  <c r="IV244" i="63"/>
  <c r="IQ244" i="63"/>
  <c r="JF243" i="63"/>
  <c r="JA243" i="63"/>
  <c r="JF242" i="63"/>
  <c r="JA242" i="63"/>
  <c r="IU242" i="63"/>
  <c r="IP242" i="63"/>
  <c r="IU241" i="63"/>
  <c r="IP241" i="63"/>
  <c r="JE240" i="63"/>
  <c r="IZ240" i="63"/>
  <c r="JE239" i="63"/>
  <c r="IZ239" i="63"/>
  <c r="IT239" i="63"/>
  <c r="JJ238" i="63"/>
  <c r="IT238" i="63"/>
  <c r="JI258" i="63"/>
  <c r="JB258" i="63"/>
  <c r="IT258" i="63"/>
  <c r="IT257" i="63"/>
  <c r="JH256" i="63"/>
  <c r="JA256" i="63"/>
  <c r="IS256" i="63"/>
  <c r="IS255" i="63"/>
  <c r="JG254" i="63"/>
  <c r="JA254" i="63"/>
  <c r="IS254" i="63"/>
  <c r="IR253" i="63"/>
  <c r="JG252" i="63"/>
  <c r="IZ252" i="63"/>
  <c r="IR252" i="63"/>
  <c r="IR251" i="63"/>
  <c r="JF250" i="63"/>
  <c r="IY250" i="63"/>
  <c r="IQ250" i="63"/>
  <c r="IQ249" i="63"/>
  <c r="JE248" i="63"/>
  <c r="IY248" i="63"/>
  <c r="IQ248" i="63"/>
  <c r="IP247" i="63"/>
  <c r="JE246" i="63"/>
  <c r="IX246" i="63"/>
  <c r="IP246" i="63"/>
  <c r="IP245" i="63"/>
  <c r="JD244" i="63"/>
  <c r="IW244" i="63"/>
  <c r="JJ243" i="63"/>
  <c r="JJ242" i="63"/>
  <c r="JC242" i="63"/>
  <c r="IW242" i="63"/>
  <c r="JJ241" i="63"/>
  <c r="JI240" i="63"/>
  <c r="JC240" i="63"/>
  <c r="IV240" i="63"/>
  <c r="JI239" i="63"/>
  <c r="JI238" i="63"/>
  <c r="JB238" i="63"/>
  <c r="IU238" i="63"/>
  <c r="JG258" i="63"/>
  <c r="IY257" i="63"/>
  <c r="IQ257" i="63"/>
  <c r="JC256" i="63"/>
  <c r="IR256" i="63"/>
  <c r="JF254" i="63"/>
  <c r="IW254" i="63"/>
  <c r="JH253" i="63"/>
  <c r="IX253" i="63"/>
  <c r="IQ252" i="63"/>
  <c r="JB251" i="63"/>
  <c r="IT251" i="63"/>
  <c r="JE250" i="63"/>
  <c r="IV249" i="63"/>
  <c r="JI248" i="63"/>
  <c r="IZ248" i="63"/>
  <c r="JJ247" i="63"/>
  <c r="JC246" i="63"/>
  <c r="IT246" i="63"/>
  <c r="JF245" i="63"/>
  <c r="IU245" i="63"/>
  <c r="JI243" i="63"/>
  <c r="IZ243" i="63"/>
  <c r="IR243" i="63"/>
  <c r="JB242" i="63"/>
  <c r="IT241" i="63"/>
  <c r="JG240" i="63"/>
  <c r="IW240" i="63"/>
  <c r="JH239" i="63"/>
  <c r="JA238" i="63"/>
  <c r="IQ238" i="63"/>
  <c r="JJ258" i="63"/>
  <c r="IW258" i="63"/>
  <c r="IY256" i="63"/>
  <c r="JI255" i="63"/>
  <c r="IW255" i="63"/>
  <c r="JC254" i="63"/>
  <c r="JH252" i="63"/>
  <c r="IV252" i="63"/>
  <c r="JE251" i="63"/>
  <c r="IP251" i="63"/>
  <c r="IU249" i="63"/>
  <c r="JD248" i="63"/>
  <c r="IS248" i="63"/>
  <c r="IZ247" i="63"/>
  <c r="JC245" i="63"/>
  <c r="IR245" i="63"/>
  <c r="IZ244" i="63"/>
  <c r="JH243" i="63"/>
  <c r="IQ242" i="63"/>
  <c r="IY241" i="63"/>
  <c r="JH240" i="63"/>
  <c r="IS240" i="63"/>
  <c r="IX238" i="63"/>
  <c r="IY258" i="63"/>
  <c r="JG257" i="63"/>
  <c r="IV257" i="63"/>
  <c r="IX255" i="63"/>
  <c r="JI254" i="63"/>
  <c r="IU254" i="63"/>
  <c r="JC253" i="63"/>
  <c r="JH251" i="63"/>
  <c r="IV251" i="63"/>
  <c r="JB250" i="63"/>
  <c r="IP250" i="63"/>
  <c r="IU248" i="63"/>
  <c r="JD247" i="63"/>
  <c r="JJ246" i="63"/>
  <c r="IY246" i="63"/>
  <c r="JC244" i="63"/>
  <c r="IR244" i="63"/>
  <c r="IX243" i="63"/>
  <c r="JG242" i="63"/>
  <c r="IQ241" i="63"/>
  <c r="IY240" i="63"/>
  <c r="JF239" i="63"/>
  <c r="IS239" i="63"/>
  <c r="IS258" i="63"/>
  <c r="JI256" i="63"/>
  <c r="JF255" i="63"/>
  <c r="JB254" i="63"/>
  <c r="JJ250" i="63"/>
  <c r="JD249" i="63"/>
  <c r="JA248" i="63"/>
  <c r="IV247" i="63"/>
  <c r="JE243" i="63"/>
  <c r="IY242" i="63"/>
  <c r="IX241" i="63"/>
  <c r="IR240" i="63"/>
  <c r="IX257" i="63"/>
  <c r="IV256" i="63"/>
  <c r="IP255" i="63"/>
  <c r="JF253" i="63"/>
  <c r="IT250" i="63"/>
  <c r="IP249" i="63"/>
  <c r="JF247" i="63"/>
  <c r="JA246" i="63"/>
  <c r="JI242" i="63"/>
  <c r="JG241" i="63"/>
  <c r="JA240" i="63"/>
  <c r="IW239" i="63"/>
  <c r="JB255" i="63"/>
  <c r="IU253" i="63"/>
  <c r="JG250" i="63"/>
  <c r="IV248" i="63"/>
  <c r="IR241" i="63"/>
  <c r="JF238" i="63"/>
  <c r="JE258" i="63"/>
  <c r="IW256" i="63"/>
  <c r="IT249" i="63"/>
  <c r="JF246" i="63"/>
  <c r="IU244" i="63"/>
  <c r="JH241" i="63"/>
  <c r="JE252" i="63"/>
  <c r="JI247" i="63"/>
  <c r="IS243" i="63"/>
  <c r="IW238" i="63"/>
  <c r="IT247" i="63"/>
  <c r="IX242" i="63"/>
  <c r="IR255" i="63"/>
  <c r="IZ245" i="63"/>
  <c r="JE244" i="63"/>
  <c r="IQ240" i="63"/>
  <c r="IW250" i="63"/>
  <c r="JD240" i="63"/>
  <c r="OU258" i="63"/>
  <c r="OQ258" i="63"/>
  <c r="OM258" i="63"/>
  <c r="OI258" i="63"/>
  <c r="OE258" i="63"/>
  <c r="OV257" i="63"/>
  <c r="OR257" i="63"/>
  <c r="ON257" i="63"/>
  <c r="OJ257" i="63"/>
  <c r="OF257" i="63"/>
  <c r="OW256" i="63"/>
  <c r="OV258" i="63"/>
  <c r="OP258" i="63"/>
  <c r="OK258" i="63"/>
  <c r="OF258" i="63"/>
  <c r="OU257" i="63"/>
  <c r="OP257" i="63"/>
  <c r="OK257" i="63"/>
  <c r="OE257" i="63"/>
  <c r="OU256" i="63"/>
  <c r="OQ256" i="63"/>
  <c r="OM256" i="63"/>
  <c r="OI256" i="63"/>
  <c r="OE256" i="63"/>
  <c r="OV255" i="63"/>
  <c r="OR255" i="63"/>
  <c r="ON255" i="63"/>
  <c r="OJ255" i="63"/>
  <c r="OF255" i="63"/>
  <c r="OW254" i="63"/>
  <c r="OS254" i="63"/>
  <c r="OO254" i="63"/>
  <c r="OK254" i="63"/>
  <c r="OG254" i="63"/>
  <c r="OX253" i="63"/>
  <c r="OT253" i="63"/>
  <c r="OP253" i="63"/>
  <c r="OL253" i="63"/>
  <c r="OH253" i="63"/>
  <c r="OD253" i="63"/>
  <c r="OU252" i="63"/>
  <c r="OQ252" i="63"/>
  <c r="OM252" i="63"/>
  <c r="OI252" i="63"/>
  <c r="OE252" i="63"/>
  <c r="OV251" i="63"/>
  <c r="OR251" i="63"/>
  <c r="ON251" i="63"/>
  <c r="OJ251" i="63"/>
  <c r="OF251" i="63"/>
  <c r="OW250" i="63"/>
  <c r="OS250" i="63"/>
  <c r="OO250" i="63"/>
  <c r="OK250" i="63"/>
  <c r="OG250" i="63"/>
  <c r="OX249" i="63"/>
  <c r="OT249" i="63"/>
  <c r="OP249" i="63"/>
  <c r="OL249" i="63"/>
  <c r="OH249" i="63"/>
  <c r="OD249" i="63"/>
  <c r="OU248" i="63"/>
  <c r="OQ248" i="63"/>
  <c r="OM248" i="63"/>
  <c r="OI248" i="63"/>
  <c r="OE248" i="63"/>
  <c r="OV247" i="63"/>
  <c r="OR247" i="63"/>
  <c r="ON247" i="63"/>
  <c r="OJ247" i="63"/>
  <c r="OF247" i="63"/>
  <c r="OW246" i="63"/>
  <c r="OS246" i="63"/>
  <c r="OO246" i="63"/>
  <c r="OK246" i="63"/>
  <c r="OG246" i="63"/>
  <c r="OX245" i="63"/>
  <c r="OT245" i="63"/>
  <c r="OP245" i="63"/>
  <c r="OL245" i="63"/>
  <c r="OH245" i="63"/>
  <c r="OD245" i="63"/>
  <c r="OU244" i="63"/>
  <c r="OQ244" i="63"/>
  <c r="OM244" i="63"/>
  <c r="OI244" i="63"/>
  <c r="OE244" i="63"/>
  <c r="OV243" i="63"/>
  <c r="OR243" i="63"/>
  <c r="ON243" i="63"/>
  <c r="OJ243" i="63"/>
  <c r="OF243" i="63"/>
  <c r="OW242" i="63"/>
  <c r="OS242" i="63"/>
  <c r="OO242" i="63"/>
  <c r="OK242" i="63"/>
  <c r="OG242" i="63"/>
  <c r="OX241" i="63"/>
  <c r="OT241" i="63"/>
  <c r="OP241" i="63"/>
  <c r="OL241" i="63"/>
  <c r="OH241" i="63"/>
  <c r="OD241" i="63"/>
  <c r="OU240" i="63"/>
  <c r="OQ240" i="63"/>
  <c r="OM240" i="63"/>
  <c r="OI240" i="63"/>
  <c r="OE240" i="63"/>
  <c r="OV239" i="63"/>
  <c r="OR239" i="63"/>
  <c r="ON239" i="63"/>
  <c r="OJ239" i="63"/>
  <c r="OF239" i="63"/>
  <c r="OW238" i="63"/>
  <c r="OS238" i="63"/>
  <c r="OO238" i="63"/>
  <c r="OK238" i="63"/>
  <c r="OG238" i="63"/>
  <c r="OW258" i="63"/>
  <c r="OO258" i="63"/>
  <c r="OH258" i="63"/>
  <c r="OW257" i="63"/>
  <c r="OO257" i="63"/>
  <c r="OH257" i="63"/>
  <c r="OV256" i="63"/>
  <c r="OP256" i="63"/>
  <c r="OK256" i="63"/>
  <c r="OF256" i="63"/>
  <c r="OU255" i="63"/>
  <c r="OP255" i="63"/>
  <c r="OK255" i="63"/>
  <c r="OE255" i="63"/>
  <c r="OU254" i="63"/>
  <c r="OP254" i="63"/>
  <c r="OJ254" i="63"/>
  <c r="OE254" i="63"/>
  <c r="OU253" i="63"/>
  <c r="OO253" i="63"/>
  <c r="OJ253" i="63"/>
  <c r="OE253" i="63"/>
  <c r="OT252" i="63"/>
  <c r="OO252" i="63"/>
  <c r="OJ252" i="63"/>
  <c r="OD252" i="63"/>
  <c r="OT251" i="63"/>
  <c r="OO251" i="63"/>
  <c r="OI251" i="63"/>
  <c r="OD251" i="63"/>
  <c r="OT250" i="63"/>
  <c r="ON250" i="63"/>
  <c r="OI250" i="63"/>
  <c r="OD250" i="63"/>
  <c r="OS249" i="63"/>
  <c r="ON249" i="63"/>
  <c r="OI249" i="63"/>
  <c r="OX248" i="63"/>
  <c r="OS248" i="63"/>
  <c r="ON248" i="63"/>
  <c r="OH248" i="63"/>
  <c r="OX247" i="63"/>
  <c r="OS247" i="63"/>
  <c r="OM247" i="63"/>
  <c r="OH247" i="63"/>
  <c r="OX246" i="63"/>
  <c r="OR246" i="63"/>
  <c r="OM246" i="63"/>
  <c r="OH246" i="63"/>
  <c r="OW245" i="63"/>
  <c r="OR245" i="63"/>
  <c r="OM245" i="63"/>
  <c r="OG245" i="63"/>
  <c r="OW244" i="63"/>
  <c r="OR244" i="63"/>
  <c r="OL244" i="63"/>
  <c r="OG244" i="63"/>
  <c r="OW243" i="63"/>
  <c r="OQ243" i="63"/>
  <c r="OL243" i="63"/>
  <c r="OG243" i="63"/>
  <c r="OV242" i="63"/>
  <c r="OQ242" i="63"/>
  <c r="OL242" i="63"/>
  <c r="OF242" i="63"/>
  <c r="OV241" i="63"/>
  <c r="OQ241" i="63"/>
  <c r="OK241" i="63"/>
  <c r="OF241" i="63"/>
  <c r="OV240" i="63"/>
  <c r="OP240" i="63"/>
  <c r="OK240" i="63"/>
  <c r="OF240" i="63"/>
  <c r="OU239" i="63"/>
  <c r="OP239" i="63"/>
  <c r="OK239" i="63"/>
  <c r="OE239" i="63"/>
  <c r="OU238" i="63"/>
  <c r="OP238" i="63"/>
  <c r="OJ238" i="63"/>
  <c r="OE238" i="63"/>
  <c r="OS258" i="63"/>
  <c r="OJ258" i="63"/>
  <c r="OT257" i="63"/>
  <c r="OL257" i="63"/>
  <c r="OX256" i="63"/>
  <c r="OO256" i="63"/>
  <c r="OH256" i="63"/>
  <c r="OW255" i="63"/>
  <c r="OO255" i="63"/>
  <c r="OH255" i="63"/>
  <c r="OV254" i="63"/>
  <c r="ON254" i="63"/>
  <c r="OH254" i="63"/>
  <c r="OV253" i="63"/>
  <c r="ON253" i="63"/>
  <c r="OG253" i="63"/>
  <c r="OV252" i="63"/>
  <c r="ON252" i="63"/>
  <c r="OG252" i="63"/>
  <c r="OU251" i="63"/>
  <c r="OM251" i="63"/>
  <c r="OG251" i="63"/>
  <c r="OU250" i="63"/>
  <c r="OM250" i="63"/>
  <c r="OF250" i="63"/>
  <c r="OU249" i="63"/>
  <c r="OM249" i="63"/>
  <c r="OF249" i="63"/>
  <c r="OT248" i="63"/>
  <c r="OL248" i="63"/>
  <c r="OF248" i="63"/>
  <c r="OT247" i="63"/>
  <c r="OL247" i="63"/>
  <c r="OE247" i="63"/>
  <c r="OT246" i="63"/>
  <c r="OL246" i="63"/>
  <c r="OE246" i="63"/>
  <c r="OS245" i="63"/>
  <c r="OK245" i="63"/>
  <c r="OE245" i="63"/>
  <c r="OS244" i="63"/>
  <c r="OK244" i="63"/>
  <c r="OD244" i="63"/>
  <c r="OS243" i="63"/>
  <c r="OK243" i="63"/>
  <c r="OD243" i="63"/>
  <c r="OR242" i="63"/>
  <c r="OJ242" i="63"/>
  <c r="OD242" i="63"/>
  <c r="OR241" i="63"/>
  <c r="OJ241" i="63"/>
  <c r="OX240" i="63"/>
  <c r="OR240" i="63"/>
  <c r="OJ240" i="63"/>
  <c r="OX239" i="63"/>
  <c r="OQ239" i="63"/>
  <c r="OI239" i="63"/>
  <c r="OX238" i="63"/>
  <c r="OQ238" i="63"/>
  <c r="OI238" i="63"/>
  <c r="OT258" i="63"/>
  <c r="OG258" i="63"/>
  <c r="OQ257" i="63"/>
  <c r="OD257" i="63"/>
  <c r="ON256" i="63"/>
  <c r="OD256" i="63"/>
  <c r="OQ255" i="63"/>
  <c r="OG255" i="63"/>
  <c r="OR254" i="63"/>
  <c r="OI254" i="63"/>
  <c r="OS253" i="63"/>
  <c r="OK253" i="63"/>
  <c r="OW252" i="63"/>
  <c r="OL252" i="63"/>
  <c r="OX251" i="63"/>
  <c r="OP251" i="63"/>
  <c r="OE251" i="63"/>
  <c r="OQ250" i="63"/>
  <c r="OH250" i="63"/>
  <c r="OR249" i="63"/>
  <c r="OJ249" i="63"/>
  <c r="OV248" i="63"/>
  <c r="OK248" i="63"/>
  <c r="OW247" i="63"/>
  <c r="OO247" i="63"/>
  <c r="OD247" i="63"/>
  <c r="OP246" i="63"/>
  <c r="OF246" i="63"/>
  <c r="OQ245" i="63"/>
  <c r="OI245" i="63"/>
  <c r="OT244" i="63"/>
  <c r="OJ244" i="63"/>
  <c r="OU243" i="63"/>
  <c r="OM243" i="63"/>
  <c r="OX242" i="63"/>
  <c r="ON242" i="63"/>
  <c r="OE242" i="63"/>
  <c r="OO241" i="63"/>
  <c r="OG241" i="63"/>
  <c r="OS240" i="63"/>
  <c r="OH240" i="63"/>
  <c r="OT239" i="63"/>
  <c r="OL239" i="63"/>
  <c r="OV238" i="63"/>
  <c r="OM238" i="63"/>
  <c r="OD238" i="63"/>
  <c r="OL258" i="63"/>
  <c r="OM257" i="63"/>
  <c r="OS256" i="63"/>
  <c r="OG256" i="63"/>
  <c r="OM255" i="63"/>
  <c r="OX254" i="63"/>
  <c r="OL254" i="63"/>
  <c r="OR253" i="63"/>
  <c r="OF253" i="63"/>
  <c r="OP252" i="63"/>
  <c r="OW251" i="63"/>
  <c r="OK251" i="63"/>
  <c r="OR250" i="63"/>
  <c r="OE250" i="63"/>
  <c r="OO249" i="63"/>
  <c r="OW248" i="63"/>
  <c r="OJ248" i="63"/>
  <c r="OQ247" i="63"/>
  <c r="OG247" i="63"/>
  <c r="ON246" i="63"/>
  <c r="OV245" i="63"/>
  <c r="OJ245" i="63"/>
  <c r="OP244" i="63"/>
  <c r="OF244" i="63"/>
  <c r="OO243" i="63"/>
  <c r="OU242" i="63"/>
  <c r="OI242" i="63"/>
  <c r="OS241" i="63"/>
  <c r="OE241" i="63"/>
  <c r="ON240" i="63"/>
  <c r="OW239" i="63"/>
  <c r="OH239" i="63"/>
  <c r="OR238" i="63"/>
  <c r="OF238" i="63"/>
  <c r="ON258" i="63"/>
  <c r="OS257" i="63"/>
  <c r="OT256" i="63"/>
  <c r="OJ256" i="63"/>
  <c r="OS255" i="63"/>
  <c r="OD255" i="63"/>
  <c r="OM254" i="63"/>
  <c r="OW253" i="63"/>
  <c r="OI253" i="63"/>
  <c r="OR252" i="63"/>
  <c r="OF252" i="63"/>
  <c r="OL251" i="63"/>
  <c r="OV250" i="63"/>
  <c r="OJ250" i="63"/>
  <c r="OQ249" i="63"/>
  <c r="OE249" i="63"/>
  <c r="OO248" i="63"/>
  <c r="OU247" i="63"/>
  <c r="OI247" i="63"/>
  <c r="OQ246" i="63"/>
  <c r="OD246" i="63"/>
  <c r="ON245" i="63"/>
  <c r="OV244" i="63"/>
  <c r="OH244" i="63"/>
  <c r="OP243" i="63"/>
  <c r="OE243" i="63"/>
  <c r="OM242" i="63"/>
  <c r="OU241" i="63"/>
  <c r="OI241" i="63"/>
  <c r="OO240" i="63"/>
  <c r="OD240" i="63"/>
  <c r="OM239" i="63"/>
  <c r="OT238" i="63"/>
  <c r="OH238" i="63"/>
  <c r="OD258" i="63"/>
  <c r="OR256" i="63"/>
  <c r="OL255" i="63"/>
  <c r="OF254" i="63"/>
  <c r="OX252" i="63"/>
  <c r="OS251" i="63"/>
  <c r="OP250" i="63"/>
  <c r="OK249" i="63"/>
  <c r="OG248" i="63"/>
  <c r="OV246" i="63"/>
  <c r="OU245" i="63"/>
  <c r="OO244" i="63"/>
  <c r="OI243" i="63"/>
  <c r="OH242" i="63"/>
  <c r="OW240" i="63"/>
  <c r="OS239" i="63"/>
  <c r="ON238" i="63"/>
  <c r="OR258" i="63"/>
  <c r="OG257" i="63"/>
  <c r="OT255" i="63"/>
  <c r="OQ254" i="63"/>
  <c r="OM253" i="63"/>
  <c r="OH252" i="63"/>
  <c r="OX250" i="63"/>
  <c r="OV249" i="63"/>
  <c r="OP248" i="63"/>
  <c r="OK247" i="63"/>
  <c r="OI246" i="63"/>
  <c r="OX244" i="63"/>
  <c r="OT243" i="63"/>
  <c r="OP242" i="63"/>
  <c r="OM241" i="63"/>
  <c r="OG240" i="63"/>
  <c r="OD239" i="63"/>
  <c r="OL256" i="63"/>
  <c r="OD254" i="63"/>
  <c r="OQ251" i="63"/>
  <c r="OG249" i="63"/>
  <c r="OU246" i="63"/>
  <c r="ON244" i="63"/>
  <c r="OW241" i="63"/>
  <c r="OO239" i="63"/>
  <c r="OI257" i="63"/>
  <c r="OT254" i="63"/>
  <c r="OK252" i="63"/>
  <c r="OW249" i="63"/>
  <c r="OP247" i="63"/>
  <c r="OF245" i="63"/>
  <c r="OT242" i="63"/>
  <c r="OL240" i="63"/>
  <c r="OX255" i="63"/>
  <c r="OH251" i="63"/>
  <c r="OJ246" i="63"/>
  <c r="ON241" i="63"/>
  <c r="OX257" i="63"/>
  <c r="OS252" i="63"/>
  <c r="OD248" i="63"/>
  <c r="OH243" i="63"/>
  <c r="OL238" i="63"/>
  <c r="OL250" i="63"/>
  <c r="OT240" i="63"/>
  <c r="OQ253" i="63"/>
  <c r="OX243" i="63"/>
  <c r="OX258" i="63"/>
  <c r="OG239" i="63"/>
  <c r="OO245" i="63"/>
  <c r="OI255" i="63"/>
  <c r="OR248" i="63"/>
  <c r="DB258" i="63"/>
  <c r="DL256" i="63"/>
  <c r="DN254" i="63"/>
  <c r="DC253" i="63"/>
  <c r="DE251" i="63"/>
  <c r="DO249" i="63"/>
  <c r="DQ247" i="63"/>
  <c r="DF246" i="63"/>
  <c r="DH244" i="63"/>
  <c r="DR242" i="63"/>
  <c r="DT240" i="63"/>
  <c r="DI239" i="63"/>
  <c r="DI258" i="63"/>
  <c r="DI256" i="63"/>
  <c r="DH254" i="63"/>
  <c r="DG252" i="63"/>
  <c r="DL250" i="63"/>
  <c r="DV248" i="63"/>
  <c r="DK247" i="63"/>
  <c r="DU245" i="63"/>
  <c r="DJ244" i="63"/>
  <c r="DT242" i="63"/>
  <c r="DI241" i="63"/>
  <c r="DS239" i="63"/>
  <c r="DH238" i="63"/>
  <c r="DL257" i="63"/>
  <c r="DK255" i="63"/>
  <c r="DJ253" i="63"/>
  <c r="DJ251" i="63"/>
  <c r="DI249" i="63"/>
  <c r="DH247" i="63"/>
  <c r="DH245" i="63"/>
  <c r="DG243" i="63"/>
  <c r="DF241" i="63"/>
  <c r="DF239" i="63"/>
  <c r="DV257" i="63"/>
  <c r="DG255" i="63"/>
  <c r="DN252" i="63"/>
  <c r="DT249" i="63"/>
  <c r="DD247" i="63"/>
  <c r="DK244" i="63"/>
  <c r="DQ241" i="63"/>
  <c r="DB239" i="63"/>
  <c r="DU256" i="63"/>
  <c r="DF253" i="63"/>
  <c r="DN249" i="63"/>
  <c r="DC246" i="63"/>
  <c r="DK242" i="63"/>
  <c r="DQ238" i="63"/>
  <c r="DJ256" i="63"/>
  <c r="DS252" i="63"/>
  <c r="DE249" i="63"/>
  <c r="DM245" i="63"/>
  <c r="DV241" i="63"/>
  <c r="DI238" i="63"/>
  <c r="DT251" i="63"/>
  <c r="DQ244" i="63"/>
  <c r="DH258" i="63"/>
  <c r="DD251" i="63"/>
  <c r="DS243" i="63"/>
  <c r="DE254" i="63"/>
  <c r="DP239" i="63"/>
  <c r="DJ255" i="63"/>
  <c r="DK252" i="63"/>
  <c r="DM258" i="63"/>
  <c r="DE248" i="63"/>
  <c r="MC258" i="63"/>
  <c r="LY258" i="63"/>
  <c r="LU258" i="63"/>
  <c r="LQ258" i="63"/>
  <c r="LM258" i="63"/>
  <c r="MD257" i="63"/>
  <c r="LZ257" i="63"/>
  <c r="LV257" i="63"/>
  <c r="LR257" i="63"/>
  <c r="LN257" i="63"/>
  <c r="LJ257" i="63"/>
  <c r="MA256" i="63"/>
  <c r="LW256" i="63"/>
  <c r="LS256" i="63"/>
  <c r="LO256" i="63"/>
  <c r="LK256" i="63"/>
  <c r="MB255" i="63"/>
  <c r="LX255" i="63"/>
  <c r="LT255" i="63"/>
  <c r="LP255" i="63"/>
  <c r="LL255" i="63"/>
  <c r="MC254" i="63"/>
  <c r="LY254" i="63"/>
  <c r="LU254" i="63"/>
  <c r="LQ254" i="63"/>
  <c r="LM254" i="63"/>
  <c r="MD253" i="63"/>
  <c r="LZ253" i="63"/>
  <c r="LV253" i="63"/>
  <c r="LR253" i="63"/>
  <c r="LN253" i="63"/>
  <c r="LJ253" i="63"/>
  <c r="MA252" i="63"/>
  <c r="LW252" i="63"/>
  <c r="LS252" i="63"/>
  <c r="LO252" i="63"/>
  <c r="LK252" i="63"/>
  <c r="MB251" i="63"/>
  <c r="LX251" i="63"/>
  <c r="LT251" i="63"/>
  <c r="LP251" i="63"/>
  <c r="LL251" i="63"/>
  <c r="MC250" i="63"/>
  <c r="LY250" i="63"/>
  <c r="LU250" i="63"/>
  <c r="LQ250" i="63"/>
  <c r="LM250" i="63"/>
  <c r="MD249" i="63"/>
  <c r="LZ249" i="63"/>
  <c r="LV249" i="63"/>
  <c r="LR249" i="63"/>
  <c r="LN249" i="63"/>
  <c r="LJ249" i="63"/>
  <c r="MA248" i="63"/>
  <c r="LW248" i="63"/>
  <c r="LS248" i="63"/>
  <c r="LO248" i="63"/>
  <c r="LK248" i="63"/>
  <c r="MB247" i="63"/>
  <c r="LX247" i="63"/>
  <c r="LT247" i="63"/>
  <c r="LP247" i="63"/>
  <c r="LL247" i="63"/>
  <c r="MC246" i="63"/>
  <c r="LY246" i="63"/>
  <c r="LU246" i="63"/>
  <c r="LQ246" i="63"/>
  <c r="LM246" i="63"/>
  <c r="MD245" i="63"/>
  <c r="LZ245" i="63"/>
  <c r="LV245" i="63"/>
  <c r="LR245" i="63"/>
  <c r="LN245" i="63"/>
  <c r="LJ245" i="63"/>
  <c r="MA244" i="63"/>
  <c r="LW244" i="63"/>
  <c r="LS244" i="63"/>
  <c r="LO244" i="63"/>
  <c r="LK244" i="63"/>
  <c r="MB243" i="63"/>
  <c r="LX243" i="63"/>
  <c r="LT243" i="63"/>
  <c r="LP243" i="63"/>
  <c r="LL243" i="63"/>
  <c r="MC242" i="63"/>
  <c r="LY242" i="63"/>
  <c r="LU242" i="63"/>
  <c r="LQ242" i="63"/>
  <c r="LM242" i="63"/>
  <c r="MD241" i="63"/>
  <c r="LZ241" i="63"/>
  <c r="LV241" i="63"/>
  <c r="LR241" i="63"/>
  <c r="LN241" i="63"/>
  <c r="LJ241" i="63"/>
  <c r="MA240" i="63"/>
  <c r="LW240" i="63"/>
  <c r="LS240" i="63"/>
  <c r="LO240" i="63"/>
  <c r="LK240" i="63"/>
  <c r="MB239" i="63"/>
  <c r="LX239" i="63"/>
  <c r="LT239" i="63"/>
  <c r="LP239" i="63"/>
  <c r="LL239" i="63"/>
  <c r="MC238" i="63"/>
  <c r="LY238" i="63"/>
  <c r="LU238" i="63"/>
  <c r="LQ238" i="63"/>
  <c r="LM238" i="63"/>
  <c r="MD258" i="63"/>
  <c r="LX258" i="63"/>
  <c r="LS258" i="63"/>
  <c r="LN258" i="63"/>
  <c r="MC257" i="63"/>
  <c r="LX257" i="63"/>
  <c r="LS257" i="63"/>
  <c r="LM257" i="63"/>
  <c r="MC256" i="63"/>
  <c r="LX256" i="63"/>
  <c r="LR256" i="63"/>
  <c r="LM256" i="63"/>
  <c r="MC255" i="63"/>
  <c r="LW255" i="63"/>
  <c r="LR255" i="63"/>
  <c r="LM255" i="63"/>
  <c r="MB254" i="63"/>
  <c r="LW254" i="63"/>
  <c r="LR254" i="63"/>
  <c r="LL254" i="63"/>
  <c r="MB253" i="63"/>
  <c r="LW253" i="63"/>
  <c r="LQ253" i="63"/>
  <c r="LL253" i="63"/>
  <c r="MB252" i="63"/>
  <c r="LV252" i="63"/>
  <c r="LQ252" i="63"/>
  <c r="LL252" i="63"/>
  <c r="MA251" i="63"/>
  <c r="LV251" i="63"/>
  <c r="LQ251" i="63"/>
  <c r="LK251" i="63"/>
  <c r="MA250" i="63"/>
  <c r="LV250" i="63"/>
  <c r="LP250" i="63"/>
  <c r="LK250" i="63"/>
  <c r="MA249" i="63"/>
  <c r="LU249" i="63"/>
  <c r="LP249" i="63"/>
  <c r="LK249" i="63"/>
  <c r="LZ248" i="63"/>
  <c r="LU248" i="63"/>
  <c r="LP248" i="63"/>
  <c r="LJ248" i="63"/>
  <c r="LZ247" i="63"/>
  <c r="LU247" i="63"/>
  <c r="LO247" i="63"/>
  <c r="LJ247" i="63"/>
  <c r="LZ246" i="63"/>
  <c r="LT246" i="63"/>
  <c r="LO246" i="63"/>
  <c r="LJ246" i="63"/>
  <c r="LY245" i="63"/>
  <c r="LT245" i="63"/>
  <c r="LO245" i="63"/>
  <c r="MD244" i="63"/>
  <c r="LY244" i="63"/>
  <c r="LT244" i="63"/>
  <c r="LN244" i="63"/>
  <c r="MD243" i="63"/>
  <c r="LY243" i="63"/>
  <c r="LS243" i="63"/>
  <c r="LN243" i="63"/>
  <c r="MD242" i="63"/>
  <c r="LX242" i="63"/>
  <c r="LS242" i="63"/>
  <c r="LN242" i="63"/>
  <c r="MC241" i="63"/>
  <c r="LX241" i="63"/>
  <c r="LS241" i="63"/>
  <c r="LM241" i="63"/>
  <c r="MC240" i="63"/>
  <c r="LX240" i="63"/>
  <c r="LR240" i="63"/>
  <c r="LM240" i="63"/>
  <c r="MC239" i="63"/>
  <c r="LW239" i="63"/>
  <c r="LR239" i="63"/>
  <c r="LM239" i="63"/>
  <c r="MB238" i="63"/>
  <c r="LW238" i="63"/>
  <c r="LR238" i="63"/>
  <c r="LL238" i="63"/>
  <c r="MB258" i="63"/>
  <c r="LV258" i="63"/>
  <c r="LO258" i="63"/>
  <c r="MB257" i="63"/>
  <c r="LU257" i="63"/>
  <c r="LO257" i="63"/>
  <c r="MB256" i="63"/>
  <c r="LU256" i="63"/>
  <c r="LN256" i="63"/>
  <c r="MA255" i="63"/>
  <c r="LU255" i="63"/>
  <c r="LN255" i="63"/>
  <c r="MA254" i="63"/>
  <c r="LT254" i="63"/>
  <c r="LN254" i="63"/>
  <c r="MA253" i="63"/>
  <c r="LT253" i="63"/>
  <c r="LM253" i="63"/>
  <c r="LZ252" i="63"/>
  <c r="LT252" i="63"/>
  <c r="LM252" i="63"/>
  <c r="LZ251" i="63"/>
  <c r="LS251" i="63"/>
  <c r="LM251" i="63"/>
  <c r="LZ250" i="63"/>
  <c r="LS250" i="63"/>
  <c r="LL250" i="63"/>
  <c r="LY249" i="63"/>
  <c r="LS249" i="63"/>
  <c r="LL249" i="63"/>
  <c r="LY248" i="63"/>
  <c r="LR248" i="63"/>
  <c r="LL248" i="63"/>
  <c r="LY247" i="63"/>
  <c r="LR247" i="63"/>
  <c r="LK247" i="63"/>
  <c r="LX246" i="63"/>
  <c r="LR246" i="63"/>
  <c r="LK246" i="63"/>
  <c r="LX245" i="63"/>
  <c r="LQ245" i="63"/>
  <c r="LK245" i="63"/>
  <c r="LX244" i="63"/>
  <c r="LQ244" i="63"/>
  <c r="LJ244" i="63"/>
  <c r="LW243" i="63"/>
  <c r="LQ243" i="63"/>
  <c r="LJ243" i="63"/>
  <c r="LW242" i="63"/>
  <c r="LP242" i="63"/>
  <c r="LJ242" i="63"/>
  <c r="LW241" i="63"/>
  <c r="LP241" i="63"/>
  <c r="MD240" i="63"/>
  <c r="LV240" i="63"/>
  <c r="LP240" i="63"/>
  <c r="MD239" i="63"/>
  <c r="LV239" i="63"/>
  <c r="LO239" i="63"/>
  <c r="MD238" i="63"/>
  <c r="LV238" i="63"/>
  <c r="LO238" i="63"/>
  <c r="MA258" i="63"/>
  <c r="LR258" i="63"/>
  <c r="LJ258" i="63"/>
  <c r="LT257" i="63"/>
  <c r="LK257" i="63"/>
  <c r="LV256" i="63"/>
  <c r="LL256" i="63"/>
  <c r="LY255" i="63"/>
  <c r="LO255" i="63"/>
  <c r="LZ254" i="63"/>
  <c r="LP254" i="63"/>
  <c r="MC253" i="63"/>
  <c r="LS253" i="63"/>
  <c r="MD252" i="63"/>
  <c r="LU252" i="63"/>
  <c r="LJ252" i="63"/>
  <c r="LW251" i="63"/>
  <c r="LN251" i="63"/>
  <c r="LX250" i="63"/>
  <c r="LO250" i="63"/>
  <c r="MB249" i="63"/>
  <c r="LQ249" i="63"/>
  <c r="MC248" i="63"/>
  <c r="LT248" i="63"/>
  <c r="MD247" i="63"/>
  <c r="LV247" i="63"/>
  <c r="LM247" i="63"/>
  <c r="LW246" i="63"/>
  <c r="LN246" i="63"/>
  <c r="MA245" i="63"/>
  <c r="LP245" i="63"/>
  <c r="MB244" i="63"/>
  <c r="LR244" i="63"/>
  <c r="MC243" i="63"/>
  <c r="LU243" i="63"/>
  <c r="LK243" i="63"/>
  <c r="LV242" i="63"/>
  <c r="LL242" i="63"/>
  <c r="LY241" i="63"/>
  <c r="LO241" i="63"/>
  <c r="LZ240" i="63"/>
  <c r="LQ240" i="63"/>
  <c r="MA239" i="63"/>
  <c r="LS239" i="63"/>
  <c r="LJ239" i="63"/>
  <c r="LT238" i="63"/>
  <c r="LK238" i="63"/>
  <c r="LT258" i="63"/>
  <c r="LK258" i="63"/>
  <c r="LW257" i="63"/>
  <c r="LL257" i="63"/>
  <c r="LY256" i="63"/>
  <c r="LP256" i="63"/>
  <c r="LZ255" i="63"/>
  <c r="LQ255" i="63"/>
  <c r="MD254" i="63"/>
  <c r="LS254" i="63"/>
  <c r="LJ254" i="63"/>
  <c r="LU253" i="63"/>
  <c r="LK253" i="63"/>
  <c r="LX252" i="63"/>
  <c r="LN252" i="63"/>
  <c r="LY251" i="63"/>
  <c r="LO251" i="63"/>
  <c r="LW258" i="63"/>
  <c r="LY257" i="63"/>
  <c r="LZ256" i="63"/>
  <c r="MD255" i="63"/>
  <c r="LJ255" i="63"/>
  <c r="LK254" i="63"/>
  <c r="LO253" i="63"/>
  <c r="LP252" i="63"/>
  <c r="LR251" i="63"/>
  <c r="LW250" i="63"/>
  <c r="LJ250" i="63"/>
  <c r="LT249" i="63"/>
  <c r="MB248" i="63"/>
  <c r="LN248" i="63"/>
  <c r="LW247" i="63"/>
  <c r="MD246" i="63"/>
  <c r="LS246" i="63"/>
  <c r="MB245" i="63"/>
  <c r="LM245" i="63"/>
  <c r="LV244" i="63"/>
  <c r="LL244" i="63"/>
  <c r="LR243" i="63"/>
  <c r="MA242" i="63"/>
  <c r="LO242" i="63"/>
  <c r="LU241" i="63"/>
  <c r="LK241" i="63"/>
  <c r="LT240" i="63"/>
  <c r="LZ239" i="63"/>
  <c r="LN239" i="63"/>
  <c r="LX238" i="63"/>
  <c r="LJ238" i="63"/>
  <c r="LL258" i="63"/>
  <c r="MD256" i="63"/>
  <c r="LV255" i="63"/>
  <c r="LV254" i="63"/>
  <c r="LP253" i="63"/>
  <c r="MD251" i="63"/>
  <c r="MD250" i="63"/>
  <c r="LN250" i="63"/>
  <c r="LO249" i="63"/>
  <c r="LV248" i="63"/>
  <c r="MA247" i="63"/>
  <c r="MB246" i="63"/>
  <c r="LL246" i="63"/>
  <c r="LS245" i="63"/>
  <c r="LU244" i="63"/>
  <c r="LZ243" i="63"/>
  <c r="MB242" i="63"/>
  <c r="LK242" i="63"/>
  <c r="LQ241" i="63"/>
  <c r="LU240" i="63"/>
  <c r="LY239" i="63"/>
  <c r="MA238" i="63"/>
  <c r="LN238" i="63"/>
  <c r="LP258" i="63"/>
  <c r="LP257" i="63"/>
  <c r="LJ256" i="63"/>
  <c r="LX254" i="63"/>
  <c r="LX253" i="63"/>
  <c r="LR252" i="63"/>
  <c r="LJ251" i="63"/>
  <c r="LR250" i="63"/>
  <c r="LW249" i="63"/>
  <c r="LX248" i="63"/>
  <c r="MC247" i="63"/>
  <c r="LN247" i="63"/>
  <c r="LP246" i="63"/>
  <c r="LU245" i="63"/>
  <c r="LZ244" i="63"/>
  <c r="MA243" i="63"/>
  <c r="LM243" i="63"/>
  <c r="LR242" i="63"/>
  <c r="LT241" i="63"/>
  <c r="LY240" i="63"/>
  <c r="LJ240" i="63"/>
  <c r="LK239" i="63"/>
  <c r="LP238" i="63"/>
  <c r="LT256" i="63"/>
  <c r="LO254" i="63"/>
  <c r="MC251" i="63"/>
  <c r="MC249" i="63"/>
  <c r="LQ248" i="63"/>
  <c r="MA246" i="63"/>
  <c r="LL245" i="63"/>
  <c r="LV243" i="63"/>
  <c r="MB241" i="63"/>
  <c r="LN240" i="63"/>
  <c r="LZ238" i="63"/>
  <c r="LQ257" i="63"/>
  <c r="LK255" i="63"/>
  <c r="LY252" i="63"/>
  <c r="LT250" i="63"/>
  <c r="MD248" i="63"/>
  <c r="LQ247" i="63"/>
  <c r="LW245" i="63"/>
  <c r="LM244" i="63"/>
  <c r="LT242" i="63"/>
  <c r="MB240" i="63"/>
  <c r="LQ239" i="63"/>
  <c r="LQ256" i="63"/>
  <c r="LU251" i="63"/>
  <c r="LM248" i="63"/>
  <c r="MC244" i="63"/>
  <c r="MA241" i="63"/>
  <c r="LS238" i="63"/>
  <c r="MA257" i="63"/>
  <c r="MC252" i="63"/>
  <c r="LM249" i="63"/>
  <c r="MC245" i="63"/>
  <c r="LZ242" i="63"/>
  <c r="LU239" i="63"/>
  <c r="MB250" i="63"/>
  <c r="LP244" i="63"/>
  <c r="LZ258" i="63"/>
  <c r="LX249" i="63"/>
  <c r="LO243" i="63"/>
  <c r="LS255" i="63"/>
  <c r="LL241" i="63"/>
  <c r="LY253" i="63"/>
  <c r="LV246" i="63"/>
  <c r="LL240" i="63"/>
  <c r="LS247" i="63"/>
  <c r="PU258" i="63"/>
  <c r="PQ258" i="63"/>
  <c r="PM258" i="63"/>
  <c r="PI258" i="63"/>
  <c r="PE258" i="63"/>
  <c r="PV257" i="63"/>
  <c r="PR257" i="63"/>
  <c r="PN257" i="63"/>
  <c r="PJ257" i="63"/>
  <c r="PF257" i="63"/>
  <c r="PB257" i="63"/>
  <c r="PS256" i="63"/>
  <c r="PO256" i="63"/>
  <c r="PK256" i="63"/>
  <c r="PG256" i="63"/>
  <c r="PC256" i="63"/>
  <c r="PS258" i="63"/>
  <c r="PN258" i="63"/>
  <c r="PH258" i="63"/>
  <c r="PC258" i="63"/>
  <c r="PS257" i="63"/>
  <c r="PM257" i="63"/>
  <c r="PH257" i="63"/>
  <c r="PC257" i="63"/>
  <c r="PR256" i="63"/>
  <c r="PM256" i="63"/>
  <c r="PH256" i="63"/>
  <c r="PB256" i="63"/>
  <c r="PS255" i="63"/>
  <c r="PO255" i="63"/>
  <c r="PK255" i="63"/>
  <c r="PG255" i="63"/>
  <c r="PC255" i="63"/>
  <c r="PT254" i="63"/>
  <c r="PP254" i="63"/>
  <c r="PL254" i="63"/>
  <c r="PH254" i="63"/>
  <c r="PD254" i="63"/>
  <c r="PU253" i="63"/>
  <c r="PQ253" i="63"/>
  <c r="PM253" i="63"/>
  <c r="PI253" i="63"/>
  <c r="PE253" i="63"/>
  <c r="PV252" i="63"/>
  <c r="PR252" i="63"/>
  <c r="PN252" i="63"/>
  <c r="PJ252" i="63"/>
  <c r="PF252" i="63"/>
  <c r="PB252" i="63"/>
  <c r="PS251" i="63"/>
  <c r="PO251" i="63"/>
  <c r="PK251" i="63"/>
  <c r="PG251" i="63"/>
  <c r="PC251" i="63"/>
  <c r="PT250" i="63"/>
  <c r="PP250" i="63"/>
  <c r="PL250" i="63"/>
  <c r="PH250" i="63"/>
  <c r="PD250" i="63"/>
  <c r="PU249" i="63"/>
  <c r="PQ249" i="63"/>
  <c r="PM249" i="63"/>
  <c r="PI249" i="63"/>
  <c r="PE249" i="63"/>
  <c r="PV248" i="63"/>
  <c r="PR248" i="63"/>
  <c r="PN248" i="63"/>
  <c r="PJ248" i="63"/>
  <c r="PF248" i="63"/>
  <c r="PB248" i="63"/>
  <c r="PS247" i="63"/>
  <c r="PO247" i="63"/>
  <c r="PK247" i="63"/>
  <c r="PG247" i="63"/>
  <c r="PC247" i="63"/>
  <c r="PT246" i="63"/>
  <c r="PP246" i="63"/>
  <c r="PL246" i="63"/>
  <c r="PH246" i="63"/>
  <c r="PD246" i="63"/>
  <c r="PU245" i="63"/>
  <c r="PQ245" i="63"/>
  <c r="PM245" i="63"/>
  <c r="PI245" i="63"/>
  <c r="PE245" i="63"/>
  <c r="PV244" i="63"/>
  <c r="PR244" i="63"/>
  <c r="PN244" i="63"/>
  <c r="PJ244" i="63"/>
  <c r="PF244" i="63"/>
  <c r="PB244" i="63"/>
  <c r="PS243" i="63"/>
  <c r="PO243" i="63"/>
  <c r="PK243" i="63"/>
  <c r="PG243" i="63"/>
  <c r="PC243" i="63"/>
  <c r="PT242" i="63"/>
  <c r="PP242" i="63"/>
  <c r="PL242" i="63"/>
  <c r="PH242" i="63"/>
  <c r="PD242" i="63"/>
  <c r="PU241" i="63"/>
  <c r="PQ241" i="63"/>
  <c r="PM241" i="63"/>
  <c r="PI241" i="63"/>
  <c r="PE241" i="63"/>
  <c r="PV240" i="63"/>
  <c r="PR240" i="63"/>
  <c r="PN240" i="63"/>
  <c r="PJ240" i="63"/>
  <c r="PF240" i="63"/>
  <c r="PB240" i="63"/>
  <c r="PS239" i="63"/>
  <c r="PO239" i="63"/>
  <c r="PK239" i="63"/>
  <c r="PG239" i="63"/>
  <c r="PC239" i="63"/>
  <c r="PT238" i="63"/>
  <c r="PP238" i="63"/>
  <c r="PL238" i="63"/>
  <c r="PH238" i="63"/>
  <c r="PD238" i="63"/>
  <c r="PR258" i="63"/>
  <c r="PK258" i="63"/>
  <c r="PD258" i="63"/>
  <c r="PQ257" i="63"/>
  <c r="PK257" i="63"/>
  <c r="PD257" i="63"/>
  <c r="PQ256" i="63"/>
  <c r="PJ256" i="63"/>
  <c r="PD256" i="63"/>
  <c r="PR255" i="63"/>
  <c r="PM255" i="63"/>
  <c r="PH255" i="63"/>
  <c r="PB255" i="63"/>
  <c r="PR254" i="63"/>
  <c r="PM254" i="63"/>
  <c r="PG254" i="63"/>
  <c r="PB254" i="63"/>
  <c r="PR253" i="63"/>
  <c r="PL253" i="63"/>
  <c r="PG253" i="63"/>
  <c r="PB253" i="63"/>
  <c r="PQ252" i="63"/>
  <c r="PL252" i="63"/>
  <c r="PG252" i="63"/>
  <c r="PV251" i="63"/>
  <c r="PQ251" i="63"/>
  <c r="PL251" i="63"/>
  <c r="PF251" i="63"/>
  <c r="PV250" i="63"/>
  <c r="PQ250" i="63"/>
  <c r="PK250" i="63"/>
  <c r="PF250" i="63"/>
  <c r="PV249" i="63"/>
  <c r="PP249" i="63"/>
  <c r="PK249" i="63"/>
  <c r="PF249" i="63"/>
  <c r="PU248" i="63"/>
  <c r="PP248" i="63"/>
  <c r="PK248" i="63"/>
  <c r="PE248" i="63"/>
  <c r="PU247" i="63"/>
  <c r="PP247" i="63"/>
  <c r="PJ247" i="63"/>
  <c r="PE247" i="63"/>
  <c r="PU246" i="63"/>
  <c r="PO246" i="63"/>
  <c r="PJ246" i="63"/>
  <c r="PE246" i="63"/>
  <c r="PT245" i="63"/>
  <c r="PO245" i="63"/>
  <c r="PJ245" i="63"/>
  <c r="PD245" i="63"/>
  <c r="PT244" i="63"/>
  <c r="PO244" i="63"/>
  <c r="PI244" i="63"/>
  <c r="PD244" i="63"/>
  <c r="PT243" i="63"/>
  <c r="PN243" i="63"/>
  <c r="PI243" i="63"/>
  <c r="PD243" i="63"/>
  <c r="PS242" i="63"/>
  <c r="PN242" i="63"/>
  <c r="PI242" i="63"/>
  <c r="PC242" i="63"/>
  <c r="PS241" i="63"/>
  <c r="PN241" i="63"/>
  <c r="PH241" i="63"/>
  <c r="PC241" i="63"/>
  <c r="PS240" i="63"/>
  <c r="PM240" i="63"/>
  <c r="PH240" i="63"/>
  <c r="PC240" i="63"/>
  <c r="PR239" i="63"/>
  <c r="PM239" i="63"/>
  <c r="PH239" i="63"/>
  <c r="PB239" i="63"/>
  <c r="PR238" i="63"/>
  <c r="PM238" i="63"/>
  <c r="PG238" i="63"/>
  <c r="PB238" i="63"/>
  <c r="PT258" i="63"/>
  <c r="PJ258" i="63"/>
  <c r="PU257" i="63"/>
  <c r="PL257" i="63"/>
  <c r="PV256" i="63"/>
  <c r="PN256" i="63"/>
  <c r="PE256" i="63"/>
  <c r="PQ255" i="63"/>
  <c r="PJ255" i="63"/>
  <c r="PD255" i="63"/>
  <c r="PQ254" i="63"/>
  <c r="PJ254" i="63"/>
  <c r="PC254" i="63"/>
  <c r="PP253" i="63"/>
  <c r="PJ253" i="63"/>
  <c r="PC253" i="63"/>
  <c r="PP252" i="63"/>
  <c r="PI252" i="63"/>
  <c r="PC252" i="63"/>
  <c r="PP251" i="63"/>
  <c r="PI251" i="63"/>
  <c r="PB251" i="63"/>
  <c r="PO250" i="63"/>
  <c r="PI250" i="63"/>
  <c r="PB250" i="63"/>
  <c r="PO249" i="63"/>
  <c r="PH249" i="63"/>
  <c r="PB249" i="63"/>
  <c r="PO248" i="63"/>
  <c r="PH248" i="63"/>
  <c r="PV247" i="63"/>
  <c r="PN247" i="63"/>
  <c r="PH247" i="63"/>
  <c r="PV246" i="63"/>
  <c r="PN246" i="63"/>
  <c r="PG246" i="63"/>
  <c r="PV245" i="63"/>
  <c r="PN245" i="63"/>
  <c r="PG245" i="63"/>
  <c r="PU244" i="63"/>
  <c r="PM244" i="63"/>
  <c r="PG244" i="63"/>
  <c r="PU243" i="63"/>
  <c r="PM243" i="63"/>
  <c r="PF243" i="63"/>
  <c r="PU242" i="63"/>
  <c r="PM242" i="63"/>
  <c r="PF242" i="63"/>
  <c r="PT241" i="63"/>
  <c r="PL241" i="63"/>
  <c r="PF241" i="63"/>
  <c r="PT240" i="63"/>
  <c r="PL240" i="63"/>
  <c r="PE240" i="63"/>
  <c r="PT239" i="63"/>
  <c r="PL239" i="63"/>
  <c r="PE239" i="63"/>
  <c r="PS238" i="63"/>
  <c r="PK238" i="63"/>
  <c r="PE238" i="63"/>
  <c r="PO258" i="63"/>
  <c r="PB258" i="63"/>
  <c r="PI257" i="63"/>
  <c r="PT256" i="63"/>
  <c r="PF256" i="63"/>
  <c r="PP255" i="63"/>
  <c r="PF255" i="63"/>
  <c r="PS254" i="63"/>
  <c r="PI254" i="63"/>
  <c r="PT253" i="63"/>
  <c r="PK253" i="63"/>
  <c r="PU252" i="63"/>
  <c r="PM252" i="63"/>
  <c r="PD252" i="63"/>
  <c r="PN251" i="63"/>
  <c r="PE251" i="63"/>
  <c r="PR250" i="63"/>
  <c r="PG250" i="63"/>
  <c r="PS249" i="63"/>
  <c r="PJ249" i="63"/>
  <c r="PT248" i="63"/>
  <c r="PL248" i="63"/>
  <c r="PC248" i="63"/>
  <c r="PM247" i="63"/>
  <c r="PD247" i="63"/>
  <c r="PQ246" i="63"/>
  <c r="PF246" i="63"/>
  <c r="PR245" i="63"/>
  <c r="PH245" i="63"/>
  <c r="PS244" i="63"/>
  <c r="PK244" i="63"/>
  <c r="PV243" i="63"/>
  <c r="PL243" i="63"/>
  <c r="PB243" i="63"/>
  <c r="PO242" i="63"/>
  <c r="PE242" i="63"/>
  <c r="PP241" i="63"/>
  <c r="PG241" i="63"/>
  <c r="PQ240" i="63"/>
  <c r="PI240" i="63"/>
  <c r="PU239" i="63"/>
  <c r="PJ239" i="63"/>
  <c r="PV238" i="63"/>
  <c r="PN238" i="63"/>
  <c r="PC238" i="63"/>
  <c r="PV258" i="63"/>
  <c r="PF258" i="63"/>
  <c r="PG257" i="63"/>
  <c r="PL256" i="63"/>
  <c r="PT255" i="63"/>
  <c r="PE255" i="63"/>
  <c r="PN254" i="63"/>
  <c r="PV253" i="63"/>
  <c r="PH253" i="63"/>
  <c r="PS252" i="63"/>
  <c r="PE252" i="63"/>
  <c r="PM251" i="63"/>
  <c r="PU250" i="63"/>
  <c r="PJ250" i="63"/>
  <c r="PR249" i="63"/>
  <c r="PD249" i="63"/>
  <c r="PM248" i="63"/>
  <c r="PT247" i="63"/>
  <c r="PI247" i="63"/>
  <c r="PR246" i="63"/>
  <c r="PC246" i="63"/>
  <c r="PL245" i="63"/>
  <c r="PB245" i="63"/>
  <c r="PH244" i="63"/>
  <c r="PQ243" i="63"/>
  <c r="PE243" i="63"/>
  <c r="PK242" i="63"/>
  <c r="PV241" i="63"/>
  <c r="PJ241" i="63"/>
  <c r="PP240" i="63"/>
  <c r="PD240" i="63"/>
  <c r="PN239" i="63"/>
  <c r="PU238" i="63"/>
  <c r="PI238" i="63"/>
  <c r="PP258" i="63"/>
  <c r="PP257" i="63"/>
  <c r="PP256" i="63"/>
  <c r="PN255" i="63"/>
  <c r="PU254" i="63"/>
  <c r="PE254" i="63"/>
  <c r="PF253" i="63"/>
  <c r="PK252" i="63"/>
  <c r="PR251" i="63"/>
  <c r="PS250" i="63"/>
  <c r="PC250" i="63"/>
  <c r="PG249" i="63"/>
  <c r="PI248" i="63"/>
  <c r="PQ247" i="63"/>
  <c r="PS246" i="63"/>
  <c r="PB246" i="63"/>
  <c r="PF245" i="63"/>
  <c r="PL244" i="63"/>
  <c r="PP243" i="63"/>
  <c r="PR242" i="63"/>
  <c r="PB242" i="63"/>
  <c r="PD241" i="63"/>
  <c r="PK240" i="63"/>
  <c r="PP239" i="63"/>
  <c r="PQ238" i="63"/>
  <c r="PT257" i="63"/>
  <c r="PU256" i="63"/>
  <c r="PU255" i="63"/>
  <c r="PV254" i="63"/>
  <c r="PF254" i="63"/>
  <c r="PN253" i="63"/>
  <c r="PO252" i="63"/>
  <c r="PT251" i="63"/>
  <c r="PD251" i="63"/>
  <c r="PE250" i="63"/>
  <c r="PL249" i="63"/>
  <c r="PQ248" i="63"/>
  <c r="PR247" i="63"/>
  <c r="PB247" i="63"/>
  <c r="PI246" i="63"/>
  <c r="PK245" i="63"/>
  <c r="PP244" i="63"/>
  <c r="PR243" i="63"/>
  <c r="PV242" i="63"/>
  <c r="PG242" i="63"/>
  <c r="PK241" i="63"/>
  <c r="PO240" i="63"/>
  <c r="PQ239" i="63"/>
  <c r="PD239" i="63"/>
  <c r="PF238" i="63"/>
  <c r="PL258" i="63"/>
  <c r="PI256" i="63"/>
  <c r="PO254" i="63"/>
  <c r="PD253" i="63"/>
  <c r="PJ251" i="63"/>
  <c r="PT249" i="63"/>
  <c r="PG248" i="63"/>
  <c r="PM246" i="63"/>
  <c r="PC245" i="63"/>
  <c r="PJ243" i="63"/>
  <c r="PR241" i="63"/>
  <c r="PG240" i="63"/>
  <c r="PO238" i="63"/>
  <c r="PE257" i="63"/>
  <c r="PI255" i="63"/>
  <c r="PO253" i="63"/>
  <c r="PU251" i="63"/>
  <c r="PM250" i="63"/>
  <c r="PS248" i="63"/>
  <c r="PF247" i="63"/>
  <c r="PP245" i="63"/>
  <c r="PC244" i="63"/>
  <c r="PJ242" i="63"/>
  <c r="PU240" i="63"/>
  <c r="PF239" i="63"/>
  <c r="PG258" i="63"/>
  <c r="PK254" i="63"/>
  <c r="PH251" i="63"/>
  <c r="PD248" i="63"/>
  <c r="PQ244" i="63"/>
  <c r="PO241" i="63"/>
  <c r="PJ238" i="63"/>
  <c r="PL255" i="63"/>
  <c r="PH252" i="63"/>
  <c r="PC249" i="63"/>
  <c r="PS245" i="63"/>
  <c r="PQ242" i="63"/>
  <c r="PI239" i="63"/>
  <c r="PS253" i="63"/>
  <c r="PL247" i="63"/>
  <c r="PB241" i="63"/>
  <c r="PV255" i="63"/>
  <c r="PN249" i="63"/>
  <c r="PH243" i="63"/>
  <c r="PT252" i="63"/>
  <c r="PV239" i="63"/>
  <c r="PO257" i="63"/>
  <c r="PE244" i="63"/>
  <c r="PN250" i="63"/>
  <c r="PK246" i="63"/>
  <c r="LD258" i="63"/>
  <c r="KZ258" i="63"/>
  <c r="KV258" i="63"/>
  <c r="KR258" i="63"/>
  <c r="KN258" i="63"/>
  <c r="LE257" i="63"/>
  <c r="LA257" i="63"/>
  <c r="KW257" i="63"/>
  <c r="KS257" i="63"/>
  <c r="KO257" i="63"/>
  <c r="LF256" i="63"/>
  <c r="LB256" i="63"/>
  <c r="KX256" i="63"/>
  <c r="KT256" i="63"/>
  <c r="KP256" i="63"/>
  <c r="KL256" i="63"/>
  <c r="LC255" i="63"/>
  <c r="KY255" i="63"/>
  <c r="KU255" i="63"/>
  <c r="KQ255" i="63"/>
  <c r="KM255" i="63"/>
  <c r="LD254" i="63"/>
  <c r="KZ254" i="63"/>
  <c r="KV254" i="63"/>
  <c r="KR254" i="63"/>
  <c r="KN254" i="63"/>
  <c r="LE253" i="63"/>
  <c r="LA253" i="63"/>
  <c r="KW253" i="63"/>
  <c r="KS253" i="63"/>
  <c r="KO253" i="63"/>
  <c r="LF252" i="63"/>
  <c r="LB252" i="63"/>
  <c r="KX252" i="63"/>
  <c r="KT252" i="63"/>
  <c r="KP252" i="63"/>
  <c r="KL252" i="63"/>
  <c r="LC251" i="63"/>
  <c r="KY251" i="63"/>
  <c r="KU251" i="63"/>
  <c r="KQ251" i="63"/>
  <c r="KM251" i="63"/>
  <c r="LD250" i="63"/>
  <c r="KZ250" i="63"/>
  <c r="KV250" i="63"/>
  <c r="KR250" i="63"/>
  <c r="KN250" i="63"/>
  <c r="LE249" i="63"/>
  <c r="LA249" i="63"/>
  <c r="KW249" i="63"/>
  <c r="KS249" i="63"/>
  <c r="KO249" i="63"/>
  <c r="LF248" i="63"/>
  <c r="LB248" i="63"/>
  <c r="KX248" i="63"/>
  <c r="KT248" i="63"/>
  <c r="KP248" i="63"/>
  <c r="KL248" i="63"/>
  <c r="LC247" i="63"/>
  <c r="KY247" i="63"/>
  <c r="KU247" i="63"/>
  <c r="KQ247" i="63"/>
  <c r="KM247" i="63"/>
  <c r="LD246" i="63"/>
  <c r="KZ246" i="63"/>
  <c r="KV246" i="63"/>
  <c r="KR246" i="63"/>
  <c r="KN246" i="63"/>
  <c r="LE245" i="63"/>
  <c r="LA245" i="63"/>
  <c r="KW245" i="63"/>
  <c r="KS245" i="63"/>
  <c r="KO245" i="63"/>
  <c r="LF244" i="63"/>
  <c r="LB244" i="63"/>
  <c r="KX244" i="63"/>
  <c r="KT244" i="63"/>
  <c r="KP244" i="63"/>
  <c r="KL244" i="63"/>
  <c r="LC243" i="63"/>
  <c r="KY243" i="63"/>
  <c r="KU243" i="63"/>
  <c r="KQ243" i="63"/>
  <c r="KM243" i="63"/>
  <c r="LD242" i="63"/>
  <c r="KZ242" i="63"/>
  <c r="KV242" i="63"/>
  <c r="KR242" i="63"/>
  <c r="KN242" i="63"/>
  <c r="LE241" i="63"/>
  <c r="LA241" i="63"/>
  <c r="KW241" i="63"/>
  <c r="KS241" i="63"/>
  <c r="KO241" i="63"/>
  <c r="LF240" i="63"/>
  <c r="LB240" i="63"/>
  <c r="KX240" i="63"/>
  <c r="KT240" i="63"/>
  <c r="KP240" i="63"/>
  <c r="KL240" i="63"/>
  <c r="LC239" i="63"/>
  <c r="KY239" i="63"/>
  <c r="KU239" i="63"/>
  <c r="KQ239" i="63"/>
  <c r="KM239" i="63"/>
  <c r="LD238" i="63"/>
  <c r="KZ238" i="63"/>
  <c r="KV238" i="63"/>
  <c r="KR238" i="63"/>
  <c r="KN238" i="63"/>
  <c r="LF258" i="63"/>
  <c r="LA258" i="63"/>
  <c r="KU258" i="63"/>
  <c r="KP258" i="63"/>
  <c r="LF257" i="63"/>
  <c r="KZ257" i="63"/>
  <c r="KU257" i="63"/>
  <c r="KP257" i="63"/>
  <c r="LE256" i="63"/>
  <c r="KZ256" i="63"/>
  <c r="KU256" i="63"/>
  <c r="KO256" i="63"/>
  <c r="LE255" i="63"/>
  <c r="KZ255" i="63"/>
  <c r="KT255" i="63"/>
  <c r="KO255" i="63"/>
  <c r="LE254" i="63"/>
  <c r="KY254" i="63"/>
  <c r="KT254" i="63"/>
  <c r="KO254" i="63"/>
  <c r="LD253" i="63"/>
  <c r="KY253" i="63"/>
  <c r="KT253" i="63"/>
  <c r="KN253" i="63"/>
  <c r="LD252" i="63"/>
  <c r="KY252" i="63"/>
  <c r="KS252" i="63"/>
  <c r="KN252" i="63"/>
  <c r="LD251" i="63"/>
  <c r="KX251" i="63"/>
  <c r="KS251" i="63"/>
  <c r="KN251" i="63"/>
  <c r="LC250" i="63"/>
  <c r="KX250" i="63"/>
  <c r="KS250" i="63"/>
  <c r="KM250" i="63"/>
  <c r="LC249" i="63"/>
  <c r="KX249" i="63"/>
  <c r="KR249" i="63"/>
  <c r="KM249" i="63"/>
  <c r="LC248" i="63"/>
  <c r="KW248" i="63"/>
  <c r="KR248" i="63"/>
  <c r="KM248" i="63"/>
  <c r="LB247" i="63"/>
  <c r="KW247" i="63"/>
  <c r="KR247" i="63"/>
  <c r="KL247" i="63"/>
  <c r="LB246" i="63"/>
  <c r="KW246" i="63"/>
  <c r="KQ246" i="63"/>
  <c r="KL246" i="63"/>
  <c r="LB245" i="63"/>
  <c r="KV245" i="63"/>
  <c r="KQ245" i="63"/>
  <c r="KL245" i="63"/>
  <c r="LA244" i="63"/>
  <c r="KV244" i="63"/>
  <c r="KQ244" i="63"/>
  <c r="LF243" i="63"/>
  <c r="LA243" i="63"/>
  <c r="KV243" i="63"/>
  <c r="KP243" i="63"/>
  <c r="LF242" i="63"/>
  <c r="LA242" i="63"/>
  <c r="KU242" i="63"/>
  <c r="KP242" i="63"/>
  <c r="LF241" i="63"/>
  <c r="KZ241" i="63"/>
  <c r="KU241" i="63"/>
  <c r="KP241" i="63"/>
  <c r="LE240" i="63"/>
  <c r="KZ240" i="63"/>
  <c r="KU240" i="63"/>
  <c r="KO240" i="63"/>
  <c r="LE239" i="63"/>
  <c r="KZ239" i="63"/>
  <c r="KT239" i="63"/>
  <c r="KO239" i="63"/>
  <c r="LE238" i="63"/>
  <c r="KY238" i="63"/>
  <c r="KT238" i="63"/>
  <c r="KO238" i="63"/>
  <c r="KY258" i="63"/>
  <c r="KS258" i="63"/>
  <c r="KL258" i="63"/>
  <c r="KY257" i="63"/>
  <c r="KR257" i="63"/>
  <c r="KL257" i="63"/>
  <c r="KY256" i="63"/>
  <c r="KR256" i="63"/>
  <c r="LF255" i="63"/>
  <c r="KX255" i="63"/>
  <c r="KR255" i="63"/>
  <c r="LF254" i="63"/>
  <c r="KX254" i="63"/>
  <c r="KQ254" i="63"/>
  <c r="LF253" i="63"/>
  <c r="KX253" i="63"/>
  <c r="KQ253" i="63"/>
  <c r="LE252" i="63"/>
  <c r="KW252" i="63"/>
  <c r="KQ252" i="63"/>
  <c r="LE251" i="63"/>
  <c r="KW251" i="63"/>
  <c r="KP251" i="63"/>
  <c r="LE250" i="63"/>
  <c r="KW250" i="63"/>
  <c r="KP250" i="63"/>
  <c r="LD249" i="63"/>
  <c r="KV249" i="63"/>
  <c r="KP249" i="63"/>
  <c r="LD248" i="63"/>
  <c r="KV248" i="63"/>
  <c r="KO248" i="63"/>
  <c r="LD247" i="63"/>
  <c r="KV247" i="63"/>
  <c r="KO247" i="63"/>
  <c r="LC246" i="63"/>
  <c r="KU246" i="63"/>
  <c r="KO246" i="63"/>
  <c r="LC245" i="63"/>
  <c r="KU245" i="63"/>
  <c r="KN245" i="63"/>
  <c r="LC244" i="63"/>
  <c r="KU244" i="63"/>
  <c r="KN244" i="63"/>
  <c r="LB243" i="63"/>
  <c r="KT243" i="63"/>
  <c r="KN243" i="63"/>
  <c r="LB242" i="63"/>
  <c r="KT242" i="63"/>
  <c r="KM242" i="63"/>
  <c r="LB241" i="63"/>
  <c r="KT241" i="63"/>
  <c r="KM241" i="63"/>
  <c r="LA240" i="63"/>
  <c r="KS240" i="63"/>
  <c r="KM240" i="63"/>
  <c r="LA239" i="63"/>
  <c r="KS239" i="63"/>
  <c r="KL239" i="63"/>
  <c r="LA238" i="63"/>
  <c r="KS238" i="63"/>
  <c r="KL238" i="63"/>
  <c r="LB258" i="63"/>
  <c r="KQ258" i="63"/>
  <c r="LC257" i="63"/>
  <c r="KT257" i="63"/>
  <c r="LD256" i="63"/>
  <c r="KV256" i="63"/>
  <c r="KM256" i="63"/>
  <c r="KW255" i="63"/>
  <c r="KN255" i="63"/>
  <c r="LA254" i="63"/>
  <c r="KP254" i="63"/>
  <c r="LB253" i="63"/>
  <c r="KR253" i="63"/>
  <c r="LC252" i="63"/>
  <c r="KU252" i="63"/>
  <c r="LF251" i="63"/>
  <c r="KV251" i="63"/>
  <c r="KL251" i="63"/>
  <c r="KY250" i="63"/>
  <c r="KO250" i="63"/>
  <c r="KZ249" i="63"/>
  <c r="KQ249" i="63"/>
  <c r="LA248" i="63"/>
  <c r="KS248" i="63"/>
  <c r="LE247" i="63"/>
  <c r="KT247" i="63"/>
  <c r="LF246" i="63"/>
  <c r="KX246" i="63"/>
  <c r="KM246" i="63"/>
  <c r="KY245" i="63"/>
  <c r="KP245" i="63"/>
  <c r="KZ244" i="63"/>
  <c r="KR244" i="63"/>
  <c r="LD243" i="63"/>
  <c r="KS243" i="63"/>
  <c r="LE242" i="63"/>
  <c r="KW242" i="63"/>
  <c r="KL242" i="63"/>
  <c r="KX241" i="63"/>
  <c r="KN241" i="63"/>
  <c r="KY240" i="63"/>
  <c r="KQ240" i="63"/>
  <c r="LB239" i="63"/>
  <c r="KR239" i="63"/>
  <c r="LC238" i="63"/>
  <c r="KU238" i="63"/>
  <c r="KW258" i="63"/>
  <c r="LD257" i="63"/>
  <c r="KQ257" i="63"/>
  <c r="LA256" i="63"/>
  <c r="KN256" i="63"/>
  <c r="KV255" i="63"/>
  <c r="LC254" i="63"/>
  <c r="KS254" i="63"/>
  <c r="KZ253" i="63"/>
  <c r="KM253" i="63"/>
  <c r="KV252" i="63"/>
  <c r="LB251" i="63"/>
  <c r="KR251" i="63"/>
  <c r="LA250" i="63"/>
  <c r="KL250" i="63"/>
  <c r="KU249" i="63"/>
  <c r="LE248" i="63"/>
  <c r="KQ248" i="63"/>
  <c r="KZ247" i="63"/>
  <c r="KN247" i="63"/>
  <c r="KT246" i="63"/>
  <c r="LD245" i="63"/>
  <c r="KR245" i="63"/>
  <c r="KY244" i="63"/>
  <c r="KM244" i="63"/>
  <c r="KW243" i="63"/>
  <c r="LC242" i="63"/>
  <c r="KQ242" i="63"/>
  <c r="KY241" i="63"/>
  <c r="KL241" i="63"/>
  <c r="KV240" i="63"/>
  <c r="LD239" i="63"/>
  <c r="KP239" i="63"/>
  <c r="KX238" i="63"/>
  <c r="KM238" i="63"/>
  <c r="KT258" i="63"/>
  <c r="KX257" i="63"/>
  <c r="LC256" i="63"/>
  <c r="LD255" i="63"/>
  <c r="KP255" i="63"/>
  <c r="KU254" i="63"/>
  <c r="KV253" i="63"/>
  <c r="LA252" i="63"/>
  <c r="KM252" i="63"/>
  <c r="KO251" i="63"/>
  <c r="KT250" i="63"/>
  <c r="KY249" i="63"/>
  <c r="KZ248" i="63"/>
  <c r="LF247" i="63"/>
  <c r="KP247" i="63"/>
  <c r="KS246" i="63"/>
  <c r="KX245" i="63"/>
  <c r="LD244" i="63"/>
  <c r="LE243" i="63"/>
  <c r="KO243" i="63"/>
  <c r="KS242" i="63"/>
  <c r="KV241" i="63"/>
  <c r="LC240" i="63"/>
  <c r="LF239" i="63"/>
  <c r="KN239" i="63"/>
  <c r="KQ238" i="63"/>
  <c r="KX258" i="63"/>
  <c r="LB257" i="63"/>
  <c r="KM257" i="63"/>
  <c r="KQ256" i="63"/>
  <c r="KS255" i="63"/>
  <c r="KW254" i="63"/>
  <c r="LC253" i="63"/>
  <c r="KL253" i="63"/>
  <c r="KO252" i="63"/>
  <c r="KT251" i="63"/>
  <c r="KU250" i="63"/>
  <c r="LB249" i="63"/>
  <c r="KL249" i="63"/>
  <c r="KN248" i="63"/>
  <c r="KS247" i="63"/>
  <c r="KY246" i="63"/>
  <c r="KZ245" i="63"/>
  <c r="LE244" i="63"/>
  <c r="KO244" i="63"/>
  <c r="KR243" i="63"/>
  <c r="KX242" i="63"/>
  <c r="LC241" i="63"/>
  <c r="LD240" i="63"/>
  <c r="KN240" i="63"/>
  <c r="KV239" i="63"/>
  <c r="KW238" i="63"/>
  <c r="KO258" i="63"/>
  <c r="KW256" i="63"/>
  <c r="KL255" i="63"/>
  <c r="KU253" i="63"/>
  <c r="LA251" i="63"/>
  <c r="KQ250" i="63"/>
  <c r="KY248" i="63"/>
  <c r="LE246" i="63"/>
  <c r="KT245" i="63"/>
  <c r="KZ243" i="63"/>
  <c r="KO242" i="63"/>
  <c r="KW240" i="63"/>
  <c r="LF238" i="63"/>
  <c r="LC258" i="63"/>
  <c r="KN257" i="63"/>
  <c r="LA255" i="63"/>
  <c r="KL254" i="63"/>
  <c r="KR252" i="63"/>
  <c r="LB250" i="63"/>
  <c r="KN249" i="63"/>
  <c r="KX247" i="63"/>
  <c r="LF245" i="63"/>
  <c r="KS244" i="63"/>
  <c r="KY242" i="63"/>
  <c r="KQ241" i="63"/>
  <c r="KW239" i="63"/>
  <c r="KS256" i="63"/>
  <c r="KP253" i="63"/>
  <c r="LF249" i="63"/>
  <c r="LA246" i="63"/>
  <c r="KX243" i="63"/>
  <c r="KR240" i="63"/>
  <c r="KV257" i="63"/>
  <c r="KM254" i="63"/>
  <c r="LF250" i="63"/>
  <c r="LA247" i="63"/>
  <c r="KW244" i="63"/>
  <c r="KR241" i="63"/>
  <c r="KP238" i="63"/>
  <c r="LE258" i="63"/>
  <c r="KZ252" i="63"/>
  <c r="KP246" i="63"/>
  <c r="KX239" i="63"/>
  <c r="KM258" i="63"/>
  <c r="KZ251" i="63"/>
  <c r="KM245" i="63"/>
  <c r="LB238" i="63"/>
  <c r="KT249" i="63"/>
  <c r="LB254" i="63"/>
  <c r="KU248" i="63"/>
  <c r="LD241" i="63"/>
  <c r="LB255" i="63"/>
  <c r="KL243" i="63"/>
  <c r="II258" i="63"/>
  <c r="IE258" i="63"/>
  <c r="IA258" i="63"/>
  <c r="HW258" i="63"/>
  <c r="HS258" i="63"/>
  <c r="IJ257" i="63"/>
  <c r="IF257" i="63"/>
  <c r="IB257" i="63"/>
  <c r="HX257" i="63"/>
  <c r="HT257" i="63"/>
  <c r="IK256" i="63"/>
  <c r="IG256" i="63"/>
  <c r="IC256" i="63"/>
  <c r="HY256" i="63"/>
  <c r="HU256" i="63"/>
  <c r="IL255" i="63"/>
  <c r="IH255" i="63"/>
  <c r="ID255" i="63"/>
  <c r="HZ255" i="63"/>
  <c r="HV255" i="63"/>
  <c r="HR255" i="63"/>
  <c r="II254" i="63"/>
  <c r="IE254" i="63"/>
  <c r="IA254" i="63"/>
  <c r="HW254" i="63"/>
  <c r="HS254" i="63"/>
  <c r="IJ253" i="63"/>
  <c r="IF253" i="63"/>
  <c r="IB253" i="63"/>
  <c r="HX253" i="63"/>
  <c r="HT253" i="63"/>
  <c r="IK252" i="63"/>
  <c r="IG252" i="63"/>
  <c r="IC252" i="63"/>
  <c r="HY252" i="63"/>
  <c r="HU252" i="63"/>
  <c r="IL251" i="63"/>
  <c r="IH251" i="63"/>
  <c r="ID251" i="63"/>
  <c r="HZ251" i="63"/>
  <c r="HV251" i="63"/>
  <c r="HR251" i="63"/>
  <c r="II250" i="63"/>
  <c r="IE250" i="63"/>
  <c r="IA250" i="63"/>
  <c r="HW250" i="63"/>
  <c r="HS250" i="63"/>
  <c r="IJ249" i="63"/>
  <c r="IF249" i="63"/>
  <c r="IB249" i="63"/>
  <c r="HX249" i="63"/>
  <c r="HT249" i="63"/>
  <c r="IK248" i="63"/>
  <c r="IG248" i="63"/>
  <c r="IC248" i="63"/>
  <c r="HY248" i="63"/>
  <c r="HU248" i="63"/>
  <c r="IL247" i="63"/>
  <c r="IH247" i="63"/>
  <c r="ID247" i="63"/>
  <c r="HZ247" i="63"/>
  <c r="HV247" i="63"/>
  <c r="HR247" i="63"/>
  <c r="II246" i="63"/>
  <c r="IE246" i="63"/>
  <c r="IA246" i="63"/>
  <c r="HW246" i="63"/>
  <c r="HS246" i="63"/>
  <c r="IJ245" i="63"/>
  <c r="IF245" i="63"/>
  <c r="IB245" i="63"/>
  <c r="HX245" i="63"/>
  <c r="HT245" i="63"/>
  <c r="IK244" i="63"/>
  <c r="IG244" i="63"/>
  <c r="IC244" i="63"/>
  <c r="HY244" i="63"/>
  <c r="HU244" i="63"/>
  <c r="IL243" i="63"/>
  <c r="IH243" i="63"/>
  <c r="ID243" i="63"/>
  <c r="HZ243" i="63"/>
  <c r="HV243" i="63"/>
  <c r="HR243" i="63"/>
  <c r="II242" i="63"/>
  <c r="IE242" i="63"/>
  <c r="IA242" i="63"/>
  <c r="HW242" i="63"/>
  <c r="HS242" i="63"/>
  <c r="IJ241" i="63"/>
  <c r="IF241" i="63"/>
  <c r="IB241" i="63"/>
  <c r="HX241" i="63"/>
  <c r="HT241" i="63"/>
  <c r="IK240" i="63"/>
  <c r="IG240" i="63"/>
  <c r="IC240" i="63"/>
  <c r="HY240" i="63"/>
  <c r="HU240" i="63"/>
  <c r="IL239" i="63"/>
  <c r="IH239" i="63"/>
  <c r="ID239" i="63"/>
  <c r="HZ239" i="63"/>
  <c r="HV239" i="63"/>
  <c r="HR239" i="63"/>
  <c r="II238" i="63"/>
  <c r="IE238" i="63"/>
  <c r="IA238" i="63"/>
  <c r="HW238" i="63"/>
  <c r="HS238" i="63"/>
  <c r="IH258" i="63"/>
  <c r="IC258" i="63"/>
  <c r="HX258" i="63"/>
  <c r="HR258" i="63"/>
  <c r="IH257" i="63"/>
  <c r="IC257" i="63"/>
  <c r="HW257" i="63"/>
  <c r="HR257" i="63"/>
  <c r="IH256" i="63"/>
  <c r="IB256" i="63"/>
  <c r="HW256" i="63"/>
  <c r="HR256" i="63"/>
  <c r="IG255" i="63"/>
  <c r="IB255" i="63"/>
  <c r="HW255" i="63"/>
  <c r="IL254" i="63"/>
  <c r="IG254" i="63"/>
  <c r="IB254" i="63"/>
  <c r="HV254" i="63"/>
  <c r="IL253" i="63"/>
  <c r="IG253" i="63"/>
  <c r="IA253" i="63"/>
  <c r="HV253" i="63"/>
  <c r="IL252" i="63"/>
  <c r="IF252" i="63"/>
  <c r="IA252" i="63"/>
  <c r="HV252" i="63"/>
  <c r="IK251" i="63"/>
  <c r="IF251" i="63"/>
  <c r="IA251" i="63"/>
  <c r="HU251" i="63"/>
  <c r="IK250" i="63"/>
  <c r="IF250" i="63"/>
  <c r="HZ250" i="63"/>
  <c r="HU250" i="63"/>
  <c r="IK249" i="63"/>
  <c r="IE249" i="63"/>
  <c r="HZ249" i="63"/>
  <c r="HU249" i="63"/>
  <c r="IJ248" i="63"/>
  <c r="IE248" i="63"/>
  <c r="HZ248" i="63"/>
  <c r="HT248" i="63"/>
  <c r="IJ247" i="63"/>
  <c r="IE247" i="63"/>
  <c r="HY247" i="63"/>
  <c r="HT247" i="63"/>
  <c r="IJ246" i="63"/>
  <c r="ID246" i="63"/>
  <c r="HY246" i="63"/>
  <c r="HT246" i="63"/>
  <c r="II245" i="63"/>
  <c r="ID245" i="63"/>
  <c r="HY245" i="63"/>
  <c r="HS245" i="63"/>
  <c r="II244" i="63"/>
  <c r="ID244" i="63"/>
  <c r="HX244" i="63"/>
  <c r="HS244" i="63"/>
  <c r="II243" i="63"/>
  <c r="IC243" i="63"/>
  <c r="HX243" i="63"/>
  <c r="HS243" i="63"/>
  <c r="IH242" i="63"/>
  <c r="IC242" i="63"/>
  <c r="HX242" i="63"/>
  <c r="HR242" i="63"/>
  <c r="IH241" i="63"/>
  <c r="IC241" i="63"/>
  <c r="HW241" i="63"/>
  <c r="HR241" i="63"/>
  <c r="IH240" i="63"/>
  <c r="IB240" i="63"/>
  <c r="HW240" i="63"/>
  <c r="HR240" i="63"/>
  <c r="IG239" i="63"/>
  <c r="IB239" i="63"/>
  <c r="HW239" i="63"/>
  <c r="IL238" i="63"/>
  <c r="IG238" i="63"/>
  <c r="IB238" i="63"/>
  <c r="HV238" i="63"/>
  <c r="IL258" i="63"/>
  <c r="IF258" i="63"/>
  <c r="HY258" i="63"/>
  <c r="IL257" i="63"/>
  <c r="IE257" i="63"/>
  <c r="HY257" i="63"/>
  <c r="IL256" i="63"/>
  <c r="IE256" i="63"/>
  <c r="HX256" i="63"/>
  <c r="IK255" i="63"/>
  <c r="IE255" i="63"/>
  <c r="HX255" i="63"/>
  <c r="IK254" i="63"/>
  <c r="ID254" i="63"/>
  <c r="HX254" i="63"/>
  <c r="IK253" i="63"/>
  <c r="ID253" i="63"/>
  <c r="HW253" i="63"/>
  <c r="IJ252" i="63"/>
  <c r="ID252" i="63"/>
  <c r="HW252" i="63"/>
  <c r="IJ251" i="63"/>
  <c r="IC251" i="63"/>
  <c r="HW251" i="63"/>
  <c r="IJ250" i="63"/>
  <c r="IC250" i="63"/>
  <c r="HV250" i="63"/>
  <c r="II249" i="63"/>
  <c r="IC249" i="63"/>
  <c r="HV249" i="63"/>
  <c r="II248" i="63"/>
  <c r="IB248" i="63"/>
  <c r="HV248" i="63"/>
  <c r="II247" i="63"/>
  <c r="IB247" i="63"/>
  <c r="HU247" i="63"/>
  <c r="IH246" i="63"/>
  <c r="IB246" i="63"/>
  <c r="HU246" i="63"/>
  <c r="IH245" i="63"/>
  <c r="IA245" i="63"/>
  <c r="HU245" i="63"/>
  <c r="IH244" i="63"/>
  <c r="IA244" i="63"/>
  <c r="HT244" i="63"/>
  <c r="IG243" i="63"/>
  <c r="IA243" i="63"/>
  <c r="HT243" i="63"/>
  <c r="IG242" i="63"/>
  <c r="HZ242" i="63"/>
  <c r="HT242" i="63"/>
  <c r="IG241" i="63"/>
  <c r="HZ241" i="63"/>
  <c r="HS241" i="63"/>
  <c r="IF240" i="63"/>
  <c r="HZ240" i="63"/>
  <c r="HS240" i="63"/>
  <c r="IF239" i="63"/>
  <c r="HY239" i="63"/>
  <c r="HS239" i="63"/>
  <c r="IF238" i="63"/>
  <c r="HY238" i="63"/>
  <c r="HR238" i="63"/>
  <c r="IG258" i="63"/>
  <c r="HV258" i="63"/>
  <c r="II257" i="63"/>
  <c r="HZ257" i="63"/>
  <c r="IJ256" i="63"/>
  <c r="IA256" i="63"/>
  <c r="HS256" i="63"/>
  <c r="IC255" i="63"/>
  <c r="HT255" i="63"/>
  <c r="IF254" i="63"/>
  <c r="HU254" i="63"/>
  <c r="IH253" i="63"/>
  <c r="HY253" i="63"/>
  <c r="II252" i="63"/>
  <c r="HZ252" i="63"/>
  <c r="HR252" i="63"/>
  <c r="IB251" i="63"/>
  <c r="HS251" i="63"/>
  <c r="ID250" i="63"/>
  <c r="HT250" i="63"/>
  <c r="IG249" i="63"/>
  <c r="HW249" i="63"/>
  <c r="IH248" i="63"/>
  <c r="HX248" i="63"/>
  <c r="IK247" i="63"/>
  <c r="IA247" i="63"/>
  <c r="IL246" i="63"/>
  <c r="IC246" i="63"/>
  <c r="HR246" i="63"/>
  <c r="IE245" i="63"/>
  <c r="HV245" i="63"/>
  <c r="IF244" i="63"/>
  <c r="HW244" i="63"/>
  <c r="IJ243" i="63"/>
  <c r="HY243" i="63"/>
  <c r="IK242" i="63"/>
  <c r="IB242" i="63"/>
  <c r="IL241" i="63"/>
  <c r="ID241" i="63"/>
  <c r="HU241" i="63"/>
  <c r="IE240" i="63"/>
  <c r="HV240" i="63"/>
  <c r="II239" i="63"/>
  <c r="HX239" i="63"/>
  <c r="IJ238" i="63"/>
  <c r="HZ238" i="63"/>
  <c r="IK258" i="63"/>
  <c r="HZ258" i="63"/>
  <c r="IG257" i="63"/>
  <c r="HU257" i="63"/>
  <c r="ID256" i="63"/>
  <c r="IJ255" i="63"/>
  <c r="HY255" i="63"/>
  <c r="IH254" i="63"/>
  <c r="HT254" i="63"/>
  <c r="IC253" i="63"/>
  <c r="HR253" i="63"/>
  <c r="HX252" i="63"/>
  <c r="IG251" i="63"/>
  <c r="HT251" i="63"/>
  <c r="IB250" i="63"/>
  <c r="IL249" i="63"/>
  <c r="HY249" i="63"/>
  <c r="IF248" i="63"/>
  <c r="HS248" i="63"/>
  <c r="IC247" i="63"/>
  <c r="IK246" i="63"/>
  <c r="HX246" i="63"/>
  <c r="IG245" i="63"/>
  <c r="HR245" i="63"/>
  <c r="IB244" i="63"/>
  <c r="IK243" i="63"/>
  <c r="HW243" i="63"/>
  <c r="IF242" i="63"/>
  <c r="HU242" i="63"/>
  <c r="IA241" i="63"/>
  <c r="IJ240" i="63"/>
  <c r="HX240" i="63"/>
  <c r="IE239" i="63"/>
  <c r="HT239" i="63"/>
  <c r="IC238" i="63"/>
  <c r="IB258" i="63"/>
  <c r="IK257" i="63"/>
  <c r="HV257" i="63"/>
  <c r="IF256" i="63"/>
  <c r="HT256" i="63"/>
  <c r="IA255" i="63"/>
  <c r="IJ254" i="63"/>
  <c r="HY254" i="63"/>
  <c r="IE253" i="63"/>
  <c r="HS253" i="63"/>
  <c r="IB252" i="63"/>
  <c r="II251" i="63"/>
  <c r="HX251" i="63"/>
  <c r="IG250" i="63"/>
  <c r="HR250" i="63"/>
  <c r="IA249" i="63"/>
  <c r="IL248" i="63"/>
  <c r="HW248" i="63"/>
  <c r="IF247" i="63"/>
  <c r="HS247" i="63"/>
  <c r="HZ246" i="63"/>
  <c r="IK245" i="63"/>
  <c r="HW245" i="63"/>
  <c r="IE244" i="63"/>
  <c r="HR244" i="63"/>
  <c r="IB243" i="63"/>
  <c r="IJ242" i="63"/>
  <c r="HV242" i="63"/>
  <c r="IE241" i="63"/>
  <c r="IL240" i="63"/>
  <c r="IA240" i="63"/>
  <c r="IJ239" i="63"/>
  <c r="HU239" i="63"/>
  <c r="ID238" i="63"/>
  <c r="HT238" i="63"/>
  <c r="IJ258" i="63"/>
  <c r="ID257" i="63"/>
  <c r="HZ256" i="63"/>
  <c r="HU255" i="63"/>
  <c r="HR254" i="63"/>
  <c r="IH252" i="63"/>
  <c r="IE251" i="63"/>
  <c r="HY250" i="63"/>
  <c r="HS249" i="63"/>
  <c r="HR248" i="63"/>
  <c r="IG246" i="63"/>
  <c r="IC245" i="63"/>
  <c r="HZ244" i="63"/>
  <c r="HU243" i="63"/>
  <c r="IK241" i="63"/>
  <c r="II240" i="63"/>
  <c r="IC239" i="63"/>
  <c r="HX238" i="63"/>
  <c r="HT258" i="63"/>
  <c r="II256" i="63"/>
  <c r="IF255" i="63"/>
  <c r="HZ254" i="63"/>
  <c r="HU253" i="63"/>
  <c r="HS252" i="63"/>
  <c r="IH250" i="63"/>
  <c r="ID249" i="63"/>
  <c r="IA248" i="63"/>
  <c r="HW247" i="63"/>
  <c r="IL245" i="63"/>
  <c r="IJ244" i="63"/>
  <c r="IE243" i="63"/>
  <c r="HY242" i="63"/>
  <c r="HV241" i="63"/>
  <c r="IK239" i="63"/>
  <c r="IH238" i="63"/>
  <c r="IA257" i="63"/>
  <c r="HS255" i="63"/>
  <c r="IE252" i="63"/>
  <c r="HX250" i="63"/>
  <c r="IG247" i="63"/>
  <c r="HZ245" i="63"/>
  <c r="IL242" i="63"/>
  <c r="ID240" i="63"/>
  <c r="HU238" i="63"/>
  <c r="HU258" i="63"/>
  <c r="II255" i="63"/>
  <c r="HZ253" i="63"/>
  <c r="IL250" i="63"/>
  <c r="ID248" i="63"/>
  <c r="HV246" i="63"/>
  <c r="IF243" i="63"/>
  <c r="HY241" i="63"/>
  <c r="IK238" i="63"/>
  <c r="IC254" i="63"/>
  <c r="IH249" i="63"/>
  <c r="IL244" i="63"/>
  <c r="HT240" i="63"/>
  <c r="ID258" i="63"/>
  <c r="II253" i="63"/>
  <c r="HR249" i="63"/>
  <c r="HV244" i="63"/>
  <c r="IA239" i="63"/>
  <c r="HS257" i="63"/>
  <c r="HX247" i="63"/>
  <c r="HV256" i="63"/>
  <c r="HY251" i="63"/>
  <c r="IF246" i="63"/>
  <c r="II241" i="63"/>
  <c r="HT252" i="63"/>
  <c r="ID242" i="63"/>
  <c r="AC258" i="63"/>
  <c r="Y258" i="63"/>
  <c r="U258" i="63"/>
  <c r="Q258" i="63"/>
  <c r="M258" i="63"/>
  <c r="AD257" i="63"/>
  <c r="Z257" i="63"/>
  <c r="V257" i="63"/>
  <c r="R257" i="63"/>
  <c r="N257" i="63"/>
  <c r="J257" i="63"/>
  <c r="AA256" i="63"/>
  <c r="W256" i="63"/>
  <c r="S256" i="63"/>
  <c r="O256" i="63"/>
  <c r="K256" i="63"/>
  <c r="AB255" i="63"/>
  <c r="X255" i="63"/>
  <c r="T255" i="63"/>
  <c r="P255" i="63"/>
  <c r="L255" i="63"/>
  <c r="AC254" i="63"/>
  <c r="Y254" i="63"/>
  <c r="U254" i="63"/>
  <c r="Q254" i="63"/>
  <c r="M254" i="63"/>
  <c r="AD253" i="63"/>
  <c r="Z253" i="63"/>
  <c r="V253" i="63"/>
  <c r="R253" i="63"/>
  <c r="N253" i="63"/>
  <c r="J253" i="63"/>
  <c r="AA252" i="63"/>
  <c r="W252" i="63"/>
  <c r="S252" i="63"/>
  <c r="O252" i="63"/>
  <c r="K252" i="63"/>
  <c r="AB251" i="63"/>
  <c r="X251" i="63"/>
  <c r="T251" i="63"/>
  <c r="P251" i="63"/>
  <c r="L251" i="63"/>
  <c r="AC250" i="63"/>
  <c r="Y250" i="63"/>
  <c r="U250" i="63"/>
  <c r="Q250" i="63"/>
  <c r="M250" i="63"/>
  <c r="AD249" i="63"/>
  <c r="Z249" i="63"/>
  <c r="V249" i="63"/>
  <c r="R249" i="63"/>
  <c r="N249" i="63"/>
  <c r="J249" i="63"/>
  <c r="AA248" i="63"/>
  <c r="W248" i="63"/>
  <c r="S248" i="63"/>
  <c r="O248" i="63"/>
  <c r="K248" i="63"/>
  <c r="AB247" i="63"/>
  <c r="X247" i="63"/>
  <c r="T247" i="63"/>
  <c r="P247" i="63"/>
  <c r="L247" i="63"/>
  <c r="AC246" i="63"/>
  <c r="Y246" i="63"/>
  <c r="U246" i="63"/>
  <c r="Q246" i="63"/>
  <c r="M246" i="63"/>
  <c r="AD245" i="63"/>
  <c r="Z245" i="63"/>
  <c r="V245" i="63"/>
  <c r="R245" i="63"/>
  <c r="N245" i="63"/>
  <c r="J245" i="63"/>
  <c r="AA244" i="63"/>
  <c r="W244" i="63"/>
  <c r="S244" i="63"/>
  <c r="O244" i="63"/>
  <c r="K244" i="63"/>
  <c r="AB243" i="63"/>
  <c r="X243" i="63"/>
  <c r="T243" i="63"/>
  <c r="P243" i="63"/>
  <c r="L243" i="63"/>
  <c r="AC242" i="63"/>
  <c r="Y242" i="63"/>
  <c r="U242" i="63"/>
  <c r="Q242" i="63"/>
  <c r="M242" i="63"/>
  <c r="AD241" i="63"/>
  <c r="Z241" i="63"/>
  <c r="V241" i="63"/>
  <c r="R241" i="63"/>
  <c r="N241" i="63"/>
  <c r="J241" i="63"/>
  <c r="AA240" i="63"/>
  <c r="W240" i="63"/>
  <c r="S240" i="63"/>
  <c r="O240" i="63"/>
  <c r="K240" i="63"/>
  <c r="AB239" i="63"/>
  <c r="X239" i="63"/>
  <c r="T239" i="63"/>
  <c r="P239" i="63"/>
  <c r="L239" i="63"/>
  <c r="AC238" i="63"/>
  <c r="Y238" i="63"/>
  <c r="U238" i="63"/>
  <c r="Q238" i="63"/>
  <c r="M238" i="63"/>
  <c r="AD258" i="63"/>
  <c r="X258" i="63"/>
  <c r="S258" i="63"/>
  <c r="N258" i="63"/>
  <c r="AC257" i="63"/>
  <c r="X257" i="63"/>
  <c r="S257" i="63"/>
  <c r="M257" i="63"/>
  <c r="AC256" i="63"/>
  <c r="X256" i="63"/>
  <c r="R256" i="63"/>
  <c r="M256" i="63"/>
  <c r="AC255" i="63"/>
  <c r="W255" i="63"/>
  <c r="R255" i="63"/>
  <c r="M255" i="63"/>
  <c r="AB254" i="63"/>
  <c r="W254" i="63"/>
  <c r="R254" i="63"/>
  <c r="L254" i="63"/>
  <c r="AB253" i="63"/>
  <c r="W253" i="63"/>
  <c r="Q253" i="63"/>
  <c r="L253" i="63"/>
  <c r="AB252" i="63"/>
  <c r="V252" i="63"/>
  <c r="Q252" i="63"/>
  <c r="L252" i="63"/>
  <c r="AA251" i="63"/>
  <c r="V251" i="63"/>
  <c r="Q251" i="63"/>
  <c r="K251" i="63"/>
  <c r="AA250" i="63"/>
  <c r="V250" i="63"/>
  <c r="P250" i="63"/>
  <c r="K250" i="63"/>
  <c r="AA249" i="63"/>
  <c r="U249" i="63"/>
  <c r="P249" i="63"/>
  <c r="K249" i="63"/>
  <c r="Z248" i="63"/>
  <c r="U248" i="63"/>
  <c r="P248" i="63"/>
  <c r="J248" i="63"/>
  <c r="Z247" i="63"/>
  <c r="U247" i="63"/>
  <c r="O247" i="63"/>
  <c r="J247" i="63"/>
  <c r="Z246" i="63"/>
  <c r="T246" i="63"/>
  <c r="O246" i="63"/>
  <c r="J246" i="63"/>
  <c r="Y245" i="63"/>
  <c r="T245" i="63"/>
  <c r="O245" i="63"/>
  <c r="AD244" i="63"/>
  <c r="Y244" i="63"/>
  <c r="T244" i="63"/>
  <c r="N244" i="63"/>
  <c r="AD243" i="63"/>
  <c r="Y243" i="63"/>
  <c r="S243" i="63"/>
  <c r="N243" i="63"/>
  <c r="AD242" i="63"/>
  <c r="X242" i="63"/>
  <c r="S242" i="63"/>
  <c r="N242" i="63"/>
  <c r="AC241" i="63"/>
  <c r="X241" i="63"/>
  <c r="S241" i="63"/>
  <c r="M241" i="63"/>
  <c r="AC240" i="63"/>
  <c r="X240" i="63"/>
  <c r="R240" i="63"/>
  <c r="M240" i="63"/>
  <c r="AC239" i="63"/>
  <c r="W239" i="63"/>
  <c r="R239" i="63"/>
  <c r="M239" i="63"/>
  <c r="AB238" i="63"/>
  <c r="W238" i="63"/>
  <c r="R238" i="63"/>
  <c r="L238" i="63"/>
  <c r="Z258" i="63"/>
  <c r="R258" i="63"/>
  <c r="K258" i="63"/>
  <c r="Y257" i="63"/>
  <c r="Q257" i="63"/>
  <c r="K257" i="63"/>
  <c r="Y256" i="63"/>
  <c r="Q256" i="63"/>
  <c r="J256" i="63"/>
  <c r="Y255" i="63"/>
  <c r="Q255" i="63"/>
  <c r="J255" i="63"/>
  <c r="X254" i="63"/>
  <c r="P254" i="63"/>
  <c r="J254" i="63"/>
  <c r="X253" i="63"/>
  <c r="P253" i="63"/>
  <c r="AD252" i="63"/>
  <c r="X252" i="63"/>
  <c r="P252" i="63"/>
  <c r="AD251" i="63"/>
  <c r="W251" i="63"/>
  <c r="O251" i="63"/>
  <c r="AD250" i="63"/>
  <c r="W250" i="63"/>
  <c r="O250" i="63"/>
  <c r="AC249" i="63"/>
  <c r="W249" i="63"/>
  <c r="O249" i="63"/>
  <c r="AC248" i="63"/>
  <c r="V248" i="63"/>
  <c r="N248" i="63"/>
  <c r="AC247" i="63"/>
  <c r="V247" i="63"/>
  <c r="N247" i="63"/>
  <c r="AB246" i="63"/>
  <c r="V246" i="63"/>
  <c r="N246" i="63"/>
  <c r="AB245" i="63"/>
  <c r="U245" i="63"/>
  <c r="M245" i="63"/>
  <c r="AB244" i="63"/>
  <c r="U244" i="63"/>
  <c r="M244" i="63"/>
  <c r="AA243" i="63"/>
  <c r="U243" i="63"/>
  <c r="M243" i="63"/>
  <c r="AA242" i="63"/>
  <c r="T242" i="63"/>
  <c r="L242" i="63"/>
  <c r="AA241" i="63"/>
  <c r="T241" i="63"/>
  <c r="L241" i="63"/>
  <c r="Z240" i="63"/>
  <c r="T240" i="63"/>
  <c r="L240" i="63"/>
  <c r="Z239" i="63"/>
  <c r="S239" i="63"/>
  <c r="K239" i="63"/>
  <c r="Z238" i="63"/>
  <c r="S238" i="63"/>
  <c r="K238" i="63"/>
  <c r="AB258" i="63"/>
  <c r="T258" i="63"/>
  <c r="J258" i="63"/>
  <c r="U257" i="63"/>
  <c r="L257" i="63"/>
  <c r="V256" i="63"/>
  <c r="N256" i="63"/>
  <c r="Z255" i="63"/>
  <c r="O255" i="63"/>
  <c r="AA254" i="63"/>
  <c r="S254" i="63"/>
  <c r="AC253" i="63"/>
  <c r="T253" i="63"/>
  <c r="K253" i="63"/>
  <c r="U252" i="63"/>
  <c r="M252" i="63"/>
  <c r="Y251" i="63"/>
  <c r="N251" i="63"/>
  <c r="Z250" i="63"/>
  <c r="R250" i="63"/>
  <c r="AB249" i="63"/>
  <c r="S249" i="63"/>
  <c r="AD248" i="63"/>
  <c r="T248" i="63"/>
  <c r="L248" i="63"/>
  <c r="W247" i="63"/>
  <c r="M247" i="63"/>
  <c r="X246" i="63"/>
  <c r="P246" i="63"/>
  <c r="AA245" i="63"/>
  <c r="Q245" i="63"/>
  <c r="AC244" i="63"/>
  <c r="R244" i="63"/>
  <c r="J244" i="63"/>
  <c r="V243" i="63"/>
  <c r="K243" i="63"/>
  <c r="W242" i="63"/>
  <c r="O242" i="63"/>
  <c r="Y241" i="63"/>
  <c r="P241" i="63"/>
  <c r="AB240" i="63"/>
  <c r="Q240" i="63"/>
  <c r="AD239" i="63"/>
  <c r="U239" i="63"/>
  <c r="J239" i="63"/>
  <c r="V238" i="63"/>
  <c r="N238" i="63"/>
  <c r="V258" i="63"/>
  <c r="L258" i="63"/>
  <c r="W257" i="63"/>
  <c r="O257" i="63"/>
  <c r="Z256" i="63"/>
  <c r="P256" i="63"/>
  <c r="AA255" i="63"/>
  <c r="S255" i="63"/>
  <c r="AD254" i="63"/>
  <c r="T254" i="63"/>
  <c r="K254" i="63"/>
  <c r="U253" i="63"/>
  <c r="M253" i="63"/>
  <c r="Y252" i="63"/>
  <c r="N252" i="63"/>
  <c r="Z251" i="63"/>
  <c r="R251" i="63"/>
  <c r="AB250" i="63"/>
  <c r="S250" i="63"/>
  <c r="J250" i="63"/>
  <c r="T249" i="63"/>
  <c r="L249" i="63"/>
  <c r="X248" i="63"/>
  <c r="M248" i="63"/>
  <c r="Y247" i="63"/>
  <c r="Q247" i="63"/>
  <c r="AA246" i="63"/>
  <c r="R246" i="63"/>
  <c r="AC245" i="63"/>
  <c r="S245" i="63"/>
  <c r="K245" i="63"/>
  <c r="V244" i="63"/>
  <c r="L244" i="63"/>
  <c r="W243" i="63"/>
  <c r="O243" i="63"/>
  <c r="Z242" i="63"/>
  <c r="P242" i="63"/>
  <c r="AB241" i="63"/>
  <c r="Q241" i="63"/>
  <c r="AD240" i="63"/>
  <c r="U240" i="63"/>
  <c r="J240" i="63"/>
  <c r="V239" i="63"/>
  <c r="N239" i="63"/>
  <c r="X238" i="63"/>
  <c r="O238" i="63"/>
  <c r="P258" i="63"/>
  <c r="T257" i="63"/>
  <c r="U256" i="63"/>
  <c r="V255" i="63"/>
  <c r="Z254" i="63"/>
  <c r="AA253" i="63"/>
  <c r="AC252" i="63"/>
  <c r="J252" i="63"/>
  <c r="M251" i="63"/>
  <c r="N250" i="63"/>
  <c r="Q249" i="63"/>
  <c r="R248" i="63"/>
  <c r="S247" i="63"/>
  <c r="W246" i="63"/>
  <c r="X245" i="63"/>
  <c r="Z244" i="63"/>
  <c r="AC243" i="63"/>
  <c r="J243" i="63"/>
  <c r="K242" i="63"/>
  <c r="O241" i="63"/>
  <c r="P240" i="63"/>
  <c r="Q239" i="63"/>
  <c r="T238" i="63"/>
  <c r="W258" i="63"/>
  <c r="AA257" i="63"/>
  <c r="AB256" i="63"/>
  <c r="AD255" i="63"/>
  <c r="K255" i="63"/>
  <c r="N254" i="63"/>
  <c r="O253" i="63"/>
  <c r="R252" i="63"/>
  <c r="S251" i="63"/>
  <c r="T250" i="63"/>
  <c r="X249" i="63"/>
  <c r="Y248" i="63"/>
  <c r="AA247" i="63"/>
  <c r="AD246" i="63"/>
  <c r="K246" i="63"/>
  <c r="L245" i="63"/>
  <c r="P244" i="63"/>
  <c r="Q243" i="63"/>
  <c r="R242" i="63"/>
  <c r="U241" i="63"/>
  <c r="V240" i="63"/>
  <c r="Y239" i="63"/>
  <c r="AA238" i="63"/>
  <c r="P257" i="63"/>
  <c r="U255" i="63"/>
  <c r="Y253" i="63"/>
  <c r="AC251" i="63"/>
  <c r="L250" i="63"/>
  <c r="Q248" i="63"/>
  <c r="S246" i="63"/>
  <c r="X244" i="63"/>
  <c r="AB242" i="63"/>
  <c r="K241" i="63"/>
  <c r="O239" i="63"/>
  <c r="AD256" i="63"/>
  <c r="S253" i="63"/>
  <c r="Y249" i="63"/>
  <c r="Q244" i="63"/>
  <c r="Y240" i="63"/>
  <c r="O258" i="63"/>
  <c r="V254" i="63"/>
  <c r="J251" i="63"/>
  <c r="R247" i="63"/>
  <c r="Z243" i="63"/>
  <c r="N240" i="63"/>
  <c r="AB257" i="63"/>
  <c r="L256" i="63"/>
  <c r="O254" i="63"/>
  <c r="T252" i="63"/>
  <c r="X250" i="63"/>
  <c r="AB248" i="63"/>
  <c r="K247" i="63"/>
  <c r="P245" i="63"/>
  <c r="R243" i="63"/>
  <c r="W241" i="63"/>
  <c r="AA239" i="63"/>
  <c r="J238" i="63"/>
  <c r="AA258" i="63"/>
  <c r="N255" i="63"/>
  <c r="U251" i="63"/>
  <c r="AD247" i="63"/>
  <c r="L246" i="63"/>
  <c r="V242" i="63"/>
  <c r="AD238" i="63"/>
  <c r="T256" i="63"/>
  <c r="Z252" i="63"/>
  <c r="M249" i="63"/>
  <c r="W245" i="63"/>
  <c r="J242" i="63"/>
  <c r="P238" i="63"/>
  <c r="KE258" i="63"/>
  <c r="KA258" i="63"/>
  <c r="JW258" i="63"/>
  <c r="JS258" i="63"/>
  <c r="JO258" i="63"/>
  <c r="KF257" i="63"/>
  <c r="KB257" i="63"/>
  <c r="JX257" i="63"/>
  <c r="JT257" i="63"/>
  <c r="JP257" i="63"/>
  <c r="KG256" i="63"/>
  <c r="KC256" i="63"/>
  <c r="JY256" i="63"/>
  <c r="JU256" i="63"/>
  <c r="JQ256" i="63"/>
  <c r="KH255" i="63"/>
  <c r="KD255" i="63"/>
  <c r="JZ255" i="63"/>
  <c r="JV255" i="63"/>
  <c r="JR255" i="63"/>
  <c r="JN255" i="63"/>
  <c r="KE254" i="63"/>
  <c r="KA254" i="63"/>
  <c r="JW254" i="63"/>
  <c r="JS254" i="63"/>
  <c r="JO254" i="63"/>
  <c r="KF253" i="63"/>
  <c r="KB253" i="63"/>
  <c r="JX253" i="63"/>
  <c r="JT253" i="63"/>
  <c r="JP253" i="63"/>
  <c r="KG252" i="63"/>
  <c r="KC252" i="63"/>
  <c r="JY252" i="63"/>
  <c r="JU252" i="63"/>
  <c r="JQ252" i="63"/>
  <c r="KH251" i="63"/>
  <c r="KD251" i="63"/>
  <c r="JZ251" i="63"/>
  <c r="JV251" i="63"/>
  <c r="JR251" i="63"/>
  <c r="JN251" i="63"/>
  <c r="KE250" i="63"/>
  <c r="KA250" i="63"/>
  <c r="JW250" i="63"/>
  <c r="JS250" i="63"/>
  <c r="JO250" i="63"/>
  <c r="KF249" i="63"/>
  <c r="KB249" i="63"/>
  <c r="JX249" i="63"/>
  <c r="JT249" i="63"/>
  <c r="JP249" i="63"/>
  <c r="KG248" i="63"/>
  <c r="KC248" i="63"/>
  <c r="JY248" i="63"/>
  <c r="JU248" i="63"/>
  <c r="JQ248" i="63"/>
  <c r="KH247" i="63"/>
  <c r="KD247" i="63"/>
  <c r="JZ247" i="63"/>
  <c r="JV247" i="63"/>
  <c r="JR247" i="63"/>
  <c r="JN247" i="63"/>
  <c r="KE246" i="63"/>
  <c r="KA246" i="63"/>
  <c r="JW246" i="63"/>
  <c r="JS246" i="63"/>
  <c r="JO246" i="63"/>
  <c r="KF245" i="63"/>
  <c r="KB245" i="63"/>
  <c r="JX245" i="63"/>
  <c r="JT245" i="63"/>
  <c r="JP245" i="63"/>
  <c r="KG244" i="63"/>
  <c r="KC244" i="63"/>
  <c r="JY244" i="63"/>
  <c r="JU244" i="63"/>
  <c r="JQ244" i="63"/>
  <c r="KH243" i="63"/>
  <c r="KD243" i="63"/>
  <c r="JZ243" i="63"/>
  <c r="JV243" i="63"/>
  <c r="JR243" i="63"/>
  <c r="JN243" i="63"/>
  <c r="KE242" i="63"/>
  <c r="KA242" i="63"/>
  <c r="JW242" i="63"/>
  <c r="JS242" i="63"/>
  <c r="JO242" i="63"/>
  <c r="KF241" i="63"/>
  <c r="KB241" i="63"/>
  <c r="JX241" i="63"/>
  <c r="JT241" i="63"/>
  <c r="JP241" i="63"/>
  <c r="KG240" i="63"/>
  <c r="KC240" i="63"/>
  <c r="JY240" i="63"/>
  <c r="KH258" i="63"/>
  <c r="KC258" i="63"/>
  <c r="JX258" i="63"/>
  <c r="JR258" i="63"/>
  <c r="KH257" i="63"/>
  <c r="KC257" i="63"/>
  <c r="JW257" i="63"/>
  <c r="JR257" i="63"/>
  <c r="KH256" i="63"/>
  <c r="KB256" i="63"/>
  <c r="JW256" i="63"/>
  <c r="JR256" i="63"/>
  <c r="KG255" i="63"/>
  <c r="KB255" i="63"/>
  <c r="JW255" i="63"/>
  <c r="JQ255" i="63"/>
  <c r="KG254" i="63"/>
  <c r="KB254" i="63"/>
  <c r="JV254" i="63"/>
  <c r="JQ254" i="63"/>
  <c r="KG253" i="63"/>
  <c r="KA253" i="63"/>
  <c r="JV253" i="63"/>
  <c r="JQ253" i="63"/>
  <c r="KF252" i="63"/>
  <c r="KA252" i="63"/>
  <c r="JV252" i="63"/>
  <c r="JP252" i="63"/>
  <c r="KF251" i="63"/>
  <c r="KA251" i="63"/>
  <c r="JU251" i="63"/>
  <c r="JP251" i="63"/>
  <c r="KF250" i="63"/>
  <c r="JZ250" i="63"/>
  <c r="JU250" i="63"/>
  <c r="JP250" i="63"/>
  <c r="KE249" i="63"/>
  <c r="JZ249" i="63"/>
  <c r="JU249" i="63"/>
  <c r="JO249" i="63"/>
  <c r="KE248" i="63"/>
  <c r="JZ248" i="63"/>
  <c r="JT248" i="63"/>
  <c r="JO248" i="63"/>
  <c r="KE247" i="63"/>
  <c r="JY247" i="63"/>
  <c r="JT247" i="63"/>
  <c r="JO247" i="63"/>
  <c r="KD246" i="63"/>
  <c r="JY246" i="63"/>
  <c r="JT246" i="63"/>
  <c r="JN246" i="63"/>
  <c r="KD245" i="63"/>
  <c r="JY245" i="63"/>
  <c r="JS245" i="63"/>
  <c r="JN245" i="63"/>
  <c r="KD244" i="63"/>
  <c r="JX244" i="63"/>
  <c r="JS244" i="63"/>
  <c r="JN244" i="63"/>
  <c r="KC243" i="63"/>
  <c r="JX243" i="63"/>
  <c r="JS243" i="63"/>
  <c r="KH242" i="63"/>
  <c r="KC242" i="63"/>
  <c r="JX242" i="63"/>
  <c r="JR242" i="63"/>
  <c r="KH241" i="63"/>
  <c r="KC241" i="63"/>
  <c r="JW241" i="63"/>
  <c r="JR241" i="63"/>
  <c r="KH240" i="63"/>
  <c r="KB240" i="63"/>
  <c r="JW240" i="63"/>
  <c r="JS240" i="63"/>
  <c r="JO240" i="63"/>
  <c r="KF239" i="63"/>
  <c r="KB239" i="63"/>
  <c r="JX239" i="63"/>
  <c r="JT239" i="63"/>
  <c r="JP239" i="63"/>
  <c r="KG238" i="63"/>
  <c r="KC238" i="63"/>
  <c r="JY238" i="63"/>
  <c r="JU238" i="63"/>
  <c r="JQ238" i="63"/>
  <c r="KD258" i="63"/>
  <c r="JV258" i="63"/>
  <c r="JP258" i="63"/>
  <c r="KD257" i="63"/>
  <c r="JV257" i="63"/>
  <c r="JO257" i="63"/>
  <c r="KD256" i="63"/>
  <c r="JV256" i="63"/>
  <c r="JO256" i="63"/>
  <c r="KC255" i="63"/>
  <c r="JU255" i="63"/>
  <c r="JO255" i="63"/>
  <c r="KC254" i="63"/>
  <c r="JU254" i="63"/>
  <c r="JN254" i="63"/>
  <c r="KC253" i="63"/>
  <c r="JU253" i="63"/>
  <c r="JN253" i="63"/>
  <c r="KB252" i="63"/>
  <c r="JT252" i="63"/>
  <c r="JN252" i="63"/>
  <c r="KB251" i="63"/>
  <c r="JT251" i="63"/>
  <c r="KH250" i="63"/>
  <c r="KB250" i="63"/>
  <c r="JT250" i="63"/>
  <c r="KH249" i="63"/>
  <c r="KA249" i="63"/>
  <c r="JS249" i="63"/>
  <c r="KH248" i="63"/>
  <c r="KA248" i="63"/>
  <c r="JS248" i="63"/>
  <c r="KG247" i="63"/>
  <c r="KA247" i="63"/>
  <c r="JS247" i="63"/>
  <c r="KG246" i="63"/>
  <c r="JZ246" i="63"/>
  <c r="JR246" i="63"/>
  <c r="KG245" i="63"/>
  <c r="JZ245" i="63"/>
  <c r="JR245" i="63"/>
  <c r="KF244" i="63"/>
  <c r="JZ244" i="63"/>
  <c r="JR244" i="63"/>
  <c r="KF243" i="63"/>
  <c r="JY243" i="63"/>
  <c r="JQ243" i="63"/>
  <c r="KF242" i="63"/>
  <c r="JY242" i="63"/>
  <c r="JQ242" i="63"/>
  <c r="KE241" i="63"/>
  <c r="JY241" i="63"/>
  <c r="JQ241" i="63"/>
  <c r="KE240" i="63"/>
  <c r="JX240" i="63"/>
  <c r="JR240" i="63"/>
  <c r="KH239" i="63"/>
  <c r="KC239" i="63"/>
  <c r="JW239" i="63"/>
  <c r="JR239" i="63"/>
  <c r="KH238" i="63"/>
  <c r="KB238" i="63"/>
  <c r="JW238" i="63"/>
  <c r="JR238" i="63"/>
  <c r="JZ258" i="63"/>
  <c r="JQ258" i="63"/>
  <c r="KA257" i="63"/>
  <c r="JS257" i="63"/>
  <c r="KE256" i="63"/>
  <c r="JT256" i="63"/>
  <c r="KF255" i="63"/>
  <c r="JX255" i="63"/>
  <c r="KH254" i="63"/>
  <c r="JY254" i="63"/>
  <c r="JP254" i="63"/>
  <c r="JZ253" i="63"/>
  <c r="JR253" i="63"/>
  <c r="KD252" i="63"/>
  <c r="JS252" i="63"/>
  <c r="KE251" i="63"/>
  <c r="JW251" i="63"/>
  <c r="KG250" i="63"/>
  <c r="JX250" i="63"/>
  <c r="JN250" i="63"/>
  <c r="JY249" i="63"/>
  <c r="JQ249" i="63"/>
  <c r="KB248" i="63"/>
  <c r="JR248" i="63"/>
  <c r="KC247" i="63"/>
  <c r="JU247" i="63"/>
  <c r="KF246" i="63"/>
  <c r="JV246" i="63"/>
  <c r="KH245" i="63"/>
  <c r="JW245" i="63"/>
  <c r="JO245" i="63"/>
  <c r="KA244" i="63"/>
  <c r="JP244" i="63"/>
  <c r="KB243" i="63"/>
  <c r="JT243" i="63"/>
  <c r="KD242" i="63"/>
  <c r="JU242" i="63"/>
  <c r="KG241" i="63"/>
  <c r="JV241" i="63"/>
  <c r="JN241" i="63"/>
  <c r="JZ240" i="63"/>
  <c r="JQ240" i="63"/>
  <c r="KE239" i="63"/>
  <c r="JY239" i="63"/>
  <c r="JQ239" i="63"/>
  <c r="KE238" i="63"/>
  <c r="JX238" i="63"/>
  <c r="JP238" i="63"/>
  <c r="JY258" i="63"/>
  <c r="KG257" i="63"/>
  <c r="JU257" i="63"/>
  <c r="KA256" i="63"/>
  <c r="JP256" i="63"/>
  <c r="JY255" i="63"/>
  <c r="KF254" i="63"/>
  <c r="JT254" i="63"/>
  <c r="KD253" i="63"/>
  <c r="JO253" i="63"/>
  <c r="JX252" i="63"/>
  <c r="KG251" i="63"/>
  <c r="JS251" i="63"/>
  <c r="KC250" i="63"/>
  <c r="JQ250" i="63"/>
  <c r="JW249" i="63"/>
  <c r="KF248" i="63"/>
  <c r="JV248" i="63"/>
  <c r="KB247" i="63"/>
  <c r="JP247" i="63"/>
  <c r="JX246" i="63"/>
  <c r="KE245" i="63"/>
  <c r="JU245" i="63"/>
  <c r="KB244" i="63"/>
  <c r="JO244" i="63"/>
  <c r="JW243" i="63"/>
  <c r="KG242" i="63"/>
  <c r="JT242" i="63"/>
  <c r="KA241" i="63"/>
  <c r="JO241" i="63"/>
  <c r="JV240" i="63"/>
  <c r="JN240" i="63"/>
  <c r="JZ239" i="63"/>
  <c r="JO239" i="63"/>
  <c r="KA238" i="63"/>
  <c r="JS238" i="63"/>
  <c r="KB258" i="63"/>
  <c r="KE257" i="63"/>
  <c r="JN257" i="63"/>
  <c r="JS256" i="63"/>
  <c r="JT255" i="63"/>
  <c r="JZ254" i="63"/>
  <c r="KE253" i="63"/>
  <c r="KH252" i="63"/>
  <c r="JR252" i="63"/>
  <c r="JX251" i="63"/>
  <c r="JY250" i="63"/>
  <c r="KD249" i="63"/>
  <c r="JN249" i="63"/>
  <c r="JP248" i="63"/>
  <c r="JW247" i="63"/>
  <c r="KB246" i="63"/>
  <c r="KC245" i="63"/>
  <c r="KH244" i="63"/>
  <c r="JT244" i="63"/>
  <c r="JU243" i="63"/>
  <c r="JZ242" i="63"/>
  <c r="KD241" i="63"/>
  <c r="KF240" i="63"/>
  <c r="JT240" i="63"/>
  <c r="KA239" i="63"/>
  <c r="JN239" i="63"/>
  <c r="JV238" i="63"/>
  <c r="KF258" i="63"/>
  <c r="JN258" i="63"/>
  <c r="JQ257" i="63"/>
  <c r="JX256" i="63"/>
  <c r="KA255" i="63"/>
  <c r="KD254" i="63"/>
  <c r="KH253" i="63"/>
  <c r="JS253" i="63"/>
  <c r="JW252" i="63"/>
  <c r="JY251" i="63"/>
  <c r="KD250" i="63"/>
  <c r="KG249" i="63"/>
  <c r="JR249" i="63"/>
  <c r="JW248" i="63"/>
  <c r="JX247" i="63"/>
  <c r="KC246" i="63"/>
  <c r="JP246" i="63"/>
  <c r="JQ245" i="63"/>
  <c r="JV244" i="63"/>
  <c r="KA243" i="63"/>
  <c r="KB242" i="63"/>
  <c r="JN242" i="63"/>
  <c r="JS241" i="63"/>
  <c r="JU240" i="63"/>
  <c r="KD239" i="63"/>
  <c r="JS239" i="63"/>
  <c r="JZ238" i="63"/>
  <c r="JN238" i="63"/>
  <c r="JU258" i="63"/>
  <c r="KF256" i="63"/>
  <c r="JS255" i="63"/>
  <c r="JY253" i="63"/>
  <c r="JO252" i="63"/>
  <c r="JV250" i="63"/>
  <c r="KD248" i="63"/>
  <c r="JQ247" i="63"/>
  <c r="KA245" i="63"/>
  <c r="KG243" i="63"/>
  <c r="JV242" i="63"/>
  <c r="KD240" i="63"/>
  <c r="JV239" i="63"/>
  <c r="JT238" i="63"/>
  <c r="KG258" i="63"/>
  <c r="JY257" i="63"/>
  <c r="KE255" i="63"/>
  <c r="JR254" i="63"/>
  <c r="JZ252" i="63"/>
  <c r="JO251" i="63"/>
  <c r="JV249" i="63"/>
  <c r="KF247" i="63"/>
  <c r="JQ246" i="63"/>
  <c r="JW244" i="63"/>
  <c r="JO243" i="63"/>
  <c r="JU241" i="63"/>
  <c r="KG239" i="63"/>
  <c r="KD238" i="63"/>
  <c r="JT258" i="63"/>
  <c r="JP255" i="63"/>
  <c r="KC251" i="63"/>
  <c r="JX248" i="63"/>
  <c r="JV245" i="63"/>
  <c r="JP242" i="63"/>
  <c r="JU239" i="63"/>
  <c r="JN256" i="63"/>
  <c r="KE252" i="63"/>
  <c r="KC249" i="63"/>
  <c r="JU246" i="63"/>
  <c r="JP243" i="63"/>
  <c r="JP240" i="63"/>
  <c r="JX254" i="63"/>
  <c r="JN248" i="63"/>
  <c r="JZ241" i="63"/>
  <c r="JW253" i="63"/>
  <c r="KH246" i="63"/>
  <c r="KA240" i="63"/>
  <c r="JZ257" i="63"/>
  <c r="KE244" i="63"/>
  <c r="JZ256" i="63"/>
  <c r="JR250" i="63"/>
  <c r="KE243" i="63"/>
  <c r="JO238" i="63"/>
  <c r="JQ251" i="63"/>
  <c r="KF238" i="63"/>
  <c r="EQ258" i="63"/>
  <c r="EM258" i="63"/>
  <c r="EI258" i="63"/>
  <c r="EE258" i="63"/>
  <c r="EA258" i="63"/>
  <c r="ER257" i="63"/>
  <c r="EN257" i="63"/>
  <c r="EJ257" i="63"/>
  <c r="EF257" i="63"/>
  <c r="EB257" i="63"/>
  <c r="ES256" i="63"/>
  <c r="EO256" i="63"/>
  <c r="EK256" i="63"/>
  <c r="EG256" i="63"/>
  <c r="EC256" i="63"/>
  <c r="ET255" i="63"/>
  <c r="EP255" i="63"/>
  <c r="EL255" i="63"/>
  <c r="EH255" i="63"/>
  <c r="ED255" i="63"/>
  <c r="DZ255" i="63"/>
  <c r="EQ254" i="63"/>
  <c r="EM254" i="63"/>
  <c r="EI254" i="63"/>
  <c r="EE254" i="63"/>
  <c r="EA254" i="63"/>
  <c r="ER253" i="63"/>
  <c r="EN253" i="63"/>
  <c r="EJ253" i="63"/>
  <c r="EF253" i="63"/>
  <c r="EB253" i="63"/>
  <c r="ES252" i="63"/>
  <c r="EO252" i="63"/>
  <c r="EK252" i="63"/>
  <c r="EG252" i="63"/>
  <c r="EC252" i="63"/>
  <c r="ET251" i="63"/>
  <c r="EP251" i="63"/>
  <c r="EL251" i="63"/>
  <c r="EH251" i="63"/>
  <c r="ED251" i="63"/>
  <c r="DZ251" i="63"/>
  <c r="EQ250" i="63"/>
  <c r="EM250" i="63"/>
  <c r="EI250" i="63"/>
  <c r="EE250" i="63"/>
  <c r="EA250" i="63"/>
  <c r="ER249" i="63"/>
  <c r="EN249" i="63"/>
  <c r="EJ249" i="63"/>
  <c r="EF249" i="63"/>
  <c r="EB249" i="63"/>
  <c r="ES248" i="63"/>
  <c r="EO248" i="63"/>
  <c r="EK248" i="63"/>
  <c r="EG248" i="63"/>
  <c r="EC248" i="63"/>
  <c r="ET247" i="63"/>
  <c r="EP247" i="63"/>
  <c r="EL247" i="63"/>
  <c r="EH247" i="63"/>
  <c r="ED247" i="63"/>
  <c r="DZ247" i="63"/>
  <c r="EQ246" i="63"/>
  <c r="EM246" i="63"/>
  <c r="EI246" i="63"/>
  <c r="EE246" i="63"/>
  <c r="EA246" i="63"/>
  <c r="ER245" i="63"/>
  <c r="EN245" i="63"/>
  <c r="EJ245" i="63"/>
  <c r="EF245" i="63"/>
  <c r="EB245" i="63"/>
  <c r="ES244" i="63"/>
  <c r="EO244" i="63"/>
  <c r="EK244" i="63"/>
  <c r="EG244" i="63"/>
  <c r="EC244" i="63"/>
  <c r="ET243" i="63"/>
  <c r="EP243" i="63"/>
  <c r="EL243" i="63"/>
  <c r="EH243" i="63"/>
  <c r="ED243" i="63"/>
  <c r="DZ243" i="63"/>
  <c r="EQ242" i="63"/>
  <c r="EM242" i="63"/>
  <c r="EI242" i="63"/>
  <c r="EE242" i="63"/>
  <c r="EA242" i="63"/>
  <c r="ER241" i="63"/>
  <c r="EN241" i="63"/>
  <c r="EJ241" i="63"/>
  <c r="EF241" i="63"/>
  <c r="EB241" i="63"/>
  <c r="ES240" i="63"/>
  <c r="EO240" i="63"/>
  <c r="EK240" i="63"/>
  <c r="EG240" i="63"/>
  <c r="EC240" i="63"/>
  <c r="ET239" i="63"/>
  <c r="EP239" i="63"/>
  <c r="EL239" i="63"/>
  <c r="EH239" i="63"/>
  <c r="ED239" i="63"/>
  <c r="DZ239" i="63"/>
  <c r="EQ238" i="63"/>
  <c r="EM238" i="63"/>
  <c r="EI238" i="63"/>
  <c r="EE238" i="63"/>
  <c r="EA238" i="63"/>
  <c r="ER258" i="63"/>
  <c r="EL258" i="63"/>
  <c r="EG258" i="63"/>
  <c r="EB258" i="63"/>
  <c r="EQ257" i="63"/>
  <c r="EL257" i="63"/>
  <c r="EG257" i="63"/>
  <c r="EA257" i="63"/>
  <c r="EQ256" i="63"/>
  <c r="EL256" i="63"/>
  <c r="EF256" i="63"/>
  <c r="EA256" i="63"/>
  <c r="EQ255" i="63"/>
  <c r="EK255" i="63"/>
  <c r="EF255" i="63"/>
  <c r="EA255" i="63"/>
  <c r="EP254" i="63"/>
  <c r="EK254" i="63"/>
  <c r="EF254" i="63"/>
  <c r="DZ254" i="63"/>
  <c r="EP253" i="63"/>
  <c r="EK253" i="63"/>
  <c r="EE253" i="63"/>
  <c r="DZ253" i="63"/>
  <c r="EP252" i="63"/>
  <c r="EJ252" i="63"/>
  <c r="EE252" i="63"/>
  <c r="DZ252" i="63"/>
  <c r="EO251" i="63"/>
  <c r="EJ251" i="63"/>
  <c r="EE251" i="63"/>
  <c r="ET250" i="63"/>
  <c r="EO250" i="63"/>
  <c r="EJ250" i="63"/>
  <c r="ED250" i="63"/>
  <c r="ET249" i="63"/>
  <c r="EO249" i="63"/>
  <c r="EI249" i="63"/>
  <c r="ED249" i="63"/>
  <c r="ET248" i="63"/>
  <c r="EN248" i="63"/>
  <c r="EI248" i="63"/>
  <c r="ED248" i="63"/>
  <c r="ES247" i="63"/>
  <c r="EN247" i="63"/>
  <c r="EI247" i="63"/>
  <c r="EC247" i="63"/>
  <c r="ES246" i="63"/>
  <c r="EN246" i="63"/>
  <c r="EH246" i="63"/>
  <c r="EC246" i="63"/>
  <c r="ES245" i="63"/>
  <c r="EM245" i="63"/>
  <c r="EH245" i="63"/>
  <c r="EC245" i="63"/>
  <c r="ER244" i="63"/>
  <c r="EM244" i="63"/>
  <c r="EH244" i="63"/>
  <c r="EB244" i="63"/>
  <c r="ER243" i="63"/>
  <c r="EM243" i="63"/>
  <c r="EG243" i="63"/>
  <c r="EB243" i="63"/>
  <c r="ER242" i="63"/>
  <c r="EL242" i="63"/>
  <c r="EG242" i="63"/>
  <c r="EB242" i="63"/>
  <c r="EQ241" i="63"/>
  <c r="EL241" i="63"/>
  <c r="EG241" i="63"/>
  <c r="EA241" i="63"/>
  <c r="EQ240" i="63"/>
  <c r="EL240" i="63"/>
  <c r="EF240" i="63"/>
  <c r="EA240" i="63"/>
  <c r="EQ239" i="63"/>
  <c r="EK239" i="63"/>
  <c r="EF239" i="63"/>
  <c r="EA239" i="63"/>
  <c r="EP238" i="63"/>
  <c r="EK238" i="63"/>
  <c r="EF238" i="63"/>
  <c r="DZ238" i="63"/>
  <c r="EO258" i="63"/>
  <c r="EH258" i="63"/>
  <c r="DZ258" i="63"/>
  <c r="EO257" i="63"/>
  <c r="EH257" i="63"/>
  <c r="DZ257" i="63"/>
  <c r="EN256" i="63"/>
  <c r="EH256" i="63"/>
  <c r="DZ256" i="63"/>
  <c r="EN255" i="63"/>
  <c r="EG255" i="63"/>
  <c r="ET254" i="63"/>
  <c r="EN254" i="63"/>
  <c r="EG254" i="63"/>
  <c r="ET253" i="63"/>
  <c r="EM253" i="63"/>
  <c r="EG253" i="63"/>
  <c r="ET252" i="63"/>
  <c r="EM252" i="63"/>
  <c r="EF252" i="63"/>
  <c r="ES251" i="63"/>
  <c r="EM251" i="63"/>
  <c r="EF251" i="63"/>
  <c r="ES250" i="63"/>
  <c r="EL250" i="63"/>
  <c r="EF250" i="63"/>
  <c r="ES249" i="63"/>
  <c r="EL249" i="63"/>
  <c r="EE249" i="63"/>
  <c r="ER248" i="63"/>
  <c r="EL248" i="63"/>
  <c r="EE248" i="63"/>
  <c r="ER247" i="63"/>
  <c r="EK247" i="63"/>
  <c r="EE247" i="63"/>
  <c r="ER246" i="63"/>
  <c r="EK246" i="63"/>
  <c r="ED246" i="63"/>
  <c r="EQ245" i="63"/>
  <c r="EK245" i="63"/>
  <c r="ED245" i="63"/>
  <c r="EQ244" i="63"/>
  <c r="EJ244" i="63"/>
  <c r="ED244" i="63"/>
  <c r="EQ243" i="63"/>
  <c r="EJ243" i="63"/>
  <c r="EC243" i="63"/>
  <c r="EP242" i="63"/>
  <c r="EJ242" i="63"/>
  <c r="EC242" i="63"/>
  <c r="EP241" i="63"/>
  <c r="EI241" i="63"/>
  <c r="EC241" i="63"/>
  <c r="EP240" i="63"/>
  <c r="EI240" i="63"/>
  <c r="EB240" i="63"/>
  <c r="EO239" i="63"/>
  <c r="EI239" i="63"/>
  <c r="EB239" i="63"/>
  <c r="EO238" i="63"/>
  <c r="EH238" i="63"/>
  <c r="EB238" i="63"/>
  <c r="ET258" i="63"/>
  <c r="EK258" i="63"/>
  <c r="EC258" i="63"/>
  <c r="EM257" i="63"/>
  <c r="ED257" i="63"/>
  <c r="EP256" i="63"/>
  <c r="EE256" i="63"/>
  <c r="ER255" i="63"/>
  <c r="EI255" i="63"/>
  <c r="ES254" i="63"/>
  <c r="EJ254" i="63"/>
  <c r="EB254" i="63"/>
  <c r="EL253" i="63"/>
  <c r="EC253" i="63"/>
  <c r="EN252" i="63"/>
  <c r="ED252" i="63"/>
  <c r="EQ251" i="63"/>
  <c r="EG251" i="63"/>
  <c r="ER250" i="63"/>
  <c r="EH250" i="63"/>
  <c r="DZ250" i="63"/>
  <c r="EK249" i="63"/>
  <c r="EA249" i="63"/>
  <c r="EM248" i="63"/>
  <c r="EB248" i="63"/>
  <c r="EO247" i="63"/>
  <c r="EF247" i="63"/>
  <c r="EP246" i="63"/>
  <c r="EG246" i="63"/>
  <c r="ET245" i="63"/>
  <c r="EI245" i="63"/>
  <c r="DZ245" i="63"/>
  <c r="EL244" i="63"/>
  <c r="EA244" i="63"/>
  <c r="EN243" i="63"/>
  <c r="EE243" i="63"/>
  <c r="EO242" i="63"/>
  <c r="EF242" i="63"/>
  <c r="ES241" i="63"/>
  <c r="EH241" i="63"/>
  <c r="ET240" i="63"/>
  <c r="EJ240" i="63"/>
  <c r="DZ240" i="63"/>
  <c r="EM239" i="63"/>
  <c r="EC239" i="63"/>
  <c r="EN238" i="63"/>
  <c r="ED238" i="63"/>
  <c r="EN258" i="63"/>
  <c r="ET257" i="63"/>
  <c r="EI257" i="63"/>
  <c r="ER256" i="63"/>
  <c r="ED256" i="63"/>
  <c r="EM255" i="63"/>
  <c r="EB255" i="63"/>
  <c r="EH254" i="63"/>
  <c r="EQ253" i="63"/>
  <c r="ED253" i="63"/>
  <c r="EL252" i="63"/>
  <c r="EA252" i="63"/>
  <c r="EI251" i="63"/>
  <c r="EP250" i="63"/>
  <c r="EC250" i="63"/>
  <c r="EM249" i="63"/>
  <c r="DZ249" i="63"/>
  <c r="EH248" i="63"/>
  <c r="EQ247" i="63"/>
  <c r="EB247" i="63"/>
  <c r="EL246" i="63"/>
  <c r="DZ246" i="63"/>
  <c r="EG245" i="63"/>
  <c r="EP244" i="63"/>
  <c r="EE244" i="63"/>
  <c r="EK243" i="63"/>
  <c r="ET242" i="63"/>
  <c r="EH242" i="63"/>
  <c r="EO241" i="63"/>
  <c r="ED241" i="63"/>
  <c r="EM240" i="63"/>
  <c r="ES239" i="63"/>
  <c r="EG239" i="63"/>
  <c r="ER238" i="63"/>
  <c r="EC238" i="63"/>
  <c r="EP258" i="63"/>
  <c r="ED258" i="63"/>
  <c r="EK257" i="63"/>
  <c r="ET256" i="63"/>
  <c r="EI256" i="63"/>
  <c r="EO255" i="63"/>
  <c r="EC255" i="63"/>
  <c r="EL254" i="63"/>
  <c r="ES253" i="63"/>
  <c r="EH253" i="63"/>
  <c r="EQ252" i="63"/>
  <c r="EB252" i="63"/>
  <c r="EK251" i="63"/>
  <c r="EA251" i="63"/>
  <c r="EG250" i="63"/>
  <c r="EP249" i="63"/>
  <c r="EC249" i="63"/>
  <c r="EJ248" i="63"/>
  <c r="DZ248" i="63"/>
  <c r="EG247" i="63"/>
  <c r="EO246" i="63"/>
  <c r="EB246" i="63"/>
  <c r="EL245" i="63"/>
  <c r="ET244" i="63"/>
  <c r="EF244" i="63"/>
  <c r="EO243" i="63"/>
  <c r="EA243" i="63"/>
  <c r="EK242" i="63"/>
  <c r="ET241" i="63"/>
  <c r="EE241" i="63"/>
  <c r="EN240" i="63"/>
  <c r="ED240" i="63"/>
  <c r="EJ239" i="63"/>
  <c r="ES238" i="63"/>
  <c r="EG238" i="63"/>
  <c r="EJ258" i="63"/>
  <c r="EE257" i="63"/>
  <c r="EB256" i="63"/>
  <c r="ER254" i="63"/>
  <c r="EO253" i="63"/>
  <c r="EI252" i="63"/>
  <c r="EC251" i="63"/>
  <c r="EB250" i="63"/>
  <c r="EQ248" i="63"/>
  <c r="EM247" i="63"/>
  <c r="EJ246" i="63"/>
  <c r="EE245" i="63"/>
  <c r="DZ244" i="63"/>
  <c r="ES242" i="63"/>
  <c r="EM241" i="63"/>
  <c r="EH240" i="63"/>
  <c r="EE239" i="63"/>
  <c r="ES258" i="63"/>
  <c r="EP257" i="63"/>
  <c r="EJ256" i="63"/>
  <c r="EE255" i="63"/>
  <c r="EC254" i="63"/>
  <c r="ER252" i="63"/>
  <c r="EN251" i="63"/>
  <c r="EK250" i="63"/>
  <c r="EG249" i="63"/>
  <c r="EA248" i="63"/>
  <c r="ET246" i="63"/>
  <c r="EO245" i="63"/>
  <c r="EI244" i="63"/>
  <c r="EF243" i="63"/>
  <c r="DZ242" i="63"/>
  <c r="ER240" i="63"/>
  <c r="EN239" i="63"/>
  <c r="EJ238" i="63"/>
  <c r="EC257" i="63"/>
  <c r="EO254" i="63"/>
  <c r="EH252" i="63"/>
  <c r="EQ249" i="63"/>
  <c r="EJ247" i="63"/>
  <c r="EA245" i="63"/>
  <c r="EN242" i="63"/>
  <c r="EE240" i="63"/>
  <c r="ED254" i="63"/>
  <c r="ER251" i="63"/>
  <c r="EH249" i="63"/>
  <c r="EA247" i="63"/>
  <c r="EN244" i="63"/>
  <c r="ED242" i="63"/>
  <c r="ER239" i="63"/>
  <c r="EF258" i="63"/>
  <c r="EI253" i="63"/>
  <c r="EP248" i="63"/>
  <c r="ES243" i="63"/>
  <c r="ET238" i="63"/>
  <c r="ES257" i="63"/>
  <c r="EJ255" i="63"/>
  <c r="EA253" i="63"/>
  <c r="EN250" i="63"/>
  <c r="EF248" i="63"/>
  <c r="EP245" i="63"/>
  <c r="EI243" i="63"/>
  <c r="DZ241" i="63"/>
  <c r="EL238" i="63"/>
  <c r="EM256" i="63"/>
  <c r="ES255" i="63"/>
  <c r="EB251" i="63"/>
  <c r="EF246" i="63"/>
  <c r="EK241" i="63"/>
  <c r="BW258" i="63"/>
  <c r="BS258" i="63"/>
  <c r="BO258" i="63"/>
  <c r="BK258" i="63"/>
  <c r="BG258" i="63"/>
  <c r="BX257" i="63"/>
  <c r="BT257" i="63"/>
  <c r="BP257" i="63"/>
  <c r="BL257" i="63"/>
  <c r="BH257" i="63"/>
  <c r="BY256" i="63"/>
  <c r="BU256" i="63"/>
  <c r="BQ256" i="63"/>
  <c r="BM256" i="63"/>
  <c r="BI256" i="63"/>
  <c r="BZ255" i="63"/>
  <c r="BV255" i="63"/>
  <c r="BR255" i="63"/>
  <c r="BN255" i="63"/>
  <c r="BJ255" i="63"/>
  <c r="BF255" i="63"/>
  <c r="BW254" i="63"/>
  <c r="BS254" i="63"/>
  <c r="BO254" i="63"/>
  <c r="BK254" i="63"/>
  <c r="BG254" i="63"/>
  <c r="BX253" i="63"/>
  <c r="BT253" i="63"/>
  <c r="BP253" i="63"/>
  <c r="BL253" i="63"/>
  <c r="BH253" i="63"/>
  <c r="BY252" i="63"/>
  <c r="BU252" i="63"/>
  <c r="BQ252" i="63"/>
  <c r="BM252" i="63"/>
  <c r="BI252" i="63"/>
  <c r="BZ251" i="63"/>
  <c r="BV251" i="63"/>
  <c r="BR251" i="63"/>
  <c r="BN251" i="63"/>
  <c r="BJ251" i="63"/>
  <c r="BF251" i="63"/>
  <c r="BW250" i="63"/>
  <c r="BS250" i="63"/>
  <c r="BO250" i="63"/>
  <c r="BK250" i="63"/>
  <c r="BG250" i="63"/>
  <c r="BX249" i="63"/>
  <c r="BT249" i="63"/>
  <c r="BP249" i="63"/>
  <c r="BL249" i="63"/>
  <c r="BH249" i="63"/>
  <c r="BY248" i="63"/>
  <c r="BU248" i="63"/>
  <c r="BQ248" i="63"/>
  <c r="BM248" i="63"/>
  <c r="BI248" i="63"/>
  <c r="BZ247" i="63"/>
  <c r="BV247" i="63"/>
  <c r="BR247" i="63"/>
  <c r="BN247" i="63"/>
  <c r="BJ247" i="63"/>
  <c r="BF247" i="63"/>
  <c r="BW246" i="63"/>
  <c r="BS246" i="63"/>
  <c r="BO246" i="63"/>
  <c r="BK246" i="63"/>
  <c r="BG246" i="63"/>
  <c r="BX245" i="63"/>
  <c r="BT245" i="63"/>
  <c r="BP245" i="63"/>
  <c r="BL245" i="63"/>
  <c r="BH245" i="63"/>
  <c r="BY244" i="63"/>
  <c r="BU244" i="63"/>
  <c r="BQ244" i="63"/>
  <c r="BM244" i="63"/>
  <c r="BI244" i="63"/>
  <c r="BZ243" i="63"/>
  <c r="BV243" i="63"/>
  <c r="BR243" i="63"/>
  <c r="BN243" i="63"/>
  <c r="BJ243" i="63"/>
  <c r="BF243" i="63"/>
  <c r="BW242" i="63"/>
  <c r="BS242" i="63"/>
  <c r="BO242" i="63"/>
  <c r="BK242" i="63"/>
  <c r="BG242" i="63"/>
  <c r="BX241" i="63"/>
  <c r="BT241" i="63"/>
  <c r="BP241" i="63"/>
  <c r="BL241" i="63"/>
  <c r="BH241" i="63"/>
  <c r="BY240" i="63"/>
  <c r="BU240" i="63"/>
  <c r="BQ240" i="63"/>
  <c r="BM240" i="63"/>
  <c r="BI240" i="63"/>
  <c r="BZ239" i="63"/>
  <c r="BV239" i="63"/>
  <c r="BR239" i="63"/>
  <c r="BN239" i="63"/>
  <c r="BJ239" i="63"/>
  <c r="BF239" i="63"/>
  <c r="BW238" i="63"/>
  <c r="BS238" i="63"/>
  <c r="BO238" i="63"/>
  <c r="BK238" i="63"/>
  <c r="BG238" i="63"/>
  <c r="BY258" i="63"/>
  <c r="BT258" i="63"/>
  <c r="BN258" i="63"/>
  <c r="BI258" i="63"/>
  <c r="BY257" i="63"/>
  <c r="BS257" i="63"/>
  <c r="BN257" i="63"/>
  <c r="BI257" i="63"/>
  <c r="BX256" i="63"/>
  <c r="BS256" i="63"/>
  <c r="BN256" i="63"/>
  <c r="BH256" i="63"/>
  <c r="BX255" i="63"/>
  <c r="BS255" i="63"/>
  <c r="BM255" i="63"/>
  <c r="BH255" i="63"/>
  <c r="BX254" i="63"/>
  <c r="BR254" i="63"/>
  <c r="BM254" i="63"/>
  <c r="BH254" i="63"/>
  <c r="BW253" i="63"/>
  <c r="BR253" i="63"/>
  <c r="BM253" i="63"/>
  <c r="BG253" i="63"/>
  <c r="BW252" i="63"/>
  <c r="BR252" i="63"/>
  <c r="BL252" i="63"/>
  <c r="BG252" i="63"/>
  <c r="BW251" i="63"/>
  <c r="BQ251" i="63"/>
  <c r="BL251" i="63"/>
  <c r="BG251" i="63"/>
  <c r="BV250" i="63"/>
  <c r="BQ250" i="63"/>
  <c r="BL250" i="63"/>
  <c r="BF250" i="63"/>
  <c r="BV249" i="63"/>
  <c r="BQ249" i="63"/>
  <c r="BK249" i="63"/>
  <c r="BF249" i="63"/>
  <c r="BV248" i="63"/>
  <c r="BP248" i="63"/>
  <c r="BK248" i="63"/>
  <c r="BF248" i="63"/>
  <c r="BU247" i="63"/>
  <c r="BP247" i="63"/>
  <c r="BK247" i="63"/>
  <c r="BZ246" i="63"/>
  <c r="BU246" i="63"/>
  <c r="BP246" i="63"/>
  <c r="BJ246" i="63"/>
  <c r="BZ245" i="63"/>
  <c r="BU245" i="63"/>
  <c r="BO245" i="63"/>
  <c r="BJ245" i="63"/>
  <c r="BZ244" i="63"/>
  <c r="BT244" i="63"/>
  <c r="BO244" i="63"/>
  <c r="BJ244" i="63"/>
  <c r="BY243" i="63"/>
  <c r="BT243" i="63"/>
  <c r="BO243" i="63"/>
  <c r="BI243" i="63"/>
  <c r="BY242" i="63"/>
  <c r="BT242" i="63"/>
  <c r="BN242" i="63"/>
  <c r="BI242" i="63"/>
  <c r="BY241" i="63"/>
  <c r="BS241" i="63"/>
  <c r="BN241" i="63"/>
  <c r="BI241" i="63"/>
  <c r="BX240" i="63"/>
  <c r="BS240" i="63"/>
  <c r="BN240" i="63"/>
  <c r="BH240" i="63"/>
  <c r="BX239" i="63"/>
  <c r="BS239" i="63"/>
  <c r="BM239" i="63"/>
  <c r="BH239" i="63"/>
  <c r="BX238" i="63"/>
  <c r="BR238" i="63"/>
  <c r="BM238" i="63"/>
  <c r="BH238" i="63"/>
  <c r="BX258" i="63"/>
  <c r="BQ258" i="63"/>
  <c r="BJ258" i="63"/>
  <c r="BW257" i="63"/>
  <c r="BQ257" i="63"/>
  <c r="BJ257" i="63"/>
  <c r="BW256" i="63"/>
  <c r="BP256" i="63"/>
  <c r="BJ256" i="63"/>
  <c r="BW255" i="63"/>
  <c r="BP255" i="63"/>
  <c r="BI255" i="63"/>
  <c r="BV254" i="63"/>
  <c r="BP254" i="63"/>
  <c r="BI254" i="63"/>
  <c r="BV253" i="63"/>
  <c r="BO253" i="63"/>
  <c r="BI253" i="63"/>
  <c r="BV252" i="63"/>
  <c r="BO252" i="63"/>
  <c r="BH252" i="63"/>
  <c r="BU251" i="63"/>
  <c r="BO251" i="63"/>
  <c r="BH251" i="63"/>
  <c r="BU250" i="63"/>
  <c r="BN250" i="63"/>
  <c r="BH250" i="63"/>
  <c r="BU249" i="63"/>
  <c r="BN249" i="63"/>
  <c r="BG249" i="63"/>
  <c r="BT248" i="63"/>
  <c r="BN248" i="63"/>
  <c r="BG248" i="63"/>
  <c r="BT247" i="63"/>
  <c r="BM247" i="63"/>
  <c r="BG247" i="63"/>
  <c r="BT246" i="63"/>
  <c r="BM246" i="63"/>
  <c r="BF246" i="63"/>
  <c r="BS245" i="63"/>
  <c r="BM245" i="63"/>
  <c r="BF245" i="63"/>
  <c r="BS244" i="63"/>
  <c r="BL244" i="63"/>
  <c r="BF244" i="63"/>
  <c r="BS243" i="63"/>
  <c r="BL243" i="63"/>
  <c r="BZ242" i="63"/>
  <c r="BR242" i="63"/>
  <c r="BL242" i="63"/>
  <c r="BZ241" i="63"/>
  <c r="BR241" i="63"/>
  <c r="BK241" i="63"/>
  <c r="BZ240" i="63"/>
  <c r="BR240" i="63"/>
  <c r="BK240" i="63"/>
  <c r="BY239" i="63"/>
  <c r="BQ239" i="63"/>
  <c r="BK239" i="63"/>
  <c r="BY238" i="63"/>
  <c r="BQ238" i="63"/>
  <c r="BJ238" i="63"/>
  <c r="BU258" i="63"/>
  <c r="BL258" i="63"/>
  <c r="BV257" i="63"/>
  <c r="BM257" i="63"/>
  <c r="BZ256" i="63"/>
  <c r="BO256" i="63"/>
  <c r="BF256" i="63"/>
  <c r="BQ255" i="63"/>
  <c r="BG255" i="63"/>
  <c r="BT254" i="63"/>
  <c r="BJ254" i="63"/>
  <c r="BU253" i="63"/>
  <c r="BK253" i="63"/>
  <c r="BX252" i="63"/>
  <c r="BN252" i="63"/>
  <c r="BY251" i="63"/>
  <c r="BP251" i="63"/>
  <c r="BZ250" i="63"/>
  <c r="BR250" i="63"/>
  <c r="BI250" i="63"/>
  <c r="BS249" i="63"/>
  <c r="BJ249" i="63"/>
  <c r="BW248" i="63"/>
  <c r="BL248" i="63"/>
  <c r="BX247" i="63"/>
  <c r="BO247" i="63"/>
  <c r="BY246" i="63"/>
  <c r="BQ246" i="63"/>
  <c r="BH246" i="63"/>
  <c r="BR245" i="63"/>
  <c r="BI245" i="63"/>
  <c r="BV244" i="63"/>
  <c r="BK244" i="63"/>
  <c r="BW243" i="63"/>
  <c r="BM243" i="63"/>
  <c r="BX242" i="63"/>
  <c r="BP242" i="63"/>
  <c r="BF242" i="63"/>
  <c r="BQ241" i="63"/>
  <c r="BG241" i="63"/>
  <c r="BT240" i="63"/>
  <c r="BJ240" i="63"/>
  <c r="BU239" i="63"/>
  <c r="BL239" i="63"/>
  <c r="BV238" i="63"/>
  <c r="BN238" i="63"/>
  <c r="BV258" i="63"/>
  <c r="BM258" i="63"/>
  <c r="BZ257" i="63"/>
  <c r="BO257" i="63"/>
  <c r="BF257" i="63"/>
  <c r="BR256" i="63"/>
  <c r="BG256" i="63"/>
  <c r="BT255" i="63"/>
  <c r="BK255" i="63"/>
  <c r="BU254" i="63"/>
  <c r="BL254" i="63"/>
  <c r="BY253" i="63"/>
  <c r="BN253" i="63"/>
  <c r="BZ252" i="63"/>
  <c r="BP252" i="63"/>
  <c r="BF252" i="63"/>
  <c r="BS251" i="63"/>
  <c r="BI251" i="63"/>
  <c r="BT250" i="63"/>
  <c r="BJ250" i="63"/>
  <c r="BW249" i="63"/>
  <c r="BM249" i="63"/>
  <c r="BX248" i="63"/>
  <c r="BO248" i="63"/>
  <c r="BY247" i="63"/>
  <c r="BQ247" i="63"/>
  <c r="BH247" i="63"/>
  <c r="BR246" i="63"/>
  <c r="BI246" i="63"/>
  <c r="BV245" i="63"/>
  <c r="BK245" i="63"/>
  <c r="BW244" i="63"/>
  <c r="BN244" i="63"/>
  <c r="BX243" i="63"/>
  <c r="BP243" i="63"/>
  <c r="BG243" i="63"/>
  <c r="BQ242" i="63"/>
  <c r="BH242" i="63"/>
  <c r="BU241" i="63"/>
  <c r="BJ241" i="63"/>
  <c r="BV240" i="63"/>
  <c r="BL240" i="63"/>
  <c r="BW239" i="63"/>
  <c r="BO239" i="63"/>
  <c r="BZ238" i="63"/>
  <c r="BP238" i="63"/>
  <c r="BF238" i="63"/>
  <c r="BR258" i="63"/>
  <c r="BU257" i="63"/>
  <c r="BV256" i="63"/>
  <c r="BY255" i="63"/>
  <c r="BZ254" i="63"/>
  <c r="BF254" i="63"/>
  <c r="BJ253" i="63"/>
  <c r="BK252" i="63"/>
  <c r="BM251" i="63"/>
  <c r="BP250" i="63"/>
  <c r="BR249" i="63"/>
  <c r="BS248" i="63"/>
  <c r="BW247" i="63"/>
  <c r="BX246" i="63"/>
  <c r="BY245" i="63"/>
  <c r="BG245" i="63"/>
  <c r="BH244" i="63"/>
  <c r="BK243" i="63"/>
  <c r="BM242" i="63"/>
  <c r="BO241" i="63"/>
  <c r="BP240" i="63"/>
  <c r="BT239" i="63"/>
  <c r="BU238" i="63"/>
  <c r="BZ258" i="63"/>
  <c r="BF258" i="63"/>
  <c r="BG257" i="63"/>
  <c r="BK256" i="63"/>
  <c r="BL255" i="63"/>
  <c r="BN254" i="63"/>
  <c r="BQ253" i="63"/>
  <c r="BS252" i="63"/>
  <c r="BT251" i="63"/>
  <c r="BX250" i="63"/>
  <c r="BY249" i="63"/>
  <c r="BZ248" i="63"/>
  <c r="BH248" i="63"/>
  <c r="BI247" i="63"/>
  <c r="BL246" i="63"/>
  <c r="BN245" i="63"/>
  <c r="BP244" i="63"/>
  <c r="BQ243" i="63"/>
  <c r="BU242" i="63"/>
  <c r="BV241" i="63"/>
  <c r="BW240" i="63"/>
  <c r="BF240" i="63"/>
  <c r="BG239" i="63"/>
  <c r="BI238" i="63"/>
  <c r="BP258" i="63"/>
  <c r="BT256" i="63"/>
  <c r="BY254" i="63"/>
  <c r="BF253" i="63"/>
  <c r="BK251" i="63"/>
  <c r="BO249" i="63"/>
  <c r="BS247" i="63"/>
  <c r="BW245" i="63"/>
  <c r="BG244" i="63"/>
  <c r="BJ242" i="63"/>
  <c r="BO240" i="63"/>
  <c r="BT238" i="63"/>
  <c r="BH258" i="63"/>
  <c r="BQ254" i="63"/>
  <c r="BY250" i="63"/>
  <c r="BL247" i="63"/>
  <c r="BU243" i="63"/>
  <c r="BG240" i="63"/>
  <c r="BU255" i="63"/>
  <c r="BJ252" i="63"/>
  <c r="BR248" i="63"/>
  <c r="BX244" i="63"/>
  <c r="BM241" i="63"/>
  <c r="BK257" i="63"/>
  <c r="BO255" i="63"/>
  <c r="BS253" i="63"/>
  <c r="BX251" i="63"/>
  <c r="BZ249" i="63"/>
  <c r="BJ248" i="63"/>
  <c r="BN246" i="63"/>
  <c r="BR244" i="63"/>
  <c r="BV242" i="63"/>
  <c r="BF241" i="63"/>
  <c r="BI239" i="63"/>
  <c r="BL256" i="63"/>
  <c r="BT252" i="63"/>
  <c r="BI249" i="63"/>
  <c r="BQ245" i="63"/>
  <c r="BW241" i="63"/>
  <c r="BL238" i="63"/>
  <c r="BR257" i="63"/>
  <c r="BZ253" i="63"/>
  <c r="BM250" i="63"/>
  <c r="BV246" i="63"/>
  <c r="BH243" i="63"/>
  <c r="BP239" i="63"/>
  <c r="BB258" i="63"/>
  <c r="AX258" i="63"/>
  <c r="AT258" i="63"/>
  <c r="AP258" i="63"/>
  <c r="AL258" i="63"/>
  <c r="AH258" i="63"/>
  <c r="AY257" i="63"/>
  <c r="AU257" i="63"/>
  <c r="AQ257" i="63"/>
  <c r="AM257" i="63"/>
  <c r="AI257" i="63"/>
  <c r="AZ256" i="63"/>
  <c r="AV256" i="63"/>
  <c r="AR256" i="63"/>
  <c r="AN256" i="63"/>
  <c r="AJ256" i="63"/>
  <c r="BA255" i="63"/>
  <c r="AW255" i="63"/>
  <c r="AS255" i="63"/>
  <c r="AO255" i="63"/>
  <c r="AK255" i="63"/>
  <c r="BB254" i="63"/>
  <c r="AX254" i="63"/>
  <c r="AT254" i="63"/>
  <c r="AP254" i="63"/>
  <c r="AL254" i="63"/>
  <c r="AH254" i="63"/>
  <c r="AY253" i="63"/>
  <c r="AU253" i="63"/>
  <c r="AQ253" i="63"/>
  <c r="AM253" i="63"/>
  <c r="AI253" i="63"/>
  <c r="AZ252" i="63"/>
  <c r="AV252" i="63"/>
  <c r="AR252" i="63"/>
  <c r="AN252" i="63"/>
  <c r="AJ252" i="63"/>
  <c r="BA251" i="63"/>
  <c r="AW251" i="63"/>
  <c r="AS251" i="63"/>
  <c r="AO251" i="63"/>
  <c r="AK251" i="63"/>
  <c r="BB250" i="63"/>
  <c r="AX250" i="63"/>
  <c r="AT250" i="63"/>
  <c r="AP250" i="63"/>
  <c r="AL250" i="63"/>
  <c r="AH250" i="63"/>
  <c r="AY249" i="63"/>
  <c r="AU249" i="63"/>
  <c r="AQ249" i="63"/>
  <c r="AM249" i="63"/>
  <c r="AI249" i="63"/>
  <c r="AZ248" i="63"/>
  <c r="AV248" i="63"/>
  <c r="AR248" i="63"/>
  <c r="AN248" i="63"/>
  <c r="AJ248" i="63"/>
  <c r="BA247" i="63"/>
  <c r="AW247" i="63"/>
  <c r="AS247" i="63"/>
  <c r="AO247" i="63"/>
  <c r="AK247" i="63"/>
  <c r="BB246" i="63"/>
  <c r="AX246" i="63"/>
  <c r="AT246" i="63"/>
  <c r="AP246" i="63"/>
  <c r="AL246" i="63"/>
  <c r="AH246" i="63"/>
  <c r="AY245" i="63"/>
  <c r="AU245" i="63"/>
  <c r="AQ245" i="63"/>
  <c r="AM245" i="63"/>
  <c r="AI245" i="63"/>
  <c r="AZ244" i="63"/>
  <c r="AV244" i="63"/>
  <c r="AR244" i="63"/>
  <c r="AN244" i="63"/>
  <c r="AJ244" i="63"/>
  <c r="BA243" i="63"/>
  <c r="AW243" i="63"/>
  <c r="AS243" i="63"/>
  <c r="AO243" i="63"/>
  <c r="AK243" i="63"/>
  <c r="BB242" i="63"/>
  <c r="AX242" i="63"/>
  <c r="AT242" i="63"/>
  <c r="AP242" i="63"/>
  <c r="AL242" i="63"/>
  <c r="AH242" i="63"/>
  <c r="AY241" i="63"/>
  <c r="AU241" i="63"/>
  <c r="AQ241" i="63"/>
  <c r="AM241" i="63"/>
  <c r="AI241" i="63"/>
  <c r="AZ240" i="63"/>
  <c r="AV240" i="63"/>
  <c r="AR240" i="63"/>
  <c r="AN240" i="63"/>
  <c r="AJ240" i="63"/>
  <c r="BA239" i="63"/>
  <c r="AW239" i="63"/>
  <c r="AS239" i="63"/>
  <c r="AO239" i="63"/>
  <c r="AK239" i="63"/>
  <c r="BB238" i="63"/>
  <c r="AX238" i="63"/>
  <c r="AT238" i="63"/>
  <c r="AP238" i="63"/>
  <c r="AL238" i="63"/>
  <c r="AH238" i="63"/>
  <c r="BA258" i="63"/>
  <c r="AV258" i="63"/>
  <c r="AQ258" i="63"/>
  <c r="AK258" i="63"/>
  <c r="BA257" i="63"/>
  <c r="AV257" i="63"/>
  <c r="AP257" i="63"/>
  <c r="AK257" i="63"/>
  <c r="BA256" i="63"/>
  <c r="AU256" i="63"/>
  <c r="AP256" i="63"/>
  <c r="AK256" i="63"/>
  <c r="AZ255" i="63"/>
  <c r="AU255" i="63"/>
  <c r="AP255" i="63"/>
  <c r="AJ255" i="63"/>
  <c r="AZ254" i="63"/>
  <c r="AU254" i="63"/>
  <c r="AO254" i="63"/>
  <c r="AJ254" i="63"/>
  <c r="AZ253" i="63"/>
  <c r="AT253" i="63"/>
  <c r="AO253" i="63"/>
  <c r="AJ253" i="63"/>
  <c r="AY252" i="63"/>
  <c r="AT252" i="63"/>
  <c r="AO252" i="63"/>
  <c r="AI252" i="63"/>
  <c r="AY251" i="63"/>
  <c r="AT251" i="63"/>
  <c r="AN251" i="63"/>
  <c r="AI251" i="63"/>
  <c r="AY250" i="63"/>
  <c r="AS250" i="63"/>
  <c r="AN250" i="63"/>
  <c r="AI250" i="63"/>
  <c r="AX249" i="63"/>
  <c r="AS249" i="63"/>
  <c r="AN249" i="63"/>
  <c r="AH249" i="63"/>
  <c r="AX248" i="63"/>
  <c r="AS248" i="63"/>
  <c r="AM248" i="63"/>
  <c r="AH248" i="63"/>
  <c r="AX247" i="63"/>
  <c r="AR247" i="63"/>
  <c r="AM247" i="63"/>
  <c r="AH247" i="63"/>
  <c r="AW246" i="63"/>
  <c r="AR246" i="63"/>
  <c r="AM246" i="63"/>
  <c r="BB245" i="63"/>
  <c r="AW245" i="63"/>
  <c r="AR245" i="63"/>
  <c r="AL245" i="63"/>
  <c r="BB244" i="63"/>
  <c r="AW244" i="63"/>
  <c r="AQ244" i="63"/>
  <c r="AL244" i="63"/>
  <c r="BB243" i="63"/>
  <c r="AV243" i="63"/>
  <c r="AQ243" i="63"/>
  <c r="AL243" i="63"/>
  <c r="BA242" i="63"/>
  <c r="AV242" i="63"/>
  <c r="AQ242" i="63"/>
  <c r="AK242" i="63"/>
  <c r="BA241" i="63"/>
  <c r="AV241" i="63"/>
  <c r="AP241" i="63"/>
  <c r="AK241" i="63"/>
  <c r="BA240" i="63"/>
  <c r="AU240" i="63"/>
  <c r="AP240" i="63"/>
  <c r="AK240" i="63"/>
  <c r="AZ239" i="63"/>
  <c r="AU239" i="63"/>
  <c r="AP239" i="63"/>
  <c r="AJ239" i="63"/>
  <c r="AZ238" i="63"/>
  <c r="AU238" i="63"/>
  <c r="AO238" i="63"/>
  <c r="AJ238" i="63"/>
  <c r="AU258" i="63"/>
  <c r="AN258" i="63"/>
  <c r="BB257" i="63"/>
  <c r="AT257" i="63"/>
  <c r="AN257" i="63"/>
  <c r="BB256" i="63"/>
  <c r="AT256" i="63"/>
  <c r="AM256" i="63"/>
  <c r="BB255" i="63"/>
  <c r="AT255" i="63"/>
  <c r="AM255" i="63"/>
  <c r="BA254" i="63"/>
  <c r="AS254" i="63"/>
  <c r="AM254" i="63"/>
  <c r="BA253" i="63"/>
  <c r="AS253" i="63"/>
  <c r="AL253" i="63"/>
  <c r="BA252" i="63"/>
  <c r="AS252" i="63"/>
  <c r="AL252" i="63"/>
  <c r="AZ251" i="63"/>
  <c r="AR251" i="63"/>
  <c r="AL251" i="63"/>
  <c r="AZ250" i="63"/>
  <c r="AR250" i="63"/>
  <c r="AK250" i="63"/>
  <c r="AZ249" i="63"/>
  <c r="AR249" i="63"/>
  <c r="AK249" i="63"/>
  <c r="AY248" i="63"/>
  <c r="AQ248" i="63"/>
  <c r="AK248" i="63"/>
  <c r="AY247" i="63"/>
  <c r="AQ247" i="63"/>
  <c r="AJ247" i="63"/>
  <c r="AY246" i="63"/>
  <c r="AQ246" i="63"/>
  <c r="AJ246" i="63"/>
  <c r="AX245" i="63"/>
  <c r="AP245" i="63"/>
  <c r="AJ245" i="63"/>
  <c r="AX244" i="63"/>
  <c r="AP244" i="63"/>
  <c r="AI244" i="63"/>
  <c r="AX243" i="63"/>
  <c r="AP243" i="63"/>
  <c r="AI243" i="63"/>
  <c r="AW242" i="63"/>
  <c r="AO242" i="63"/>
  <c r="AI242" i="63"/>
  <c r="AW241" i="63"/>
  <c r="AO241" i="63"/>
  <c r="AH241" i="63"/>
  <c r="AW240" i="63"/>
  <c r="AO240" i="63"/>
  <c r="AH240" i="63"/>
  <c r="AV239" i="63"/>
  <c r="AN239" i="63"/>
  <c r="AH239" i="63"/>
  <c r="AV238" i="63"/>
  <c r="AN238" i="63"/>
  <c r="AS258" i="63"/>
  <c r="AJ258" i="63"/>
  <c r="AW257" i="63"/>
  <c r="AL257" i="63"/>
  <c r="AX256" i="63"/>
  <c r="AO256" i="63"/>
  <c r="AY255" i="63"/>
  <c r="AQ255" i="63"/>
  <c r="AH255" i="63"/>
  <c r="AR254" i="63"/>
  <c r="AI254" i="63"/>
  <c r="AV253" i="63"/>
  <c r="AK253" i="63"/>
  <c r="AW252" i="63"/>
  <c r="AM252" i="63"/>
  <c r="AX251" i="63"/>
  <c r="AP251" i="63"/>
  <c r="BA250" i="63"/>
  <c r="AQ250" i="63"/>
  <c r="BB249" i="63"/>
  <c r="AT249" i="63"/>
  <c r="AJ249" i="63"/>
  <c r="AU248" i="63"/>
  <c r="AL248" i="63"/>
  <c r="AV247" i="63"/>
  <c r="AN247" i="63"/>
  <c r="AZ246" i="63"/>
  <c r="AO246" i="63"/>
  <c r="BA245" i="63"/>
  <c r="AS245" i="63"/>
  <c r="AH245" i="63"/>
  <c r="AT244" i="63"/>
  <c r="AK244" i="63"/>
  <c r="AU243" i="63"/>
  <c r="AM243" i="63"/>
  <c r="AY242" i="63"/>
  <c r="AN242" i="63"/>
  <c r="AZ241" i="63"/>
  <c r="AR241" i="63"/>
  <c r="BB240" i="63"/>
  <c r="AS240" i="63"/>
  <c r="AI240" i="63"/>
  <c r="AT239" i="63"/>
  <c r="AL239" i="63"/>
  <c r="AW238" i="63"/>
  <c r="AM238" i="63"/>
  <c r="AW258" i="63"/>
  <c r="AM258" i="63"/>
  <c r="AX257" i="63"/>
  <c r="AO257" i="63"/>
  <c r="AY256" i="63"/>
  <c r="AQ256" i="63"/>
  <c r="AH256" i="63"/>
  <c r="AR255" i="63"/>
  <c r="AI255" i="63"/>
  <c r="AV254" i="63"/>
  <c r="AK254" i="63"/>
  <c r="AW253" i="63"/>
  <c r="AN253" i="63"/>
  <c r="AX252" i="63"/>
  <c r="AP252" i="63"/>
  <c r="BB251" i="63"/>
  <c r="AQ251" i="63"/>
  <c r="AH251" i="63"/>
  <c r="AU250" i="63"/>
  <c r="AJ250" i="63"/>
  <c r="AV249" i="63"/>
  <c r="AL249" i="63"/>
  <c r="AW248" i="63"/>
  <c r="AO248" i="63"/>
  <c r="AZ247" i="63"/>
  <c r="AP247" i="63"/>
  <c r="BA246" i="63"/>
  <c r="AS246" i="63"/>
  <c r="AI246" i="63"/>
  <c r="AT245" i="63"/>
  <c r="AK245" i="63"/>
  <c r="AU244" i="63"/>
  <c r="AM244" i="63"/>
  <c r="AY243" i="63"/>
  <c r="AN243" i="63"/>
  <c r="AZ242" i="63"/>
  <c r="AR242" i="63"/>
  <c r="BB241" i="63"/>
  <c r="AS241" i="63"/>
  <c r="AJ241" i="63"/>
  <c r="AT240" i="63"/>
  <c r="AL240" i="63"/>
  <c r="AX239" i="63"/>
  <c r="AM239" i="63"/>
  <c r="AY238" i="63"/>
  <c r="AQ238" i="63"/>
  <c r="AZ258" i="63"/>
  <c r="AI258" i="63"/>
  <c r="AJ257" i="63"/>
  <c r="AL256" i="63"/>
  <c r="AN255" i="63"/>
  <c r="AQ254" i="63"/>
  <c r="AR253" i="63"/>
  <c r="AU252" i="63"/>
  <c r="AV251" i="63"/>
  <c r="AW250" i="63"/>
  <c r="BA249" i="63"/>
  <c r="BB248" i="63"/>
  <c r="AI248" i="63"/>
  <c r="AL247" i="63"/>
  <c r="AN246" i="63"/>
  <c r="AO245" i="63"/>
  <c r="AS244" i="63"/>
  <c r="AT243" i="63"/>
  <c r="AU242" i="63"/>
  <c r="AX241" i="63"/>
  <c r="AY240" i="63"/>
  <c r="BB239" i="63"/>
  <c r="AI239" i="63"/>
  <c r="AK238" i="63"/>
  <c r="AO258" i="63"/>
  <c r="AR257" i="63"/>
  <c r="AS256" i="63"/>
  <c r="AV255" i="63"/>
  <c r="AW254" i="63"/>
  <c r="AX253" i="63"/>
  <c r="BB252" i="63"/>
  <c r="AH252" i="63"/>
  <c r="AJ251" i="63"/>
  <c r="AM250" i="63"/>
  <c r="AO249" i="63"/>
  <c r="AP248" i="63"/>
  <c r="AT247" i="63"/>
  <c r="AU246" i="63"/>
  <c r="AV245" i="63"/>
  <c r="AY244" i="63"/>
  <c r="AZ243" i="63"/>
  <c r="AH243" i="63"/>
  <c r="AJ242" i="63"/>
  <c r="AL241" i="63"/>
  <c r="AM240" i="63"/>
  <c r="AQ239" i="63"/>
  <c r="AR238" i="63"/>
  <c r="AZ257" i="63"/>
  <c r="AI256" i="63"/>
  <c r="AN254" i="63"/>
  <c r="AQ252" i="63"/>
  <c r="AV250" i="63"/>
  <c r="BA248" i="63"/>
  <c r="AI247" i="63"/>
  <c r="AN245" i="63"/>
  <c r="AR243" i="63"/>
  <c r="AT241" i="63"/>
  <c r="AY239" i="63"/>
  <c r="AI238" i="63"/>
  <c r="AS257" i="63"/>
  <c r="BB253" i="63"/>
  <c r="AO250" i="63"/>
  <c r="AV246" i="63"/>
  <c r="AJ243" i="63"/>
  <c r="AR239" i="63"/>
  <c r="AY258" i="63"/>
  <c r="AL255" i="63"/>
  <c r="AU251" i="63"/>
  <c r="BB247" i="63"/>
  <c r="AO244" i="63"/>
  <c r="AX240" i="63"/>
  <c r="AR258" i="63"/>
  <c r="AW256" i="63"/>
  <c r="AY254" i="63"/>
  <c r="AH253" i="63"/>
  <c r="AM251" i="63"/>
  <c r="AP249" i="63"/>
  <c r="AU247" i="63"/>
  <c r="AZ245" i="63"/>
  <c r="AH244" i="63"/>
  <c r="AM242" i="63"/>
  <c r="AQ240" i="63"/>
  <c r="AS238" i="63"/>
  <c r="AX255" i="63"/>
  <c r="AK252" i="63"/>
  <c r="AT248" i="63"/>
  <c r="BA244" i="63"/>
  <c r="AN241" i="63"/>
  <c r="AH257" i="63"/>
  <c r="AP253" i="63"/>
  <c r="AW249" i="63"/>
  <c r="AK246" i="63"/>
  <c r="AS242" i="63"/>
  <c r="BA238" i="63"/>
  <c r="GO258" i="63"/>
  <c r="GK258" i="63"/>
  <c r="GG258" i="63"/>
  <c r="GC258" i="63"/>
  <c r="FY258" i="63"/>
  <c r="GP257" i="63"/>
  <c r="GL257" i="63"/>
  <c r="GH257" i="63"/>
  <c r="GD257" i="63"/>
  <c r="FZ257" i="63"/>
  <c r="FV257" i="63"/>
  <c r="GM256" i="63"/>
  <c r="GI256" i="63"/>
  <c r="GE256" i="63"/>
  <c r="GA256" i="63"/>
  <c r="FW256" i="63"/>
  <c r="GN255" i="63"/>
  <c r="GJ255" i="63"/>
  <c r="GF255" i="63"/>
  <c r="GB255" i="63"/>
  <c r="FX255" i="63"/>
  <c r="GO254" i="63"/>
  <c r="GK254" i="63"/>
  <c r="GG254" i="63"/>
  <c r="GC254" i="63"/>
  <c r="FY254" i="63"/>
  <c r="GP253" i="63"/>
  <c r="GL253" i="63"/>
  <c r="GH253" i="63"/>
  <c r="GD253" i="63"/>
  <c r="FZ253" i="63"/>
  <c r="FV253" i="63"/>
  <c r="GM252" i="63"/>
  <c r="GI252" i="63"/>
  <c r="GE252" i="63"/>
  <c r="GA252" i="63"/>
  <c r="FW252" i="63"/>
  <c r="GN251" i="63"/>
  <c r="GJ251" i="63"/>
  <c r="GF251" i="63"/>
  <c r="GB251" i="63"/>
  <c r="FX251" i="63"/>
  <c r="GO250" i="63"/>
  <c r="GK250" i="63"/>
  <c r="GG250" i="63"/>
  <c r="GC250" i="63"/>
  <c r="FY250" i="63"/>
  <c r="GP249" i="63"/>
  <c r="GL249" i="63"/>
  <c r="GH249" i="63"/>
  <c r="GD249" i="63"/>
  <c r="FZ249" i="63"/>
  <c r="FV249" i="63"/>
  <c r="GM248" i="63"/>
  <c r="GI248" i="63"/>
  <c r="GE248" i="63"/>
  <c r="GA248" i="63"/>
  <c r="FW248" i="63"/>
  <c r="GN247" i="63"/>
  <c r="GJ247" i="63"/>
  <c r="GF247" i="63"/>
  <c r="GB247" i="63"/>
  <c r="FX247" i="63"/>
  <c r="GO246" i="63"/>
  <c r="GK246" i="63"/>
  <c r="GG246" i="63"/>
  <c r="GC246" i="63"/>
  <c r="FY246" i="63"/>
  <c r="GP245" i="63"/>
  <c r="GL245" i="63"/>
  <c r="GH245" i="63"/>
  <c r="GD245" i="63"/>
  <c r="FZ245" i="63"/>
  <c r="FV245" i="63"/>
  <c r="GM244" i="63"/>
  <c r="GI244" i="63"/>
  <c r="GE244" i="63"/>
  <c r="GA244" i="63"/>
  <c r="FW244" i="63"/>
  <c r="GN243" i="63"/>
  <c r="GJ243" i="63"/>
  <c r="GF243" i="63"/>
  <c r="GB243" i="63"/>
  <c r="FX243" i="63"/>
  <c r="GO242" i="63"/>
  <c r="GK242" i="63"/>
  <c r="GG242" i="63"/>
  <c r="GC242" i="63"/>
  <c r="FY242" i="63"/>
  <c r="GP241" i="63"/>
  <c r="GL241" i="63"/>
  <c r="GH241" i="63"/>
  <c r="GD241" i="63"/>
  <c r="FZ241" i="63"/>
  <c r="FV241" i="63"/>
  <c r="GM240" i="63"/>
  <c r="GI240" i="63"/>
  <c r="GE240" i="63"/>
  <c r="GA240" i="63"/>
  <c r="FW240" i="63"/>
  <c r="GN239" i="63"/>
  <c r="GJ239" i="63"/>
  <c r="GF239" i="63"/>
  <c r="GB239" i="63"/>
  <c r="FX239" i="63"/>
  <c r="GO238" i="63"/>
  <c r="GK238" i="63"/>
  <c r="GG238" i="63"/>
  <c r="GC238" i="63"/>
  <c r="FY238" i="63"/>
  <c r="GM258" i="63"/>
  <c r="GH258" i="63"/>
  <c r="GB258" i="63"/>
  <c r="FW258" i="63"/>
  <c r="GM257" i="63"/>
  <c r="GG257" i="63"/>
  <c r="GB257" i="63"/>
  <c r="FW257" i="63"/>
  <c r="GL256" i="63"/>
  <c r="GG256" i="63"/>
  <c r="GB256" i="63"/>
  <c r="FV256" i="63"/>
  <c r="GL255" i="63"/>
  <c r="GG255" i="63"/>
  <c r="GA255" i="63"/>
  <c r="FV255" i="63"/>
  <c r="GL254" i="63"/>
  <c r="GF254" i="63"/>
  <c r="GA254" i="63"/>
  <c r="FV254" i="63"/>
  <c r="GK253" i="63"/>
  <c r="GF253" i="63"/>
  <c r="GA253" i="63"/>
  <c r="GP252" i="63"/>
  <c r="GK252" i="63"/>
  <c r="GF252" i="63"/>
  <c r="FZ252" i="63"/>
  <c r="GP251" i="63"/>
  <c r="GK251" i="63"/>
  <c r="GE251" i="63"/>
  <c r="FZ251" i="63"/>
  <c r="GP250" i="63"/>
  <c r="GJ250" i="63"/>
  <c r="GE250" i="63"/>
  <c r="FZ250" i="63"/>
  <c r="GO249" i="63"/>
  <c r="GJ249" i="63"/>
  <c r="GE249" i="63"/>
  <c r="FY249" i="63"/>
  <c r="GO248" i="63"/>
  <c r="GJ248" i="63"/>
  <c r="GD248" i="63"/>
  <c r="FY248" i="63"/>
  <c r="GO247" i="63"/>
  <c r="GI247" i="63"/>
  <c r="GD247" i="63"/>
  <c r="FY247" i="63"/>
  <c r="GN246" i="63"/>
  <c r="GI246" i="63"/>
  <c r="GD246" i="63"/>
  <c r="FX246" i="63"/>
  <c r="GN245" i="63"/>
  <c r="GI245" i="63"/>
  <c r="GC245" i="63"/>
  <c r="FX245" i="63"/>
  <c r="GN244" i="63"/>
  <c r="GH244" i="63"/>
  <c r="GC244" i="63"/>
  <c r="FX244" i="63"/>
  <c r="GM243" i="63"/>
  <c r="GH243" i="63"/>
  <c r="GC243" i="63"/>
  <c r="FW243" i="63"/>
  <c r="GM242" i="63"/>
  <c r="GH242" i="63"/>
  <c r="GB242" i="63"/>
  <c r="FW242" i="63"/>
  <c r="GM241" i="63"/>
  <c r="GG241" i="63"/>
  <c r="GB241" i="63"/>
  <c r="FW241" i="63"/>
  <c r="GL240" i="63"/>
  <c r="GG240" i="63"/>
  <c r="GB240" i="63"/>
  <c r="FV240" i="63"/>
  <c r="GL239" i="63"/>
  <c r="GG239" i="63"/>
  <c r="GA239" i="63"/>
  <c r="FV239" i="63"/>
  <c r="GL238" i="63"/>
  <c r="GF238" i="63"/>
  <c r="GA238" i="63"/>
  <c r="FV238" i="63"/>
  <c r="GN258" i="63"/>
  <c r="GF258" i="63"/>
  <c r="FZ258" i="63"/>
  <c r="GN257" i="63"/>
  <c r="GF257" i="63"/>
  <c r="FY257" i="63"/>
  <c r="GN256" i="63"/>
  <c r="GF256" i="63"/>
  <c r="FY256" i="63"/>
  <c r="GM255" i="63"/>
  <c r="GE255" i="63"/>
  <c r="FY255" i="63"/>
  <c r="GM254" i="63"/>
  <c r="GE254" i="63"/>
  <c r="FX254" i="63"/>
  <c r="GM253" i="63"/>
  <c r="GE253" i="63"/>
  <c r="FX253" i="63"/>
  <c r="GL252" i="63"/>
  <c r="GD252" i="63"/>
  <c r="FX252" i="63"/>
  <c r="GL251" i="63"/>
  <c r="GD251" i="63"/>
  <c r="FW251" i="63"/>
  <c r="GL250" i="63"/>
  <c r="GD250" i="63"/>
  <c r="FW250" i="63"/>
  <c r="GK249" i="63"/>
  <c r="GC249" i="63"/>
  <c r="FW249" i="63"/>
  <c r="GK248" i="63"/>
  <c r="GC248" i="63"/>
  <c r="FV248" i="63"/>
  <c r="GK247" i="63"/>
  <c r="GC247" i="63"/>
  <c r="FV247" i="63"/>
  <c r="GJ246" i="63"/>
  <c r="GB246" i="63"/>
  <c r="FV246" i="63"/>
  <c r="GJ245" i="63"/>
  <c r="GB245" i="63"/>
  <c r="GP244" i="63"/>
  <c r="GJ244" i="63"/>
  <c r="GB244" i="63"/>
  <c r="GP243" i="63"/>
  <c r="GI243" i="63"/>
  <c r="GA243" i="63"/>
  <c r="GP242" i="63"/>
  <c r="GI242" i="63"/>
  <c r="GA242" i="63"/>
  <c r="GO241" i="63"/>
  <c r="GI241" i="63"/>
  <c r="GA241" i="63"/>
  <c r="GO240" i="63"/>
  <c r="GH240" i="63"/>
  <c r="FZ240" i="63"/>
  <c r="GO239" i="63"/>
  <c r="GH239" i="63"/>
  <c r="FZ239" i="63"/>
  <c r="GN238" i="63"/>
  <c r="GH238" i="63"/>
  <c r="FZ238" i="63"/>
  <c r="GP258" i="63"/>
  <c r="GE258" i="63"/>
  <c r="FV258" i="63"/>
  <c r="GI257" i="63"/>
  <c r="FX257" i="63"/>
  <c r="GJ256" i="63"/>
  <c r="FZ256" i="63"/>
  <c r="GK255" i="63"/>
  <c r="GC255" i="63"/>
  <c r="GN254" i="63"/>
  <c r="GD254" i="63"/>
  <c r="GO253" i="63"/>
  <c r="GG253" i="63"/>
  <c r="FW253" i="63"/>
  <c r="GH252" i="63"/>
  <c r="FY252" i="63"/>
  <c r="GI251" i="63"/>
  <c r="GA251" i="63"/>
  <c r="GM250" i="63"/>
  <c r="GB250" i="63"/>
  <c r="GN249" i="63"/>
  <c r="GF249" i="63"/>
  <c r="GP248" i="63"/>
  <c r="GD258" i="63"/>
  <c r="GK257" i="63"/>
  <c r="GA257" i="63"/>
  <c r="GH256" i="63"/>
  <c r="GP255" i="63"/>
  <c r="GD255" i="63"/>
  <c r="GJ254" i="63"/>
  <c r="FZ254" i="63"/>
  <c r="GI253" i="63"/>
  <c r="GO252" i="63"/>
  <c r="GC252" i="63"/>
  <c r="GM251" i="63"/>
  <c r="FY251" i="63"/>
  <c r="GH250" i="63"/>
  <c r="FV250" i="63"/>
  <c r="GB249" i="63"/>
  <c r="GL248" i="63"/>
  <c r="GI258" i="63"/>
  <c r="GO257" i="63"/>
  <c r="GC257" i="63"/>
  <c r="GK256" i="63"/>
  <c r="FX256" i="63"/>
  <c r="GH255" i="63"/>
  <c r="GP254" i="63"/>
  <c r="GB254" i="63"/>
  <c r="GJ253" i="63"/>
  <c r="FY253" i="63"/>
  <c r="GG252" i="63"/>
  <c r="GO251" i="63"/>
  <c r="GC251" i="63"/>
  <c r="GI250" i="63"/>
  <c r="FX250" i="63"/>
  <c r="GG249" i="63"/>
  <c r="GN248" i="63"/>
  <c r="GF248" i="63"/>
  <c r="GP247" i="63"/>
  <c r="GG247" i="63"/>
  <c r="FW247" i="63"/>
  <c r="GH246" i="63"/>
  <c r="FZ246" i="63"/>
  <c r="GK245" i="63"/>
  <c r="GA245" i="63"/>
  <c r="GL244" i="63"/>
  <c r="GD244" i="63"/>
  <c r="GO243" i="63"/>
  <c r="GE243" i="63"/>
  <c r="FV243" i="63"/>
  <c r="GF242" i="63"/>
  <c r="FX242" i="63"/>
  <c r="GJ241" i="63"/>
  <c r="FY241" i="63"/>
  <c r="GK240" i="63"/>
  <c r="GC240" i="63"/>
  <c r="GM239" i="63"/>
  <c r="GD239" i="63"/>
  <c r="GP238" i="63"/>
  <c r="GE238" i="63"/>
  <c r="FW238" i="63"/>
  <c r="GL258" i="63"/>
  <c r="GJ257" i="63"/>
  <c r="GD256" i="63"/>
  <c r="FZ255" i="63"/>
  <c r="FW254" i="63"/>
  <c r="GN252" i="63"/>
  <c r="GH251" i="63"/>
  <c r="GF250" i="63"/>
  <c r="GA249" i="63"/>
  <c r="GB248" i="63"/>
  <c r="GL247" i="63"/>
  <c r="FZ247" i="63"/>
  <c r="GF246" i="63"/>
  <c r="GO245" i="63"/>
  <c r="GE245" i="63"/>
  <c r="GK244" i="63"/>
  <c r="FY244" i="63"/>
  <c r="GG243" i="63"/>
  <c r="GN242" i="63"/>
  <c r="GD242" i="63"/>
  <c r="GK241" i="63"/>
  <c r="FX241" i="63"/>
  <c r="GF240" i="63"/>
  <c r="GP239" i="63"/>
  <c r="GC239" i="63"/>
  <c r="GJ238" i="63"/>
  <c r="FX238" i="63"/>
  <c r="FX258" i="63"/>
  <c r="GO256" i="63"/>
  <c r="GI255" i="63"/>
  <c r="GH254" i="63"/>
  <c r="GB253" i="63"/>
  <c r="FV252" i="63"/>
  <c r="GN250" i="63"/>
  <c r="GI249" i="63"/>
  <c r="GG248" i="63"/>
  <c r="GM247" i="63"/>
  <c r="GA247" i="63"/>
  <c r="GL246" i="63"/>
  <c r="FW246" i="63"/>
  <c r="GF245" i="63"/>
  <c r="GO244" i="63"/>
  <c r="FZ244" i="63"/>
  <c r="GK243" i="63"/>
  <c r="FY243" i="63"/>
  <c r="GE242" i="63"/>
  <c r="GN241" i="63"/>
  <c r="GC241" i="63"/>
  <c r="GJ240" i="63"/>
  <c r="FX240" i="63"/>
  <c r="GE239" i="63"/>
  <c r="GM238" i="63"/>
  <c r="GB238" i="63"/>
  <c r="GJ258" i="63"/>
  <c r="GC256" i="63"/>
  <c r="GN253" i="63"/>
  <c r="GG251" i="63"/>
  <c r="FX249" i="63"/>
  <c r="GH247" i="63"/>
  <c r="GE246" i="63"/>
  <c r="FY245" i="63"/>
  <c r="FV244" i="63"/>
  <c r="GL242" i="63"/>
  <c r="GF241" i="63"/>
  <c r="GD240" i="63"/>
  <c r="FY239" i="63"/>
  <c r="GP256" i="63"/>
  <c r="GI254" i="63"/>
  <c r="GB252" i="63"/>
  <c r="GM249" i="63"/>
  <c r="FX248" i="63"/>
  <c r="GM246" i="63"/>
  <c r="GG245" i="63"/>
  <c r="GF244" i="63"/>
  <c r="FZ243" i="63"/>
  <c r="FV242" i="63"/>
  <c r="GN240" i="63"/>
  <c r="GI239" i="63"/>
  <c r="GD238" i="63"/>
  <c r="GA258" i="63"/>
  <c r="GC253" i="63"/>
  <c r="GH248" i="63"/>
  <c r="GA246" i="63"/>
  <c r="GL243" i="63"/>
  <c r="GE241" i="63"/>
  <c r="FW239" i="63"/>
  <c r="GE257" i="63"/>
  <c r="GJ252" i="63"/>
  <c r="FZ248" i="63"/>
  <c r="GM245" i="63"/>
  <c r="GD243" i="63"/>
  <c r="GP240" i="63"/>
  <c r="GI238" i="63"/>
  <c r="FV251" i="63"/>
  <c r="FW245" i="63"/>
  <c r="FY240" i="63"/>
  <c r="FW255" i="63"/>
  <c r="GA250" i="63"/>
  <c r="GP246" i="63"/>
  <c r="GG244" i="63"/>
  <c r="FZ242" i="63"/>
  <c r="GK239" i="63"/>
  <c r="GO255" i="63"/>
  <c r="GE247" i="63"/>
  <c r="GJ242" i="63"/>
  <c r="FP258" i="63"/>
  <c r="FL258" i="63"/>
  <c r="FH258" i="63"/>
  <c r="FD258" i="63"/>
  <c r="EZ258" i="63"/>
  <c r="FQ257" i="63"/>
  <c r="FM257" i="63"/>
  <c r="FI257" i="63"/>
  <c r="FE257" i="63"/>
  <c r="FA257" i="63"/>
  <c r="FR256" i="63"/>
  <c r="FN256" i="63"/>
  <c r="FJ256" i="63"/>
  <c r="FF256" i="63"/>
  <c r="FB256" i="63"/>
  <c r="EX256" i="63"/>
  <c r="FO255" i="63"/>
  <c r="FK255" i="63"/>
  <c r="FG255" i="63"/>
  <c r="FC255" i="63"/>
  <c r="EY255" i="63"/>
  <c r="FP254" i="63"/>
  <c r="FL254" i="63"/>
  <c r="FH254" i="63"/>
  <c r="FD254" i="63"/>
  <c r="EZ254" i="63"/>
  <c r="FQ253" i="63"/>
  <c r="FM253" i="63"/>
  <c r="FI253" i="63"/>
  <c r="FE253" i="63"/>
  <c r="FA253" i="63"/>
  <c r="FR252" i="63"/>
  <c r="FN252" i="63"/>
  <c r="FJ252" i="63"/>
  <c r="FF252" i="63"/>
  <c r="FB252" i="63"/>
  <c r="EX252" i="63"/>
  <c r="FO251" i="63"/>
  <c r="FK251" i="63"/>
  <c r="FG251" i="63"/>
  <c r="FC251" i="63"/>
  <c r="EY251" i="63"/>
  <c r="FP250" i="63"/>
  <c r="FL250" i="63"/>
  <c r="FH250" i="63"/>
  <c r="FD250" i="63"/>
  <c r="EZ250" i="63"/>
  <c r="FQ249" i="63"/>
  <c r="FM249" i="63"/>
  <c r="FI249" i="63"/>
  <c r="FE249" i="63"/>
  <c r="FA249" i="63"/>
  <c r="FR248" i="63"/>
  <c r="FN248" i="63"/>
  <c r="FJ248" i="63"/>
  <c r="FF248" i="63"/>
  <c r="FB248" i="63"/>
  <c r="EX248" i="63"/>
  <c r="FO247" i="63"/>
  <c r="FK247" i="63"/>
  <c r="FG247" i="63"/>
  <c r="FC247" i="63"/>
  <c r="EY247" i="63"/>
  <c r="FP246" i="63"/>
  <c r="FL246" i="63"/>
  <c r="FH246" i="63"/>
  <c r="FD246" i="63"/>
  <c r="EZ246" i="63"/>
  <c r="FQ245" i="63"/>
  <c r="FM245" i="63"/>
  <c r="FI245" i="63"/>
  <c r="FE245" i="63"/>
  <c r="FA245" i="63"/>
  <c r="FR244" i="63"/>
  <c r="FN244" i="63"/>
  <c r="FJ244" i="63"/>
  <c r="FF244" i="63"/>
  <c r="FB244" i="63"/>
  <c r="EX244" i="63"/>
  <c r="FO243" i="63"/>
  <c r="FK243" i="63"/>
  <c r="FG243" i="63"/>
  <c r="FC243" i="63"/>
  <c r="EY243" i="63"/>
  <c r="FP242" i="63"/>
  <c r="FL242" i="63"/>
  <c r="FH242" i="63"/>
  <c r="FD242" i="63"/>
  <c r="EZ242" i="63"/>
  <c r="FQ241" i="63"/>
  <c r="FM241" i="63"/>
  <c r="FI241" i="63"/>
  <c r="FE241" i="63"/>
  <c r="FA241" i="63"/>
  <c r="FR240" i="63"/>
  <c r="FN240" i="63"/>
  <c r="FJ240" i="63"/>
  <c r="FF240" i="63"/>
  <c r="FB240" i="63"/>
  <c r="EX240" i="63"/>
  <c r="FO239" i="63"/>
  <c r="FK239" i="63"/>
  <c r="FG239" i="63"/>
  <c r="FC239" i="63"/>
  <c r="EY239" i="63"/>
  <c r="FP238" i="63"/>
  <c r="FL238" i="63"/>
  <c r="FH238" i="63"/>
  <c r="FD238" i="63"/>
  <c r="EZ238" i="63"/>
  <c r="FO258" i="63"/>
  <c r="FJ258" i="63"/>
  <c r="FE258" i="63"/>
  <c r="EY258" i="63"/>
  <c r="FO257" i="63"/>
  <c r="FJ257" i="63"/>
  <c r="FD257" i="63"/>
  <c r="EY257" i="63"/>
  <c r="FO256" i="63"/>
  <c r="FI256" i="63"/>
  <c r="FD256" i="63"/>
  <c r="EY256" i="63"/>
  <c r="FN255" i="63"/>
  <c r="FI255" i="63"/>
  <c r="FD255" i="63"/>
  <c r="EX255" i="63"/>
  <c r="FN254" i="63"/>
  <c r="FI254" i="63"/>
  <c r="FC254" i="63"/>
  <c r="EX254" i="63"/>
  <c r="FN253" i="63"/>
  <c r="FH253" i="63"/>
  <c r="FC253" i="63"/>
  <c r="EX253" i="63"/>
  <c r="FM252" i="63"/>
  <c r="FH252" i="63"/>
  <c r="FC252" i="63"/>
  <c r="FR251" i="63"/>
  <c r="FM251" i="63"/>
  <c r="FH251" i="63"/>
  <c r="FB251" i="63"/>
  <c r="FR250" i="63"/>
  <c r="FM250" i="63"/>
  <c r="FG250" i="63"/>
  <c r="FB250" i="63"/>
  <c r="FR249" i="63"/>
  <c r="FL249" i="63"/>
  <c r="FG249" i="63"/>
  <c r="FB249" i="63"/>
  <c r="FQ248" i="63"/>
  <c r="FL248" i="63"/>
  <c r="FG248" i="63"/>
  <c r="FA248" i="63"/>
  <c r="FQ247" i="63"/>
  <c r="FL247" i="63"/>
  <c r="FF247" i="63"/>
  <c r="FA247" i="63"/>
  <c r="FQ246" i="63"/>
  <c r="FK246" i="63"/>
  <c r="FF246" i="63"/>
  <c r="FA246" i="63"/>
  <c r="FP245" i="63"/>
  <c r="FK245" i="63"/>
  <c r="FF245" i="63"/>
  <c r="EZ245" i="63"/>
  <c r="FP244" i="63"/>
  <c r="FK244" i="63"/>
  <c r="FE244" i="63"/>
  <c r="EZ244" i="63"/>
  <c r="FP243" i="63"/>
  <c r="FJ243" i="63"/>
  <c r="FE243" i="63"/>
  <c r="EZ243" i="63"/>
  <c r="FO242" i="63"/>
  <c r="FJ242" i="63"/>
  <c r="FE242" i="63"/>
  <c r="EY242" i="63"/>
  <c r="FO241" i="63"/>
  <c r="FJ241" i="63"/>
  <c r="FD241" i="63"/>
  <c r="EY241" i="63"/>
  <c r="FO240" i="63"/>
  <c r="FI240" i="63"/>
  <c r="FD240" i="63"/>
  <c r="EY240" i="63"/>
  <c r="FN239" i="63"/>
  <c r="FI239" i="63"/>
  <c r="FD239" i="63"/>
  <c r="EX239" i="63"/>
  <c r="FN238" i="63"/>
  <c r="FI238" i="63"/>
  <c r="FC238" i="63"/>
  <c r="EX238" i="63"/>
  <c r="FR258" i="63"/>
  <c r="FK258" i="63"/>
  <c r="FC258" i="63"/>
  <c r="FR257" i="63"/>
  <c r="FK257" i="63"/>
  <c r="FC257" i="63"/>
  <c r="FQ256" i="63"/>
  <c r="FK256" i="63"/>
  <c r="FC256" i="63"/>
  <c r="FQ255" i="63"/>
  <c r="FJ255" i="63"/>
  <c r="FB255" i="63"/>
  <c r="FQ254" i="63"/>
  <c r="FJ254" i="63"/>
  <c r="FB254" i="63"/>
  <c r="FP253" i="63"/>
  <c r="FJ253" i="63"/>
  <c r="FB253" i="63"/>
  <c r="FP252" i="63"/>
  <c r="FI252" i="63"/>
  <c r="FA252" i="63"/>
  <c r="FP251" i="63"/>
  <c r="FI251" i="63"/>
  <c r="FA251" i="63"/>
  <c r="FO250" i="63"/>
  <c r="FI250" i="63"/>
  <c r="FA250" i="63"/>
  <c r="FO249" i="63"/>
  <c r="FH249" i="63"/>
  <c r="EZ249" i="63"/>
  <c r="FO248" i="63"/>
  <c r="FH248" i="63"/>
  <c r="EZ248" i="63"/>
  <c r="FN247" i="63"/>
  <c r="FH247" i="63"/>
  <c r="EZ247" i="63"/>
  <c r="FN246" i="63"/>
  <c r="FG246" i="63"/>
  <c r="EY246" i="63"/>
  <c r="FN245" i="63"/>
  <c r="FG245" i="63"/>
  <c r="EY245" i="63"/>
  <c r="FM244" i="63"/>
  <c r="FG244" i="63"/>
  <c r="EY244" i="63"/>
  <c r="FM243" i="63"/>
  <c r="FF243" i="63"/>
  <c r="EX243" i="63"/>
  <c r="FM242" i="63"/>
  <c r="FF242" i="63"/>
  <c r="EX242" i="63"/>
  <c r="FL241" i="63"/>
  <c r="FF241" i="63"/>
  <c r="EX241" i="63"/>
  <c r="FL240" i="63"/>
  <c r="FE240" i="63"/>
  <c r="FR239" i="63"/>
  <c r="FL239" i="63"/>
  <c r="FE239" i="63"/>
  <c r="FR238" i="63"/>
  <c r="FK238" i="63"/>
  <c r="FE238" i="63"/>
  <c r="FM258" i="63"/>
  <c r="FB258" i="63"/>
  <c r="FN257" i="63"/>
  <c r="FF257" i="63"/>
  <c r="FP256" i="63"/>
  <c r="FG256" i="63"/>
  <c r="FR255" i="63"/>
  <c r="FH255" i="63"/>
  <c r="EZ255" i="63"/>
  <c r="FK254" i="63"/>
  <c r="FA254" i="63"/>
  <c r="FL253" i="63"/>
  <c r="FD253" i="63"/>
  <c r="FO252" i="63"/>
  <c r="FE252" i="63"/>
  <c r="FQ251" i="63"/>
  <c r="FF251" i="63"/>
  <c r="EX251" i="63"/>
  <c r="FJ250" i="63"/>
  <c r="EY250" i="63"/>
  <c r="FK249" i="63"/>
  <c r="FC249" i="63"/>
  <c r="FM248" i="63"/>
  <c r="FD248" i="63"/>
  <c r="FP247" i="63"/>
  <c r="FE247" i="63"/>
  <c r="FR246" i="63"/>
  <c r="FI246" i="63"/>
  <c r="EX246" i="63"/>
  <c r="FJ245" i="63"/>
  <c r="FB245" i="63"/>
  <c r="FL244" i="63"/>
  <c r="FC244" i="63"/>
  <c r="FN243" i="63"/>
  <c r="FD243" i="63"/>
  <c r="FQ242" i="63"/>
  <c r="FG242" i="63"/>
  <c r="FR241" i="63"/>
  <c r="FH241" i="63"/>
  <c r="EZ241" i="63"/>
  <c r="FK240" i="63"/>
  <c r="FA240" i="63"/>
  <c r="FM239" i="63"/>
  <c r="FB239" i="63"/>
  <c r="FO238" i="63"/>
  <c r="FF238" i="63"/>
  <c r="FI258" i="63"/>
  <c r="EX258" i="63"/>
  <c r="FG257" i="63"/>
  <c r="FM256" i="63"/>
  <c r="FA256" i="63"/>
  <c r="FL255" i="63"/>
  <c r="FR254" i="63"/>
  <c r="FF254" i="63"/>
  <c r="FO253" i="63"/>
  <c r="EZ253" i="63"/>
  <c r="FK252" i="63"/>
  <c r="EY252" i="63"/>
  <c r="FE251" i="63"/>
  <c r="FN250" i="63"/>
  <c r="FC250" i="63"/>
  <c r="FJ249" i="63"/>
  <c r="EX249" i="63"/>
  <c r="FE248" i="63"/>
  <c r="FM247" i="63"/>
  <c r="FB247" i="63"/>
  <c r="FJ246" i="63"/>
  <c r="FR245" i="63"/>
  <c r="FD245" i="63"/>
  <c r="FO244" i="63"/>
  <c r="FA244" i="63"/>
  <c r="FI243" i="63"/>
  <c r="FR242" i="63"/>
  <c r="FC242" i="63"/>
  <c r="FN241" i="63"/>
  <c r="FB241" i="63"/>
  <c r="FH240" i="63"/>
  <c r="FQ239" i="63"/>
  <c r="FF239" i="63"/>
  <c r="FM238" i="63"/>
  <c r="FA238" i="63"/>
  <c r="FN258" i="63"/>
  <c r="FA258" i="63"/>
  <c r="FH257" i="63"/>
  <c r="EX257" i="63"/>
  <c r="FE256" i="63"/>
  <c r="FM255" i="63"/>
  <c r="FA255" i="63"/>
  <c r="FG254" i="63"/>
  <c r="FR253" i="63"/>
  <c r="FF253" i="63"/>
  <c r="FL252" i="63"/>
  <c r="EZ252" i="63"/>
  <c r="FJ251" i="63"/>
  <c r="FQ250" i="63"/>
  <c r="FE250" i="63"/>
  <c r="FN249" i="63"/>
  <c r="EY249" i="63"/>
  <c r="FI248" i="63"/>
  <c r="FR247" i="63"/>
  <c r="FD247" i="63"/>
  <c r="FM246" i="63"/>
  <c r="FB246" i="63"/>
  <c r="FH245" i="63"/>
  <c r="FQ244" i="63"/>
  <c r="FD244" i="63"/>
  <c r="FL243" i="63"/>
  <c r="FA243" i="63"/>
  <c r="FI242" i="63"/>
  <c r="FP241" i="63"/>
  <c r="FC241" i="63"/>
  <c r="FM240" i="63"/>
  <c r="EZ240" i="63"/>
  <c r="FH239" i="63"/>
  <c r="FQ238" i="63"/>
  <c r="FB238" i="63"/>
  <c r="FP257" i="63"/>
  <c r="FL256" i="63"/>
  <c r="FF255" i="63"/>
  <c r="FE254" i="63"/>
  <c r="EY253" i="63"/>
  <c r="FN251" i="63"/>
  <c r="FK250" i="63"/>
  <c r="FF249" i="63"/>
  <c r="FC248" i="63"/>
  <c r="EX247" i="63"/>
  <c r="FO245" i="63"/>
  <c r="FI244" i="63"/>
  <c r="FH243" i="63"/>
  <c r="FB242" i="63"/>
  <c r="FQ240" i="63"/>
  <c r="FP239" i="63"/>
  <c r="FJ238" i="63"/>
  <c r="FF258" i="63"/>
  <c r="EZ257" i="63"/>
  <c r="FP255" i="63"/>
  <c r="FM254" i="63"/>
  <c r="FG253" i="63"/>
  <c r="FD252" i="63"/>
  <c r="EZ251" i="63"/>
  <c r="FP249" i="63"/>
  <c r="FK248" i="63"/>
  <c r="FI247" i="63"/>
  <c r="FC246" i="63"/>
  <c r="EX245" i="63"/>
  <c r="FQ243" i="63"/>
  <c r="FK242" i="63"/>
  <c r="FG241" i="63"/>
  <c r="FC240" i="63"/>
  <c r="EZ239" i="63"/>
  <c r="FL257" i="63"/>
  <c r="FE255" i="63"/>
  <c r="FQ252" i="63"/>
  <c r="FF250" i="63"/>
  <c r="EY248" i="63"/>
  <c r="FL245" i="63"/>
  <c r="FB243" i="63"/>
  <c r="FP240" i="63"/>
  <c r="FG238" i="63"/>
  <c r="FB257" i="63"/>
  <c r="FO254" i="63"/>
  <c r="FG252" i="63"/>
  <c r="EX250" i="63"/>
  <c r="FJ247" i="63"/>
  <c r="FC245" i="63"/>
  <c r="FN242" i="63"/>
  <c r="FG240" i="63"/>
  <c r="EY238" i="63"/>
  <c r="FH256" i="63"/>
  <c r="FL251" i="63"/>
  <c r="FO246" i="63"/>
  <c r="FA242" i="63"/>
  <c r="FG258" i="63"/>
  <c r="EZ256" i="63"/>
  <c r="FK253" i="63"/>
  <c r="FD251" i="63"/>
  <c r="FP248" i="63"/>
  <c r="FE246" i="63"/>
  <c r="FR243" i="63"/>
  <c r="FK241" i="63"/>
  <c r="FA239" i="63"/>
  <c r="FQ258" i="63"/>
  <c r="EY254" i="63"/>
  <c r="FD249" i="63"/>
  <c r="FH244" i="63"/>
  <c r="FJ239" i="63"/>
  <c r="CW258" i="63"/>
  <c r="CS258" i="63"/>
  <c r="CO258" i="63"/>
  <c r="CK258" i="63"/>
  <c r="CG258" i="63"/>
  <c r="CX257" i="63"/>
  <c r="CT257" i="63"/>
  <c r="CP257" i="63"/>
  <c r="CL257" i="63"/>
  <c r="CH257" i="63"/>
  <c r="CD257" i="63"/>
  <c r="CU256" i="63"/>
  <c r="CQ256" i="63"/>
  <c r="CM256" i="63"/>
  <c r="CI256" i="63"/>
  <c r="CE256" i="63"/>
  <c r="CV255" i="63"/>
  <c r="CR255" i="63"/>
  <c r="CN255" i="63"/>
  <c r="CJ255" i="63"/>
  <c r="CF255" i="63"/>
  <c r="CW254" i="63"/>
  <c r="CS254" i="63"/>
  <c r="CO254" i="63"/>
  <c r="CK254" i="63"/>
  <c r="CG254" i="63"/>
  <c r="CX253" i="63"/>
  <c r="CT253" i="63"/>
  <c r="CP253" i="63"/>
  <c r="CL253" i="63"/>
  <c r="CH253" i="63"/>
  <c r="CD253" i="63"/>
  <c r="CU252" i="63"/>
  <c r="CQ252" i="63"/>
  <c r="CM252" i="63"/>
  <c r="CI252" i="63"/>
  <c r="CE252" i="63"/>
  <c r="CV251" i="63"/>
  <c r="CR251" i="63"/>
  <c r="CN251" i="63"/>
  <c r="CJ251" i="63"/>
  <c r="CF251" i="63"/>
  <c r="CW250" i="63"/>
  <c r="CS250" i="63"/>
  <c r="CO250" i="63"/>
  <c r="CK250" i="63"/>
  <c r="CG250" i="63"/>
  <c r="CX249" i="63"/>
  <c r="CT249" i="63"/>
  <c r="CP249" i="63"/>
  <c r="CL249" i="63"/>
  <c r="CH249" i="63"/>
  <c r="CD249" i="63"/>
  <c r="CU248" i="63"/>
  <c r="CQ248" i="63"/>
  <c r="CM248" i="63"/>
  <c r="CI248" i="63"/>
  <c r="CE248" i="63"/>
  <c r="CV247" i="63"/>
  <c r="CR247" i="63"/>
  <c r="CN247" i="63"/>
  <c r="CJ247" i="63"/>
  <c r="CF247" i="63"/>
  <c r="CW246" i="63"/>
  <c r="CS246" i="63"/>
  <c r="CV258" i="63"/>
  <c r="CQ258" i="63"/>
  <c r="CL258" i="63"/>
  <c r="CF258" i="63"/>
  <c r="CV257" i="63"/>
  <c r="CQ257" i="63"/>
  <c r="CK257" i="63"/>
  <c r="CF257" i="63"/>
  <c r="CV256" i="63"/>
  <c r="CP256" i="63"/>
  <c r="CK256" i="63"/>
  <c r="CF256" i="63"/>
  <c r="CU255" i="63"/>
  <c r="CP255" i="63"/>
  <c r="CK255" i="63"/>
  <c r="CE255" i="63"/>
  <c r="CU254" i="63"/>
  <c r="CP254" i="63"/>
  <c r="CJ254" i="63"/>
  <c r="CE254" i="63"/>
  <c r="CU253" i="63"/>
  <c r="CO253" i="63"/>
  <c r="CJ253" i="63"/>
  <c r="CE253" i="63"/>
  <c r="CT252" i="63"/>
  <c r="CO252" i="63"/>
  <c r="CJ252" i="63"/>
  <c r="CD252" i="63"/>
  <c r="CT251" i="63"/>
  <c r="CO251" i="63"/>
  <c r="CI251" i="63"/>
  <c r="CD251" i="63"/>
  <c r="CT250" i="63"/>
  <c r="CN250" i="63"/>
  <c r="CI250" i="63"/>
  <c r="CD250" i="63"/>
  <c r="CS249" i="63"/>
  <c r="CN249" i="63"/>
  <c r="CI249" i="63"/>
  <c r="CX248" i="63"/>
  <c r="CS248" i="63"/>
  <c r="CN248" i="63"/>
  <c r="CH248" i="63"/>
  <c r="CX247" i="63"/>
  <c r="CS247" i="63"/>
  <c r="CM247" i="63"/>
  <c r="CH247" i="63"/>
  <c r="CX246" i="63"/>
  <c r="CR246" i="63"/>
  <c r="CN246" i="63"/>
  <c r="CJ246" i="63"/>
  <c r="CF246" i="63"/>
  <c r="CW245" i="63"/>
  <c r="CS245" i="63"/>
  <c r="CO245" i="63"/>
  <c r="CK245" i="63"/>
  <c r="CG245" i="63"/>
  <c r="CX244" i="63"/>
  <c r="CT244" i="63"/>
  <c r="CP244" i="63"/>
  <c r="CL244" i="63"/>
  <c r="CH244" i="63"/>
  <c r="CD244" i="63"/>
  <c r="CU243" i="63"/>
  <c r="CQ243" i="63"/>
  <c r="CM243" i="63"/>
  <c r="CI243" i="63"/>
  <c r="CE243" i="63"/>
  <c r="CV242" i="63"/>
  <c r="CR242" i="63"/>
  <c r="CN242" i="63"/>
  <c r="CJ242" i="63"/>
  <c r="CF242" i="63"/>
  <c r="CW241" i="63"/>
  <c r="CS241" i="63"/>
  <c r="CO241" i="63"/>
  <c r="CK241" i="63"/>
  <c r="CG241" i="63"/>
  <c r="CX240" i="63"/>
  <c r="CT240" i="63"/>
  <c r="CP240" i="63"/>
  <c r="CL240" i="63"/>
  <c r="CH240" i="63"/>
  <c r="CD240" i="63"/>
  <c r="CU239" i="63"/>
  <c r="CQ239" i="63"/>
  <c r="CM239" i="63"/>
  <c r="CI239" i="63"/>
  <c r="CE239" i="63"/>
  <c r="CV238" i="63"/>
  <c r="CR238" i="63"/>
  <c r="CN238" i="63"/>
  <c r="CJ238" i="63"/>
  <c r="CF238" i="63"/>
  <c r="CX258" i="63"/>
  <c r="CP258" i="63"/>
  <c r="CI258" i="63"/>
  <c r="CW257" i="63"/>
  <c r="CO257" i="63"/>
  <c r="CI257" i="63"/>
  <c r="CW256" i="63"/>
  <c r="CO256" i="63"/>
  <c r="CH256" i="63"/>
  <c r="CW255" i="63"/>
  <c r="CO255" i="63"/>
  <c r="CH255" i="63"/>
  <c r="CV254" i="63"/>
  <c r="CN254" i="63"/>
  <c r="CH254" i="63"/>
  <c r="CV253" i="63"/>
  <c r="CN253" i="63"/>
  <c r="CG253" i="63"/>
  <c r="CV252" i="63"/>
  <c r="CN252" i="63"/>
  <c r="CG252" i="63"/>
  <c r="CU251" i="63"/>
  <c r="CM251" i="63"/>
  <c r="CG251" i="63"/>
  <c r="CU250" i="63"/>
  <c r="CM250" i="63"/>
  <c r="CF250" i="63"/>
  <c r="CU249" i="63"/>
  <c r="CM249" i="63"/>
  <c r="CF249" i="63"/>
  <c r="CT248" i="63"/>
  <c r="CL248" i="63"/>
  <c r="CF248" i="63"/>
  <c r="CT247" i="63"/>
  <c r="CL247" i="63"/>
  <c r="CE247" i="63"/>
  <c r="CT246" i="63"/>
  <c r="CM246" i="63"/>
  <c r="CH246" i="63"/>
  <c r="CX245" i="63"/>
  <c r="CR245" i="63"/>
  <c r="CM245" i="63"/>
  <c r="CH245" i="63"/>
  <c r="CW244" i="63"/>
  <c r="CR244" i="63"/>
  <c r="CM244" i="63"/>
  <c r="CG244" i="63"/>
  <c r="CW243" i="63"/>
  <c r="CR243" i="63"/>
  <c r="CL243" i="63"/>
  <c r="CG243" i="63"/>
  <c r="CW242" i="63"/>
  <c r="CQ242" i="63"/>
  <c r="CL242" i="63"/>
  <c r="CG242" i="63"/>
  <c r="CV241" i="63"/>
  <c r="CQ241" i="63"/>
  <c r="CL241" i="63"/>
  <c r="CF241" i="63"/>
  <c r="CV240" i="63"/>
  <c r="CQ240" i="63"/>
  <c r="CK240" i="63"/>
  <c r="CF240" i="63"/>
  <c r="CV239" i="63"/>
  <c r="CP239" i="63"/>
  <c r="CK239" i="63"/>
  <c r="CF239" i="63"/>
  <c r="CU238" i="63"/>
  <c r="CP238" i="63"/>
  <c r="CK238" i="63"/>
  <c r="CE238" i="63"/>
  <c r="CT258" i="63"/>
  <c r="CJ258" i="63"/>
  <c r="CU257" i="63"/>
  <c r="CM257" i="63"/>
  <c r="CX256" i="63"/>
  <c r="CN256" i="63"/>
  <c r="CD256" i="63"/>
  <c r="CQ255" i="63"/>
  <c r="CG255" i="63"/>
  <c r="CR254" i="63"/>
  <c r="CI254" i="63"/>
  <c r="CS253" i="63"/>
  <c r="CK253" i="63"/>
  <c r="CW252" i="63"/>
  <c r="CL252" i="63"/>
  <c r="CX251" i="63"/>
  <c r="CP251" i="63"/>
  <c r="CE251" i="63"/>
  <c r="CQ250" i="63"/>
  <c r="CH250" i="63"/>
  <c r="CR249" i="63"/>
  <c r="CJ249" i="63"/>
  <c r="CV248" i="63"/>
  <c r="CK248" i="63"/>
  <c r="CW247" i="63"/>
  <c r="CO247" i="63"/>
  <c r="CD247" i="63"/>
  <c r="CP246" i="63"/>
  <c r="CI246" i="63"/>
  <c r="CV245" i="63"/>
  <c r="CP245" i="63"/>
  <c r="CI245" i="63"/>
  <c r="CV244" i="63"/>
  <c r="CO244" i="63"/>
  <c r="CI244" i="63"/>
  <c r="CV243" i="63"/>
  <c r="CO243" i="63"/>
  <c r="CH243" i="63"/>
  <c r="CU242" i="63"/>
  <c r="CO242" i="63"/>
  <c r="CH242" i="63"/>
  <c r="CU241" i="63"/>
  <c r="CN241" i="63"/>
  <c r="CH241" i="63"/>
  <c r="CU240" i="63"/>
  <c r="CN240" i="63"/>
  <c r="CG240" i="63"/>
  <c r="CT239" i="63"/>
  <c r="CN239" i="63"/>
  <c r="CG239" i="63"/>
  <c r="CT238" i="63"/>
  <c r="CM238" i="63"/>
  <c r="CG238" i="63"/>
  <c r="CR258" i="63"/>
  <c r="CE258" i="63"/>
  <c r="CN257" i="63"/>
  <c r="CT256" i="63"/>
  <c r="CJ256" i="63"/>
  <c r="CS255" i="63"/>
  <c r="CD255" i="63"/>
  <c r="CM254" i="63"/>
  <c r="CW253" i="63"/>
  <c r="CI253" i="63"/>
  <c r="CR252" i="63"/>
  <c r="CF252" i="63"/>
  <c r="CL251" i="63"/>
  <c r="CV250" i="63"/>
  <c r="CJ250" i="63"/>
  <c r="CQ249" i="63"/>
  <c r="CE249" i="63"/>
  <c r="CO248" i="63"/>
  <c r="CU247" i="63"/>
  <c r="CI247" i="63"/>
  <c r="CQ246" i="63"/>
  <c r="CG246" i="63"/>
  <c r="CT245" i="63"/>
  <c r="CJ245" i="63"/>
  <c r="CU244" i="63"/>
  <c r="CK244" i="63"/>
  <c r="CX243" i="63"/>
  <c r="CN243" i="63"/>
  <c r="CD243" i="63"/>
  <c r="CP242" i="63"/>
  <c r="CE242" i="63"/>
  <c r="CR241" i="63"/>
  <c r="CI241" i="63"/>
  <c r="CS240" i="63"/>
  <c r="CJ240" i="63"/>
  <c r="CW239" i="63"/>
  <c r="CL239" i="63"/>
  <c r="CX238" i="63"/>
  <c r="CO238" i="63"/>
  <c r="CD238" i="63"/>
  <c r="CU258" i="63"/>
  <c r="CH258" i="63"/>
  <c r="CR257" i="63"/>
  <c r="CE257" i="63"/>
  <c r="CL256" i="63"/>
  <c r="CT255" i="63"/>
  <c r="CI255" i="63"/>
  <c r="CQ254" i="63"/>
  <c r="CD254" i="63"/>
  <c r="CM253" i="63"/>
  <c r="CS252" i="63"/>
  <c r="CH252" i="63"/>
  <c r="CQ251" i="63"/>
  <c r="CX250" i="63"/>
  <c r="CL250" i="63"/>
  <c r="CV249" i="63"/>
  <c r="CG249" i="63"/>
  <c r="CP248" i="63"/>
  <c r="CD248" i="63"/>
  <c r="CK247" i="63"/>
  <c r="CU246" i="63"/>
  <c r="CK246" i="63"/>
  <c r="CU245" i="63"/>
  <c r="CL245" i="63"/>
  <c r="CD245" i="63"/>
  <c r="CN244" i="63"/>
  <c r="CE244" i="63"/>
  <c r="CP243" i="63"/>
  <c r="CF243" i="63"/>
  <c r="CS242" i="63"/>
  <c r="CI242" i="63"/>
  <c r="CT241" i="63"/>
  <c r="CJ241" i="63"/>
  <c r="CW240" i="63"/>
  <c r="CM240" i="63"/>
  <c r="CX239" i="63"/>
  <c r="CO239" i="63"/>
  <c r="CD239" i="63"/>
  <c r="CQ238" i="63"/>
  <c r="CH238" i="63"/>
  <c r="CN258" i="63"/>
  <c r="CJ257" i="63"/>
  <c r="CG256" i="63"/>
  <c r="CX254" i="63"/>
  <c r="CR253" i="63"/>
  <c r="CP252" i="63"/>
  <c r="CK251" i="63"/>
  <c r="CE250" i="63"/>
  <c r="CW248" i="63"/>
  <c r="CQ247" i="63"/>
  <c r="CO246" i="63"/>
  <c r="CQ245" i="63"/>
  <c r="CS244" i="63"/>
  <c r="CT243" i="63"/>
  <c r="CX242" i="63"/>
  <c r="CD242" i="63"/>
  <c r="CE241" i="63"/>
  <c r="CI240" i="63"/>
  <c r="CJ239" i="63"/>
  <c r="CL238" i="63"/>
  <c r="CS257" i="63"/>
  <c r="CR256" i="63"/>
  <c r="CL255" i="63"/>
  <c r="CF254" i="63"/>
  <c r="CX252" i="63"/>
  <c r="CS251" i="63"/>
  <c r="CP250" i="63"/>
  <c r="CK249" i="63"/>
  <c r="CG248" i="63"/>
  <c r="CV246" i="63"/>
  <c r="CD246" i="63"/>
  <c r="CE245" i="63"/>
  <c r="CF244" i="63"/>
  <c r="CJ243" i="63"/>
  <c r="CK242" i="63"/>
  <c r="CM241" i="63"/>
  <c r="CO240" i="63"/>
  <c r="CR239" i="63"/>
  <c r="CS238" i="63"/>
  <c r="CM258" i="63"/>
  <c r="CX255" i="63"/>
  <c r="CQ253" i="63"/>
  <c r="CH251" i="63"/>
  <c r="CR248" i="63"/>
  <c r="CL246" i="63"/>
  <c r="CQ244" i="63"/>
  <c r="CT242" i="63"/>
  <c r="CD241" i="63"/>
  <c r="CH239" i="63"/>
  <c r="CD258" i="63"/>
  <c r="CF253" i="63"/>
  <c r="CJ248" i="63"/>
  <c r="CJ244" i="63"/>
  <c r="CR240" i="63"/>
  <c r="CG257" i="63"/>
  <c r="CK252" i="63"/>
  <c r="CP247" i="63"/>
  <c r="CS243" i="63"/>
  <c r="CE240" i="63"/>
  <c r="CI238" i="63"/>
  <c r="CS256" i="63"/>
  <c r="CL254" i="63"/>
  <c r="CW251" i="63"/>
  <c r="CO249" i="63"/>
  <c r="CG247" i="63"/>
  <c r="CF245" i="63"/>
  <c r="CK243" i="63"/>
  <c r="CP241" i="63"/>
  <c r="CS239" i="63"/>
  <c r="CM255" i="63"/>
  <c r="CR250" i="63"/>
  <c r="CE246" i="63"/>
  <c r="CM242" i="63"/>
  <c r="CW238" i="63"/>
  <c r="CT254" i="63"/>
  <c r="CW249" i="63"/>
  <c r="CN245" i="63"/>
  <c r="CX241" i="63"/>
  <c r="BR120" i="65" l="1"/>
  <c r="BS120" i="65"/>
  <c r="BS175" i="65"/>
  <c r="BR175" i="65"/>
  <c r="O176" i="65"/>
  <c r="BM175" i="65"/>
  <c r="BN175" i="65"/>
  <c r="BL175" i="65"/>
  <c r="BK175" i="65"/>
  <c r="BJ175" i="65"/>
  <c r="BI175" i="65"/>
  <c r="BH175" i="65"/>
  <c r="BG175" i="65"/>
  <c r="BF175" i="65"/>
  <c r="BE175" i="65"/>
  <c r="BD175" i="65"/>
  <c r="BC175" i="65"/>
  <c r="BB175" i="65"/>
  <c r="BA175" i="65"/>
  <c r="AZ175" i="65"/>
  <c r="AY175" i="65"/>
  <c r="AX175" i="65"/>
  <c r="AW175" i="65"/>
  <c r="AV175" i="65"/>
  <c r="AU175" i="65"/>
  <c r="AT175" i="65"/>
  <c r="AS175" i="65"/>
  <c r="AR175" i="65"/>
  <c r="AQ175" i="65"/>
  <c r="AP175" i="65"/>
  <c r="AO175" i="65"/>
  <c r="AN175" i="65"/>
  <c r="AM175" i="65"/>
  <c r="AL175" i="65"/>
  <c r="AK175" i="65"/>
  <c r="AJ175" i="65"/>
  <c r="AI175" i="65"/>
  <c r="AH175" i="65"/>
  <c r="AG175" i="65"/>
  <c r="AF175" i="65"/>
  <c r="AE175" i="65"/>
  <c r="AD175" i="65"/>
  <c r="AC175" i="65"/>
  <c r="AB175" i="65"/>
  <c r="AA175" i="65"/>
  <c r="Z175" i="65"/>
  <c r="Y175" i="65"/>
  <c r="X175" i="65"/>
  <c r="W175" i="65"/>
  <c r="V175" i="65"/>
  <c r="U175" i="65"/>
  <c r="T175" i="65"/>
  <c r="S175" i="65"/>
  <c r="R175" i="65"/>
  <c r="P175" i="65"/>
  <c r="Q175" i="65"/>
  <c r="O121" i="65"/>
  <c r="BN120" i="65"/>
  <c r="BM120" i="65"/>
  <c r="BK120" i="65"/>
  <c r="BL120" i="65"/>
  <c r="BJ120" i="65"/>
  <c r="BI120" i="65"/>
  <c r="BH120" i="65"/>
  <c r="BG120" i="65"/>
  <c r="BF120" i="65"/>
  <c r="BE120" i="65"/>
  <c r="BD120" i="65"/>
  <c r="BC120" i="65"/>
  <c r="BB120" i="65"/>
  <c r="BA120" i="65"/>
  <c r="AZ120" i="65"/>
  <c r="AY120" i="65"/>
  <c r="AX120" i="65"/>
  <c r="AW120" i="65"/>
  <c r="AV120" i="65"/>
  <c r="AU120" i="65"/>
  <c r="AT120" i="65"/>
  <c r="AS120" i="65"/>
  <c r="AR120" i="65"/>
  <c r="AQ120" i="65"/>
  <c r="AP120" i="65"/>
  <c r="AO120" i="65"/>
  <c r="AN120" i="65"/>
  <c r="AM120" i="65"/>
  <c r="AL120" i="65"/>
  <c r="AK120" i="65"/>
  <c r="AJ120" i="65"/>
  <c r="AI120" i="65"/>
  <c r="AH120" i="65"/>
  <c r="AG120" i="65"/>
  <c r="AF120" i="65"/>
  <c r="AE120" i="65"/>
  <c r="AD120" i="65"/>
  <c r="AC120" i="65"/>
  <c r="AB120" i="65"/>
  <c r="AA120" i="65"/>
  <c r="Z120" i="65"/>
  <c r="Y120" i="65"/>
  <c r="X120" i="65"/>
  <c r="W120" i="65"/>
  <c r="V120" i="65"/>
  <c r="U120" i="65"/>
  <c r="T120" i="65"/>
  <c r="S120" i="65"/>
  <c r="R120" i="65"/>
  <c r="P120" i="65"/>
  <c r="Q120" i="65"/>
  <c r="BN189" i="39"/>
  <c r="AW189" i="39"/>
  <c r="AS189" i="39"/>
  <c r="BI189" i="39"/>
  <c r="BE189" i="39"/>
  <c r="BM189" i="39"/>
  <c r="AN189" i="39"/>
  <c r="BA189" i="39"/>
  <c r="AQ189" i="39"/>
  <c r="BG189" i="39"/>
  <c r="BC189" i="39"/>
  <c r="BK189" i="39"/>
  <c r="BL189" i="39"/>
  <c r="AV189" i="39"/>
  <c r="BB189" i="39"/>
  <c r="AT189" i="39"/>
  <c r="AZ189" i="39"/>
  <c r="BH189" i="39"/>
  <c r="BF189" i="39"/>
  <c r="AM189" i="39"/>
  <c r="AL189" i="39"/>
  <c r="AK189" i="39"/>
  <c r="AU189" i="39"/>
  <c r="AO189" i="39"/>
  <c r="BJ189" i="39"/>
  <c r="AR189" i="39"/>
  <c r="BD189" i="39"/>
  <c r="AX189" i="39"/>
  <c r="AY189" i="39"/>
  <c r="AP189" i="39"/>
  <c r="X189" i="39"/>
  <c r="AE189" i="39"/>
  <c r="AB189" i="39"/>
  <c r="AJ189" i="39"/>
  <c r="AG189" i="39"/>
  <c r="W189" i="39"/>
  <c r="Y189" i="39"/>
  <c r="AD189" i="39"/>
  <c r="AA189" i="39"/>
  <c r="AI189" i="39"/>
  <c r="Z189" i="39"/>
  <c r="AF189" i="39"/>
  <c r="AC189" i="39"/>
  <c r="AH189" i="39"/>
  <c r="V189" i="39"/>
  <c r="U189" i="39"/>
  <c r="T189" i="39"/>
  <c r="S189" i="39"/>
  <c r="R189" i="39"/>
  <c r="Q189" i="39"/>
  <c r="P189" i="39"/>
  <c r="O190" i="39"/>
  <c r="BN134" i="39"/>
  <c r="BL134" i="39"/>
  <c r="BD134" i="39"/>
  <c r="AV134" i="39"/>
  <c r="AP134" i="39"/>
  <c r="AR134" i="39"/>
  <c r="BM134" i="39"/>
  <c r="AW134" i="39"/>
  <c r="AT134" i="39"/>
  <c r="BC134" i="39"/>
  <c r="AX134" i="39"/>
  <c r="BB134" i="39"/>
  <c r="AZ134" i="39"/>
  <c r="AU134" i="39"/>
  <c r="BA134" i="39"/>
  <c r="BG134" i="39"/>
  <c r="AY134" i="39"/>
  <c r="BI134" i="39"/>
  <c r="AS134" i="39"/>
  <c r="AQ134" i="39"/>
  <c r="BJ134" i="39"/>
  <c r="BE134" i="39"/>
  <c r="BH134" i="39"/>
  <c r="BK134" i="39"/>
  <c r="BF134" i="39"/>
  <c r="AK134" i="39"/>
  <c r="AO134" i="39"/>
  <c r="Y134" i="39"/>
  <c r="AC134" i="39"/>
  <c r="AE134" i="39"/>
  <c r="Z134" i="39"/>
  <c r="AH134" i="39"/>
  <c r="AB134" i="39"/>
  <c r="X134" i="39"/>
  <c r="AI134" i="39"/>
  <c r="AA134" i="39"/>
  <c r="AG134" i="39"/>
  <c r="AJ134" i="39"/>
  <c r="AF134" i="39"/>
  <c r="AD134" i="39"/>
  <c r="W134" i="39"/>
  <c r="V134" i="39"/>
  <c r="U134" i="39"/>
  <c r="T134" i="39"/>
  <c r="S134" i="39"/>
  <c r="R134" i="39"/>
  <c r="Q134" i="39"/>
  <c r="P134" i="39"/>
  <c r="O135" i="39"/>
  <c r="DJ258" i="63"/>
  <c r="DG257" i="63"/>
  <c r="DD256" i="63"/>
  <c r="DV254" i="63"/>
  <c r="DS253" i="63"/>
  <c r="DP252" i="63"/>
  <c r="DM251" i="63"/>
  <c r="DJ250" i="63"/>
  <c r="DG249" i="63"/>
  <c r="DD248" i="63"/>
  <c r="DV246" i="63"/>
  <c r="DS245" i="63"/>
  <c r="DP244" i="63"/>
  <c r="DM243" i="63"/>
  <c r="DJ242" i="63"/>
  <c r="DG241" i="63"/>
  <c r="DD240" i="63"/>
  <c r="DV238" i="63"/>
  <c r="DT258" i="63"/>
  <c r="DI257" i="63"/>
  <c r="DS255" i="63"/>
  <c r="DF258" i="63"/>
  <c r="DC257" i="63"/>
  <c r="DU255" i="63"/>
  <c r="DR254" i="63"/>
  <c r="DO253" i="63"/>
  <c r="DL252" i="63"/>
  <c r="DI251" i="63"/>
  <c r="DF250" i="63"/>
  <c r="DC249" i="63"/>
  <c r="DU247" i="63"/>
  <c r="DR246" i="63"/>
  <c r="DO245" i="63"/>
  <c r="DL244" i="63"/>
  <c r="DI243" i="63"/>
  <c r="DF242" i="63"/>
  <c r="DC241" i="63"/>
  <c r="DU239" i="63"/>
  <c r="DR238" i="63"/>
  <c r="DO258" i="63"/>
  <c r="DD257" i="63"/>
  <c r="DN255" i="63"/>
  <c r="DC254" i="63"/>
  <c r="DM252" i="63"/>
  <c r="DB251" i="63"/>
  <c r="DU252" i="63"/>
  <c r="DK240" i="63"/>
  <c r="DU254" i="63"/>
  <c r="DP241" i="63"/>
  <c r="DC242" i="63"/>
  <c r="DM256" i="63"/>
  <c r="DD245" i="63"/>
  <c r="DI252" i="63"/>
  <c r="DP238" i="63"/>
  <c r="DT245" i="63"/>
  <c r="DE253" i="63"/>
  <c r="DU238" i="63"/>
  <c r="DL242" i="63"/>
  <c r="DD246" i="63"/>
  <c r="DR249" i="63"/>
  <c r="DI253" i="63"/>
  <c r="DV256" i="63"/>
  <c r="DJ239" i="63"/>
  <c r="DB243" i="63"/>
  <c r="DM246" i="63"/>
  <c r="DE250" i="63"/>
  <c r="DT253" i="63"/>
  <c r="DJ257" i="63"/>
  <c r="DK239" i="63"/>
  <c r="DE242" i="63"/>
  <c r="DS244" i="63"/>
  <c r="DN247" i="63"/>
  <c r="DH250" i="63"/>
  <c r="DV252" i="63"/>
  <c r="DP255" i="63"/>
  <c r="DK258" i="63"/>
  <c r="DL239" i="63"/>
  <c r="DM241" i="63"/>
  <c r="DN243" i="63"/>
  <c r="DN245" i="63"/>
  <c r="DO247" i="63"/>
  <c r="DP249" i="63"/>
  <c r="DP251" i="63"/>
  <c r="DQ253" i="63"/>
  <c r="DR255" i="63"/>
  <c r="DR257" i="63"/>
  <c r="DM238" i="63"/>
  <c r="DC240" i="63"/>
  <c r="DN241" i="63"/>
  <c r="DD243" i="63"/>
  <c r="DO244" i="63"/>
  <c r="DE246" i="63"/>
  <c r="DP247" i="63"/>
  <c r="DF249" i="63"/>
  <c r="DQ250" i="63"/>
  <c r="DR252" i="63"/>
  <c r="DM254" i="63"/>
  <c r="DN256" i="63"/>
  <c r="DB238" i="63"/>
  <c r="DM239" i="63"/>
  <c r="DK241" i="63"/>
  <c r="DV242" i="63"/>
  <c r="DT244" i="63"/>
  <c r="DJ246" i="63"/>
  <c r="DH248" i="63"/>
  <c r="DS249" i="63"/>
  <c r="DQ251" i="63"/>
  <c r="DG253" i="63"/>
  <c r="DE255" i="63"/>
  <c r="DP256" i="63"/>
  <c r="DN258" i="63"/>
  <c r="DQ257" i="63"/>
  <c r="DS242" i="63"/>
  <c r="DH257" i="63"/>
  <c r="DL246" i="63"/>
  <c r="DM244" i="63"/>
  <c r="DD239" i="63"/>
  <c r="DI246" i="63"/>
  <c r="DN253" i="63"/>
  <c r="DR239" i="63"/>
  <c r="DC247" i="63"/>
  <c r="DG254" i="63"/>
  <c r="DO239" i="63"/>
  <c r="DF243" i="63"/>
  <c r="DS246" i="63"/>
  <c r="DK250" i="63"/>
  <c r="DV253" i="63"/>
  <c r="DP257" i="63"/>
  <c r="DB240" i="63"/>
  <c r="DP243" i="63"/>
  <c r="DG247" i="63"/>
  <c r="DT250" i="63"/>
  <c r="DL254" i="63"/>
  <c r="DC258" i="63"/>
  <c r="DV239" i="63"/>
  <c r="DP242" i="63"/>
  <c r="DI245" i="63"/>
  <c r="DC248" i="63"/>
  <c r="DS250" i="63"/>
  <c r="DL253" i="63"/>
  <c r="DF256" i="63"/>
  <c r="DU258" i="63"/>
  <c r="DT239" i="63"/>
  <c r="DU241" i="63"/>
  <c r="DV243" i="63"/>
  <c r="DV245" i="63"/>
  <c r="DB248" i="63"/>
  <c r="DC250" i="63"/>
  <c r="DC252" i="63"/>
  <c r="DD254" i="63"/>
  <c r="DE256" i="63"/>
  <c r="DE258" i="63"/>
  <c r="DS238" i="63"/>
  <c r="DI240" i="63"/>
  <c r="DT241" i="63"/>
  <c r="DJ243" i="63"/>
  <c r="DU244" i="63"/>
  <c r="DK246" i="63"/>
  <c r="DV247" i="63"/>
  <c r="DL249" i="63"/>
  <c r="DG251" i="63"/>
  <c r="DB253" i="63"/>
  <c r="DS254" i="63"/>
  <c r="DS256" i="63"/>
  <c r="DF238" i="63"/>
  <c r="DQ239" i="63"/>
  <c r="DO241" i="63"/>
  <c r="DE243" i="63"/>
  <c r="DC245" i="63"/>
  <c r="DN246" i="63"/>
  <c r="DL248" i="63"/>
  <c r="DB250" i="63"/>
  <c r="DU251" i="63"/>
  <c r="DK253" i="63"/>
  <c r="DI255" i="63"/>
  <c r="DT256" i="63"/>
  <c r="DR258" i="63"/>
  <c r="DG239" i="63"/>
  <c r="DF245" i="63"/>
  <c r="DV240" i="63"/>
  <c r="DS248" i="63"/>
  <c r="DT246" i="63"/>
  <c r="DG240" i="63"/>
  <c r="DL247" i="63"/>
  <c r="DP254" i="63"/>
  <c r="DB241" i="63"/>
  <c r="DG248" i="63"/>
  <c r="DL255" i="63"/>
  <c r="DE240" i="63"/>
  <c r="DR243" i="63"/>
  <c r="DJ247" i="63"/>
  <c r="DU250" i="63"/>
  <c r="DO254" i="63"/>
  <c r="DG258" i="63"/>
  <c r="DO240" i="63"/>
  <c r="DF244" i="63"/>
  <c r="DS247" i="63"/>
  <c r="DK251" i="63"/>
  <c r="DB255" i="63"/>
  <c r="DP258" i="63"/>
  <c r="DJ240" i="63"/>
  <c r="DC243" i="63"/>
  <c r="DR245" i="63"/>
  <c r="DM248" i="63"/>
  <c r="DF251" i="63"/>
  <c r="DU253" i="63"/>
  <c r="DO256" i="63"/>
  <c r="DE238" i="63"/>
  <c r="DF240" i="63"/>
  <c r="DG242" i="63"/>
  <c r="DG244" i="63"/>
  <c r="DH246" i="63"/>
  <c r="DI248" i="63"/>
  <c r="DI250" i="63"/>
  <c r="DJ252" i="63"/>
  <c r="DK254" i="63"/>
  <c r="DK256" i="63"/>
  <c r="DL258" i="63"/>
  <c r="DC239" i="63"/>
  <c r="DN240" i="63"/>
  <c r="DD242" i="63"/>
  <c r="DO243" i="63"/>
  <c r="DE245" i="63"/>
  <c r="DP246" i="63"/>
  <c r="DF248" i="63"/>
  <c r="DQ249" i="63"/>
  <c r="DL251" i="63"/>
  <c r="DH253" i="63"/>
  <c r="DC255" i="63"/>
  <c r="DN257" i="63"/>
  <c r="DJ238" i="63"/>
  <c r="DH240" i="63"/>
  <c r="DS241" i="63"/>
  <c r="DQ243" i="63"/>
  <c r="DG245" i="63"/>
  <c r="DE247" i="63"/>
  <c r="DP248" i="63"/>
  <c r="DN250" i="63"/>
  <c r="DD252" i="63"/>
  <c r="DB254" i="63"/>
  <c r="DM255" i="63"/>
  <c r="DK257" i="63"/>
  <c r="DV258" i="63"/>
  <c r="DK238" i="63"/>
  <c r="DC244" i="63"/>
  <c r="DR247" i="63"/>
  <c r="DQ245" i="63"/>
  <c r="DP253" i="63"/>
  <c r="DH249" i="63"/>
  <c r="DL241" i="63"/>
  <c r="DR248" i="63"/>
  <c r="DV255" i="63"/>
  <c r="DH242" i="63"/>
  <c r="DM249" i="63"/>
  <c r="DQ256" i="63"/>
  <c r="DQ240" i="63"/>
  <c r="DI244" i="63"/>
  <c r="DT247" i="63"/>
  <c r="DN251" i="63"/>
  <c r="DF255" i="63"/>
  <c r="DQ258" i="63"/>
  <c r="DE241" i="63"/>
  <c r="DR244" i="63"/>
  <c r="DJ248" i="63"/>
  <c r="DV251" i="63"/>
  <c r="DO255" i="63"/>
  <c r="DD238" i="63"/>
  <c r="DR240" i="63"/>
  <c r="DL243" i="63"/>
  <c r="DG246" i="63"/>
  <c r="DU248" i="63"/>
  <c r="DO251" i="63"/>
  <c r="DI254" i="63"/>
  <c r="DB257" i="63"/>
  <c r="DL238" i="63"/>
  <c r="DM240" i="63"/>
  <c r="DM242" i="63"/>
  <c r="DN244" i="63"/>
  <c r="DO246" i="63"/>
  <c r="DO248" i="63"/>
  <c r="DP250" i="63"/>
  <c r="DQ252" i="63"/>
  <c r="DQ254" i="63"/>
  <c r="DR256" i="63"/>
  <c r="DS258" i="63"/>
  <c r="DH239" i="63"/>
  <c r="DS240" i="63"/>
  <c r="DI242" i="63"/>
  <c r="DT243" i="63"/>
  <c r="DJ245" i="63"/>
  <c r="DU246" i="63"/>
  <c r="DK248" i="63"/>
  <c r="DV249" i="63"/>
  <c r="DR251" i="63"/>
  <c r="DM253" i="63"/>
  <c r="DH255" i="63"/>
  <c r="DT257" i="63"/>
  <c r="DN238" i="63"/>
  <c r="DL240" i="63"/>
  <c r="DB242" i="63"/>
  <c r="DU243" i="63"/>
  <c r="DK245" i="63"/>
  <c r="DI247" i="63"/>
  <c r="DT248" i="63"/>
  <c r="DR250" i="63"/>
  <c r="DH252" i="63"/>
  <c r="DF254" i="63"/>
  <c r="DQ255" i="63"/>
  <c r="DO257" i="63"/>
  <c r="DH243" i="63"/>
  <c r="DH251" i="63"/>
  <c r="DD250" i="63"/>
  <c r="DM250" i="63"/>
  <c r="DB256" i="63"/>
  <c r="DS251" i="63"/>
  <c r="DQ242" i="63"/>
  <c r="DU249" i="63"/>
  <c r="DF257" i="63"/>
  <c r="DK243" i="63"/>
  <c r="DO250" i="63"/>
  <c r="DU257" i="63"/>
  <c r="DJ241" i="63"/>
  <c r="DB245" i="63"/>
  <c r="DN248" i="63"/>
  <c r="DF252" i="63"/>
  <c r="DT255" i="63"/>
  <c r="DG238" i="63"/>
  <c r="DR241" i="63"/>
  <c r="DL245" i="63"/>
  <c r="DD249" i="63"/>
  <c r="DO252" i="63"/>
  <c r="DG256" i="63"/>
  <c r="DO238" i="63"/>
  <c r="DH241" i="63"/>
  <c r="DB244" i="63"/>
  <c r="DQ246" i="63"/>
  <c r="DJ249" i="63"/>
  <c r="DE252" i="63"/>
  <c r="DT254" i="63"/>
  <c r="DM257" i="63"/>
  <c r="DT238" i="63"/>
  <c r="DU240" i="63"/>
  <c r="DU242" i="63"/>
  <c r="DV244" i="63"/>
  <c r="DB247" i="63"/>
  <c r="DB249" i="63"/>
  <c r="DC251" i="63"/>
  <c r="DD253" i="63"/>
  <c r="DD255" i="63"/>
  <c r="DE257" i="63"/>
  <c r="DC238" i="63"/>
  <c r="DN239" i="63"/>
  <c r="DD241" i="63"/>
  <c r="DO242" i="63"/>
  <c r="DE244" i="63"/>
  <c r="DP245" i="63"/>
  <c r="DF247" i="63"/>
  <c r="DQ248" i="63"/>
  <c r="DG250" i="63"/>
  <c r="DB252" i="63"/>
  <c r="DR253" i="63"/>
  <c r="DC256" i="63"/>
  <c r="DD258" i="63"/>
  <c r="DE239" i="63"/>
  <c r="DP240" i="63"/>
  <c r="DN242" i="63"/>
  <c r="DD244" i="63"/>
  <c r="DB246" i="63"/>
  <c r="DM247" i="63"/>
  <c r="DK249" i="63"/>
  <c r="DV250" i="63"/>
  <c r="DT252" i="63"/>
  <c r="DJ254" i="63"/>
  <c r="DH256" i="63"/>
  <c r="DS257" i="63"/>
  <c r="JB249" i="63"/>
  <c r="JJ251" i="63"/>
  <c r="JC257" i="63"/>
  <c r="JA251" i="63"/>
  <c r="JB243" i="63"/>
  <c r="IQ258" i="63"/>
  <c r="IS244" i="63"/>
  <c r="IW251" i="63"/>
  <c r="JC258" i="63"/>
  <c r="JI244" i="63"/>
  <c r="IU252" i="63"/>
  <c r="IP238" i="63"/>
  <c r="AH52" i="63" s="1" a="1"/>
  <c r="JB241" i="63"/>
  <c r="IT245" i="63"/>
  <c r="JG248" i="63"/>
  <c r="IW252" i="63"/>
  <c r="IQ256" i="63"/>
  <c r="IR239" i="63"/>
  <c r="JE242" i="63"/>
  <c r="IU246" i="63"/>
  <c r="JJ249" i="63"/>
  <c r="JB253" i="63"/>
  <c r="IR257" i="63"/>
  <c r="IP239" i="63"/>
  <c r="JD241" i="63"/>
  <c r="IY244" i="63"/>
  <c r="IS247" i="63"/>
  <c r="JG249" i="63"/>
  <c r="JA252" i="63"/>
  <c r="IV255" i="63"/>
  <c r="JJ257" i="63"/>
  <c r="IV239" i="63"/>
  <c r="IV241" i="63"/>
  <c r="IW243" i="63"/>
  <c r="IX245" i="63"/>
  <c r="IX247" i="63"/>
  <c r="IY249" i="63"/>
  <c r="IZ251" i="63"/>
  <c r="IZ253" i="63"/>
  <c r="JA255" i="63"/>
  <c r="JB257" i="63"/>
  <c r="IY238" i="63"/>
  <c r="JJ239" i="63"/>
  <c r="IZ241" i="63"/>
  <c r="IP243" i="63"/>
  <c r="JA244" i="63"/>
  <c r="IQ246" i="63"/>
  <c r="JB247" i="63"/>
  <c r="IR249" i="63"/>
  <c r="JC250" i="63"/>
  <c r="IS252" i="63"/>
  <c r="JD253" i="63"/>
  <c r="IT255" i="63"/>
  <c r="JE256" i="63"/>
  <c r="IU258" i="63"/>
  <c r="JD238" i="63"/>
  <c r="JG239" i="63"/>
  <c r="JJ240" i="63"/>
  <c r="IR242" i="63"/>
  <c r="IU243" i="63"/>
  <c r="IX244" i="63"/>
  <c r="JA245" i="63"/>
  <c r="JD246" i="63"/>
  <c r="JG247" i="63"/>
  <c r="JJ248" i="63"/>
  <c r="IR250" i="63"/>
  <c r="IU251" i="63"/>
  <c r="IX252" i="63"/>
  <c r="JA253" i="63"/>
  <c r="JD254" i="63"/>
  <c r="JG255" i="63"/>
  <c r="JJ256" i="63"/>
  <c r="IR258" i="63"/>
  <c r="NV245" i="63"/>
  <c r="NW249" i="63"/>
  <c r="NW257" i="63"/>
  <c r="NU251" i="63"/>
  <c r="NX243" i="63"/>
  <c r="NK258" i="63"/>
  <c r="NM244" i="63"/>
  <c r="NT251" i="63"/>
  <c r="NW258" i="63"/>
  <c r="NK245" i="63"/>
  <c r="NO252" i="63"/>
  <c r="NJ238" i="63"/>
  <c r="NW241" i="63"/>
  <c r="NN245" i="63"/>
  <c r="NG249" i="63"/>
  <c r="NT252" i="63"/>
  <c r="NK256" i="63"/>
  <c r="NS238" i="63"/>
  <c r="NK242" i="63"/>
  <c r="NX245" i="63"/>
  <c r="NO249" i="63"/>
  <c r="NH253" i="63"/>
  <c r="NU256" i="63"/>
  <c r="NJ239" i="63"/>
  <c r="NZ241" i="63"/>
  <c r="NS244" i="63"/>
  <c r="NM247" i="63"/>
  <c r="NG250" i="63"/>
  <c r="NU252" i="63"/>
  <c r="NP255" i="63"/>
  <c r="NJ258" i="63"/>
  <c r="NN239" i="63"/>
  <c r="NO241" i="63"/>
  <c r="NP243" i="63"/>
  <c r="NP245" i="63"/>
  <c r="NQ247" i="63"/>
  <c r="NR249" i="63"/>
  <c r="NR251" i="63"/>
  <c r="NS253" i="63"/>
  <c r="NT255" i="63"/>
  <c r="NT257" i="63"/>
  <c r="NR238" i="63"/>
  <c r="NH240" i="63"/>
  <c r="NS241" i="63"/>
  <c r="NI243" i="63"/>
  <c r="NT244" i="63"/>
  <c r="NJ246" i="63"/>
  <c r="NU247" i="63"/>
  <c r="NK249" i="63"/>
  <c r="NV250" i="63"/>
  <c r="NL252" i="63"/>
  <c r="NW253" i="63"/>
  <c r="NM255" i="63"/>
  <c r="NX256" i="63"/>
  <c r="NN258" i="63"/>
  <c r="NT238" i="63"/>
  <c r="NW239" i="63"/>
  <c r="NZ240" i="63"/>
  <c r="NH242" i="63"/>
  <c r="NK243" i="63"/>
  <c r="NN244" i="63"/>
  <c r="NQ245" i="63"/>
  <c r="NT246" i="63"/>
  <c r="NW247" i="63"/>
  <c r="NZ248" i="63"/>
  <c r="NH250" i="63"/>
  <c r="NK251" i="63"/>
  <c r="NN252" i="63"/>
  <c r="NQ253" i="63"/>
  <c r="NT254" i="63"/>
  <c r="NW255" i="63"/>
  <c r="NZ256" i="63"/>
  <c r="NH258" i="63"/>
  <c r="IX254" i="63"/>
  <c r="JG256" i="63"/>
  <c r="JA239" i="63"/>
  <c r="IP254" i="63"/>
  <c r="JJ245" i="63"/>
  <c r="IS238" i="63"/>
  <c r="IY245" i="63"/>
  <c r="JC252" i="63"/>
  <c r="JG238" i="63"/>
  <c r="IS246" i="63"/>
  <c r="IV253" i="63"/>
  <c r="JC238" i="63"/>
  <c r="IT242" i="63"/>
  <c r="JH245" i="63"/>
  <c r="IZ249" i="63"/>
  <c r="IQ253" i="63"/>
  <c r="JD256" i="63"/>
  <c r="JD239" i="63"/>
  <c r="IT243" i="63"/>
  <c r="JI246" i="63"/>
  <c r="JA250" i="63"/>
  <c r="IQ254" i="63"/>
  <c r="JD257" i="63"/>
  <c r="IX239" i="63"/>
  <c r="IS242" i="63"/>
  <c r="JH244" i="63"/>
  <c r="JA247" i="63"/>
  <c r="IU250" i="63"/>
  <c r="IP253" i="63"/>
  <c r="JD255" i="63"/>
  <c r="IX258" i="63"/>
  <c r="JB239" i="63"/>
  <c r="JC241" i="63"/>
  <c r="JD243" i="63"/>
  <c r="JD245" i="63"/>
  <c r="JE247" i="63"/>
  <c r="JF249" i="63"/>
  <c r="JF251" i="63"/>
  <c r="JG253" i="63"/>
  <c r="JH255" i="63"/>
  <c r="JH257" i="63"/>
  <c r="JE238" i="63"/>
  <c r="IU240" i="63"/>
  <c r="JF241" i="63"/>
  <c r="IV243" i="63"/>
  <c r="JG244" i="63"/>
  <c r="IW246" i="63"/>
  <c r="JH247" i="63"/>
  <c r="IX249" i="63"/>
  <c r="JI250" i="63"/>
  <c r="IY252" i="63"/>
  <c r="JJ253" i="63"/>
  <c r="IZ255" i="63"/>
  <c r="IP257" i="63"/>
  <c r="JA258" i="63"/>
  <c r="JH238" i="63"/>
  <c r="IP240" i="63"/>
  <c r="IS241" i="63"/>
  <c r="IV242" i="63"/>
  <c r="IY243" i="63"/>
  <c r="JB244" i="63"/>
  <c r="JE245" i="63"/>
  <c r="JH246" i="63"/>
  <c r="IP248" i="63"/>
  <c r="IS249" i="63"/>
  <c r="IV250" i="63"/>
  <c r="IY251" i="63"/>
  <c r="JB252" i="63"/>
  <c r="JE253" i="63"/>
  <c r="JH254" i="63"/>
  <c r="IP256" i="63"/>
  <c r="IS257" i="63"/>
  <c r="NN255" i="63"/>
  <c r="NU254" i="63"/>
  <c r="NV239" i="63"/>
  <c r="NJ254" i="63"/>
  <c r="NK246" i="63"/>
  <c r="NO238" i="63"/>
  <c r="NS245" i="63"/>
  <c r="NX252" i="63"/>
  <c r="NI239" i="63"/>
  <c r="NM246" i="63"/>
  <c r="NP253" i="63"/>
  <c r="NY238" i="63"/>
  <c r="NQ242" i="63"/>
  <c r="NG246" i="63"/>
  <c r="NT249" i="63"/>
  <c r="NN253" i="63"/>
  <c r="NY256" i="63"/>
  <c r="NL239" i="63"/>
  <c r="NZ242" i="63"/>
  <c r="NR246" i="63"/>
  <c r="NI250" i="63"/>
  <c r="NV253" i="63"/>
  <c r="NO257" i="63"/>
  <c r="NT239" i="63"/>
  <c r="NM242" i="63"/>
  <c r="NG245" i="63"/>
  <c r="NV247" i="63"/>
  <c r="NO250" i="63"/>
  <c r="NJ253" i="63"/>
  <c r="NY255" i="63"/>
  <c r="NR258" i="63"/>
  <c r="NU239" i="63"/>
  <c r="NV241" i="63"/>
  <c r="NV243" i="63"/>
  <c r="NW245" i="63"/>
  <c r="NX247" i="63"/>
  <c r="NX249" i="63"/>
  <c r="NY251" i="63"/>
  <c r="NZ253" i="63"/>
  <c r="NZ255" i="63"/>
  <c r="NF258" i="63"/>
  <c r="NW238" i="63"/>
  <c r="NM240" i="63"/>
  <c r="NX241" i="63"/>
  <c r="NN243" i="63"/>
  <c r="NY244" i="63"/>
  <c r="NO246" i="63"/>
  <c r="NZ247" i="63"/>
  <c r="NP249" i="63"/>
  <c r="NF251" i="63"/>
  <c r="NQ252" i="63"/>
  <c r="NG254" i="63"/>
  <c r="NR255" i="63"/>
  <c r="NH257" i="63"/>
  <c r="NS258" i="63"/>
  <c r="NX238" i="63"/>
  <c r="NF240" i="63"/>
  <c r="NI241" i="63"/>
  <c r="NL242" i="63"/>
  <c r="NO243" i="63"/>
  <c r="NR244" i="63"/>
  <c r="NU245" i="63"/>
  <c r="NX246" i="63"/>
  <c r="NF248" i="63"/>
  <c r="NI249" i="63"/>
  <c r="NL250" i="63"/>
  <c r="NO251" i="63"/>
  <c r="NR252" i="63"/>
  <c r="NU253" i="63"/>
  <c r="NX254" i="63"/>
  <c r="NF256" i="63"/>
  <c r="NI257" i="63"/>
  <c r="AH58" i="63" a="1"/>
  <c r="AH37" i="63" a="1"/>
  <c r="AH43" i="63" a="1"/>
  <c r="AH55" i="63" a="1"/>
  <c r="AH49" i="63" a="1"/>
  <c r="AH39" i="63" a="1"/>
  <c r="AH45" i="63" a="1"/>
  <c r="AH61" i="63" a="1"/>
  <c r="BR176" i="65" l="1"/>
  <c r="BS176" i="65"/>
  <c r="BR121" i="65"/>
  <c r="BS121" i="65"/>
  <c r="O122" i="65"/>
  <c r="BN121" i="65"/>
  <c r="BM121" i="65"/>
  <c r="BK121" i="65"/>
  <c r="BL121" i="65"/>
  <c r="BJ121" i="65"/>
  <c r="BI121" i="65"/>
  <c r="BH121" i="65"/>
  <c r="BG121" i="65"/>
  <c r="BF121" i="65"/>
  <c r="BE121" i="65"/>
  <c r="BD121" i="65"/>
  <c r="BC121" i="65"/>
  <c r="BB121" i="65"/>
  <c r="BA121" i="65"/>
  <c r="AZ121" i="65"/>
  <c r="AY121" i="65"/>
  <c r="AX121" i="65"/>
  <c r="AW121" i="65"/>
  <c r="AV121" i="65"/>
  <c r="AU121" i="65"/>
  <c r="AT121" i="65"/>
  <c r="AS121" i="65"/>
  <c r="AR121" i="65"/>
  <c r="AQ121" i="65"/>
  <c r="AP121" i="65"/>
  <c r="AO121" i="65"/>
  <c r="AN121" i="65"/>
  <c r="AM121" i="65"/>
  <c r="AL121" i="65"/>
  <c r="AK121" i="65"/>
  <c r="AJ121" i="65"/>
  <c r="AI121" i="65"/>
  <c r="AH121" i="65"/>
  <c r="AG121" i="65"/>
  <c r="AF121" i="65"/>
  <c r="AE121" i="65"/>
  <c r="AD121" i="65"/>
  <c r="AC121" i="65"/>
  <c r="AB121" i="65"/>
  <c r="AA121" i="65"/>
  <c r="Z121" i="65"/>
  <c r="Y121" i="65"/>
  <c r="X121" i="65"/>
  <c r="W121" i="65"/>
  <c r="V121" i="65"/>
  <c r="U121" i="65"/>
  <c r="T121" i="65"/>
  <c r="S121" i="65"/>
  <c r="R121" i="65"/>
  <c r="P121" i="65"/>
  <c r="Q121" i="65"/>
  <c r="O177" i="65"/>
  <c r="BN176" i="65"/>
  <c r="BM176" i="65"/>
  <c r="BL176" i="65"/>
  <c r="BK176" i="65"/>
  <c r="BJ176" i="65"/>
  <c r="BI176" i="65"/>
  <c r="BH176" i="65"/>
  <c r="BG176" i="65"/>
  <c r="BF176" i="65"/>
  <c r="BE176" i="65"/>
  <c r="BD176" i="65"/>
  <c r="BC176" i="65"/>
  <c r="BB176" i="65"/>
  <c r="BA176" i="65"/>
  <c r="AZ176" i="65"/>
  <c r="AY176" i="65"/>
  <c r="AX176" i="65"/>
  <c r="AW176" i="65"/>
  <c r="AV176" i="65"/>
  <c r="AU176" i="65"/>
  <c r="AT176" i="65"/>
  <c r="AS176" i="65"/>
  <c r="AR176" i="65"/>
  <c r="AQ176" i="65"/>
  <c r="AP176" i="65"/>
  <c r="AO176" i="65"/>
  <c r="AN176" i="65"/>
  <c r="AM176" i="65"/>
  <c r="AL176" i="65"/>
  <c r="AK176" i="65"/>
  <c r="AJ176" i="65"/>
  <c r="AI176" i="65"/>
  <c r="AH176" i="65"/>
  <c r="AG176" i="65"/>
  <c r="AF176" i="65"/>
  <c r="AE176" i="65"/>
  <c r="AD176" i="65"/>
  <c r="AC176" i="65"/>
  <c r="AB176" i="65"/>
  <c r="AA176" i="65"/>
  <c r="Z176" i="65"/>
  <c r="Y176" i="65"/>
  <c r="X176" i="65"/>
  <c r="W176" i="65"/>
  <c r="V176" i="65"/>
  <c r="U176" i="65"/>
  <c r="T176" i="65"/>
  <c r="S176" i="65"/>
  <c r="R176" i="65"/>
  <c r="P176" i="65"/>
  <c r="Q176" i="65"/>
  <c r="BN190" i="39"/>
  <c r="BC190" i="39"/>
  <c r="BE190" i="39"/>
  <c r="AW190" i="39"/>
  <c r="BM190" i="39"/>
  <c r="BG190" i="39"/>
  <c r="AT190" i="39"/>
  <c r="AL190" i="39"/>
  <c r="AK190" i="39"/>
  <c r="AU190" i="39"/>
  <c r="AM190" i="39"/>
  <c r="AR190" i="39"/>
  <c r="AS190" i="39"/>
  <c r="AN190" i="39"/>
  <c r="BI190" i="39"/>
  <c r="AZ190" i="39"/>
  <c r="BA190" i="39"/>
  <c r="AQ190" i="39"/>
  <c r="BH190" i="39"/>
  <c r="BF190" i="39"/>
  <c r="BJ190" i="39"/>
  <c r="BB190" i="39"/>
  <c r="BK190" i="39"/>
  <c r="BL190" i="39"/>
  <c r="AO190" i="39"/>
  <c r="AV190" i="39"/>
  <c r="AP190" i="39"/>
  <c r="AY190" i="39"/>
  <c r="BD190" i="39"/>
  <c r="AX190" i="39"/>
  <c r="AE190" i="39"/>
  <c r="AD190" i="39"/>
  <c r="X190" i="39"/>
  <c r="Y190" i="39"/>
  <c r="AG190" i="39"/>
  <c r="AB190" i="39"/>
  <c r="W190" i="39"/>
  <c r="AJ190" i="39"/>
  <c r="AF190" i="39"/>
  <c r="Z190" i="39"/>
  <c r="AC190" i="39"/>
  <c r="AA190" i="39"/>
  <c r="AI190" i="39"/>
  <c r="AH190" i="39"/>
  <c r="V190" i="39"/>
  <c r="U190" i="39"/>
  <c r="T190" i="39"/>
  <c r="S190" i="39"/>
  <c r="R190" i="39"/>
  <c r="Q190" i="39"/>
  <c r="P190" i="39"/>
  <c r="O191" i="39"/>
  <c r="BN135" i="39"/>
  <c r="AV135" i="39"/>
  <c r="AP135" i="39"/>
  <c r="AS135" i="39"/>
  <c r="BD135" i="39"/>
  <c r="AX135" i="39"/>
  <c r="AQ135" i="39"/>
  <c r="BL135" i="39"/>
  <c r="AR135" i="39"/>
  <c r="BE135" i="39"/>
  <c r="BG135" i="39"/>
  <c r="BB135" i="39"/>
  <c r="BK135" i="39"/>
  <c r="BC135" i="39"/>
  <c r="BH135" i="39"/>
  <c r="BJ135" i="39"/>
  <c r="BF135" i="39"/>
  <c r="AT135" i="39"/>
  <c r="AL135" i="39"/>
  <c r="AK135" i="39"/>
  <c r="AW135" i="39"/>
  <c r="BM135" i="39"/>
  <c r="BA135" i="39"/>
  <c r="AZ135" i="39"/>
  <c r="BI135" i="39"/>
  <c r="AY135" i="39"/>
  <c r="AU135" i="39"/>
  <c r="Y135" i="39"/>
  <c r="AB135" i="39"/>
  <c r="Z135" i="39"/>
  <c r="X135" i="39"/>
  <c r="AE135" i="39"/>
  <c r="AH135" i="39"/>
  <c r="AC135" i="39"/>
  <c r="AD135" i="39"/>
  <c r="AA135" i="39"/>
  <c r="AG135" i="39"/>
  <c r="AJ135" i="39"/>
  <c r="AI135" i="39"/>
  <c r="AF135" i="39"/>
  <c r="W135" i="39"/>
  <c r="V135" i="39"/>
  <c r="U135" i="39"/>
  <c r="T135" i="39"/>
  <c r="S135" i="39"/>
  <c r="R135" i="39"/>
  <c r="Q135" i="39"/>
  <c r="P135" i="39"/>
  <c r="O136" i="39"/>
  <c r="AY49" i="63"/>
  <c r="AY83" i="63" s="1"/>
  <c r="AU49" i="63"/>
  <c r="AU83" i="63" s="1"/>
  <c r="AQ49" i="63"/>
  <c r="AQ83" i="63" s="1"/>
  <c r="AM49" i="63"/>
  <c r="AM83" i="63" s="1"/>
  <c r="AI49" i="63"/>
  <c r="AI83" i="63" s="1"/>
  <c r="AP49" i="63"/>
  <c r="AP83" i="63" s="1"/>
  <c r="AZ49" i="63"/>
  <c r="AZ83" i="63" s="1"/>
  <c r="AV49" i="63"/>
  <c r="AV83" i="63" s="1"/>
  <c r="AR49" i="63"/>
  <c r="AR83" i="63" s="1"/>
  <c r="AN49" i="63"/>
  <c r="AN83" i="63" s="1"/>
  <c r="AJ49" i="63"/>
  <c r="AJ83" i="63" s="1"/>
  <c r="BB49" i="63"/>
  <c r="BB83" i="63" s="1"/>
  <c r="AX49" i="63"/>
  <c r="AX83" i="63" s="1"/>
  <c r="AT49" i="63"/>
  <c r="AT83" i="63" s="1"/>
  <c r="AL49" i="63"/>
  <c r="AL83" i="63" s="1"/>
  <c r="AH49" i="63"/>
  <c r="BA49" i="63"/>
  <c r="BA83" i="63" s="1"/>
  <c r="AK49" i="63"/>
  <c r="AK83" i="63" s="1"/>
  <c r="AW49" i="63"/>
  <c r="AW83" i="63" s="1"/>
  <c r="AS49" i="63"/>
  <c r="AS83" i="63" s="1"/>
  <c r="AO49" i="63"/>
  <c r="AO83" i="63" s="1"/>
  <c r="AY61" i="63"/>
  <c r="AY95" i="63" s="1"/>
  <c r="AU61" i="63"/>
  <c r="AU95" i="63" s="1"/>
  <c r="AQ61" i="63"/>
  <c r="AQ95" i="63" s="1"/>
  <c r="AM61" i="63"/>
  <c r="AM95" i="63" s="1"/>
  <c r="AI61" i="63"/>
  <c r="AI95" i="63" s="1"/>
  <c r="BB61" i="63"/>
  <c r="BB95" i="63" s="1"/>
  <c r="AX61" i="63"/>
  <c r="AX95" i="63" s="1"/>
  <c r="AT61" i="63"/>
  <c r="AT95" i="63" s="1"/>
  <c r="AL61" i="63"/>
  <c r="AL95" i="63" s="1"/>
  <c r="AH61" i="63"/>
  <c r="BA61" i="63"/>
  <c r="BA95" i="63" s="1"/>
  <c r="AW61" i="63"/>
  <c r="AW95" i="63" s="1"/>
  <c r="AO61" i="63"/>
  <c r="AO95" i="63" s="1"/>
  <c r="AZ61" i="63"/>
  <c r="AZ95" i="63" s="1"/>
  <c r="AV61" i="63"/>
  <c r="AV95" i="63" s="1"/>
  <c r="AR61" i="63"/>
  <c r="AR95" i="63" s="1"/>
  <c r="AN61" i="63"/>
  <c r="AN95" i="63" s="1"/>
  <c r="AJ61" i="63"/>
  <c r="AJ95" i="63" s="1"/>
  <c r="AP61" i="63"/>
  <c r="AP95" i="63" s="1"/>
  <c r="AS61" i="63"/>
  <c r="AS95" i="63" s="1"/>
  <c r="AK61" i="63"/>
  <c r="AK95" i="63" s="1"/>
  <c r="AY55" i="63"/>
  <c r="AY89" i="63" s="1"/>
  <c r="AU55" i="63"/>
  <c r="AU89" i="63" s="1"/>
  <c r="AQ55" i="63"/>
  <c r="AQ89" i="63" s="1"/>
  <c r="AM55" i="63"/>
  <c r="AM89" i="63" s="1"/>
  <c r="AI55" i="63"/>
  <c r="AI89" i="63" s="1"/>
  <c r="BB55" i="63"/>
  <c r="BB89" i="63" s="1"/>
  <c r="AT55" i="63"/>
  <c r="AT89" i="63" s="1"/>
  <c r="AL55" i="63"/>
  <c r="AL89" i="63" s="1"/>
  <c r="AZ55" i="63"/>
  <c r="AZ89" i="63" s="1"/>
  <c r="AV55" i="63"/>
  <c r="AV89" i="63" s="1"/>
  <c r="AR55" i="63"/>
  <c r="AR89" i="63" s="1"/>
  <c r="AN55" i="63"/>
  <c r="AN89" i="63" s="1"/>
  <c r="AJ55" i="63"/>
  <c r="AJ89" i="63" s="1"/>
  <c r="AX55" i="63"/>
  <c r="AX89" i="63" s="1"/>
  <c r="AP55" i="63"/>
  <c r="AP89" i="63" s="1"/>
  <c r="AH55" i="63"/>
  <c r="BA55" i="63"/>
  <c r="BA89" i="63" s="1"/>
  <c r="AK55" i="63"/>
  <c r="AK89" i="63" s="1"/>
  <c r="AW55" i="63"/>
  <c r="AW89" i="63" s="1"/>
  <c r="AS55" i="63"/>
  <c r="AS89" i="63" s="1"/>
  <c r="AO55" i="63"/>
  <c r="AO89" i="63" s="1"/>
  <c r="AY52" i="63"/>
  <c r="AY86" i="63" s="1"/>
  <c r="AU52" i="63"/>
  <c r="AU86" i="63" s="1"/>
  <c r="AQ52" i="63"/>
  <c r="AQ86" i="63" s="1"/>
  <c r="AM52" i="63"/>
  <c r="AM86" i="63" s="1"/>
  <c r="AI52" i="63"/>
  <c r="AI86" i="63" s="1"/>
  <c r="AP52" i="63"/>
  <c r="AP86" i="63" s="1"/>
  <c r="AZ52" i="63"/>
  <c r="AZ86" i="63" s="1"/>
  <c r="AV52" i="63"/>
  <c r="AV86" i="63" s="1"/>
  <c r="AR52" i="63"/>
  <c r="AR86" i="63" s="1"/>
  <c r="AN52" i="63"/>
  <c r="AN86" i="63" s="1"/>
  <c r="AJ52" i="63"/>
  <c r="AJ86" i="63" s="1"/>
  <c r="BB52" i="63"/>
  <c r="BB86" i="63" s="1"/>
  <c r="AX52" i="63"/>
  <c r="AX86" i="63" s="1"/>
  <c r="AT52" i="63"/>
  <c r="AT86" i="63" s="1"/>
  <c r="AL52" i="63"/>
  <c r="AL86" i="63" s="1"/>
  <c r="AH52" i="63"/>
  <c r="BA52" i="63"/>
  <c r="BA86" i="63" s="1"/>
  <c r="AK52" i="63"/>
  <c r="AK86" i="63" s="1"/>
  <c r="AW52" i="63"/>
  <c r="AW86" i="63" s="1"/>
  <c r="AS52" i="63"/>
  <c r="AS86" i="63" s="1"/>
  <c r="AO52" i="63"/>
  <c r="AO86" i="63" s="1"/>
  <c r="AY58" i="63"/>
  <c r="AY92" i="63" s="1"/>
  <c r="AU58" i="63"/>
  <c r="AU92" i="63" s="1"/>
  <c r="AQ58" i="63"/>
  <c r="AQ92" i="63" s="1"/>
  <c r="AM58" i="63"/>
  <c r="AM92" i="63" s="1"/>
  <c r="AI58" i="63"/>
  <c r="AI92" i="63" s="1"/>
  <c r="AT58" i="63"/>
  <c r="AT92" i="63" s="1"/>
  <c r="AL58" i="63"/>
  <c r="AL92" i="63" s="1"/>
  <c r="AZ58" i="63"/>
  <c r="AZ92" i="63" s="1"/>
  <c r="AV58" i="63"/>
  <c r="AV92" i="63" s="1"/>
  <c r="AR58" i="63"/>
  <c r="AR92" i="63" s="1"/>
  <c r="AN58" i="63"/>
  <c r="AN92" i="63" s="1"/>
  <c r="AJ58" i="63"/>
  <c r="AJ92" i="63" s="1"/>
  <c r="BB58" i="63"/>
  <c r="BB92" i="63" s="1"/>
  <c r="AX58" i="63"/>
  <c r="AX92" i="63" s="1"/>
  <c r="AP58" i="63"/>
  <c r="AP92" i="63" s="1"/>
  <c r="AH58" i="63"/>
  <c r="BA58" i="63"/>
  <c r="BA92" i="63" s="1"/>
  <c r="AK58" i="63"/>
  <c r="AK92" i="63" s="1"/>
  <c r="AS58" i="63"/>
  <c r="AS92" i="63" s="1"/>
  <c r="AO58" i="63"/>
  <c r="AO92" i="63" s="1"/>
  <c r="AW58" i="63"/>
  <c r="AW92" i="63" s="1"/>
  <c r="AY45" i="63"/>
  <c r="AY79" i="63" s="1"/>
  <c r="AU45" i="63"/>
  <c r="AU79" i="63" s="1"/>
  <c r="AQ45" i="63"/>
  <c r="AQ79" i="63" s="1"/>
  <c r="AM45" i="63"/>
  <c r="AM79" i="63" s="1"/>
  <c r="AI45" i="63"/>
  <c r="AI79" i="63" s="1"/>
  <c r="AX45" i="63"/>
  <c r="AX79" i="63" s="1"/>
  <c r="AP45" i="63"/>
  <c r="AP79" i="63" s="1"/>
  <c r="AH45" i="63"/>
  <c r="AZ45" i="63"/>
  <c r="AZ79" i="63" s="1"/>
  <c r="AV45" i="63"/>
  <c r="AV79" i="63" s="1"/>
  <c r="AR45" i="63"/>
  <c r="AR79" i="63" s="1"/>
  <c r="AN45" i="63"/>
  <c r="AN79" i="63" s="1"/>
  <c r="AJ45" i="63"/>
  <c r="AJ79" i="63" s="1"/>
  <c r="BB45" i="63"/>
  <c r="BB79" i="63" s="1"/>
  <c r="AT45" i="63"/>
  <c r="AT79" i="63" s="1"/>
  <c r="AL45" i="63"/>
  <c r="AL79" i="63" s="1"/>
  <c r="AS45" i="63"/>
  <c r="AS79" i="63" s="1"/>
  <c r="BA45" i="63"/>
  <c r="BA79" i="63" s="1"/>
  <c r="AK45" i="63"/>
  <c r="AK79" i="63" s="1"/>
  <c r="AW45" i="63"/>
  <c r="AW79" i="63" s="1"/>
  <c r="AO45" i="63"/>
  <c r="AO79" i="63" s="1"/>
  <c r="BA39" i="63"/>
  <c r="BA73" i="63" s="1"/>
  <c r="AW39" i="63"/>
  <c r="AW73" i="63" s="1"/>
  <c r="AS39" i="63"/>
  <c r="AS73" i="63" s="1"/>
  <c r="AO39" i="63"/>
  <c r="AO73" i="63" s="1"/>
  <c r="AK39" i="63"/>
  <c r="AK73" i="63" s="1"/>
  <c r="AZ39" i="63"/>
  <c r="AZ73" i="63" s="1"/>
  <c r="AR39" i="63"/>
  <c r="AR73" i="63" s="1"/>
  <c r="AJ39" i="63"/>
  <c r="AJ73" i="63" s="1"/>
  <c r="BB39" i="63"/>
  <c r="BB73" i="63" s="1"/>
  <c r="AX39" i="63"/>
  <c r="AX73" i="63" s="1"/>
  <c r="AT39" i="63"/>
  <c r="AT73" i="63" s="1"/>
  <c r="AP39" i="63"/>
  <c r="AP73" i="63" s="1"/>
  <c r="AL39" i="63"/>
  <c r="AL73" i="63" s="1"/>
  <c r="AH39" i="63"/>
  <c r="AV39" i="63"/>
  <c r="AV73" i="63" s="1"/>
  <c r="AN39" i="63"/>
  <c r="AN73" i="63" s="1"/>
  <c r="AY39" i="63"/>
  <c r="AY73" i="63" s="1"/>
  <c r="AI39" i="63"/>
  <c r="AI73" i="63" s="1"/>
  <c r="AQ39" i="63"/>
  <c r="AQ73" i="63" s="1"/>
  <c r="AM39" i="63"/>
  <c r="AM73" i="63" s="1"/>
  <c r="AU39" i="63"/>
  <c r="AU73" i="63" s="1"/>
  <c r="BB43" i="63"/>
  <c r="BB77" i="63" s="1"/>
  <c r="AX43" i="63"/>
  <c r="AX77" i="63" s="1"/>
  <c r="AT43" i="63"/>
  <c r="AT77" i="63" s="1"/>
  <c r="AP43" i="63"/>
  <c r="AP77" i="63" s="1"/>
  <c r="AL43" i="63"/>
  <c r="AL77" i="63" s="1"/>
  <c r="AH43" i="63"/>
  <c r="AH77" i="63" s="1"/>
  <c r="AW43" i="63"/>
  <c r="AW77" i="63" s="1"/>
  <c r="AO43" i="63"/>
  <c r="AO77" i="63" s="1"/>
  <c r="AY43" i="63"/>
  <c r="AY77" i="63" s="1"/>
  <c r="AU43" i="63"/>
  <c r="AU77" i="63" s="1"/>
  <c r="AQ43" i="63"/>
  <c r="AQ77" i="63" s="1"/>
  <c r="AM43" i="63"/>
  <c r="AM77" i="63" s="1"/>
  <c r="AI43" i="63"/>
  <c r="AI77" i="63" s="1"/>
  <c r="BA43" i="63"/>
  <c r="BA77" i="63" s="1"/>
  <c r="AS43" i="63"/>
  <c r="AS77" i="63" s="1"/>
  <c r="AK43" i="63"/>
  <c r="AK77" i="63" s="1"/>
  <c r="AZ43" i="63"/>
  <c r="AZ77" i="63" s="1"/>
  <c r="AJ43" i="63"/>
  <c r="AJ77" i="63" s="1"/>
  <c r="AV43" i="63"/>
  <c r="AV77" i="63" s="1"/>
  <c r="AR43" i="63"/>
  <c r="AR77" i="63" s="1"/>
  <c r="AN43" i="63"/>
  <c r="AN77" i="63" s="1"/>
  <c r="AZ37" i="63"/>
  <c r="AZ71" i="63" s="1"/>
  <c r="AV37" i="63"/>
  <c r="AV71" i="63" s="1"/>
  <c r="AR37" i="63"/>
  <c r="AR71" i="63" s="1"/>
  <c r="AN37" i="63"/>
  <c r="AN71" i="63" s="1"/>
  <c r="AJ37" i="63"/>
  <c r="AJ71" i="63" s="1"/>
  <c r="AY37" i="63"/>
  <c r="AY71" i="63" s="1"/>
  <c r="AU37" i="63"/>
  <c r="AU71" i="63" s="1"/>
  <c r="AQ37" i="63"/>
  <c r="AQ71" i="63" s="1"/>
  <c r="AM37" i="63"/>
  <c r="AM71" i="63" s="1"/>
  <c r="AI37" i="63"/>
  <c r="AI71" i="63" s="1"/>
  <c r="BA37" i="63"/>
  <c r="BA71" i="63" s="1"/>
  <c r="AW37" i="63"/>
  <c r="AW71" i="63" s="1"/>
  <c r="AS37" i="63"/>
  <c r="AS71" i="63" s="1"/>
  <c r="AO37" i="63"/>
  <c r="AO71" i="63" s="1"/>
  <c r="AK37" i="63"/>
  <c r="AK71" i="63" s="1"/>
  <c r="AT37" i="63"/>
  <c r="AT71" i="63" s="1"/>
  <c r="AP37" i="63"/>
  <c r="AP71" i="63" s="1"/>
  <c r="BB37" i="63"/>
  <c r="BB71" i="63" s="1"/>
  <c r="AL37" i="63"/>
  <c r="AL71" i="63" s="1"/>
  <c r="AX37" i="63"/>
  <c r="AX71" i="63" s="1"/>
  <c r="AH37" i="63"/>
  <c r="AH71" i="63" s="1"/>
  <c r="BR122" i="65" l="1"/>
  <c r="BS122" i="65"/>
  <c r="BS177" i="65"/>
  <c r="BR177" i="65"/>
  <c r="O178" i="65"/>
  <c r="BM177" i="65"/>
  <c r="BN177" i="65"/>
  <c r="BL177" i="65"/>
  <c r="BK177" i="65"/>
  <c r="BJ177" i="65"/>
  <c r="BI177" i="65"/>
  <c r="BH177" i="65"/>
  <c r="BG177" i="65"/>
  <c r="BF177" i="65"/>
  <c r="BE177" i="65"/>
  <c r="BD177" i="65"/>
  <c r="BC177" i="65"/>
  <c r="BB177" i="65"/>
  <c r="BA177" i="65"/>
  <c r="AZ177" i="65"/>
  <c r="AY177" i="65"/>
  <c r="AX177" i="65"/>
  <c r="AW177" i="65"/>
  <c r="AV177" i="65"/>
  <c r="AU177" i="65"/>
  <c r="AT177" i="65"/>
  <c r="AS177" i="65"/>
  <c r="AR177" i="65"/>
  <c r="AQ177" i="65"/>
  <c r="AP177" i="65"/>
  <c r="AO177" i="65"/>
  <c r="AN177" i="65"/>
  <c r="AM177" i="65"/>
  <c r="AL177" i="65"/>
  <c r="AK177" i="65"/>
  <c r="AJ177" i="65"/>
  <c r="AI177" i="65"/>
  <c r="AH177" i="65"/>
  <c r="AG177" i="65"/>
  <c r="AF177" i="65"/>
  <c r="AE177" i="65"/>
  <c r="AD177" i="65"/>
  <c r="AC177" i="65"/>
  <c r="AB177" i="65"/>
  <c r="AA177" i="65"/>
  <c r="Z177" i="65"/>
  <c r="Y177" i="65"/>
  <c r="X177" i="65"/>
  <c r="W177" i="65"/>
  <c r="V177" i="65"/>
  <c r="U177" i="65"/>
  <c r="T177" i="65"/>
  <c r="S177" i="65"/>
  <c r="R177" i="65"/>
  <c r="Q177" i="65"/>
  <c r="P177" i="65"/>
  <c r="O123" i="65"/>
  <c r="BM122" i="65"/>
  <c r="BN122" i="65"/>
  <c r="BL122" i="65"/>
  <c r="BK122" i="65"/>
  <c r="BJ122" i="65"/>
  <c r="BI122" i="65"/>
  <c r="BH122" i="65"/>
  <c r="BG122" i="65"/>
  <c r="BF122" i="65"/>
  <c r="BE122" i="65"/>
  <c r="BD122" i="65"/>
  <c r="BC122" i="65"/>
  <c r="BB122" i="65"/>
  <c r="BA122" i="65"/>
  <c r="AZ122" i="65"/>
  <c r="AY122" i="65"/>
  <c r="AX122" i="65"/>
  <c r="AW122" i="65"/>
  <c r="AV122" i="65"/>
  <c r="AU122" i="65"/>
  <c r="AT122" i="65"/>
  <c r="AS122" i="65"/>
  <c r="AR122" i="65"/>
  <c r="AQ122" i="65"/>
  <c r="AP122" i="65"/>
  <c r="AO122" i="65"/>
  <c r="AN122" i="65"/>
  <c r="AM122" i="65"/>
  <c r="AL122" i="65"/>
  <c r="AK122" i="65"/>
  <c r="AJ122" i="65"/>
  <c r="AI122" i="65"/>
  <c r="AH122" i="65"/>
  <c r="AG122" i="65"/>
  <c r="AF122" i="65"/>
  <c r="AE122" i="65"/>
  <c r="AD122" i="65"/>
  <c r="AC122" i="65"/>
  <c r="AB122" i="65"/>
  <c r="AA122" i="65"/>
  <c r="Z122" i="65"/>
  <c r="Y122" i="65"/>
  <c r="X122" i="65"/>
  <c r="W122" i="65"/>
  <c r="V122" i="65"/>
  <c r="U122" i="65"/>
  <c r="T122" i="65"/>
  <c r="S122" i="65"/>
  <c r="R122" i="65"/>
  <c r="Q122" i="65"/>
  <c r="P122" i="65"/>
  <c r="BN191" i="39"/>
  <c r="BM191" i="39"/>
  <c r="BG191" i="39"/>
  <c r="AN191" i="39"/>
  <c r="BB191" i="39"/>
  <c r="BC191" i="39"/>
  <c r="BH191" i="39"/>
  <c r="BE191" i="39"/>
  <c r="AW191" i="39"/>
  <c r="AS191" i="39"/>
  <c r="AZ191" i="39"/>
  <c r="BA191" i="39"/>
  <c r="AU191" i="39"/>
  <c r="AK191" i="39"/>
  <c r="BK191" i="39"/>
  <c r="AL191" i="39"/>
  <c r="AM191" i="39"/>
  <c r="BI191" i="39"/>
  <c r="BF191" i="39"/>
  <c r="AP191" i="39"/>
  <c r="AT191" i="39"/>
  <c r="AQ191" i="39"/>
  <c r="BL191" i="39"/>
  <c r="AO191" i="39"/>
  <c r="BJ191" i="39"/>
  <c r="AR191" i="39"/>
  <c r="AY191" i="39"/>
  <c r="BD191" i="39"/>
  <c r="AX191" i="39"/>
  <c r="AV191" i="39"/>
  <c r="X191" i="39"/>
  <c r="AJ191" i="39"/>
  <c r="Y191" i="39"/>
  <c r="W191" i="39"/>
  <c r="AD191" i="39"/>
  <c r="AG191" i="39"/>
  <c r="AE191" i="39"/>
  <c r="AB191" i="39"/>
  <c r="AH191" i="39"/>
  <c r="AA191" i="39"/>
  <c r="AF191" i="39"/>
  <c r="Z191" i="39"/>
  <c r="AC191" i="39"/>
  <c r="AI191" i="39"/>
  <c r="V191" i="39"/>
  <c r="U191" i="39"/>
  <c r="T191" i="39"/>
  <c r="S191" i="39"/>
  <c r="R191" i="39"/>
  <c r="Q191" i="39"/>
  <c r="P191" i="39"/>
  <c r="O192" i="39"/>
  <c r="BN136" i="39"/>
  <c r="BL136" i="39"/>
  <c r="BG136" i="39"/>
  <c r="BE136" i="39"/>
  <c r="AQ136" i="39"/>
  <c r="AX136" i="39"/>
  <c r="BD136" i="39"/>
  <c r="AS136" i="39"/>
  <c r="BI136" i="39"/>
  <c r="AL136" i="39"/>
  <c r="AK136" i="39"/>
  <c r="AV136" i="39"/>
  <c r="BM136" i="39"/>
  <c r="BC136" i="39"/>
  <c r="BB136" i="39"/>
  <c r="AU136" i="39"/>
  <c r="BJ136" i="39"/>
  <c r="AW136" i="39"/>
  <c r="BH136" i="39"/>
  <c r="AT136" i="39"/>
  <c r="AZ136" i="39"/>
  <c r="AR136" i="39"/>
  <c r="AY136" i="39"/>
  <c r="BA136" i="39"/>
  <c r="AM136" i="39"/>
  <c r="BF136" i="39"/>
  <c r="BK136" i="39"/>
  <c r="X136" i="39"/>
  <c r="Z136" i="39"/>
  <c r="Y136" i="39"/>
  <c r="AB136" i="39"/>
  <c r="AC136" i="39"/>
  <c r="AE136" i="39"/>
  <c r="AH136" i="39"/>
  <c r="AD136" i="39"/>
  <c r="AI136" i="39"/>
  <c r="AF136" i="39"/>
  <c r="AJ136" i="39"/>
  <c r="AG136" i="39"/>
  <c r="AA136" i="39"/>
  <c r="W136" i="39"/>
  <c r="V136" i="39"/>
  <c r="U136" i="39"/>
  <c r="T136" i="39"/>
  <c r="S136" i="39"/>
  <c r="R136" i="39"/>
  <c r="Q136" i="39"/>
  <c r="P136" i="39"/>
  <c r="O137" i="39"/>
  <c r="AH73" i="63"/>
  <c r="AH40" i="63" a="1"/>
  <c r="AH83" i="63"/>
  <c r="AH50" i="63" a="1"/>
  <c r="AH86" i="63"/>
  <c r="AH53" i="63" a="1"/>
  <c r="AH95" i="63"/>
  <c r="AH62" i="63" a="1"/>
  <c r="AH89" i="63"/>
  <c r="AH56" i="63" a="1"/>
  <c r="AH92" i="63"/>
  <c r="AH59" i="63" a="1"/>
  <c r="AH79" i="63"/>
  <c r="AH46" i="63" a="1"/>
  <c r="BR178" i="65" l="1"/>
  <c r="BS178" i="65"/>
  <c r="BR123" i="65"/>
  <c r="BS123" i="65"/>
  <c r="O124" i="65"/>
  <c r="BM123" i="65"/>
  <c r="BN123" i="65"/>
  <c r="BL123" i="65"/>
  <c r="BK123" i="65"/>
  <c r="BJ123" i="65"/>
  <c r="BI123" i="65"/>
  <c r="BH123" i="65"/>
  <c r="BG123" i="65"/>
  <c r="BF123" i="65"/>
  <c r="BE123" i="65"/>
  <c r="BD123" i="65"/>
  <c r="BC123" i="65"/>
  <c r="BB123" i="65"/>
  <c r="BA123" i="65"/>
  <c r="AZ123" i="65"/>
  <c r="AY123" i="65"/>
  <c r="AX123" i="65"/>
  <c r="AW123" i="65"/>
  <c r="AV123" i="65"/>
  <c r="AU123" i="65"/>
  <c r="AT123" i="65"/>
  <c r="AS123" i="65"/>
  <c r="AR123" i="65"/>
  <c r="AQ123" i="65"/>
  <c r="AP123" i="65"/>
  <c r="AO123" i="65"/>
  <c r="AN123" i="65"/>
  <c r="AM123" i="65"/>
  <c r="AL123" i="65"/>
  <c r="AK123" i="65"/>
  <c r="AJ123" i="65"/>
  <c r="AI123" i="65"/>
  <c r="AH123" i="65"/>
  <c r="AG123" i="65"/>
  <c r="AF123" i="65"/>
  <c r="AE123" i="65"/>
  <c r="AD123" i="65"/>
  <c r="AC123" i="65"/>
  <c r="AB123" i="65"/>
  <c r="AA123" i="65"/>
  <c r="Z123" i="65"/>
  <c r="Y123" i="65"/>
  <c r="X123" i="65"/>
  <c r="W123" i="65"/>
  <c r="V123" i="65"/>
  <c r="U123" i="65"/>
  <c r="T123" i="65"/>
  <c r="S123" i="65"/>
  <c r="R123" i="65"/>
  <c r="P123" i="65"/>
  <c r="Q123" i="65"/>
  <c r="O179" i="65"/>
  <c r="BN178" i="65"/>
  <c r="BM178" i="65"/>
  <c r="BK178" i="65"/>
  <c r="BL178" i="65"/>
  <c r="BJ178" i="65"/>
  <c r="BI178" i="65"/>
  <c r="BH178" i="65"/>
  <c r="BG178" i="65"/>
  <c r="BF178" i="65"/>
  <c r="BE178" i="65"/>
  <c r="BD178" i="65"/>
  <c r="BC178" i="65"/>
  <c r="BB178" i="65"/>
  <c r="BA178" i="65"/>
  <c r="AZ178" i="65"/>
  <c r="AY178" i="65"/>
  <c r="AX178" i="65"/>
  <c r="AW178" i="65"/>
  <c r="AV178" i="65"/>
  <c r="AU178" i="65"/>
  <c r="AT178" i="65"/>
  <c r="AS178" i="65"/>
  <c r="AR178" i="65"/>
  <c r="AQ178" i="65"/>
  <c r="AP178" i="65"/>
  <c r="AO178" i="65"/>
  <c r="AN178" i="65"/>
  <c r="AM178" i="65"/>
  <c r="AL178" i="65"/>
  <c r="AK178" i="65"/>
  <c r="AJ178" i="65"/>
  <c r="AI178" i="65"/>
  <c r="AH178" i="65"/>
  <c r="AG178" i="65"/>
  <c r="AF178" i="65"/>
  <c r="AE178" i="65"/>
  <c r="AD178" i="65"/>
  <c r="AC178" i="65"/>
  <c r="AB178" i="65"/>
  <c r="AA178" i="65"/>
  <c r="Z178" i="65"/>
  <c r="Y178" i="65"/>
  <c r="X178" i="65"/>
  <c r="W178" i="65"/>
  <c r="V178" i="65"/>
  <c r="U178" i="65"/>
  <c r="T178" i="65"/>
  <c r="S178" i="65"/>
  <c r="R178" i="65"/>
  <c r="Q178" i="65"/>
  <c r="P178" i="65"/>
  <c r="BN192" i="39"/>
  <c r="BB192" i="39"/>
  <c r="BM192" i="39"/>
  <c r="BG192" i="39"/>
  <c r="AS192" i="39"/>
  <c r="BI192" i="39"/>
  <c r="AO192" i="39"/>
  <c r="BJ192" i="39"/>
  <c r="BA192" i="39"/>
  <c r="BL192" i="39"/>
  <c r="BD192" i="39"/>
  <c r="AW192" i="39"/>
  <c r="BE192" i="39"/>
  <c r="BC192" i="39"/>
  <c r="AN192" i="39"/>
  <c r="BH192" i="39"/>
  <c r="AL192" i="39"/>
  <c r="BF192" i="39"/>
  <c r="AT192" i="39"/>
  <c r="AZ192" i="39"/>
  <c r="AM192" i="39"/>
  <c r="BK192" i="39"/>
  <c r="AK192" i="39"/>
  <c r="AU192" i="39"/>
  <c r="AP192" i="39"/>
  <c r="AQ192" i="39"/>
  <c r="AR192" i="39"/>
  <c r="AV192" i="39"/>
  <c r="AX192" i="39"/>
  <c r="AY192" i="39"/>
  <c r="AE192" i="39"/>
  <c r="AD192" i="39"/>
  <c r="AG192" i="39"/>
  <c r="AB192" i="39"/>
  <c r="X192" i="39"/>
  <c r="Y192" i="39"/>
  <c r="AJ192" i="39"/>
  <c r="W192" i="39"/>
  <c r="AA192" i="39"/>
  <c r="AH192" i="39"/>
  <c r="AC192" i="39"/>
  <c r="AF192" i="39"/>
  <c r="AI192" i="39"/>
  <c r="Z192" i="39"/>
  <c r="V192" i="39"/>
  <c r="U192" i="39"/>
  <c r="T192" i="39"/>
  <c r="S192" i="39"/>
  <c r="R192" i="39"/>
  <c r="Q192" i="39"/>
  <c r="P192" i="39"/>
  <c r="O193" i="39"/>
  <c r="BN137" i="39"/>
  <c r="BG137" i="39"/>
  <c r="AY137" i="39"/>
  <c r="AS137" i="39"/>
  <c r="BD137" i="39"/>
  <c r="BL137" i="39"/>
  <c r="AW137" i="39"/>
  <c r="AR137" i="39"/>
  <c r="BE137" i="39"/>
  <c r="BC137" i="39"/>
  <c r="AT137" i="39"/>
  <c r="AU137" i="39"/>
  <c r="AN137" i="39"/>
  <c r="AV137" i="39"/>
  <c r="AX137" i="39"/>
  <c r="BM137" i="39"/>
  <c r="BI137" i="39"/>
  <c r="AZ137" i="39"/>
  <c r="BJ137" i="39"/>
  <c r="BF137" i="39"/>
  <c r="AM137" i="39"/>
  <c r="BK137" i="39"/>
  <c r="AK137" i="39"/>
  <c r="BB137" i="39"/>
  <c r="AL137" i="39"/>
  <c r="BH137" i="39"/>
  <c r="BA137" i="39"/>
  <c r="Y137" i="39"/>
  <c r="AB137" i="39"/>
  <c r="X137" i="39"/>
  <c r="AC137" i="39"/>
  <c r="Z137" i="39"/>
  <c r="AE137" i="39"/>
  <c r="AH137" i="39"/>
  <c r="AF137" i="39"/>
  <c r="AI137" i="39"/>
  <c r="AD137" i="39"/>
  <c r="AG137" i="39"/>
  <c r="AA137" i="39"/>
  <c r="AJ137" i="39"/>
  <c r="W137" i="39"/>
  <c r="V137" i="39"/>
  <c r="U137" i="39"/>
  <c r="T137" i="39"/>
  <c r="S137" i="39"/>
  <c r="R137" i="39"/>
  <c r="Q137" i="39"/>
  <c r="P137" i="39"/>
  <c r="O138" i="39"/>
  <c r="AZ59" i="63"/>
  <c r="AZ93" i="63" s="1"/>
  <c r="AV59" i="63"/>
  <c r="AV93" i="63" s="1"/>
  <c r="AR59" i="63"/>
  <c r="AR93" i="63" s="1"/>
  <c r="AN59" i="63"/>
  <c r="AN93" i="63" s="1"/>
  <c r="AJ59" i="63"/>
  <c r="AJ93" i="63" s="1"/>
  <c r="AY59" i="63"/>
  <c r="AY93" i="63" s="1"/>
  <c r="AU59" i="63"/>
  <c r="AU93" i="63" s="1"/>
  <c r="AM59" i="63"/>
  <c r="AM93" i="63" s="1"/>
  <c r="AI59" i="63"/>
  <c r="AI93" i="63" s="1"/>
  <c r="BA59" i="63"/>
  <c r="BA93" i="63" s="1"/>
  <c r="AW59" i="63"/>
  <c r="AW93" i="63" s="1"/>
  <c r="AS59" i="63"/>
  <c r="AS93" i="63" s="1"/>
  <c r="AO59" i="63"/>
  <c r="AO93" i="63" s="1"/>
  <c r="AK59" i="63"/>
  <c r="AK93" i="63" s="1"/>
  <c r="AQ59" i="63"/>
  <c r="AQ93" i="63" s="1"/>
  <c r="AP59" i="63"/>
  <c r="AP93" i="63" s="1"/>
  <c r="AX59" i="63"/>
  <c r="AX93" i="63" s="1"/>
  <c r="AH59" i="63"/>
  <c r="AH93" i="63" s="1"/>
  <c r="AT59" i="63"/>
  <c r="AT93" i="63" s="1"/>
  <c r="BB59" i="63"/>
  <c r="BB93" i="63" s="1"/>
  <c r="AL59" i="63"/>
  <c r="AL93" i="63" s="1"/>
  <c r="AZ50" i="63"/>
  <c r="AZ84" i="63" s="1"/>
  <c r="AV50" i="63"/>
  <c r="AV84" i="63" s="1"/>
  <c r="AR50" i="63"/>
  <c r="AR84" i="63" s="1"/>
  <c r="AN50" i="63"/>
  <c r="AN84" i="63" s="1"/>
  <c r="AJ50" i="63"/>
  <c r="AJ84" i="63" s="1"/>
  <c r="AU50" i="63"/>
  <c r="AU84" i="63" s="1"/>
  <c r="AM50" i="63"/>
  <c r="AM84" i="63" s="1"/>
  <c r="BA50" i="63"/>
  <c r="BA84" i="63" s="1"/>
  <c r="AW50" i="63"/>
  <c r="AW84" i="63" s="1"/>
  <c r="AS50" i="63"/>
  <c r="AS84" i="63" s="1"/>
  <c r="AO50" i="63"/>
  <c r="AO84" i="63" s="1"/>
  <c r="AK50" i="63"/>
  <c r="AK84" i="63" s="1"/>
  <c r="AY50" i="63"/>
  <c r="AY84" i="63" s="1"/>
  <c r="AQ50" i="63"/>
  <c r="AQ84" i="63" s="1"/>
  <c r="AI50" i="63"/>
  <c r="AI84" i="63" s="1"/>
  <c r="AP50" i="63"/>
  <c r="AP84" i="63" s="1"/>
  <c r="AL50" i="63"/>
  <c r="AL84" i="63" s="1"/>
  <c r="AX50" i="63"/>
  <c r="AX84" i="63" s="1"/>
  <c r="AH50" i="63"/>
  <c r="AH84" i="63" s="1"/>
  <c r="AT50" i="63"/>
  <c r="AT84" i="63" s="1"/>
  <c r="BB50" i="63"/>
  <c r="BB84" i="63" s="1"/>
  <c r="AZ56" i="63"/>
  <c r="AZ90" i="63" s="1"/>
  <c r="AV56" i="63"/>
  <c r="AV90" i="63" s="1"/>
  <c r="AR56" i="63"/>
  <c r="AR90" i="63" s="1"/>
  <c r="AN56" i="63"/>
  <c r="AN90" i="63" s="1"/>
  <c r="AJ56" i="63"/>
  <c r="AJ90" i="63" s="1"/>
  <c r="BA56" i="63"/>
  <c r="BA90" i="63" s="1"/>
  <c r="AW56" i="63"/>
  <c r="AW90" i="63" s="1"/>
  <c r="AS56" i="63"/>
  <c r="AS90" i="63" s="1"/>
  <c r="AO56" i="63"/>
  <c r="AO90" i="63" s="1"/>
  <c r="AK56" i="63"/>
  <c r="AK90" i="63" s="1"/>
  <c r="AY56" i="63"/>
  <c r="AY90" i="63" s="1"/>
  <c r="AU56" i="63"/>
  <c r="AU90" i="63" s="1"/>
  <c r="AQ56" i="63"/>
  <c r="AQ90" i="63" s="1"/>
  <c r="AM56" i="63"/>
  <c r="AM90" i="63" s="1"/>
  <c r="AI56" i="63"/>
  <c r="AI90" i="63" s="1"/>
  <c r="AP56" i="63"/>
  <c r="AP90" i="63" s="1"/>
  <c r="AX56" i="63"/>
  <c r="AX90" i="63" s="1"/>
  <c r="AH56" i="63"/>
  <c r="AH90" i="63" s="1"/>
  <c r="AT56" i="63"/>
  <c r="AT90" i="63" s="1"/>
  <c r="BB56" i="63"/>
  <c r="BB90" i="63" s="1"/>
  <c r="AL56" i="63"/>
  <c r="AL90" i="63" s="1"/>
  <c r="AZ53" i="63"/>
  <c r="AZ87" i="63" s="1"/>
  <c r="AV53" i="63"/>
  <c r="AV87" i="63" s="1"/>
  <c r="AR53" i="63"/>
  <c r="AR87" i="63" s="1"/>
  <c r="AN53" i="63"/>
  <c r="AN87" i="63" s="1"/>
  <c r="AJ53" i="63"/>
  <c r="AJ87" i="63" s="1"/>
  <c r="AU53" i="63"/>
  <c r="AU87" i="63" s="1"/>
  <c r="AM53" i="63"/>
  <c r="AM87" i="63" s="1"/>
  <c r="BA53" i="63"/>
  <c r="BA87" i="63" s="1"/>
  <c r="AW53" i="63"/>
  <c r="AW87" i="63" s="1"/>
  <c r="AS53" i="63"/>
  <c r="AS87" i="63" s="1"/>
  <c r="AO53" i="63"/>
  <c r="AO87" i="63" s="1"/>
  <c r="AK53" i="63"/>
  <c r="AK87" i="63" s="1"/>
  <c r="AY53" i="63"/>
  <c r="AY87" i="63" s="1"/>
  <c r="AQ53" i="63"/>
  <c r="AQ87" i="63" s="1"/>
  <c r="AI53" i="63"/>
  <c r="AI87" i="63" s="1"/>
  <c r="AP53" i="63"/>
  <c r="AP87" i="63" s="1"/>
  <c r="AL53" i="63"/>
  <c r="AL87" i="63" s="1"/>
  <c r="AX53" i="63"/>
  <c r="AX87" i="63" s="1"/>
  <c r="AH53" i="63"/>
  <c r="AH87" i="63" s="1"/>
  <c r="AT53" i="63"/>
  <c r="AT87" i="63" s="1"/>
  <c r="BB53" i="63"/>
  <c r="BB87" i="63" s="1"/>
  <c r="BA40" i="63"/>
  <c r="BA74" i="63" s="1"/>
  <c r="AW40" i="63"/>
  <c r="AW74" i="63" s="1"/>
  <c r="AS40" i="63"/>
  <c r="AS74" i="63" s="1"/>
  <c r="AO40" i="63"/>
  <c r="AO74" i="63" s="1"/>
  <c r="AK40" i="63"/>
  <c r="AK74" i="63" s="1"/>
  <c r="AZ40" i="63"/>
  <c r="AZ74" i="63" s="1"/>
  <c r="AR40" i="63"/>
  <c r="AR74" i="63" s="1"/>
  <c r="AJ40" i="63"/>
  <c r="AJ74" i="63" s="1"/>
  <c r="BB40" i="63"/>
  <c r="BB74" i="63" s="1"/>
  <c r="AX40" i="63"/>
  <c r="AX74" i="63" s="1"/>
  <c r="AT40" i="63"/>
  <c r="AT74" i="63" s="1"/>
  <c r="AP40" i="63"/>
  <c r="AP74" i="63" s="1"/>
  <c r="AL40" i="63"/>
  <c r="AL74" i="63" s="1"/>
  <c r="AH40" i="63"/>
  <c r="AV40" i="63"/>
  <c r="AV74" i="63" s="1"/>
  <c r="AN40" i="63"/>
  <c r="AN74" i="63" s="1"/>
  <c r="AM40" i="63"/>
  <c r="AM74" i="63" s="1"/>
  <c r="AY40" i="63"/>
  <c r="AY74" i="63" s="1"/>
  <c r="AI40" i="63"/>
  <c r="AI74" i="63" s="1"/>
  <c r="AQ40" i="63"/>
  <c r="AQ74" i="63" s="1"/>
  <c r="AU40" i="63"/>
  <c r="AU74" i="63" s="1"/>
  <c r="AZ62" i="63"/>
  <c r="AZ96" i="63" s="1"/>
  <c r="AV62" i="63"/>
  <c r="AV96" i="63" s="1"/>
  <c r="AR62" i="63"/>
  <c r="AR96" i="63" s="1"/>
  <c r="AN62" i="63"/>
  <c r="AN96" i="63" s="1"/>
  <c r="AJ62" i="63"/>
  <c r="AJ96" i="63" s="1"/>
  <c r="AY62" i="63"/>
  <c r="AY96" i="63" s="1"/>
  <c r="AQ62" i="63"/>
  <c r="AQ96" i="63" s="1"/>
  <c r="AI62" i="63"/>
  <c r="AI96" i="63" s="1"/>
  <c r="AT62" i="63"/>
  <c r="AT96" i="63" s="1"/>
  <c r="AH62" i="63"/>
  <c r="AH96" i="63" s="1"/>
  <c r="BA62" i="63"/>
  <c r="BA96" i="63" s="1"/>
  <c r="AW62" i="63"/>
  <c r="AW96" i="63" s="1"/>
  <c r="AS62" i="63"/>
  <c r="AS96" i="63" s="1"/>
  <c r="AO62" i="63"/>
  <c r="AO96" i="63" s="1"/>
  <c r="AK62" i="63"/>
  <c r="AK96" i="63" s="1"/>
  <c r="AU62" i="63"/>
  <c r="AU96" i="63" s="1"/>
  <c r="AM62" i="63"/>
  <c r="AM96" i="63" s="1"/>
  <c r="BB62" i="63"/>
  <c r="BB96" i="63" s="1"/>
  <c r="AX62" i="63"/>
  <c r="AX96" i="63" s="1"/>
  <c r="AP62" i="63"/>
  <c r="AP96" i="63" s="1"/>
  <c r="AL62" i="63"/>
  <c r="AL96" i="63" s="1"/>
  <c r="AZ46" i="63"/>
  <c r="AZ80" i="63" s="1"/>
  <c r="AV46" i="63"/>
  <c r="AV80" i="63" s="1"/>
  <c r="AR46" i="63"/>
  <c r="AR80" i="63" s="1"/>
  <c r="AN46" i="63"/>
  <c r="AN80" i="63" s="1"/>
  <c r="AJ46" i="63"/>
  <c r="AJ80" i="63" s="1"/>
  <c r="AY46" i="63"/>
  <c r="AY80" i="63" s="1"/>
  <c r="AU46" i="63"/>
  <c r="AU80" i="63" s="1"/>
  <c r="AQ46" i="63"/>
  <c r="AQ80" i="63" s="1"/>
  <c r="AI46" i="63"/>
  <c r="AI80" i="63" s="1"/>
  <c r="BA46" i="63"/>
  <c r="BA80" i="63" s="1"/>
  <c r="AW46" i="63"/>
  <c r="AW80" i="63" s="1"/>
  <c r="AS46" i="63"/>
  <c r="AS80" i="63" s="1"/>
  <c r="AO46" i="63"/>
  <c r="AO80" i="63" s="1"/>
  <c r="AK46" i="63"/>
  <c r="AK80" i="63" s="1"/>
  <c r="AM46" i="63"/>
  <c r="AM80" i="63" s="1"/>
  <c r="BB46" i="63"/>
  <c r="BB80" i="63" s="1"/>
  <c r="AL46" i="63"/>
  <c r="AL80" i="63" s="1"/>
  <c r="AX46" i="63"/>
  <c r="AX80" i="63" s="1"/>
  <c r="AH46" i="63"/>
  <c r="AT46" i="63"/>
  <c r="AT80" i="63" s="1"/>
  <c r="AP46" i="63"/>
  <c r="AP80" i="63" s="1"/>
  <c r="BR124" i="65" l="1"/>
  <c r="BS124" i="65"/>
  <c r="BR179" i="65"/>
  <c r="BS179" i="65"/>
  <c r="O180" i="65"/>
  <c r="BN179" i="65"/>
  <c r="BM179" i="65"/>
  <c r="BL179" i="65"/>
  <c r="BK179" i="65"/>
  <c r="BJ179" i="65"/>
  <c r="BI179" i="65"/>
  <c r="BH179" i="65"/>
  <c r="BG179" i="65"/>
  <c r="BF179" i="65"/>
  <c r="BE179" i="65"/>
  <c r="BD179" i="65"/>
  <c r="BC179" i="65"/>
  <c r="BB179" i="65"/>
  <c r="BA179" i="65"/>
  <c r="AZ179" i="65"/>
  <c r="AY179" i="65"/>
  <c r="AX179" i="65"/>
  <c r="AW179" i="65"/>
  <c r="AV179" i="65"/>
  <c r="AU179" i="65"/>
  <c r="AT179" i="65"/>
  <c r="AS179" i="65"/>
  <c r="AR179" i="65"/>
  <c r="AQ179" i="65"/>
  <c r="AP179" i="65"/>
  <c r="AO179" i="65"/>
  <c r="AN179" i="65"/>
  <c r="AM179" i="65"/>
  <c r="AL179" i="65"/>
  <c r="AK179" i="65"/>
  <c r="AJ179" i="65"/>
  <c r="AI179" i="65"/>
  <c r="AH179" i="65"/>
  <c r="AG179" i="65"/>
  <c r="AF179" i="65"/>
  <c r="AE179" i="65"/>
  <c r="AD179" i="65"/>
  <c r="AC179" i="65"/>
  <c r="AB179" i="65"/>
  <c r="AA179" i="65"/>
  <c r="Z179" i="65"/>
  <c r="Y179" i="65"/>
  <c r="X179" i="65"/>
  <c r="W179" i="65"/>
  <c r="V179" i="65"/>
  <c r="U179" i="65"/>
  <c r="T179" i="65"/>
  <c r="S179" i="65"/>
  <c r="R179" i="65"/>
  <c r="Q179" i="65"/>
  <c r="P179" i="65"/>
  <c r="O125" i="65"/>
  <c r="BM124" i="65"/>
  <c r="BN124" i="65"/>
  <c r="BL124" i="65"/>
  <c r="BK124" i="65"/>
  <c r="BJ124" i="65"/>
  <c r="BI124" i="65"/>
  <c r="BH124" i="65"/>
  <c r="BG124" i="65"/>
  <c r="BF124" i="65"/>
  <c r="BE124" i="65"/>
  <c r="BD124" i="65"/>
  <c r="BC124" i="65"/>
  <c r="BB124" i="65"/>
  <c r="BA124" i="65"/>
  <c r="AZ124" i="65"/>
  <c r="AY124" i="65"/>
  <c r="AX124" i="65"/>
  <c r="AW124" i="65"/>
  <c r="AV124" i="65"/>
  <c r="AU124" i="65"/>
  <c r="AT124" i="65"/>
  <c r="AS124" i="65"/>
  <c r="AR124" i="65"/>
  <c r="AQ124" i="65"/>
  <c r="AP124" i="65"/>
  <c r="AO124" i="65"/>
  <c r="AN124" i="65"/>
  <c r="AM124" i="65"/>
  <c r="AL124" i="65"/>
  <c r="AK124" i="65"/>
  <c r="AJ124" i="65"/>
  <c r="AI124" i="65"/>
  <c r="AH124" i="65"/>
  <c r="AG124" i="65"/>
  <c r="AF124" i="65"/>
  <c r="AE124" i="65"/>
  <c r="AD124" i="65"/>
  <c r="AC124" i="65"/>
  <c r="AB124" i="65"/>
  <c r="AA124" i="65"/>
  <c r="Z124" i="65"/>
  <c r="Y124" i="65"/>
  <c r="X124" i="65"/>
  <c r="W124" i="65"/>
  <c r="V124" i="65"/>
  <c r="U124" i="65"/>
  <c r="T124" i="65"/>
  <c r="S124" i="65"/>
  <c r="R124" i="65"/>
  <c r="Q124" i="65"/>
  <c r="P124" i="65"/>
  <c r="BN193" i="39"/>
  <c r="BM193" i="39"/>
  <c r="BG193" i="39"/>
  <c r="BE193" i="39"/>
  <c r="AN193" i="39"/>
  <c r="AW193" i="39"/>
  <c r="BF193" i="39"/>
  <c r="AP193" i="39"/>
  <c r="AR193" i="39"/>
  <c r="AS193" i="39"/>
  <c r="BB193" i="39"/>
  <c r="BC193" i="39"/>
  <c r="BH193" i="39"/>
  <c r="BK193" i="39"/>
  <c r="BJ193" i="39"/>
  <c r="BI193" i="39"/>
  <c r="AU193" i="39"/>
  <c r="AL193" i="39"/>
  <c r="AK193" i="39"/>
  <c r="AT193" i="39"/>
  <c r="BL193" i="39"/>
  <c r="AZ193" i="39"/>
  <c r="AM193" i="39"/>
  <c r="AY193" i="39"/>
  <c r="AO193" i="39"/>
  <c r="AV193" i="39"/>
  <c r="BD193" i="39"/>
  <c r="AX193" i="39"/>
  <c r="BA193" i="39"/>
  <c r="AQ193" i="39"/>
  <c r="W193" i="39"/>
  <c r="AD193" i="39"/>
  <c r="AB193" i="39"/>
  <c r="AE193" i="39"/>
  <c r="AG193" i="39"/>
  <c r="AJ193" i="39"/>
  <c r="Y193" i="39"/>
  <c r="AH193" i="39"/>
  <c r="X193" i="39"/>
  <c r="AA193" i="39"/>
  <c r="AI193" i="39"/>
  <c r="AF193" i="39"/>
  <c r="AC193" i="39"/>
  <c r="Z193" i="39"/>
  <c r="V193" i="39"/>
  <c r="U193" i="39"/>
  <c r="T193" i="39"/>
  <c r="S193" i="39"/>
  <c r="R193" i="39"/>
  <c r="Q193" i="39"/>
  <c r="P193" i="39"/>
  <c r="O194" i="39"/>
  <c r="BN138" i="39"/>
  <c r="AX138" i="39"/>
  <c r="BD138" i="39"/>
  <c r="AV138" i="39"/>
  <c r="BM138" i="39"/>
  <c r="BL138" i="39"/>
  <c r="AY138" i="39"/>
  <c r="BI138" i="39"/>
  <c r="AZ138" i="39"/>
  <c r="BE138" i="39"/>
  <c r="BG138" i="39"/>
  <c r="AW138" i="39"/>
  <c r="BC138" i="39"/>
  <c r="BH138" i="39"/>
  <c r="AN138" i="39"/>
  <c r="BB138" i="39"/>
  <c r="BK138" i="39"/>
  <c r="AK138" i="39"/>
  <c r="AM138" i="39"/>
  <c r="BJ138" i="39"/>
  <c r="BF138" i="39"/>
  <c r="AO138" i="39"/>
  <c r="AS138" i="39"/>
  <c r="AL138" i="39"/>
  <c r="BA138" i="39"/>
  <c r="AT138" i="39"/>
  <c r="AU138" i="39"/>
  <c r="AH138" i="39"/>
  <c r="AC138" i="39"/>
  <c r="AI138" i="39"/>
  <c r="X138" i="39"/>
  <c r="Y138" i="39"/>
  <c r="AE138" i="39"/>
  <c r="Z138" i="39"/>
  <c r="AB138" i="39"/>
  <c r="AG138" i="39"/>
  <c r="AF138" i="39"/>
  <c r="AD138" i="39"/>
  <c r="AJ138" i="39"/>
  <c r="AA138" i="39"/>
  <c r="W138" i="39"/>
  <c r="V138" i="39"/>
  <c r="U138" i="39"/>
  <c r="T138" i="39"/>
  <c r="S138" i="39"/>
  <c r="R138" i="39"/>
  <c r="Q138" i="39"/>
  <c r="P138" i="39"/>
  <c r="O139" i="39"/>
  <c r="AH74" i="63"/>
  <c r="AH41" i="63" a="1"/>
  <c r="AH80" i="63"/>
  <c r="AH47" i="63" a="1"/>
  <c r="BS180" i="65" l="1"/>
  <c r="BR180" i="65"/>
  <c r="BS125" i="65"/>
  <c r="BR125" i="65"/>
  <c r="O126" i="65"/>
  <c r="BM125" i="65"/>
  <c r="BN125" i="65"/>
  <c r="BL125" i="65"/>
  <c r="BK125" i="65"/>
  <c r="BJ125" i="65"/>
  <c r="BI125" i="65"/>
  <c r="BH125" i="65"/>
  <c r="BG125" i="65"/>
  <c r="BF125" i="65"/>
  <c r="BE125" i="65"/>
  <c r="BD125" i="65"/>
  <c r="BC125" i="65"/>
  <c r="BB125" i="65"/>
  <c r="BA125" i="65"/>
  <c r="AZ125" i="65"/>
  <c r="AY125" i="65"/>
  <c r="AX125" i="65"/>
  <c r="AW125" i="65"/>
  <c r="AV125" i="65"/>
  <c r="AU125" i="65"/>
  <c r="AT125" i="65"/>
  <c r="AS125" i="65"/>
  <c r="AR125" i="65"/>
  <c r="AQ125" i="65"/>
  <c r="AP125" i="65"/>
  <c r="AO125" i="65"/>
  <c r="AN125" i="65"/>
  <c r="AM125" i="65"/>
  <c r="AL125" i="65"/>
  <c r="AK125" i="65"/>
  <c r="AJ125" i="65"/>
  <c r="AI125" i="65"/>
  <c r="AH125" i="65"/>
  <c r="AG125" i="65"/>
  <c r="AF125" i="65"/>
  <c r="AE125" i="65"/>
  <c r="AD125" i="65"/>
  <c r="AC125" i="65"/>
  <c r="AB125" i="65"/>
  <c r="AA125" i="65"/>
  <c r="Z125" i="65"/>
  <c r="Y125" i="65"/>
  <c r="X125" i="65"/>
  <c r="W125" i="65"/>
  <c r="V125" i="65"/>
  <c r="U125" i="65"/>
  <c r="T125" i="65"/>
  <c r="S125" i="65"/>
  <c r="R125" i="65"/>
  <c r="Q125" i="65"/>
  <c r="P125" i="65"/>
  <c r="O181" i="65"/>
  <c r="BN180" i="65"/>
  <c r="BM180" i="65"/>
  <c r="BL180" i="65"/>
  <c r="BK180" i="65"/>
  <c r="BJ180" i="65"/>
  <c r="BI180" i="65"/>
  <c r="BH180" i="65"/>
  <c r="BG180" i="65"/>
  <c r="BF180" i="65"/>
  <c r="BE180" i="65"/>
  <c r="BD180" i="65"/>
  <c r="BC180" i="65"/>
  <c r="BB180" i="65"/>
  <c r="BA180" i="65"/>
  <c r="AZ180" i="65"/>
  <c r="AY180" i="65"/>
  <c r="AX180" i="65"/>
  <c r="AW180" i="65"/>
  <c r="AV180" i="65"/>
  <c r="AU180" i="65"/>
  <c r="AT180" i="65"/>
  <c r="AS180" i="65"/>
  <c r="AR180" i="65"/>
  <c r="AQ180" i="65"/>
  <c r="AP180" i="65"/>
  <c r="AO180" i="65"/>
  <c r="AN180" i="65"/>
  <c r="AM180" i="65"/>
  <c r="AL180" i="65"/>
  <c r="AK180" i="65"/>
  <c r="AJ180" i="65"/>
  <c r="AI180" i="65"/>
  <c r="AH180" i="65"/>
  <c r="AG180" i="65"/>
  <c r="AF180" i="65"/>
  <c r="AE180" i="65"/>
  <c r="AD180" i="65"/>
  <c r="AC180" i="65"/>
  <c r="AB180" i="65"/>
  <c r="AA180" i="65"/>
  <c r="Z180" i="65"/>
  <c r="Y180" i="65"/>
  <c r="X180" i="65"/>
  <c r="W180" i="65"/>
  <c r="V180" i="65"/>
  <c r="U180" i="65"/>
  <c r="T180" i="65"/>
  <c r="S180" i="65"/>
  <c r="R180" i="65"/>
  <c r="P180" i="65"/>
  <c r="Q180" i="65"/>
  <c r="BN194" i="39"/>
  <c r="AW194" i="39"/>
  <c r="AS194" i="39"/>
  <c r="BM194" i="39"/>
  <c r="BE194" i="39"/>
  <c r="BG194" i="39"/>
  <c r="BC194" i="39"/>
  <c r="AN194" i="39"/>
  <c r="BH194" i="39"/>
  <c r="BI194" i="39"/>
  <c r="BJ194" i="39"/>
  <c r="AQ194" i="39"/>
  <c r="AV194" i="39"/>
  <c r="BB194" i="39"/>
  <c r="AU194" i="39"/>
  <c r="AO194" i="39"/>
  <c r="AK194" i="39"/>
  <c r="BF194" i="39"/>
  <c r="BK194" i="39"/>
  <c r="AZ194" i="39"/>
  <c r="AL194" i="39"/>
  <c r="AM194" i="39"/>
  <c r="AY194" i="39"/>
  <c r="AT194" i="39"/>
  <c r="BD194" i="39"/>
  <c r="BL194" i="39"/>
  <c r="AX194" i="39"/>
  <c r="AP194" i="39"/>
  <c r="AR194" i="39"/>
  <c r="BA194" i="39"/>
  <c r="X194" i="39"/>
  <c r="AB194" i="39"/>
  <c r="W194" i="39"/>
  <c r="AD194" i="39"/>
  <c r="AE194" i="39"/>
  <c r="Y194" i="39"/>
  <c r="AG194" i="39"/>
  <c r="AJ194" i="39"/>
  <c r="AF194" i="39"/>
  <c r="AH194" i="39"/>
  <c r="AA194" i="39"/>
  <c r="Z194" i="39"/>
  <c r="AC194" i="39"/>
  <c r="AI194" i="39"/>
  <c r="V194" i="39"/>
  <c r="U194" i="39"/>
  <c r="T194" i="39"/>
  <c r="S194" i="39"/>
  <c r="R194" i="39"/>
  <c r="Q194" i="39"/>
  <c r="P194" i="39"/>
  <c r="O195" i="39"/>
  <c r="BN139" i="39"/>
  <c r="BL139" i="39"/>
  <c r="AV139" i="39"/>
  <c r="AX139" i="39"/>
  <c r="AY139" i="39"/>
  <c r="BD139" i="39"/>
  <c r="BE139" i="39"/>
  <c r="BC139" i="39"/>
  <c r="BH139" i="39"/>
  <c r="BI139" i="39"/>
  <c r="BK139" i="39"/>
  <c r="AP139" i="39"/>
  <c r="BJ139" i="39"/>
  <c r="AW139" i="39"/>
  <c r="BB139" i="39"/>
  <c r="BM139" i="39"/>
  <c r="AL139" i="39"/>
  <c r="AU139" i="39"/>
  <c r="AM139" i="39"/>
  <c r="BG139" i="39"/>
  <c r="BF139" i="39"/>
  <c r="AO139" i="39"/>
  <c r="AK139" i="39"/>
  <c r="AN139" i="39"/>
  <c r="AZ139" i="39"/>
  <c r="BA139" i="39"/>
  <c r="AT139" i="39"/>
  <c r="AE139" i="39"/>
  <c r="AH139" i="39"/>
  <c r="Z139" i="39"/>
  <c r="Y139" i="39"/>
  <c r="AC139" i="39"/>
  <c r="AB139" i="39"/>
  <c r="AI139" i="39"/>
  <c r="X139" i="39"/>
  <c r="AA139" i="39"/>
  <c r="AJ139" i="39"/>
  <c r="AD139" i="39"/>
  <c r="AG139" i="39"/>
  <c r="AF139" i="39"/>
  <c r="W139" i="39"/>
  <c r="V139" i="39"/>
  <c r="U139" i="39"/>
  <c r="T139" i="39"/>
  <c r="S139" i="39"/>
  <c r="R139" i="39"/>
  <c r="Q139" i="39"/>
  <c r="P139" i="39"/>
  <c r="O140" i="39"/>
  <c r="AZ47" i="63"/>
  <c r="AZ81" i="63" s="1"/>
  <c r="AV47" i="63"/>
  <c r="AV81" i="63" s="1"/>
  <c r="AR47" i="63"/>
  <c r="AR81" i="63" s="1"/>
  <c r="AN47" i="63"/>
  <c r="AN81" i="63" s="1"/>
  <c r="AJ47" i="63"/>
  <c r="AJ81" i="63" s="1"/>
  <c r="AY47" i="63"/>
  <c r="AY81" i="63" s="1"/>
  <c r="AU47" i="63"/>
  <c r="AU81" i="63" s="1"/>
  <c r="AM47" i="63"/>
  <c r="AM81" i="63" s="1"/>
  <c r="BA47" i="63"/>
  <c r="BA81" i="63" s="1"/>
  <c r="AW47" i="63"/>
  <c r="AW81" i="63" s="1"/>
  <c r="AS47" i="63"/>
  <c r="AS81" i="63" s="1"/>
  <c r="AO47" i="63"/>
  <c r="AO81" i="63" s="1"/>
  <c r="AK47" i="63"/>
  <c r="AK81" i="63" s="1"/>
  <c r="AQ47" i="63"/>
  <c r="AQ81" i="63" s="1"/>
  <c r="AI47" i="63"/>
  <c r="AI81" i="63" s="1"/>
  <c r="AP47" i="63"/>
  <c r="AP81" i="63" s="1"/>
  <c r="BB47" i="63"/>
  <c r="BB81" i="63" s="1"/>
  <c r="AL47" i="63"/>
  <c r="AL81" i="63" s="1"/>
  <c r="AX47" i="63"/>
  <c r="AX81" i="63" s="1"/>
  <c r="AH47" i="63"/>
  <c r="AH81" i="63" s="1"/>
  <c r="AT47" i="63"/>
  <c r="AT81" i="63" s="1"/>
  <c r="BA41" i="63"/>
  <c r="BA75" i="63" s="1"/>
  <c r="AW41" i="63"/>
  <c r="AW75" i="63" s="1"/>
  <c r="AS41" i="63"/>
  <c r="AS75" i="63" s="1"/>
  <c r="AO41" i="63"/>
  <c r="AO75" i="63" s="1"/>
  <c r="AK41" i="63"/>
  <c r="AK75" i="63" s="1"/>
  <c r="AZ41" i="63"/>
  <c r="AZ75" i="63" s="1"/>
  <c r="AV41" i="63"/>
  <c r="AV75" i="63" s="1"/>
  <c r="AR41" i="63"/>
  <c r="AR75" i="63" s="1"/>
  <c r="AN41" i="63"/>
  <c r="AN75" i="63" s="1"/>
  <c r="AJ41" i="63"/>
  <c r="AJ75" i="63" s="1"/>
  <c r="BB41" i="63"/>
  <c r="BB75" i="63" s="1"/>
  <c r="AX41" i="63"/>
  <c r="AX75" i="63" s="1"/>
  <c r="AT41" i="63"/>
  <c r="AT75" i="63" s="1"/>
  <c r="AP41" i="63"/>
  <c r="AP75" i="63" s="1"/>
  <c r="AL41" i="63"/>
  <c r="AL75" i="63" s="1"/>
  <c r="AH41" i="63"/>
  <c r="AH75" i="63" s="1"/>
  <c r="AQ41" i="63"/>
  <c r="AQ75" i="63" s="1"/>
  <c r="AM41" i="63"/>
  <c r="AM75" i="63" s="1"/>
  <c r="AI41" i="63"/>
  <c r="AI75" i="63" s="1"/>
  <c r="AU41" i="63"/>
  <c r="AU75" i="63" s="1"/>
  <c r="AY41" i="63"/>
  <c r="AY75" i="63" s="1"/>
  <c r="BR126" i="65" l="1"/>
  <c r="BS126" i="65"/>
  <c r="BR181" i="65"/>
  <c r="BS181" i="65"/>
  <c r="O182" i="65"/>
  <c r="BN181" i="65"/>
  <c r="BM181" i="65"/>
  <c r="BK181" i="65"/>
  <c r="BL181" i="65"/>
  <c r="BJ181" i="65"/>
  <c r="BI181" i="65"/>
  <c r="BH181" i="65"/>
  <c r="BG181" i="65"/>
  <c r="BF181" i="65"/>
  <c r="BE181" i="65"/>
  <c r="BD181" i="65"/>
  <c r="BC181" i="65"/>
  <c r="BB181" i="65"/>
  <c r="BA181" i="65"/>
  <c r="AZ181" i="65"/>
  <c r="AY181" i="65"/>
  <c r="AX181" i="65"/>
  <c r="AW181" i="65"/>
  <c r="AV181" i="65"/>
  <c r="AU181" i="65"/>
  <c r="AT181" i="65"/>
  <c r="AS181" i="65"/>
  <c r="AR181" i="65"/>
  <c r="AQ181" i="65"/>
  <c r="AP181" i="65"/>
  <c r="AO181" i="65"/>
  <c r="AN181" i="65"/>
  <c r="AM181" i="65"/>
  <c r="AL181" i="65"/>
  <c r="AK181" i="65"/>
  <c r="AJ181" i="65"/>
  <c r="AI181" i="65"/>
  <c r="AH181" i="65"/>
  <c r="AG181" i="65"/>
  <c r="AF181" i="65"/>
  <c r="AE181" i="65"/>
  <c r="AD181" i="65"/>
  <c r="AC181" i="65"/>
  <c r="AB181" i="65"/>
  <c r="AA181" i="65"/>
  <c r="Z181" i="65"/>
  <c r="Y181" i="65"/>
  <c r="X181" i="65"/>
  <c r="W181" i="65"/>
  <c r="V181" i="65"/>
  <c r="U181" i="65"/>
  <c r="T181" i="65"/>
  <c r="S181" i="65"/>
  <c r="R181" i="65"/>
  <c r="Q181" i="65"/>
  <c r="P181" i="65"/>
  <c r="O127" i="65"/>
  <c r="BN126" i="65"/>
  <c r="BM126" i="65"/>
  <c r="BK126" i="65"/>
  <c r="BL126" i="65"/>
  <c r="BJ126" i="65"/>
  <c r="BI126" i="65"/>
  <c r="BH126" i="65"/>
  <c r="BG126" i="65"/>
  <c r="BF126" i="65"/>
  <c r="BE126" i="65"/>
  <c r="BD126" i="65"/>
  <c r="BC126" i="65"/>
  <c r="BB126" i="65"/>
  <c r="BA126" i="65"/>
  <c r="AZ126" i="65"/>
  <c r="AY126" i="65"/>
  <c r="AX126" i="65"/>
  <c r="AW126" i="65"/>
  <c r="AV126" i="65"/>
  <c r="AU126" i="65"/>
  <c r="AT126" i="65"/>
  <c r="AS126" i="65"/>
  <c r="AR126" i="65"/>
  <c r="AQ126" i="65"/>
  <c r="AP126" i="65"/>
  <c r="AO126" i="65"/>
  <c r="AN126" i="65"/>
  <c r="AM126" i="65"/>
  <c r="AL126" i="65"/>
  <c r="AK126" i="65"/>
  <c r="AJ126" i="65"/>
  <c r="AI126" i="65"/>
  <c r="AH126" i="65"/>
  <c r="AG126" i="65"/>
  <c r="AF126" i="65"/>
  <c r="AE126" i="65"/>
  <c r="AD126" i="65"/>
  <c r="AC126" i="65"/>
  <c r="AB126" i="65"/>
  <c r="AA126" i="65"/>
  <c r="Z126" i="65"/>
  <c r="Y126" i="65"/>
  <c r="X126" i="65"/>
  <c r="W126" i="65"/>
  <c r="V126" i="65"/>
  <c r="U126" i="65"/>
  <c r="T126" i="65"/>
  <c r="S126" i="65"/>
  <c r="R126" i="65"/>
  <c r="P126" i="65"/>
  <c r="Q126" i="65"/>
  <c r="BN195" i="39"/>
  <c r="BC195" i="39"/>
  <c r="BM195" i="39"/>
  <c r="BI195" i="39"/>
  <c r="AW195" i="39"/>
  <c r="BE195" i="39"/>
  <c r="AS195" i="39"/>
  <c r="BG195" i="39"/>
  <c r="AT195" i="39"/>
  <c r="BK195" i="39"/>
  <c r="AY195" i="39"/>
  <c r="AN195" i="39"/>
  <c r="BH195" i="39"/>
  <c r="BB195" i="39"/>
  <c r="BF195" i="39"/>
  <c r="AP195" i="39"/>
  <c r="AU195" i="39"/>
  <c r="AM195" i="39"/>
  <c r="AO195" i="39"/>
  <c r="BJ195" i="39"/>
  <c r="AZ195" i="39"/>
  <c r="AL195" i="39"/>
  <c r="AK195" i="39"/>
  <c r="BD195" i="39"/>
  <c r="AX195" i="39"/>
  <c r="AQ195" i="39"/>
  <c r="BL195" i="39"/>
  <c r="AV195" i="39"/>
  <c r="BA195" i="39"/>
  <c r="AR195" i="39"/>
  <c r="W195" i="39"/>
  <c r="AJ195" i="39"/>
  <c r="AB195" i="39"/>
  <c r="X195" i="39"/>
  <c r="AE195" i="39"/>
  <c r="AD195" i="39"/>
  <c r="AG195" i="39"/>
  <c r="Y195" i="39"/>
  <c r="AH195" i="39"/>
  <c r="AC195" i="39"/>
  <c r="Z195" i="39"/>
  <c r="AI195" i="39"/>
  <c r="AF195" i="39"/>
  <c r="AA195" i="39"/>
  <c r="V195" i="39"/>
  <c r="U195" i="39"/>
  <c r="T195" i="39"/>
  <c r="S195" i="39"/>
  <c r="R195" i="39"/>
  <c r="Q195" i="39"/>
  <c r="P195" i="39"/>
  <c r="O196" i="39"/>
  <c r="BN140" i="39"/>
  <c r="BL140" i="39"/>
  <c r="AX140" i="39"/>
  <c r="AP140" i="39"/>
  <c r="AW140" i="39"/>
  <c r="BE140" i="39"/>
  <c r="BD140" i="39"/>
  <c r="AV140" i="39"/>
  <c r="AY140" i="39"/>
  <c r="BH140" i="39"/>
  <c r="AL140" i="39"/>
  <c r="BF140" i="39"/>
  <c r="AZ140" i="39"/>
  <c r="AK140" i="39"/>
  <c r="AO140" i="39"/>
  <c r="BM140" i="39"/>
  <c r="BB140" i="39"/>
  <c r="AQ140" i="39"/>
  <c r="BC140" i="39"/>
  <c r="BK140" i="39"/>
  <c r="AU140" i="39"/>
  <c r="BG140" i="39"/>
  <c r="BJ140" i="39"/>
  <c r="BI140" i="39"/>
  <c r="AM140" i="39"/>
  <c r="AN140" i="39"/>
  <c r="BA140" i="39"/>
  <c r="Y140" i="39"/>
  <c r="AB140" i="39"/>
  <c r="AC140" i="39"/>
  <c r="Z140" i="39"/>
  <c r="AE140" i="39"/>
  <c r="AH140" i="39"/>
  <c r="X140" i="39"/>
  <c r="AI140" i="39"/>
  <c r="AF140" i="39"/>
  <c r="AD140" i="39"/>
  <c r="AJ140" i="39"/>
  <c r="AA140" i="39"/>
  <c r="AG140" i="39"/>
  <c r="W140" i="39"/>
  <c r="V140" i="39"/>
  <c r="U140" i="39"/>
  <c r="T140" i="39"/>
  <c r="S140" i="39"/>
  <c r="R140" i="39"/>
  <c r="Q140" i="39"/>
  <c r="P140" i="39"/>
  <c r="O141" i="39"/>
  <c r="AJ108" i="39"/>
  <c r="BR182" i="65" l="1"/>
  <c r="BS182" i="65"/>
  <c r="BR127" i="65"/>
  <c r="BS127" i="65"/>
  <c r="O128" i="65"/>
  <c r="BN127" i="65"/>
  <c r="BM127" i="65"/>
  <c r="BK127" i="65"/>
  <c r="BL127" i="65"/>
  <c r="BJ127" i="65"/>
  <c r="BI127" i="65"/>
  <c r="BH127" i="65"/>
  <c r="BG127" i="65"/>
  <c r="BF127" i="65"/>
  <c r="BE127" i="65"/>
  <c r="BD127" i="65"/>
  <c r="BC127" i="65"/>
  <c r="BB127" i="65"/>
  <c r="BA127" i="65"/>
  <c r="AZ127" i="65"/>
  <c r="AY127" i="65"/>
  <c r="AX127" i="65"/>
  <c r="AW127" i="65"/>
  <c r="AV127" i="65"/>
  <c r="AU127" i="65"/>
  <c r="AT127" i="65"/>
  <c r="AS127" i="65"/>
  <c r="AR127" i="65"/>
  <c r="AQ127" i="65"/>
  <c r="AP127" i="65"/>
  <c r="AO127" i="65"/>
  <c r="AN127" i="65"/>
  <c r="AM127" i="65"/>
  <c r="AL127" i="65"/>
  <c r="AK127" i="65"/>
  <c r="AJ127" i="65"/>
  <c r="AI127" i="65"/>
  <c r="AH127" i="65"/>
  <c r="AG127" i="65"/>
  <c r="AF127" i="65"/>
  <c r="AE127" i="65"/>
  <c r="AD127" i="65"/>
  <c r="AC127" i="65"/>
  <c r="AB127" i="65"/>
  <c r="AA127" i="65"/>
  <c r="Z127" i="65"/>
  <c r="Y127" i="65"/>
  <c r="X127" i="65"/>
  <c r="W127" i="65"/>
  <c r="V127" i="65"/>
  <c r="U127" i="65"/>
  <c r="T127" i="65"/>
  <c r="S127" i="65"/>
  <c r="R127" i="65"/>
  <c r="P127" i="65"/>
  <c r="Q127" i="65"/>
  <c r="O183" i="65"/>
  <c r="BM182" i="65"/>
  <c r="BN182" i="65"/>
  <c r="BK182" i="65"/>
  <c r="BL182" i="65"/>
  <c r="BJ182" i="65"/>
  <c r="BI182" i="65"/>
  <c r="BH182" i="65"/>
  <c r="BG182" i="65"/>
  <c r="BF182" i="65"/>
  <c r="BE182" i="65"/>
  <c r="BD182" i="65"/>
  <c r="BC182" i="65"/>
  <c r="BB182" i="65"/>
  <c r="BA182" i="65"/>
  <c r="AZ182" i="65"/>
  <c r="AY182" i="65"/>
  <c r="AX182" i="65"/>
  <c r="AW182" i="65"/>
  <c r="AV182" i="65"/>
  <c r="AU182" i="65"/>
  <c r="AT182" i="65"/>
  <c r="AS182" i="65"/>
  <c r="AR182" i="65"/>
  <c r="AQ182" i="65"/>
  <c r="AP182" i="65"/>
  <c r="AO182" i="65"/>
  <c r="AN182" i="65"/>
  <c r="AM182" i="65"/>
  <c r="AL182" i="65"/>
  <c r="AK182" i="65"/>
  <c r="AJ182" i="65"/>
  <c r="AI182" i="65"/>
  <c r="AH182" i="65"/>
  <c r="AG182" i="65"/>
  <c r="AF182" i="65"/>
  <c r="AE182" i="65"/>
  <c r="AD182" i="65"/>
  <c r="AC182" i="65"/>
  <c r="AB182" i="65"/>
  <c r="AA182" i="65"/>
  <c r="Z182" i="65"/>
  <c r="Y182" i="65"/>
  <c r="X182" i="65"/>
  <c r="W182" i="65"/>
  <c r="V182" i="65"/>
  <c r="U182" i="65"/>
  <c r="T182" i="65"/>
  <c r="S182" i="65"/>
  <c r="R182" i="65"/>
  <c r="Q182" i="65"/>
  <c r="P182" i="65"/>
  <c r="BN196" i="39"/>
  <c r="BE196" i="39"/>
  <c r="BB196" i="39"/>
  <c r="AW196" i="39"/>
  <c r="AS196" i="39"/>
  <c r="BC196" i="39"/>
  <c r="AN196" i="39"/>
  <c r="AZ196" i="39"/>
  <c r="AM196" i="39"/>
  <c r="AP196" i="39"/>
  <c r="BM196" i="39"/>
  <c r="BG196" i="39"/>
  <c r="BI196" i="39"/>
  <c r="AU196" i="39"/>
  <c r="AO196" i="39"/>
  <c r="AL196" i="39"/>
  <c r="BF196" i="39"/>
  <c r="BA196" i="39"/>
  <c r="AT196" i="39"/>
  <c r="BH196" i="39"/>
  <c r="BK196" i="39"/>
  <c r="AR196" i="39"/>
  <c r="AK196" i="39"/>
  <c r="BL196" i="39"/>
  <c r="AQ196" i="39"/>
  <c r="BD196" i="39"/>
  <c r="AV196" i="39"/>
  <c r="BJ196" i="39"/>
  <c r="AY196" i="39"/>
  <c r="AX196" i="39"/>
  <c r="AJ196" i="39"/>
  <c r="AB196" i="39"/>
  <c r="Y196" i="39"/>
  <c r="AG196" i="39"/>
  <c r="W196" i="39"/>
  <c r="X196" i="39"/>
  <c r="AE196" i="39"/>
  <c r="AD196" i="39"/>
  <c r="AF196" i="39"/>
  <c r="AA196" i="39"/>
  <c r="AI196" i="39"/>
  <c r="AH196" i="39"/>
  <c r="Z196" i="39"/>
  <c r="AC196" i="39"/>
  <c r="V196" i="39"/>
  <c r="U196" i="39"/>
  <c r="T196" i="39"/>
  <c r="S196" i="39"/>
  <c r="R196" i="39"/>
  <c r="Q196" i="39"/>
  <c r="P196" i="39"/>
  <c r="O197" i="39"/>
  <c r="BN141" i="39"/>
  <c r="AQ141" i="39"/>
  <c r="BL141" i="39"/>
  <c r="AW141" i="39"/>
  <c r="AR141" i="39"/>
  <c r="BD141" i="39"/>
  <c r="AV141" i="39"/>
  <c r="AX141" i="39"/>
  <c r="BM141" i="39"/>
  <c r="BE141" i="39"/>
  <c r="AP141" i="39"/>
  <c r="AY141" i="39"/>
  <c r="AN141" i="39"/>
  <c r="BK141" i="39"/>
  <c r="BG141" i="39"/>
  <c r="BA141" i="39"/>
  <c r="AZ141" i="39"/>
  <c r="BI141" i="39"/>
  <c r="BH141" i="39"/>
  <c r="BC141" i="39"/>
  <c r="BJ141" i="39"/>
  <c r="BF141" i="39"/>
  <c r="AL141" i="39"/>
  <c r="AM141" i="39"/>
  <c r="AO141" i="39"/>
  <c r="BB141" i="39"/>
  <c r="AK141" i="39"/>
  <c r="AI141" i="39"/>
  <c r="Y141" i="39"/>
  <c r="AE141" i="39"/>
  <c r="AB141" i="39"/>
  <c r="X141" i="39"/>
  <c r="AH141" i="39"/>
  <c r="AC141" i="39"/>
  <c r="Z141" i="39"/>
  <c r="AA141" i="39"/>
  <c r="AG141" i="39"/>
  <c r="AF141" i="39"/>
  <c r="AD141" i="39"/>
  <c r="AJ141" i="39"/>
  <c r="W141" i="39"/>
  <c r="V141" i="39"/>
  <c r="U141" i="39"/>
  <c r="T141" i="39"/>
  <c r="S141" i="39"/>
  <c r="R141" i="39"/>
  <c r="Q141" i="39"/>
  <c r="P141" i="39"/>
  <c r="AJ130" i="39"/>
  <c r="AJ131" i="39"/>
  <c r="AJ132" i="39"/>
  <c r="AK108" i="39"/>
  <c r="O142" i="39"/>
  <c r="BS128" i="65" l="1"/>
  <c r="BR128" i="65"/>
  <c r="BS183" i="65"/>
  <c r="BR183" i="65"/>
  <c r="O184" i="65"/>
  <c r="BN183" i="65"/>
  <c r="BM183" i="65"/>
  <c r="BK183" i="65"/>
  <c r="BL183" i="65"/>
  <c r="BJ183" i="65"/>
  <c r="BI183" i="65"/>
  <c r="BH183" i="65"/>
  <c r="BG183" i="65"/>
  <c r="BF183" i="65"/>
  <c r="BE183" i="65"/>
  <c r="BD183" i="65"/>
  <c r="BC183" i="65"/>
  <c r="BB183" i="65"/>
  <c r="BA183" i="65"/>
  <c r="AZ183" i="65"/>
  <c r="AY183" i="65"/>
  <c r="AX183" i="65"/>
  <c r="AW183" i="65"/>
  <c r="AV183" i="65"/>
  <c r="AU183" i="65"/>
  <c r="AT183" i="65"/>
  <c r="AS183" i="65"/>
  <c r="AR183" i="65"/>
  <c r="AQ183" i="65"/>
  <c r="AP183" i="65"/>
  <c r="AO183" i="65"/>
  <c r="AN183" i="65"/>
  <c r="AM183" i="65"/>
  <c r="AL183" i="65"/>
  <c r="AK183" i="65"/>
  <c r="AJ183" i="65"/>
  <c r="AI183" i="65"/>
  <c r="AH183" i="65"/>
  <c r="AG183" i="65"/>
  <c r="AF183" i="65"/>
  <c r="AE183" i="65"/>
  <c r="AD183" i="65"/>
  <c r="AC183" i="65"/>
  <c r="AB183" i="65"/>
  <c r="AA183" i="65"/>
  <c r="Z183" i="65"/>
  <c r="Y183" i="65"/>
  <c r="X183" i="65"/>
  <c r="W183" i="65"/>
  <c r="V183" i="65"/>
  <c r="U183" i="65"/>
  <c r="T183" i="65"/>
  <c r="S183" i="65"/>
  <c r="R183" i="65"/>
  <c r="Q183" i="65"/>
  <c r="P183" i="65"/>
  <c r="O129" i="65"/>
  <c r="BN128" i="65"/>
  <c r="BM128" i="65"/>
  <c r="BL128" i="65"/>
  <c r="BK128" i="65"/>
  <c r="BJ128" i="65"/>
  <c r="BI128" i="65"/>
  <c r="BH128" i="65"/>
  <c r="BG128" i="65"/>
  <c r="BF128" i="65"/>
  <c r="BE128" i="65"/>
  <c r="BD128" i="65"/>
  <c r="BC128" i="65"/>
  <c r="BB128" i="65"/>
  <c r="BA128" i="65"/>
  <c r="AZ128" i="65"/>
  <c r="AY128" i="65"/>
  <c r="AX128" i="65"/>
  <c r="AW128" i="65"/>
  <c r="AV128" i="65"/>
  <c r="AU128" i="65"/>
  <c r="AT128" i="65"/>
  <c r="AS128" i="65"/>
  <c r="AR128" i="65"/>
  <c r="AQ128" i="65"/>
  <c r="AP128" i="65"/>
  <c r="AO128" i="65"/>
  <c r="AN128" i="65"/>
  <c r="AM128" i="65"/>
  <c r="AL128" i="65"/>
  <c r="AK128" i="65"/>
  <c r="AJ128" i="65"/>
  <c r="AI128" i="65"/>
  <c r="AH128" i="65"/>
  <c r="AG128" i="65"/>
  <c r="AF128" i="65"/>
  <c r="AE128" i="65"/>
  <c r="AD128" i="65"/>
  <c r="AC128" i="65"/>
  <c r="AB128" i="65"/>
  <c r="AA128" i="65"/>
  <c r="Z128" i="65"/>
  <c r="Y128" i="65"/>
  <c r="X128" i="65"/>
  <c r="W128" i="65"/>
  <c r="V128" i="65"/>
  <c r="U128" i="65"/>
  <c r="T128" i="65"/>
  <c r="S128" i="65"/>
  <c r="R128" i="65"/>
  <c r="P128" i="65"/>
  <c r="Q128" i="65"/>
  <c r="BN197" i="39"/>
  <c r="AS197" i="39"/>
  <c r="AN197" i="39"/>
  <c r="BI197" i="39"/>
  <c r="BE197" i="39"/>
  <c r="BG197" i="39"/>
  <c r="BM197" i="39"/>
  <c r="BB197" i="39"/>
  <c r="BJ197" i="39"/>
  <c r="BD197" i="39"/>
  <c r="AW197" i="39"/>
  <c r="AP197" i="39"/>
  <c r="AZ197" i="39"/>
  <c r="AU197" i="39"/>
  <c r="BC197" i="39"/>
  <c r="AK197" i="39"/>
  <c r="AM197" i="39"/>
  <c r="BH197" i="39"/>
  <c r="BF197" i="39"/>
  <c r="AT197" i="39"/>
  <c r="BK197" i="39"/>
  <c r="AL197" i="39"/>
  <c r="AX197" i="39"/>
  <c r="BA197" i="39"/>
  <c r="AQ197" i="39"/>
  <c r="BL197" i="39"/>
  <c r="AV197" i="39"/>
  <c r="AR197" i="39"/>
  <c r="AY197" i="39"/>
  <c r="AO197" i="39"/>
  <c r="AJ197" i="39"/>
  <c r="AG197" i="39"/>
  <c r="AB197" i="39"/>
  <c r="Y197" i="39"/>
  <c r="AD197" i="39"/>
  <c r="X197" i="39"/>
  <c r="AE197" i="39"/>
  <c r="W197" i="39"/>
  <c r="AF197" i="39"/>
  <c r="AC197" i="39"/>
  <c r="Z197" i="39"/>
  <c r="AA197" i="39"/>
  <c r="AI197" i="39"/>
  <c r="AH197" i="39"/>
  <c r="V197" i="39"/>
  <c r="U197" i="39"/>
  <c r="T197" i="39"/>
  <c r="S197" i="39"/>
  <c r="R197" i="39"/>
  <c r="Q197" i="39"/>
  <c r="P197" i="39"/>
  <c r="O198" i="39"/>
  <c r="BN142" i="39"/>
  <c r="AQ142" i="39"/>
  <c r="BD142" i="39"/>
  <c r="BL142" i="39"/>
  <c r="AX142" i="39"/>
  <c r="BM142" i="39"/>
  <c r="BE142" i="39"/>
  <c r="BI142" i="39"/>
  <c r="AY142" i="39"/>
  <c r="BC142" i="39"/>
  <c r="AZ142" i="39"/>
  <c r="BA142" i="39"/>
  <c r="AP142" i="39"/>
  <c r="AR142" i="39"/>
  <c r="BG142" i="39"/>
  <c r="BK142" i="39"/>
  <c r="BJ142" i="39"/>
  <c r="AW142" i="39"/>
  <c r="AN142" i="39"/>
  <c r="BH142" i="39"/>
  <c r="BF142" i="39"/>
  <c r="AS142" i="39"/>
  <c r="AO142" i="39"/>
  <c r="AL142" i="39"/>
  <c r="BB142" i="39"/>
  <c r="AK142" i="39"/>
  <c r="AM142" i="39"/>
  <c r="AH142" i="39"/>
  <c r="X142" i="39"/>
  <c r="Z142" i="39"/>
  <c r="Y142" i="39"/>
  <c r="AE142" i="39"/>
  <c r="AC142" i="39"/>
  <c r="AB142" i="39"/>
  <c r="AG142" i="39"/>
  <c r="AF142" i="39"/>
  <c r="AI142" i="39"/>
  <c r="AA142" i="39"/>
  <c r="AJ142" i="39"/>
  <c r="AD142" i="39"/>
  <c r="W142" i="39"/>
  <c r="V142" i="39"/>
  <c r="U142" i="39"/>
  <c r="T142" i="39"/>
  <c r="S142" i="39"/>
  <c r="R142" i="39"/>
  <c r="Q142" i="39"/>
  <c r="P142" i="39"/>
  <c r="AL108" i="39"/>
  <c r="AK131" i="39"/>
  <c r="AK133" i="39"/>
  <c r="AK132" i="39"/>
  <c r="O143" i="39"/>
  <c r="BS184" i="65" l="1"/>
  <c r="BR184" i="65"/>
  <c r="BR129" i="65"/>
  <c r="BS129" i="65"/>
  <c r="O130" i="65"/>
  <c r="BM129" i="65"/>
  <c r="BN129" i="65"/>
  <c r="BL129" i="65"/>
  <c r="BK129" i="65"/>
  <c r="BJ129" i="65"/>
  <c r="BI129" i="65"/>
  <c r="BH129" i="65"/>
  <c r="BG129" i="65"/>
  <c r="BF129" i="65"/>
  <c r="BE129" i="65"/>
  <c r="BD129" i="65"/>
  <c r="BC129" i="65"/>
  <c r="BB129" i="65"/>
  <c r="BA129" i="65"/>
  <c r="AZ129" i="65"/>
  <c r="AY129" i="65"/>
  <c r="AX129" i="65"/>
  <c r="AW129" i="65"/>
  <c r="AV129" i="65"/>
  <c r="AU129" i="65"/>
  <c r="AT129" i="65"/>
  <c r="AS129" i="65"/>
  <c r="AR129" i="65"/>
  <c r="AQ129" i="65"/>
  <c r="AP129" i="65"/>
  <c r="AO129" i="65"/>
  <c r="AN129" i="65"/>
  <c r="AM129" i="65"/>
  <c r="AL129" i="65"/>
  <c r="AK129" i="65"/>
  <c r="AJ129" i="65"/>
  <c r="AI129" i="65"/>
  <c r="AH129" i="65"/>
  <c r="AG129" i="65"/>
  <c r="AF129" i="65"/>
  <c r="AE129" i="65"/>
  <c r="AD129" i="65"/>
  <c r="AC129" i="65"/>
  <c r="AB129" i="65"/>
  <c r="AA129" i="65"/>
  <c r="Z129" i="65"/>
  <c r="Y129" i="65"/>
  <c r="X129" i="65"/>
  <c r="W129" i="65"/>
  <c r="V129" i="65"/>
  <c r="U129" i="65"/>
  <c r="T129" i="65"/>
  <c r="S129" i="65"/>
  <c r="R129" i="65"/>
  <c r="P129" i="65"/>
  <c r="Q129" i="65"/>
  <c r="O185" i="65"/>
  <c r="BN184" i="65"/>
  <c r="BM184" i="65"/>
  <c r="BL184" i="65"/>
  <c r="BK184" i="65"/>
  <c r="BJ184" i="65"/>
  <c r="BI184" i="65"/>
  <c r="BH184" i="65"/>
  <c r="BG184" i="65"/>
  <c r="BF184" i="65"/>
  <c r="BE184" i="65"/>
  <c r="BD184" i="65"/>
  <c r="BC184" i="65"/>
  <c r="BB184" i="65"/>
  <c r="BA184" i="65"/>
  <c r="AZ184" i="65"/>
  <c r="AY184" i="65"/>
  <c r="AX184" i="65"/>
  <c r="AW184" i="65"/>
  <c r="AV184" i="65"/>
  <c r="AU184" i="65"/>
  <c r="AT184" i="65"/>
  <c r="AS184" i="65"/>
  <c r="AR184" i="65"/>
  <c r="AQ184" i="65"/>
  <c r="AP184" i="65"/>
  <c r="AO184" i="65"/>
  <c r="AN184" i="65"/>
  <c r="AM184" i="65"/>
  <c r="AL184" i="65"/>
  <c r="AK184" i="65"/>
  <c r="AJ184" i="65"/>
  <c r="AI184" i="65"/>
  <c r="AH184" i="65"/>
  <c r="AG184" i="65"/>
  <c r="AF184" i="65"/>
  <c r="AE184" i="65"/>
  <c r="AD184" i="65"/>
  <c r="AC184" i="65"/>
  <c r="AB184" i="65"/>
  <c r="AA184" i="65"/>
  <c r="Z184" i="65"/>
  <c r="Y184" i="65"/>
  <c r="X184" i="65"/>
  <c r="W184" i="65"/>
  <c r="V184" i="65"/>
  <c r="U184" i="65"/>
  <c r="T184" i="65"/>
  <c r="S184" i="65"/>
  <c r="R184" i="65"/>
  <c r="Q184" i="65"/>
  <c r="P184" i="65"/>
  <c r="BN198" i="39"/>
  <c r="BM198" i="39"/>
  <c r="BE198" i="39"/>
  <c r="BG198" i="39"/>
  <c r="AN198" i="39"/>
  <c r="BB198" i="39"/>
  <c r="AW198" i="39"/>
  <c r="AS198" i="39"/>
  <c r="BC198" i="39"/>
  <c r="AZ198" i="39"/>
  <c r="AK198" i="39"/>
  <c r="AX198" i="39"/>
  <c r="AT198" i="39"/>
  <c r="BK198" i="39"/>
  <c r="AU198" i="39"/>
  <c r="AO198" i="39"/>
  <c r="AL198" i="39"/>
  <c r="AM198" i="39"/>
  <c r="BH198" i="39"/>
  <c r="BI198" i="39"/>
  <c r="BF198" i="39"/>
  <c r="BJ198" i="39"/>
  <c r="AR198" i="39"/>
  <c r="AY198" i="39"/>
  <c r="AP198" i="39"/>
  <c r="BA198" i="39"/>
  <c r="BL198" i="39"/>
  <c r="AQ198" i="39"/>
  <c r="BD198" i="39"/>
  <c r="AV198" i="39"/>
  <c r="AG198" i="39"/>
  <c r="AB198" i="39"/>
  <c r="AJ198" i="39"/>
  <c r="Y198" i="39"/>
  <c r="W198" i="39"/>
  <c r="AD198" i="39"/>
  <c r="X198" i="39"/>
  <c r="AE198" i="39"/>
  <c r="AH198" i="39"/>
  <c r="AF198" i="39"/>
  <c r="AC198" i="39"/>
  <c r="AA198" i="39"/>
  <c r="AI198" i="39"/>
  <c r="Z198" i="39"/>
  <c r="V198" i="39"/>
  <c r="U198" i="39"/>
  <c r="T198" i="39"/>
  <c r="S198" i="39"/>
  <c r="R198" i="39"/>
  <c r="Q198" i="39"/>
  <c r="P198" i="39"/>
  <c r="O199" i="39"/>
  <c r="AM108" i="39"/>
  <c r="AL132" i="39"/>
  <c r="AL133" i="39"/>
  <c r="AL134" i="39"/>
  <c r="BN143" i="39"/>
  <c r="AY143" i="39"/>
  <c r="AQ143" i="39"/>
  <c r="AX143" i="39"/>
  <c r="BD143" i="39"/>
  <c r="BE143" i="39"/>
  <c r="BB143" i="39"/>
  <c r="AT143" i="39"/>
  <c r="AL143" i="39"/>
  <c r="AR143" i="39"/>
  <c r="BF143" i="39"/>
  <c r="BJ143" i="39"/>
  <c r="AS143" i="39"/>
  <c r="BK143" i="39"/>
  <c r="AM143" i="39"/>
  <c r="BG143" i="39"/>
  <c r="BC143" i="39"/>
  <c r="BH143" i="39"/>
  <c r="BA143" i="39"/>
  <c r="AP143" i="39"/>
  <c r="BM143" i="39"/>
  <c r="BL143" i="39"/>
  <c r="AZ143" i="39"/>
  <c r="AK143" i="39"/>
  <c r="AO143" i="39"/>
  <c r="AN143" i="39"/>
  <c r="BI143" i="39"/>
  <c r="Y143" i="39"/>
  <c r="AH143" i="39"/>
  <c r="AI143" i="39"/>
  <c r="AB143" i="39"/>
  <c r="X143" i="39"/>
  <c r="AE143" i="39"/>
  <c r="Z143" i="39"/>
  <c r="AC143" i="39"/>
  <c r="AF143" i="39"/>
  <c r="AG143" i="39"/>
  <c r="AD143" i="39"/>
  <c r="AA143" i="39"/>
  <c r="AJ143" i="39"/>
  <c r="W143" i="39"/>
  <c r="V143" i="39"/>
  <c r="U143" i="39"/>
  <c r="T143" i="39"/>
  <c r="S143" i="39"/>
  <c r="R143" i="39"/>
  <c r="Q143" i="39"/>
  <c r="P143" i="39"/>
  <c r="O144" i="39"/>
  <c r="BR130" i="65" l="1"/>
  <c r="BS130" i="65"/>
  <c r="BS185" i="65"/>
  <c r="BR185" i="65"/>
  <c r="O186" i="65"/>
  <c r="BN185" i="65"/>
  <c r="BM185" i="65"/>
  <c r="BK185" i="65"/>
  <c r="BL185" i="65"/>
  <c r="BJ185" i="65"/>
  <c r="BI185" i="65"/>
  <c r="BH185" i="65"/>
  <c r="BG185" i="65"/>
  <c r="BF185" i="65"/>
  <c r="BE185" i="65"/>
  <c r="BD185" i="65"/>
  <c r="BC185" i="65"/>
  <c r="BB185" i="65"/>
  <c r="BA185" i="65"/>
  <c r="AZ185" i="65"/>
  <c r="AY185" i="65"/>
  <c r="AX185" i="65"/>
  <c r="AW185" i="65"/>
  <c r="AV185" i="65"/>
  <c r="AU185" i="65"/>
  <c r="AT185" i="65"/>
  <c r="AS185" i="65"/>
  <c r="AR185" i="65"/>
  <c r="AQ185" i="65"/>
  <c r="AP185" i="65"/>
  <c r="AO185" i="65"/>
  <c r="AN185" i="65"/>
  <c r="AM185" i="65"/>
  <c r="AL185" i="65"/>
  <c r="AK185" i="65"/>
  <c r="AJ185" i="65"/>
  <c r="AI185" i="65"/>
  <c r="AH185" i="65"/>
  <c r="AG185" i="65"/>
  <c r="AF185" i="65"/>
  <c r="AE185" i="65"/>
  <c r="AD185" i="65"/>
  <c r="AC185" i="65"/>
  <c r="AB185" i="65"/>
  <c r="AA185" i="65"/>
  <c r="Z185" i="65"/>
  <c r="Y185" i="65"/>
  <c r="X185" i="65"/>
  <c r="W185" i="65"/>
  <c r="V185" i="65"/>
  <c r="U185" i="65"/>
  <c r="T185" i="65"/>
  <c r="S185" i="65"/>
  <c r="R185" i="65"/>
  <c r="Q185" i="65"/>
  <c r="P185" i="65"/>
  <c r="O131" i="65"/>
  <c r="BM130" i="65"/>
  <c r="BN130" i="65"/>
  <c r="BK130" i="65"/>
  <c r="BL130" i="65"/>
  <c r="BJ130" i="65"/>
  <c r="BI130" i="65"/>
  <c r="BH130" i="65"/>
  <c r="BG130" i="65"/>
  <c r="BF130" i="65"/>
  <c r="BE130" i="65"/>
  <c r="BD130" i="65"/>
  <c r="BC130" i="65"/>
  <c r="BB130" i="65"/>
  <c r="BA130" i="65"/>
  <c r="AZ130" i="65"/>
  <c r="AY130" i="65"/>
  <c r="AX130" i="65"/>
  <c r="AW130" i="65"/>
  <c r="AV130" i="65"/>
  <c r="AU130" i="65"/>
  <c r="AT130" i="65"/>
  <c r="AS130" i="65"/>
  <c r="AR130" i="65"/>
  <c r="AQ130" i="65"/>
  <c r="AP130" i="65"/>
  <c r="AO130" i="65"/>
  <c r="AN130" i="65"/>
  <c r="AM130" i="65"/>
  <c r="AL130" i="65"/>
  <c r="AK130" i="65"/>
  <c r="AJ130" i="65"/>
  <c r="AI130" i="65"/>
  <c r="AH130" i="65"/>
  <c r="AG130" i="65"/>
  <c r="AF130" i="65"/>
  <c r="AE130" i="65"/>
  <c r="AD130" i="65"/>
  <c r="AC130" i="65"/>
  <c r="AB130" i="65"/>
  <c r="AA130" i="65"/>
  <c r="Z130" i="65"/>
  <c r="Y130" i="65"/>
  <c r="X130" i="65"/>
  <c r="W130" i="65"/>
  <c r="V130" i="65"/>
  <c r="U130" i="65"/>
  <c r="T130" i="65"/>
  <c r="S130" i="65"/>
  <c r="R130" i="65"/>
  <c r="Q130" i="65"/>
  <c r="P130" i="65"/>
  <c r="BN199" i="39"/>
  <c r="BM199" i="39"/>
  <c r="BH199" i="39"/>
  <c r="BI199" i="39"/>
  <c r="BE199" i="39"/>
  <c r="AS199" i="39"/>
  <c r="AL199" i="39"/>
  <c r="AQ199" i="39"/>
  <c r="AX199" i="39"/>
  <c r="AY199" i="39"/>
  <c r="AW199" i="39"/>
  <c r="BG199" i="39"/>
  <c r="BC199" i="39"/>
  <c r="BB199" i="39"/>
  <c r="AU199" i="39"/>
  <c r="AM199" i="39"/>
  <c r="AT199" i="39"/>
  <c r="AZ199" i="39"/>
  <c r="BK199" i="39"/>
  <c r="BF199" i="39"/>
  <c r="BL199" i="39"/>
  <c r="AV199" i="39"/>
  <c r="AN199" i="39"/>
  <c r="AK199" i="39"/>
  <c r="BA199" i="39"/>
  <c r="BD199" i="39"/>
  <c r="AO199" i="39"/>
  <c r="AP199" i="39"/>
  <c r="BJ199" i="39"/>
  <c r="AR199" i="39"/>
  <c r="AE199" i="39"/>
  <c r="AB199" i="39"/>
  <c r="X199" i="39"/>
  <c r="AJ199" i="39"/>
  <c r="Y199" i="39"/>
  <c r="AG199" i="39"/>
  <c r="W199" i="39"/>
  <c r="AF199" i="39"/>
  <c r="AD199" i="39"/>
  <c r="AH199" i="39"/>
  <c r="AA199" i="39"/>
  <c r="Z199" i="39"/>
  <c r="AC199" i="39"/>
  <c r="AI199" i="39"/>
  <c r="V199" i="39"/>
  <c r="U199" i="39"/>
  <c r="T199" i="39"/>
  <c r="S199" i="39"/>
  <c r="R199" i="39"/>
  <c r="Q199" i="39"/>
  <c r="P199" i="39"/>
  <c r="O200" i="39"/>
  <c r="BN144" i="39"/>
  <c r="AQ144" i="39"/>
  <c r="BD144" i="39"/>
  <c r="AR144" i="39"/>
  <c r="BL144" i="39"/>
  <c r="BE144" i="39"/>
  <c r="AY144" i="39"/>
  <c r="BM144" i="39"/>
  <c r="BI144" i="39"/>
  <c r="BJ144" i="39"/>
  <c r="AP144" i="39"/>
  <c r="BC144" i="39"/>
  <c r="AL144" i="39"/>
  <c r="BF144" i="39"/>
  <c r="AO144" i="39"/>
  <c r="AS144" i="39"/>
  <c r="BB144" i="39"/>
  <c r="BK144" i="39"/>
  <c r="AZ144" i="39"/>
  <c r="BG144" i="39"/>
  <c r="AU144" i="39"/>
  <c r="AM144" i="39"/>
  <c r="BH144" i="39"/>
  <c r="AK144" i="39"/>
  <c r="AN144" i="39"/>
  <c r="BA144" i="39"/>
  <c r="AT144" i="39"/>
  <c r="AC144" i="39"/>
  <c r="Y144" i="39"/>
  <c r="AH144" i="39"/>
  <c r="AB144" i="39"/>
  <c r="Z144" i="39"/>
  <c r="X144" i="39"/>
  <c r="AE144" i="39"/>
  <c r="AI144" i="39"/>
  <c r="AD144" i="39"/>
  <c r="AJ144" i="39"/>
  <c r="AA144" i="39"/>
  <c r="AG144" i="39"/>
  <c r="AF144" i="39"/>
  <c r="W144" i="39"/>
  <c r="V144" i="39"/>
  <c r="U144" i="39"/>
  <c r="T144" i="39"/>
  <c r="S144" i="39"/>
  <c r="R144" i="39"/>
  <c r="Q144" i="39"/>
  <c r="P144" i="39"/>
  <c r="AN108" i="39"/>
  <c r="AM133" i="39"/>
  <c r="AM134" i="39"/>
  <c r="AM135" i="39"/>
  <c r="O145" i="39"/>
  <c r="BR186" i="65" l="1"/>
  <c r="BS186" i="65"/>
  <c r="BS131" i="65"/>
  <c r="BR131" i="65"/>
  <c r="O132" i="65"/>
  <c r="BM131" i="65"/>
  <c r="BN131" i="65"/>
  <c r="BL131" i="65"/>
  <c r="BK131" i="65"/>
  <c r="BJ131" i="65"/>
  <c r="BI131" i="65"/>
  <c r="BH131" i="65"/>
  <c r="BG131" i="65"/>
  <c r="BF131" i="65"/>
  <c r="BE131" i="65"/>
  <c r="BD131" i="65"/>
  <c r="BC131" i="65"/>
  <c r="BB131" i="65"/>
  <c r="BA131" i="65"/>
  <c r="AZ131" i="65"/>
  <c r="AY131" i="65"/>
  <c r="AX131" i="65"/>
  <c r="AW131" i="65"/>
  <c r="AV131" i="65"/>
  <c r="AU131" i="65"/>
  <c r="AT131" i="65"/>
  <c r="AS131" i="65"/>
  <c r="AR131" i="65"/>
  <c r="AQ131" i="65"/>
  <c r="AP131" i="65"/>
  <c r="AO131" i="65"/>
  <c r="AN131" i="65"/>
  <c r="AM131" i="65"/>
  <c r="AL131" i="65"/>
  <c r="AK131" i="65"/>
  <c r="AJ131" i="65"/>
  <c r="AI131" i="65"/>
  <c r="AH131" i="65"/>
  <c r="AG131" i="65"/>
  <c r="AF131" i="65"/>
  <c r="AE131" i="65"/>
  <c r="AD131" i="65"/>
  <c r="AC131" i="65"/>
  <c r="AB131" i="65"/>
  <c r="AA131" i="65"/>
  <c r="Z131" i="65"/>
  <c r="Y131" i="65"/>
  <c r="X131" i="65"/>
  <c r="W131" i="65"/>
  <c r="V131" i="65"/>
  <c r="U131" i="65"/>
  <c r="T131" i="65"/>
  <c r="S131" i="65"/>
  <c r="R131" i="65"/>
  <c r="Q131" i="65"/>
  <c r="P131" i="65"/>
  <c r="O187" i="65"/>
  <c r="BM186" i="65"/>
  <c r="BN186" i="65"/>
  <c r="BL186" i="65"/>
  <c r="BK186" i="65"/>
  <c r="BJ186" i="65"/>
  <c r="BI186" i="65"/>
  <c r="BH186" i="65"/>
  <c r="BG186" i="65"/>
  <c r="BF186" i="65"/>
  <c r="BE186" i="65"/>
  <c r="BD186" i="65"/>
  <c r="BC186" i="65"/>
  <c r="BB186" i="65"/>
  <c r="BA186" i="65"/>
  <c r="AZ186" i="65"/>
  <c r="AY186" i="65"/>
  <c r="AX186" i="65"/>
  <c r="AW186" i="65"/>
  <c r="AV186" i="65"/>
  <c r="AU186" i="65"/>
  <c r="AT186" i="65"/>
  <c r="AS186" i="65"/>
  <c r="AR186" i="65"/>
  <c r="AQ186" i="65"/>
  <c r="AP186" i="65"/>
  <c r="AO186" i="65"/>
  <c r="AN186" i="65"/>
  <c r="AM186" i="65"/>
  <c r="AL186" i="65"/>
  <c r="AK186" i="65"/>
  <c r="AJ186" i="65"/>
  <c r="AI186" i="65"/>
  <c r="AH186" i="65"/>
  <c r="AG186" i="65"/>
  <c r="AF186" i="65"/>
  <c r="AE186" i="65"/>
  <c r="AD186" i="65"/>
  <c r="AC186" i="65"/>
  <c r="AB186" i="65"/>
  <c r="AA186" i="65"/>
  <c r="Z186" i="65"/>
  <c r="Y186" i="65"/>
  <c r="X186" i="65"/>
  <c r="W186" i="65"/>
  <c r="V186" i="65"/>
  <c r="U186" i="65"/>
  <c r="T186" i="65"/>
  <c r="S186" i="65"/>
  <c r="R186" i="65"/>
  <c r="Q186" i="65"/>
  <c r="P186" i="65"/>
  <c r="BN200" i="39"/>
  <c r="AW200" i="39"/>
  <c r="BI200" i="39"/>
  <c r="BM200" i="39"/>
  <c r="BG200" i="39"/>
  <c r="BB200" i="39"/>
  <c r="BC200" i="39"/>
  <c r="BE200" i="39"/>
  <c r="AT200" i="39"/>
  <c r="AL200" i="39"/>
  <c r="BF200" i="39"/>
  <c r="BL200" i="39"/>
  <c r="BD200" i="39"/>
  <c r="AS200" i="39"/>
  <c r="BH200" i="39"/>
  <c r="AN200" i="39"/>
  <c r="BK200" i="39"/>
  <c r="AK200" i="39"/>
  <c r="AM200" i="39"/>
  <c r="AZ200" i="39"/>
  <c r="BJ200" i="39"/>
  <c r="AU200" i="39"/>
  <c r="AO200" i="39"/>
  <c r="BA200" i="39"/>
  <c r="AQ200" i="39"/>
  <c r="AR200" i="39"/>
  <c r="AV200" i="39"/>
  <c r="AY200" i="39"/>
  <c r="AX200" i="39"/>
  <c r="AP200" i="39"/>
  <c r="AE200" i="39"/>
  <c r="AB200" i="39"/>
  <c r="Y200" i="39"/>
  <c r="AG200" i="39"/>
  <c r="AD200" i="39"/>
  <c r="W200" i="39"/>
  <c r="X200" i="39"/>
  <c r="AJ200" i="39"/>
  <c r="Z200" i="39"/>
  <c r="AC200" i="39"/>
  <c r="AH200" i="39"/>
  <c r="AI200" i="39"/>
  <c r="AF200" i="39"/>
  <c r="AA200" i="39"/>
  <c r="V200" i="39"/>
  <c r="U200" i="39"/>
  <c r="T200" i="39"/>
  <c r="S200" i="39"/>
  <c r="R200" i="39"/>
  <c r="Q200" i="39"/>
  <c r="P200" i="39"/>
  <c r="O201" i="39"/>
  <c r="AO108" i="39"/>
  <c r="AN134" i="39"/>
  <c r="AN135" i="39"/>
  <c r="AN136" i="39"/>
  <c r="BN145" i="39"/>
  <c r="BM145" i="39"/>
  <c r="AV145" i="39"/>
  <c r="AR145" i="39"/>
  <c r="AQ145" i="39"/>
  <c r="BL145" i="39"/>
  <c r="BD145" i="39"/>
  <c r="AP145" i="39"/>
  <c r="AL145" i="39"/>
  <c r="BC145" i="39"/>
  <c r="AK145" i="39"/>
  <c r="BA145" i="39"/>
  <c r="BE145" i="39"/>
  <c r="BG145" i="39"/>
  <c r="AT145" i="39"/>
  <c r="AZ145" i="39"/>
  <c r="AM145" i="39"/>
  <c r="BH145" i="39"/>
  <c r="BI145" i="39"/>
  <c r="BK145" i="39"/>
  <c r="AO145" i="39"/>
  <c r="BJ145" i="39"/>
  <c r="AS145" i="39"/>
  <c r="AN145" i="39"/>
  <c r="BB145" i="39"/>
  <c r="BF145" i="39"/>
  <c r="AU145" i="39"/>
  <c r="AB145" i="39"/>
  <c r="X145" i="39"/>
  <c r="AC145" i="39"/>
  <c r="AE145" i="39"/>
  <c r="Y145" i="39"/>
  <c r="AH145" i="39"/>
  <c r="Z145" i="39"/>
  <c r="AI145" i="39"/>
  <c r="AF145" i="39"/>
  <c r="AG145" i="39"/>
  <c r="AA145" i="39"/>
  <c r="AD145" i="39"/>
  <c r="AJ145" i="39"/>
  <c r="W145" i="39"/>
  <c r="V145" i="39"/>
  <c r="U145" i="39"/>
  <c r="T145" i="39"/>
  <c r="S145" i="39"/>
  <c r="R145" i="39"/>
  <c r="Q145" i="39"/>
  <c r="P145" i="39"/>
  <c r="O146" i="39"/>
  <c r="BS132" i="65" l="1"/>
  <c r="BR132" i="65"/>
  <c r="BR187" i="65"/>
  <c r="BS187" i="65"/>
  <c r="O188" i="65"/>
  <c r="BN187" i="65"/>
  <c r="BM187" i="65"/>
  <c r="BL187" i="65"/>
  <c r="BK187" i="65"/>
  <c r="BJ187" i="65"/>
  <c r="BI187" i="65"/>
  <c r="BH187" i="65"/>
  <c r="BG187" i="65"/>
  <c r="BF187" i="65"/>
  <c r="BE187" i="65"/>
  <c r="BD187" i="65"/>
  <c r="BC187" i="65"/>
  <c r="BB187" i="65"/>
  <c r="BA187" i="65"/>
  <c r="AZ187" i="65"/>
  <c r="AY187" i="65"/>
  <c r="AX187" i="65"/>
  <c r="AW187" i="65"/>
  <c r="AV187" i="65"/>
  <c r="AU187" i="65"/>
  <c r="AT187" i="65"/>
  <c r="AS187" i="65"/>
  <c r="AR187" i="65"/>
  <c r="AQ187" i="65"/>
  <c r="AP187" i="65"/>
  <c r="AO187" i="65"/>
  <c r="AN187" i="65"/>
  <c r="AM187" i="65"/>
  <c r="AL187" i="65"/>
  <c r="AK187" i="65"/>
  <c r="AJ187" i="65"/>
  <c r="AI187" i="65"/>
  <c r="AH187" i="65"/>
  <c r="AG187" i="65"/>
  <c r="AF187" i="65"/>
  <c r="AE187" i="65"/>
  <c r="AD187" i="65"/>
  <c r="AC187" i="65"/>
  <c r="AB187" i="65"/>
  <c r="AA187" i="65"/>
  <c r="Z187" i="65"/>
  <c r="Y187" i="65"/>
  <c r="X187" i="65"/>
  <c r="W187" i="65"/>
  <c r="V187" i="65"/>
  <c r="U187" i="65"/>
  <c r="T187" i="65"/>
  <c r="S187" i="65"/>
  <c r="R187" i="65"/>
  <c r="Q187" i="65"/>
  <c r="P187" i="65"/>
  <c r="O133" i="65"/>
  <c r="BM132" i="65"/>
  <c r="BN132" i="65"/>
  <c r="BK132" i="65"/>
  <c r="BL132" i="65"/>
  <c r="BJ132" i="65"/>
  <c r="BI132" i="65"/>
  <c r="BH132" i="65"/>
  <c r="BG132" i="65"/>
  <c r="BF132" i="65"/>
  <c r="BE132" i="65"/>
  <c r="BD132" i="65"/>
  <c r="BC132" i="65"/>
  <c r="BB132" i="65"/>
  <c r="BA132" i="65"/>
  <c r="AZ132" i="65"/>
  <c r="AY132" i="65"/>
  <c r="AX132" i="65"/>
  <c r="AW132" i="65"/>
  <c r="AV132" i="65"/>
  <c r="AU132" i="65"/>
  <c r="AT132" i="65"/>
  <c r="AS132" i="65"/>
  <c r="AR132" i="65"/>
  <c r="AQ132" i="65"/>
  <c r="AP132" i="65"/>
  <c r="AO132" i="65"/>
  <c r="AN132" i="65"/>
  <c r="AM132" i="65"/>
  <c r="AL132" i="65"/>
  <c r="AK132" i="65"/>
  <c r="AJ132" i="65"/>
  <c r="AI132" i="65"/>
  <c r="AH132" i="65"/>
  <c r="AG132" i="65"/>
  <c r="AF132" i="65"/>
  <c r="AE132" i="65"/>
  <c r="AD132" i="65"/>
  <c r="AC132" i="65"/>
  <c r="AB132" i="65"/>
  <c r="AA132" i="65"/>
  <c r="Z132" i="65"/>
  <c r="Y132" i="65"/>
  <c r="X132" i="65"/>
  <c r="W132" i="65"/>
  <c r="V132" i="65"/>
  <c r="U132" i="65"/>
  <c r="T132" i="65"/>
  <c r="S132" i="65"/>
  <c r="R132" i="65"/>
  <c r="P132" i="65"/>
  <c r="Q132" i="65"/>
  <c r="BN201" i="39"/>
  <c r="BE201" i="39"/>
  <c r="AW201" i="39"/>
  <c r="BG201" i="39"/>
  <c r="AS201" i="39"/>
  <c r="BC201" i="39"/>
  <c r="BH201" i="39"/>
  <c r="BI201" i="39"/>
  <c r="AM201" i="39"/>
  <c r="AQ201" i="39"/>
  <c r="AV201" i="39"/>
  <c r="BM201" i="39"/>
  <c r="AT201" i="39"/>
  <c r="AL201" i="39"/>
  <c r="BD201" i="39"/>
  <c r="BF201" i="39"/>
  <c r="AN201" i="39"/>
  <c r="BK201" i="39"/>
  <c r="AK201" i="39"/>
  <c r="AZ201" i="39"/>
  <c r="AO201" i="39"/>
  <c r="BJ201" i="39"/>
  <c r="AP201" i="39"/>
  <c r="AR201" i="39"/>
  <c r="BB201" i="39"/>
  <c r="AU201" i="39"/>
  <c r="BL201" i="39"/>
  <c r="AX201" i="39"/>
  <c r="AY201" i="39"/>
  <c r="BA201" i="39"/>
  <c r="X201" i="39"/>
  <c r="AJ201" i="39"/>
  <c r="AG201" i="39"/>
  <c r="AE201" i="39"/>
  <c r="W201" i="39"/>
  <c r="Y201" i="39"/>
  <c r="AD201" i="39"/>
  <c r="AB201" i="39"/>
  <c r="AH201" i="39"/>
  <c r="AF201" i="39"/>
  <c r="AC201" i="39"/>
  <c r="Z201" i="39"/>
  <c r="AA201" i="39"/>
  <c r="AI201" i="39"/>
  <c r="V201" i="39"/>
  <c r="U201" i="39"/>
  <c r="T201" i="39"/>
  <c r="S201" i="39"/>
  <c r="R201" i="39"/>
  <c r="Q201" i="39"/>
  <c r="P201" i="39"/>
  <c r="O202" i="39"/>
  <c r="BN146" i="39"/>
  <c r="AQ146" i="39"/>
  <c r="AR146" i="39"/>
  <c r="BG146" i="39"/>
  <c r="AW146" i="39"/>
  <c r="AS146" i="39"/>
  <c r="AP146" i="39"/>
  <c r="BM146" i="39"/>
  <c r="BC146" i="39"/>
  <c r="AN146" i="39"/>
  <c r="BH146" i="39"/>
  <c r="BD146" i="39"/>
  <c r="BE146" i="39"/>
  <c r="AT146" i="39"/>
  <c r="AL146" i="39"/>
  <c r="AK146" i="39"/>
  <c r="AO146" i="39"/>
  <c r="BJ146" i="39"/>
  <c r="BL146" i="39"/>
  <c r="AV146" i="39"/>
  <c r="BB146" i="39"/>
  <c r="BF146" i="39"/>
  <c r="BA146" i="39"/>
  <c r="BI146" i="39"/>
  <c r="BK146" i="39"/>
  <c r="AU146" i="39"/>
  <c r="AM146" i="39"/>
  <c r="AE146" i="39"/>
  <c r="Z146" i="39"/>
  <c r="AH146" i="39"/>
  <c r="Y146" i="39"/>
  <c r="AB146" i="39"/>
  <c r="X146" i="39"/>
  <c r="AC146" i="39"/>
  <c r="AI146" i="39"/>
  <c r="AD146" i="39"/>
  <c r="AG146" i="39"/>
  <c r="AF146" i="39"/>
  <c r="AJ146" i="39"/>
  <c r="AA146" i="39"/>
  <c r="W146" i="39"/>
  <c r="V146" i="39"/>
  <c r="U146" i="39"/>
  <c r="T146" i="39"/>
  <c r="S146" i="39"/>
  <c r="R146" i="39"/>
  <c r="Q146" i="39"/>
  <c r="P146" i="39"/>
  <c r="AP108" i="39"/>
  <c r="AO135" i="39"/>
  <c r="AO136" i="39"/>
  <c r="AO137" i="39"/>
  <c r="O147" i="39"/>
  <c r="BS188" i="65" l="1"/>
  <c r="BR188" i="65"/>
  <c r="BR133" i="65"/>
  <c r="BS133" i="65"/>
  <c r="O134" i="65"/>
  <c r="BM133" i="65"/>
  <c r="BN133" i="65"/>
  <c r="BK133" i="65"/>
  <c r="BL133" i="65"/>
  <c r="BJ133" i="65"/>
  <c r="BI133" i="65"/>
  <c r="BH133" i="65"/>
  <c r="BG133" i="65"/>
  <c r="BF133" i="65"/>
  <c r="BE133" i="65"/>
  <c r="BD133" i="65"/>
  <c r="BC133" i="65"/>
  <c r="BB133" i="65"/>
  <c r="BA133" i="65"/>
  <c r="AZ133" i="65"/>
  <c r="AY133" i="65"/>
  <c r="AX133" i="65"/>
  <c r="AW133" i="65"/>
  <c r="AV133" i="65"/>
  <c r="AU133" i="65"/>
  <c r="AT133" i="65"/>
  <c r="AS133" i="65"/>
  <c r="AR133" i="65"/>
  <c r="AQ133" i="65"/>
  <c r="AP133" i="65"/>
  <c r="AO133" i="65"/>
  <c r="AN133" i="65"/>
  <c r="AM133" i="65"/>
  <c r="AL133" i="65"/>
  <c r="AK133" i="65"/>
  <c r="AJ133" i="65"/>
  <c r="AI133" i="65"/>
  <c r="AH133" i="65"/>
  <c r="AG133" i="65"/>
  <c r="AF133" i="65"/>
  <c r="AE133" i="65"/>
  <c r="AD133" i="65"/>
  <c r="AC133" i="65"/>
  <c r="AB133" i="65"/>
  <c r="AA133" i="65"/>
  <c r="Z133" i="65"/>
  <c r="Y133" i="65"/>
  <c r="X133" i="65"/>
  <c r="W133" i="65"/>
  <c r="V133" i="65"/>
  <c r="U133" i="65"/>
  <c r="T133" i="65"/>
  <c r="S133" i="65"/>
  <c r="R133" i="65"/>
  <c r="P133" i="65"/>
  <c r="Q133" i="65"/>
  <c r="O189" i="65"/>
  <c r="BM188" i="65"/>
  <c r="BN188" i="65"/>
  <c r="BL188" i="65"/>
  <c r="BK188" i="65"/>
  <c r="BJ188" i="65"/>
  <c r="BI188" i="65"/>
  <c r="BH188" i="65"/>
  <c r="BG188" i="65"/>
  <c r="BF188" i="65"/>
  <c r="BE188" i="65"/>
  <c r="BD188" i="65"/>
  <c r="BC188" i="65"/>
  <c r="BB188" i="65"/>
  <c r="BA188" i="65"/>
  <c r="AZ188" i="65"/>
  <c r="AY188" i="65"/>
  <c r="AX188" i="65"/>
  <c r="AW188" i="65"/>
  <c r="AV188" i="65"/>
  <c r="AU188" i="65"/>
  <c r="AT188" i="65"/>
  <c r="AS188" i="65"/>
  <c r="AR188" i="65"/>
  <c r="AQ188" i="65"/>
  <c r="AP188" i="65"/>
  <c r="AO188" i="65"/>
  <c r="AN188" i="65"/>
  <c r="AM188" i="65"/>
  <c r="AL188" i="65"/>
  <c r="AK188" i="65"/>
  <c r="AJ188" i="65"/>
  <c r="AI188" i="65"/>
  <c r="AH188" i="65"/>
  <c r="AG188" i="65"/>
  <c r="AF188" i="65"/>
  <c r="AE188" i="65"/>
  <c r="AD188" i="65"/>
  <c r="AC188" i="65"/>
  <c r="AB188" i="65"/>
  <c r="AA188" i="65"/>
  <c r="Z188" i="65"/>
  <c r="Y188" i="65"/>
  <c r="X188" i="65"/>
  <c r="W188" i="65"/>
  <c r="V188" i="65"/>
  <c r="U188" i="65"/>
  <c r="T188" i="65"/>
  <c r="S188" i="65"/>
  <c r="R188" i="65"/>
  <c r="Q188" i="65"/>
  <c r="P188" i="65"/>
  <c r="BN202" i="39"/>
  <c r="BB202" i="39"/>
  <c r="AW202" i="39"/>
  <c r="BE202" i="39"/>
  <c r="AN202" i="39"/>
  <c r="BM202" i="39"/>
  <c r="BG202" i="39"/>
  <c r="AS202" i="39"/>
  <c r="BC202" i="39"/>
  <c r="BH202" i="39"/>
  <c r="AT202" i="39"/>
  <c r="AZ202" i="39"/>
  <c r="BF202" i="39"/>
  <c r="AU202" i="39"/>
  <c r="AY202" i="39"/>
  <c r="BI202" i="39"/>
  <c r="AK202" i="39"/>
  <c r="BJ202" i="39"/>
  <c r="AM202" i="39"/>
  <c r="AO202" i="39"/>
  <c r="BK202" i="39"/>
  <c r="AL202" i="39"/>
  <c r="BA202" i="39"/>
  <c r="AX202" i="39"/>
  <c r="AP202" i="39"/>
  <c r="AQ202" i="39"/>
  <c r="BL202" i="39"/>
  <c r="BD202" i="39"/>
  <c r="AV202" i="39"/>
  <c r="AR202" i="39"/>
  <c r="AG202" i="39"/>
  <c r="X202" i="39"/>
  <c r="AE202" i="39"/>
  <c r="AJ202" i="39"/>
  <c r="W202" i="39"/>
  <c r="AD202" i="39"/>
  <c r="AB202" i="39"/>
  <c r="Y202" i="39"/>
  <c r="AF202" i="39"/>
  <c r="AA202" i="39"/>
  <c r="AC202" i="39"/>
  <c r="Z202" i="39"/>
  <c r="AH202" i="39"/>
  <c r="AI202" i="39"/>
  <c r="V202" i="39"/>
  <c r="U202" i="39"/>
  <c r="T202" i="39"/>
  <c r="S202" i="39"/>
  <c r="R202" i="39"/>
  <c r="Q202" i="39"/>
  <c r="P202" i="39"/>
  <c r="O203" i="39"/>
  <c r="AQ108" i="39"/>
  <c r="AP136" i="39"/>
  <c r="AP137" i="39"/>
  <c r="AP138" i="39"/>
  <c r="BN147" i="39"/>
  <c r="BD147" i="39"/>
  <c r="BL147" i="39"/>
  <c r="BG147" i="39"/>
  <c r="AQ147" i="39"/>
  <c r="AX147" i="39"/>
  <c r="BH147" i="39"/>
  <c r="AT147" i="39"/>
  <c r="BK147" i="39"/>
  <c r="BJ147" i="39"/>
  <c r="AW147" i="39"/>
  <c r="AP147" i="39"/>
  <c r="AR147" i="39"/>
  <c r="AS147" i="39"/>
  <c r="BE147" i="39"/>
  <c r="AN147" i="39"/>
  <c r="BI147" i="39"/>
  <c r="BF147" i="39"/>
  <c r="AU147" i="39"/>
  <c r="BM147" i="39"/>
  <c r="BB147" i="39"/>
  <c r="AL147" i="39"/>
  <c r="AM147" i="39"/>
  <c r="AK147" i="39"/>
  <c r="BC147" i="39"/>
  <c r="AO147" i="39"/>
  <c r="AV147" i="39"/>
  <c r="AH147" i="39"/>
  <c r="AC147" i="39"/>
  <c r="Y147" i="39"/>
  <c r="AB147" i="39"/>
  <c r="AE147" i="39"/>
  <c r="Z147" i="39"/>
  <c r="X147" i="39"/>
  <c r="AF147" i="39"/>
  <c r="AD147" i="39"/>
  <c r="AJ147" i="39"/>
  <c r="AA147" i="39"/>
  <c r="AI147" i="39"/>
  <c r="AG147" i="39"/>
  <c r="W147" i="39"/>
  <c r="V147" i="39"/>
  <c r="U147" i="39"/>
  <c r="T147" i="39"/>
  <c r="S147" i="39"/>
  <c r="R147" i="39"/>
  <c r="Q147" i="39"/>
  <c r="P147" i="39"/>
  <c r="O148" i="39"/>
  <c r="BR134" i="65" l="1"/>
  <c r="BS134" i="65"/>
  <c r="BR189" i="65"/>
  <c r="BS189" i="65"/>
  <c r="O190" i="65"/>
  <c r="BN189" i="65"/>
  <c r="BM189" i="65"/>
  <c r="BK189" i="65"/>
  <c r="BL189" i="65"/>
  <c r="BJ189" i="65"/>
  <c r="BI189" i="65"/>
  <c r="BH189" i="65"/>
  <c r="BG189" i="65"/>
  <c r="BF189" i="65"/>
  <c r="BE189" i="65"/>
  <c r="BD189" i="65"/>
  <c r="BC189" i="65"/>
  <c r="BB189" i="65"/>
  <c r="BA189" i="65"/>
  <c r="AZ189" i="65"/>
  <c r="AY189" i="65"/>
  <c r="AX189" i="65"/>
  <c r="AW189" i="65"/>
  <c r="AV189" i="65"/>
  <c r="AU189" i="65"/>
  <c r="AT189" i="65"/>
  <c r="AS189" i="65"/>
  <c r="AR189" i="65"/>
  <c r="AQ189" i="65"/>
  <c r="AP189" i="65"/>
  <c r="AO189" i="65"/>
  <c r="AN189" i="65"/>
  <c r="AM189" i="65"/>
  <c r="AL189" i="65"/>
  <c r="AK189" i="65"/>
  <c r="AJ189" i="65"/>
  <c r="AI189" i="65"/>
  <c r="AH189" i="65"/>
  <c r="AG189" i="65"/>
  <c r="AF189" i="65"/>
  <c r="AE189" i="65"/>
  <c r="AD189" i="65"/>
  <c r="AC189" i="65"/>
  <c r="AB189" i="65"/>
  <c r="AA189" i="65"/>
  <c r="Z189" i="65"/>
  <c r="Y189" i="65"/>
  <c r="X189" i="65"/>
  <c r="W189" i="65"/>
  <c r="V189" i="65"/>
  <c r="U189" i="65"/>
  <c r="T189" i="65"/>
  <c r="S189" i="65"/>
  <c r="R189" i="65"/>
  <c r="Q189" i="65"/>
  <c r="P189" i="65"/>
  <c r="O135" i="65"/>
  <c r="BN134" i="65"/>
  <c r="BM134" i="65"/>
  <c r="BK134" i="65"/>
  <c r="BL134" i="65"/>
  <c r="BJ134" i="65"/>
  <c r="BI134" i="65"/>
  <c r="BH134" i="65"/>
  <c r="BG134" i="65"/>
  <c r="BF134" i="65"/>
  <c r="BE134" i="65"/>
  <c r="BD134" i="65"/>
  <c r="BC134" i="65"/>
  <c r="BB134" i="65"/>
  <c r="BA134" i="65"/>
  <c r="AZ134" i="65"/>
  <c r="AY134" i="65"/>
  <c r="AX134" i="65"/>
  <c r="AW134" i="65"/>
  <c r="AV134" i="65"/>
  <c r="AU134" i="65"/>
  <c r="AT134" i="65"/>
  <c r="AS134" i="65"/>
  <c r="AR134" i="65"/>
  <c r="AQ134" i="65"/>
  <c r="AP134" i="65"/>
  <c r="AO134" i="65"/>
  <c r="AN134" i="65"/>
  <c r="AM134" i="65"/>
  <c r="AL134" i="65"/>
  <c r="AK134" i="65"/>
  <c r="AJ134" i="65"/>
  <c r="AI134" i="65"/>
  <c r="AH134" i="65"/>
  <c r="AG134" i="65"/>
  <c r="AF134" i="65"/>
  <c r="AE134" i="65"/>
  <c r="AD134" i="65"/>
  <c r="AC134" i="65"/>
  <c r="AB134" i="65"/>
  <c r="AA134" i="65"/>
  <c r="Z134" i="65"/>
  <c r="Y134" i="65"/>
  <c r="X134" i="65"/>
  <c r="W134" i="65"/>
  <c r="V134" i="65"/>
  <c r="U134" i="65"/>
  <c r="T134" i="65"/>
  <c r="S134" i="65"/>
  <c r="R134" i="65"/>
  <c r="P134" i="65"/>
  <c r="Q134" i="65"/>
  <c r="BN203" i="39"/>
  <c r="BG203" i="39"/>
  <c r="AS203" i="39"/>
  <c r="BM203" i="39"/>
  <c r="BE203" i="39"/>
  <c r="BC203" i="39"/>
  <c r="AW203" i="39"/>
  <c r="BH203" i="39"/>
  <c r="BI203" i="39"/>
  <c r="AT203" i="39"/>
  <c r="AN203" i="39"/>
  <c r="AL203" i="39"/>
  <c r="AU203" i="39"/>
  <c r="AM203" i="39"/>
  <c r="AZ203" i="39"/>
  <c r="BK203" i="39"/>
  <c r="AK203" i="39"/>
  <c r="AO203" i="39"/>
  <c r="BA203" i="39"/>
  <c r="BB203" i="39"/>
  <c r="BF203" i="39"/>
  <c r="BJ203" i="39"/>
  <c r="AR203" i="39"/>
  <c r="AP203" i="39"/>
  <c r="BL203" i="39"/>
  <c r="BD203" i="39"/>
  <c r="AX203" i="39"/>
  <c r="AQ203" i="39"/>
  <c r="AV203" i="39"/>
  <c r="AY203" i="39"/>
  <c r="W203" i="39"/>
  <c r="AG203" i="39"/>
  <c r="AJ203" i="39"/>
  <c r="AB203" i="39"/>
  <c r="X203" i="39"/>
  <c r="AE203" i="39"/>
  <c r="Y203" i="39"/>
  <c r="AD203" i="39"/>
  <c r="AH203" i="39"/>
  <c r="AA203" i="39"/>
  <c r="AF203" i="39"/>
  <c r="AC203" i="39"/>
  <c r="AI203" i="39"/>
  <c r="Z203" i="39"/>
  <c r="V203" i="39"/>
  <c r="U203" i="39"/>
  <c r="T203" i="39"/>
  <c r="S203" i="39"/>
  <c r="R203" i="39"/>
  <c r="Q203" i="39"/>
  <c r="P203" i="39"/>
  <c r="O204" i="39"/>
  <c r="BN148" i="39"/>
  <c r="AW148" i="39"/>
  <c r="AR148" i="39"/>
  <c r="AX148" i="39"/>
  <c r="AP148" i="39"/>
  <c r="BE148" i="39"/>
  <c r="AQ148" i="39"/>
  <c r="BL148" i="39"/>
  <c r="BG148" i="39"/>
  <c r="AY148" i="39"/>
  <c r="AS148" i="39"/>
  <c r="AN148" i="39"/>
  <c r="AT148" i="39"/>
  <c r="AL148" i="39"/>
  <c r="BF148" i="39"/>
  <c r="AO148" i="39"/>
  <c r="AM148" i="39"/>
  <c r="BK148" i="39"/>
  <c r="BH148" i="39"/>
  <c r="BI148" i="39"/>
  <c r="AK148" i="39"/>
  <c r="AU148" i="39"/>
  <c r="BC148" i="39"/>
  <c r="BM148" i="39"/>
  <c r="BD148" i="39"/>
  <c r="AV148" i="39"/>
  <c r="BJ148" i="39"/>
  <c r="X148" i="39"/>
  <c r="AB148" i="39"/>
  <c r="Z148" i="39"/>
  <c r="AH148" i="39"/>
  <c r="Y148" i="39"/>
  <c r="AE148" i="39"/>
  <c r="AC148" i="39"/>
  <c r="AD148" i="39"/>
  <c r="AA148" i="39"/>
  <c r="AF148" i="39"/>
  <c r="AI148" i="39"/>
  <c r="AG148" i="39"/>
  <c r="AJ148" i="39"/>
  <c r="W148" i="39"/>
  <c r="V148" i="39"/>
  <c r="U148" i="39"/>
  <c r="T148" i="39"/>
  <c r="S148" i="39"/>
  <c r="R148" i="39"/>
  <c r="Q148" i="39"/>
  <c r="P148" i="39"/>
  <c r="AR108" i="39"/>
  <c r="AQ137" i="39"/>
  <c r="AQ138" i="39"/>
  <c r="AQ139" i="39"/>
  <c r="O149" i="39"/>
  <c r="BS190" i="65" l="1"/>
  <c r="BR190" i="65"/>
  <c r="BR135" i="65"/>
  <c r="BS135" i="65"/>
  <c r="O136" i="65"/>
  <c r="BN135" i="65"/>
  <c r="BM135" i="65"/>
  <c r="BL135" i="65"/>
  <c r="BK135" i="65"/>
  <c r="BJ135" i="65"/>
  <c r="BI135" i="65"/>
  <c r="BH135" i="65"/>
  <c r="BG135" i="65"/>
  <c r="BF135" i="65"/>
  <c r="BE135" i="65"/>
  <c r="BD135" i="65"/>
  <c r="BC135" i="65"/>
  <c r="BB135" i="65"/>
  <c r="BA135" i="65"/>
  <c r="AZ135" i="65"/>
  <c r="AY135" i="65"/>
  <c r="AX135" i="65"/>
  <c r="AW135" i="65"/>
  <c r="AV135" i="65"/>
  <c r="AU135" i="65"/>
  <c r="AT135" i="65"/>
  <c r="AS135" i="65"/>
  <c r="AR135" i="65"/>
  <c r="AQ135" i="65"/>
  <c r="AP135" i="65"/>
  <c r="AO135" i="65"/>
  <c r="AN135" i="65"/>
  <c r="AM135" i="65"/>
  <c r="AL135" i="65"/>
  <c r="AK135" i="65"/>
  <c r="AJ135" i="65"/>
  <c r="AI135" i="65"/>
  <c r="AH135" i="65"/>
  <c r="AG135" i="65"/>
  <c r="AF135" i="65"/>
  <c r="AE135" i="65"/>
  <c r="AD135" i="65"/>
  <c r="AC135" i="65"/>
  <c r="AB135" i="65"/>
  <c r="AA135" i="65"/>
  <c r="Z135" i="65"/>
  <c r="Y135" i="65"/>
  <c r="X135" i="65"/>
  <c r="W135" i="65"/>
  <c r="V135" i="65"/>
  <c r="U135" i="65"/>
  <c r="T135" i="65"/>
  <c r="S135" i="65"/>
  <c r="R135" i="65"/>
  <c r="Q135" i="65"/>
  <c r="P135" i="65"/>
  <c r="O191" i="65"/>
  <c r="BN190" i="65"/>
  <c r="BM190" i="65"/>
  <c r="BL190" i="65"/>
  <c r="BK190" i="65"/>
  <c r="BJ190" i="65"/>
  <c r="BI190" i="65"/>
  <c r="BH190" i="65"/>
  <c r="BG190" i="65"/>
  <c r="BF190" i="65"/>
  <c r="BE190" i="65"/>
  <c r="BD190" i="65"/>
  <c r="BC190" i="65"/>
  <c r="BB190" i="65"/>
  <c r="BA190" i="65"/>
  <c r="AZ190" i="65"/>
  <c r="AY190" i="65"/>
  <c r="AX190" i="65"/>
  <c r="AW190" i="65"/>
  <c r="AV190" i="65"/>
  <c r="AU190" i="65"/>
  <c r="AT190" i="65"/>
  <c r="AS190" i="65"/>
  <c r="AR190" i="65"/>
  <c r="AQ190" i="65"/>
  <c r="AP190" i="65"/>
  <c r="AO190" i="65"/>
  <c r="AN190" i="65"/>
  <c r="AM190" i="65"/>
  <c r="AL190" i="65"/>
  <c r="AK190" i="65"/>
  <c r="AJ190" i="65"/>
  <c r="AI190" i="65"/>
  <c r="AH190" i="65"/>
  <c r="AG190" i="65"/>
  <c r="AF190" i="65"/>
  <c r="AE190" i="65"/>
  <c r="AD190" i="65"/>
  <c r="AC190" i="65"/>
  <c r="AB190" i="65"/>
  <c r="AA190" i="65"/>
  <c r="Z190" i="65"/>
  <c r="Y190" i="65"/>
  <c r="X190" i="65"/>
  <c r="W190" i="65"/>
  <c r="V190" i="65"/>
  <c r="U190" i="65"/>
  <c r="T190" i="65"/>
  <c r="S190" i="65"/>
  <c r="R190" i="65"/>
  <c r="Q190" i="65"/>
  <c r="P190" i="65"/>
  <c r="BN204" i="39"/>
  <c r="BC204" i="39"/>
  <c r="BB204" i="39"/>
  <c r="BG204" i="39"/>
  <c r="AW204" i="39"/>
  <c r="BM204" i="39"/>
  <c r="AS204" i="39"/>
  <c r="BE204" i="39"/>
  <c r="AO204" i="39"/>
  <c r="AR204" i="39"/>
  <c r="AT204" i="39"/>
  <c r="AU204" i="39"/>
  <c r="AN204" i="39"/>
  <c r="AM204" i="39"/>
  <c r="AZ204" i="39"/>
  <c r="BI204" i="39"/>
  <c r="BK204" i="39"/>
  <c r="AK204" i="39"/>
  <c r="AX204" i="39"/>
  <c r="BH204" i="39"/>
  <c r="AL204" i="39"/>
  <c r="BF204" i="39"/>
  <c r="AQ204" i="39"/>
  <c r="AP204" i="39"/>
  <c r="BA204" i="39"/>
  <c r="AY204" i="39"/>
  <c r="BL204" i="39"/>
  <c r="BD204" i="39"/>
  <c r="AV204" i="39"/>
  <c r="BJ204" i="39"/>
  <c r="X204" i="39"/>
  <c r="Y204" i="39"/>
  <c r="AE204" i="39"/>
  <c r="AD204" i="39"/>
  <c r="AB204" i="39"/>
  <c r="AG204" i="39"/>
  <c r="AJ204" i="39"/>
  <c r="W204" i="39"/>
  <c r="AF204" i="39"/>
  <c r="Z204" i="39"/>
  <c r="AH204" i="39"/>
  <c r="AA204" i="39"/>
  <c r="AC204" i="39"/>
  <c r="AI204" i="39"/>
  <c r="V204" i="39"/>
  <c r="U204" i="39"/>
  <c r="T204" i="39"/>
  <c r="S204" i="39"/>
  <c r="R204" i="39"/>
  <c r="Q204" i="39"/>
  <c r="P204" i="39"/>
  <c r="O205" i="39"/>
  <c r="AS108" i="39"/>
  <c r="AR138" i="39"/>
  <c r="AR139" i="39"/>
  <c r="AR140" i="39"/>
  <c r="BN149" i="39"/>
  <c r="BD149" i="39"/>
  <c r="AQ149" i="39"/>
  <c r="BM149" i="39"/>
  <c r="AY149" i="39"/>
  <c r="AS149" i="39"/>
  <c r="AP149" i="39"/>
  <c r="AR149" i="39"/>
  <c r="AW149" i="39"/>
  <c r="AV149" i="39"/>
  <c r="AX149" i="39"/>
  <c r="BI149" i="39"/>
  <c r="AZ149" i="39"/>
  <c r="AL149" i="39"/>
  <c r="BL149" i="39"/>
  <c r="AN149" i="39"/>
  <c r="BF149" i="39"/>
  <c r="BE149" i="39"/>
  <c r="BG149" i="39"/>
  <c r="AT149" i="39"/>
  <c r="AM149" i="39"/>
  <c r="BH149" i="39"/>
  <c r="BK149" i="39"/>
  <c r="AK149" i="39"/>
  <c r="AU149" i="39"/>
  <c r="AO149" i="39"/>
  <c r="BJ149" i="39"/>
  <c r="AE149" i="39"/>
  <c r="Z149" i="39"/>
  <c r="X149" i="39"/>
  <c r="Y149" i="39"/>
  <c r="AB149" i="39"/>
  <c r="AC149" i="39"/>
  <c r="AH149" i="39"/>
  <c r="AI149" i="39"/>
  <c r="AJ149" i="39"/>
  <c r="AF149" i="39"/>
  <c r="AD149" i="39"/>
  <c r="AA149" i="39"/>
  <c r="AG149" i="39"/>
  <c r="W149" i="39"/>
  <c r="V149" i="39"/>
  <c r="U149" i="39"/>
  <c r="T149" i="39"/>
  <c r="S149" i="39"/>
  <c r="R149" i="39"/>
  <c r="Q149" i="39"/>
  <c r="P149" i="39"/>
  <c r="O150" i="39"/>
  <c r="BR136" i="65" l="1"/>
  <c r="BS136" i="65"/>
  <c r="BS191" i="65"/>
  <c r="BR191" i="65"/>
  <c r="O192" i="65"/>
  <c r="BN191" i="65"/>
  <c r="BM191" i="65"/>
  <c r="BL191" i="65"/>
  <c r="BK191" i="65"/>
  <c r="BJ191" i="65"/>
  <c r="BI191" i="65"/>
  <c r="BH191" i="65"/>
  <c r="BG191" i="65"/>
  <c r="BF191" i="65"/>
  <c r="BE191" i="65"/>
  <c r="BD191" i="65"/>
  <c r="BC191" i="65"/>
  <c r="BB191" i="65"/>
  <c r="BA191" i="65"/>
  <c r="AZ191" i="65"/>
  <c r="AY191" i="65"/>
  <c r="AX191" i="65"/>
  <c r="AW191" i="65"/>
  <c r="AV191" i="65"/>
  <c r="AU191" i="65"/>
  <c r="AT191" i="65"/>
  <c r="AS191" i="65"/>
  <c r="AR191" i="65"/>
  <c r="AQ191" i="65"/>
  <c r="AP191" i="65"/>
  <c r="AO191" i="65"/>
  <c r="AN191" i="65"/>
  <c r="AM191" i="65"/>
  <c r="AL191" i="65"/>
  <c r="AK191" i="65"/>
  <c r="AJ191" i="65"/>
  <c r="AI191" i="65"/>
  <c r="AH191" i="65"/>
  <c r="AG191" i="65"/>
  <c r="AF191" i="65"/>
  <c r="AE191" i="65"/>
  <c r="AD191" i="65"/>
  <c r="AC191" i="65"/>
  <c r="AB191" i="65"/>
  <c r="AA191" i="65"/>
  <c r="Z191" i="65"/>
  <c r="Y191" i="65"/>
  <c r="X191" i="65"/>
  <c r="W191" i="65"/>
  <c r="V191" i="65"/>
  <c r="U191" i="65"/>
  <c r="T191" i="65"/>
  <c r="S191" i="65"/>
  <c r="R191" i="65"/>
  <c r="P191" i="65"/>
  <c r="Q191" i="65"/>
  <c r="O137" i="65"/>
  <c r="BN136" i="65"/>
  <c r="BM136" i="65"/>
  <c r="BL136" i="65"/>
  <c r="BK136" i="65"/>
  <c r="BJ136" i="65"/>
  <c r="BI136" i="65"/>
  <c r="BH136" i="65"/>
  <c r="BG136" i="65"/>
  <c r="BF136" i="65"/>
  <c r="BE136" i="65"/>
  <c r="BD136" i="65"/>
  <c r="BC136" i="65"/>
  <c r="BB136" i="65"/>
  <c r="BA136" i="65"/>
  <c r="AZ136" i="65"/>
  <c r="AY136" i="65"/>
  <c r="AX136" i="65"/>
  <c r="AW136" i="65"/>
  <c r="AV136" i="65"/>
  <c r="AU136" i="65"/>
  <c r="AT136" i="65"/>
  <c r="AS136" i="65"/>
  <c r="AR136" i="65"/>
  <c r="AQ136" i="65"/>
  <c r="AP136" i="65"/>
  <c r="AO136" i="65"/>
  <c r="AN136" i="65"/>
  <c r="AM136" i="65"/>
  <c r="AL136" i="65"/>
  <c r="AK136" i="65"/>
  <c r="AJ136" i="65"/>
  <c r="AI136" i="65"/>
  <c r="AH136" i="65"/>
  <c r="AG136" i="65"/>
  <c r="AF136" i="65"/>
  <c r="AE136" i="65"/>
  <c r="AD136" i="65"/>
  <c r="AC136" i="65"/>
  <c r="AB136" i="65"/>
  <c r="AA136" i="65"/>
  <c r="Z136" i="65"/>
  <c r="Y136" i="65"/>
  <c r="X136" i="65"/>
  <c r="W136" i="65"/>
  <c r="V136" i="65"/>
  <c r="U136" i="65"/>
  <c r="T136" i="65"/>
  <c r="S136" i="65"/>
  <c r="R136" i="65"/>
  <c r="P136" i="65"/>
  <c r="Q136" i="65"/>
  <c r="BN205" i="39"/>
  <c r="BC205" i="39"/>
  <c r="AN205" i="39"/>
  <c r="BI205" i="39"/>
  <c r="BE205" i="39"/>
  <c r="AW205" i="39"/>
  <c r="BH205" i="39"/>
  <c r="AT205" i="39"/>
  <c r="AZ205" i="39"/>
  <c r="BF205" i="39"/>
  <c r="AU205" i="39"/>
  <c r="AV205" i="39"/>
  <c r="AP205" i="39"/>
  <c r="BM205" i="39"/>
  <c r="BG205" i="39"/>
  <c r="AS205" i="39"/>
  <c r="BB205" i="39"/>
  <c r="BK205" i="39"/>
  <c r="AQ205" i="39"/>
  <c r="AL205" i="39"/>
  <c r="BD205" i="39"/>
  <c r="AY205" i="39"/>
  <c r="AK205" i="39"/>
  <c r="AM205" i="39"/>
  <c r="AO205" i="39"/>
  <c r="AR205" i="39"/>
  <c r="AX205" i="39"/>
  <c r="BJ205" i="39"/>
  <c r="BA205" i="39"/>
  <c r="BL205" i="39"/>
  <c r="Y205" i="39"/>
  <c r="X205" i="39"/>
  <c r="AJ205" i="39"/>
  <c r="AB205" i="39"/>
  <c r="W205" i="39"/>
  <c r="AD205" i="39"/>
  <c r="AG205" i="39"/>
  <c r="AE205" i="39"/>
  <c r="Z205" i="39"/>
  <c r="AC205" i="39"/>
  <c r="AA205" i="39"/>
  <c r="AH205" i="39"/>
  <c r="AF205" i="39"/>
  <c r="AI205" i="39"/>
  <c r="V205" i="39"/>
  <c r="U205" i="39"/>
  <c r="T205" i="39"/>
  <c r="S205" i="39"/>
  <c r="R205" i="39"/>
  <c r="Q205" i="39"/>
  <c r="P205" i="39"/>
  <c r="O206" i="39"/>
  <c r="BN150" i="39"/>
  <c r="AQ150" i="39"/>
  <c r="AP150" i="39"/>
  <c r="BM150" i="39"/>
  <c r="AW150" i="39"/>
  <c r="BE150" i="39"/>
  <c r="BL150" i="39"/>
  <c r="BG150" i="39"/>
  <c r="AY150" i="39"/>
  <c r="AS150" i="39"/>
  <c r="BF150" i="39"/>
  <c r="BK150" i="39"/>
  <c r="AZ150" i="39"/>
  <c r="AV150" i="39"/>
  <c r="BH150" i="39"/>
  <c r="AR150" i="39"/>
  <c r="AU150" i="39"/>
  <c r="AX150" i="39"/>
  <c r="AN150" i="39"/>
  <c r="AM150" i="39"/>
  <c r="BJ150" i="39"/>
  <c r="AT150" i="39"/>
  <c r="AL150" i="39"/>
  <c r="AK150" i="39"/>
  <c r="AO150" i="39"/>
  <c r="BA150" i="39"/>
  <c r="BI150" i="39"/>
  <c r="Z150" i="39"/>
  <c r="X150" i="39"/>
  <c r="Y150" i="39"/>
  <c r="AB150" i="39"/>
  <c r="AE150" i="39"/>
  <c r="AC150" i="39"/>
  <c r="AH150" i="39"/>
  <c r="AF150" i="39"/>
  <c r="AA150" i="39"/>
  <c r="AD150" i="39"/>
  <c r="AJ150" i="39"/>
  <c r="AI150" i="39"/>
  <c r="AG150" i="39"/>
  <c r="W150" i="39"/>
  <c r="V150" i="39"/>
  <c r="U150" i="39"/>
  <c r="T150" i="39"/>
  <c r="S150" i="39"/>
  <c r="R150" i="39"/>
  <c r="Q150" i="39"/>
  <c r="P150" i="39"/>
  <c r="AT108" i="39"/>
  <c r="AS139" i="39"/>
  <c r="AS140" i="39"/>
  <c r="AS141" i="39"/>
  <c r="O151" i="39"/>
  <c r="BR192" i="65" l="1"/>
  <c r="BS192" i="65"/>
  <c r="BR137" i="65"/>
  <c r="BS137" i="65"/>
  <c r="O138" i="65"/>
  <c r="BN137" i="65"/>
  <c r="BM137" i="65"/>
  <c r="BK137" i="65"/>
  <c r="BL137" i="65"/>
  <c r="BJ137" i="65"/>
  <c r="BI137" i="65"/>
  <c r="BH137" i="65"/>
  <c r="BG137" i="65"/>
  <c r="BF137" i="65"/>
  <c r="BE137" i="65"/>
  <c r="BD137" i="65"/>
  <c r="BC137" i="65"/>
  <c r="BB137" i="65"/>
  <c r="BA137" i="65"/>
  <c r="AZ137" i="65"/>
  <c r="AY137" i="65"/>
  <c r="AX137" i="65"/>
  <c r="AW137" i="65"/>
  <c r="AV137" i="65"/>
  <c r="AU137" i="65"/>
  <c r="AT137" i="65"/>
  <c r="AS137" i="65"/>
  <c r="AR137" i="65"/>
  <c r="AQ137" i="65"/>
  <c r="AP137" i="65"/>
  <c r="AO137" i="65"/>
  <c r="AN137" i="65"/>
  <c r="AM137" i="65"/>
  <c r="AL137" i="65"/>
  <c r="AK137" i="65"/>
  <c r="AJ137" i="65"/>
  <c r="AI137" i="65"/>
  <c r="AH137" i="65"/>
  <c r="AG137" i="65"/>
  <c r="AF137" i="65"/>
  <c r="AE137" i="65"/>
  <c r="AD137" i="65"/>
  <c r="AC137" i="65"/>
  <c r="AB137" i="65"/>
  <c r="AA137" i="65"/>
  <c r="Z137" i="65"/>
  <c r="Y137" i="65"/>
  <c r="X137" i="65"/>
  <c r="W137" i="65"/>
  <c r="V137" i="65"/>
  <c r="U137" i="65"/>
  <c r="T137" i="65"/>
  <c r="S137" i="65"/>
  <c r="R137" i="65"/>
  <c r="P137" i="65"/>
  <c r="Q137" i="65"/>
  <c r="O193" i="65"/>
  <c r="BN192" i="65"/>
  <c r="BM192" i="65"/>
  <c r="BK192" i="65"/>
  <c r="BL192" i="65"/>
  <c r="BJ192" i="65"/>
  <c r="BI192" i="65"/>
  <c r="BH192" i="65"/>
  <c r="BG192" i="65"/>
  <c r="BF192" i="65"/>
  <c r="BE192" i="65"/>
  <c r="BD192" i="65"/>
  <c r="BC192" i="65"/>
  <c r="BB192" i="65"/>
  <c r="BA192" i="65"/>
  <c r="AZ192" i="65"/>
  <c r="AY192" i="65"/>
  <c r="AX192" i="65"/>
  <c r="AW192" i="65"/>
  <c r="AV192" i="65"/>
  <c r="AU192" i="65"/>
  <c r="AT192" i="65"/>
  <c r="AS192" i="65"/>
  <c r="AR192" i="65"/>
  <c r="AQ192" i="65"/>
  <c r="AP192" i="65"/>
  <c r="AO192" i="65"/>
  <c r="AN192" i="65"/>
  <c r="AM192" i="65"/>
  <c r="AL192" i="65"/>
  <c r="AK192" i="65"/>
  <c r="AJ192" i="65"/>
  <c r="AI192" i="65"/>
  <c r="AH192" i="65"/>
  <c r="AG192" i="65"/>
  <c r="AF192" i="65"/>
  <c r="AE192" i="65"/>
  <c r="AD192" i="65"/>
  <c r="AC192" i="65"/>
  <c r="AB192" i="65"/>
  <c r="AA192" i="65"/>
  <c r="Z192" i="65"/>
  <c r="Y192" i="65"/>
  <c r="X192" i="65"/>
  <c r="W192" i="65"/>
  <c r="V192" i="65"/>
  <c r="U192" i="65"/>
  <c r="T192" i="65"/>
  <c r="S192" i="65"/>
  <c r="R192" i="65"/>
  <c r="Q192" i="65"/>
  <c r="P192" i="65"/>
  <c r="BN206" i="39"/>
  <c r="BM206" i="39"/>
  <c r="AS206" i="39"/>
  <c r="AN206" i="39"/>
  <c r="AW206" i="39"/>
  <c r="BE206" i="39"/>
  <c r="BG206" i="39"/>
  <c r="BK206" i="39"/>
  <c r="AM206" i="39"/>
  <c r="AV206" i="39"/>
  <c r="BI206" i="39"/>
  <c r="AL206" i="39"/>
  <c r="BH206" i="39"/>
  <c r="AK206" i="39"/>
  <c r="AT206" i="39"/>
  <c r="AZ206" i="39"/>
  <c r="AO206" i="39"/>
  <c r="BC206" i="39"/>
  <c r="BB206" i="39"/>
  <c r="AU206" i="39"/>
  <c r="BJ206" i="39"/>
  <c r="BL206" i="39"/>
  <c r="BD206" i="39"/>
  <c r="AX206" i="39"/>
  <c r="AR206" i="39"/>
  <c r="AY206" i="39"/>
  <c r="BF206" i="39"/>
  <c r="BA206" i="39"/>
  <c r="AP206" i="39"/>
  <c r="AQ206" i="39"/>
  <c r="AG206" i="39"/>
  <c r="AJ206" i="39"/>
  <c r="AE206" i="39"/>
  <c r="W206" i="39"/>
  <c r="AB206" i="39"/>
  <c r="Y206" i="39"/>
  <c r="X206" i="39"/>
  <c r="AD206" i="39"/>
  <c r="AI206" i="39"/>
  <c r="AC206" i="39"/>
  <c r="Z206" i="39"/>
  <c r="AA206" i="39"/>
  <c r="AH206" i="39"/>
  <c r="AF206" i="39"/>
  <c r="V206" i="39"/>
  <c r="U206" i="39"/>
  <c r="T206" i="39"/>
  <c r="S206" i="39"/>
  <c r="R206" i="39"/>
  <c r="Q206" i="39"/>
  <c r="P206" i="39"/>
  <c r="O207" i="39"/>
  <c r="BN151" i="39"/>
  <c r="AW151" i="39"/>
  <c r="AQ151" i="39"/>
  <c r="AV151" i="39"/>
  <c r="AR151" i="39"/>
  <c r="AX151" i="39"/>
  <c r="BI151" i="39"/>
  <c r="AZ151" i="39"/>
  <c r="BM151" i="39"/>
  <c r="AN151" i="39"/>
  <c r="BH151" i="39"/>
  <c r="AL151" i="39"/>
  <c r="AM151" i="39"/>
  <c r="AS151" i="39"/>
  <c r="BF151" i="39"/>
  <c r="BK151" i="39"/>
  <c r="AP151" i="39"/>
  <c r="BB151" i="39"/>
  <c r="AT151" i="39"/>
  <c r="BL151" i="39"/>
  <c r="AY151" i="39"/>
  <c r="AO151" i="39"/>
  <c r="BA151" i="39"/>
  <c r="BG151" i="39"/>
  <c r="AK151" i="39"/>
  <c r="AU151" i="39"/>
  <c r="BJ151" i="39"/>
  <c r="Y151" i="39"/>
  <c r="AB151" i="39"/>
  <c r="AE151" i="39"/>
  <c r="X151" i="39"/>
  <c r="AH151" i="39"/>
  <c r="Z151" i="39"/>
  <c r="AC151" i="39"/>
  <c r="AD151" i="39"/>
  <c r="AF151" i="39"/>
  <c r="AJ151" i="39"/>
  <c r="AG151" i="39"/>
  <c r="AI151" i="39"/>
  <c r="AA151" i="39"/>
  <c r="W151" i="39"/>
  <c r="V151" i="39"/>
  <c r="U151" i="39"/>
  <c r="T151" i="39"/>
  <c r="S151" i="39"/>
  <c r="R151" i="39"/>
  <c r="Q151" i="39"/>
  <c r="P151" i="39"/>
  <c r="AU108" i="39"/>
  <c r="AT140" i="39"/>
  <c r="AT141" i="39"/>
  <c r="AT142" i="39"/>
  <c r="O152" i="39"/>
  <c r="BR138" i="65" l="1"/>
  <c r="BS138" i="65"/>
  <c r="BR193" i="65"/>
  <c r="BS193" i="65"/>
  <c r="O194" i="65"/>
  <c r="BN193" i="65"/>
  <c r="BM193" i="65"/>
  <c r="BK193" i="65"/>
  <c r="BL193" i="65"/>
  <c r="BJ193" i="65"/>
  <c r="BI193" i="65"/>
  <c r="BH193" i="65"/>
  <c r="BG193" i="65"/>
  <c r="BF193" i="65"/>
  <c r="BE193" i="65"/>
  <c r="BD193" i="65"/>
  <c r="BC193" i="65"/>
  <c r="BB193" i="65"/>
  <c r="BA193" i="65"/>
  <c r="AZ193" i="65"/>
  <c r="AY193" i="65"/>
  <c r="AX193" i="65"/>
  <c r="AW193" i="65"/>
  <c r="AV193" i="65"/>
  <c r="AU193" i="65"/>
  <c r="AT193" i="65"/>
  <c r="AS193" i="65"/>
  <c r="AR193" i="65"/>
  <c r="AQ193" i="65"/>
  <c r="AP193" i="65"/>
  <c r="AO193" i="65"/>
  <c r="AN193" i="65"/>
  <c r="AM193" i="65"/>
  <c r="AL193" i="65"/>
  <c r="AK193" i="65"/>
  <c r="AJ193" i="65"/>
  <c r="AI193" i="65"/>
  <c r="AH193" i="65"/>
  <c r="AG193" i="65"/>
  <c r="AF193" i="65"/>
  <c r="AE193" i="65"/>
  <c r="AD193" i="65"/>
  <c r="AC193" i="65"/>
  <c r="AB193" i="65"/>
  <c r="AA193" i="65"/>
  <c r="Z193" i="65"/>
  <c r="Y193" i="65"/>
  <c r="X193" i="65"/>
  <c r="W193" i="65"/>
  <c r="V193" i="65"/>
  <c r="U193" i="65"/>
  <c r="T193" i="65"/>
  <c r="S193" i="65"/>
  <c r="R193" i="65"/>
  <c r="P193" i="65"/>
  <c r="Q193" i="65"/>
  <c r="O139" i="65"/>
  <c r="BM138" i="65"/>
  <c r="BN138" i="65"/>
  <c r="BL138" i="65"/>
  <c r="BK138" i="65"/>
  <c r="BJ138" i="65"/>
  <c r="BI138" i="65"/>
  <c r="BH138" i="65"/>
  <c r="BG138" i="65"/>
  <c r="BF138" i="65"/>
  <c r="BE138" i="65"/>
  <c r="BD138" i="65"/>
  <c r="BC138" i="65"/>
  <c r="BB138" i="65"/>
  <c r="BA138" i="65"/>
  <c r="AZ138" i="65"/>
  <c r="AY138" i="65"/>
  <c r="AX138" i="65"/>
  <c r="AW138" i="65"/>
  <c r="AV138" i="65"/>
  <c r="AU138" i="65"/>
  <c r="AT138" i="65"/>
  <c r="AS138" i="65"/>
  <c r="AR138" i="65"/>
  <c r="AQ138" i="65"/>
  <c r="AP138" i="65"/>
  <c r="AO138" i="65"/>
  <c r="AN138" i="65"/>
  <c r="AM138" i="65"/>
  <c r="AL138" i="65"/>
  <c r="AK138" i="65"/>
  <c r="AJ138" i="65"/>
  <c r="AI138" i="65"/>
  <c r="AH138" i="65"/>
  <c r="AG138" i="65"/>
  <c r="AF138" i="65"/>
  <c r="AE138" i="65"/>
  <c r="AD138" i="65"/>
  <c r="AC138" i="65"/>
  <c r="AB138" i="65"/>
  <c r="AA138" i="65"/>
  <c r="Z138" i="65"/>
  <c r="Y138" i="65"/>
  <c r="X138" i="65"/>
  <c r="W138" i="65"/>
  <c r="V138" i="65"/>
  <c r="U138" i="65"/>
  <c r="T138" i="65"/>
  <c r="S138" i="65"/>
  <c r="R138" i="65"/>
  <c r="Q138" i="65"/>
  <c r="P138" i="65"/>
  <c r="BN207" i="39"/>
  <c r="BM207" i="39"/>
  <c r="BG207" i="39"/>
  <c r="BH207" i="39"/>
  <c r="BI207" i="39"/>
  <c r="AS207" i="39"/>
  <c r="BC207" i="39"/>
  <c r="AN207" i="39"/>
  <c r="BK207" i="39"/>
  <c r="AP207" i="39"/>
  <c r="AW207" i="39"/>
  <c r="BE207" i="39"/>
  <c r="AT207" i="39"/>
  <c r="AZ207" i="39"/>
  <c r="AL207" i="39"/>
  <c r="BF207" i="39"/>
  <c r="BB207" i="39"/>
  <c r="AU207" i="39"/>
  <c r="AM207" i="39"/>
  <c r="AK207" i="39"/>
  <c r="AQ207" i="39"/>
  <c r="AR207" i="39"/>
  <c r="BD207" i="39"/>
  <c r="AV207" i="39"/>
  <c r="AO207" i="39"/>
  <c r="BJ207" i="39"/>
  <c r="AX207" i="39"/>
  <c r="AY207" i="39"/>
  <c r="BL207" i="39"/>
  <c r="BA207" i="39"/>
  <c r="AB207" i="39"/>
  <c r="AD207" i="39"/>
  <c r="X207" i="39"/>
  <c r="AG207" i="39"/>
  <c r="AJ207" i="39"/>
  <c r="Y207" i="39"/>
  <c r="W207" i="39"/>
  <c r="AE207" i="39"/>
  <c r="AH207" i="39"/>
  <c r="Z207" i="39"/>
  <c r="AI207" i="39"/>
  <c r="AC207" i="39"/>
  <c r="AF207" i="39"/>
  <c r="AA207" i="39"/>
  <c r="V207" i="39"/>
  <c r="U207" i="39"/>
  <c r="T207" i="39"/>
  <c r="S207" i="39"/>
  <c r="R207" i="39"/>
  <c r="Q207" i="39"/>
  <c r="P207" i="39"/>
  <c r="O208" i="39"/>
  <c r="AV108" i="39"/>
  <c r="AU141" i="39"/>
  <c r="AU142" i="39"/>
  <c r="AU143" i="39"/>
  <c r="BN152" i="39"/>
  <c r="BL152" i="39"/>
  <c r="BM152" i="39"/>
  <c r="BG152" i="39"/>
  <c r="AV152" i="39"/>
  <c r="AR152" i="39"/>
  <c r="AQ152" i="39"/>
  <c r="AN152" i="39"/>
  <c r="BK152" i="39"/>
  <c r="AP152" i="39"/>
  <c r="AO152" i="39"/>
  <c r="AM152" i="39"/>
  <c r="AW152" i="39"/>
  <c r="AS152" i="39"/>
  <c r="BI152" i="39"/>
  <c r="AT152" i="39"/>
  <c r="AZ152" i="39"/>
  <c r="AK152" i="39"/>
  <c r="AU152" i="39"/>
  <c r="AY152" i="39"/>
  <c r="AX152" i="39"/>
  <c r="BB152" i="39"/>
  <c r="BH152" i="39"/>
  <c r="BC152" i="39"/>
  <c r="AL152" i="39"/>
  <c r="BA152" i="39"/>
  <c r="BJ152" i="39"/>
  <c r="AH152" i="39"/>
  <c r="AI152" i="39"/>
  <c r="Z152" i="39"/>
  <c r="Y152" i="39"/>
  <c r="X152" i="39"/>
  <c r="AC152" i="39"/>
  <c r="AB152" i="39"/>
  <c r="AE152" i="39"/>
  <c r="AD152" i="39"/>
  <c r="AA152" i="39"/>
  <c r="AJ152" i="39"/>
  <c r="AF152" i="39"/>
  <c r="AG152" i="39"/>
  <c r="W152" i="39"/>
  <c r="V152" i="39"/>
  <c r="U152" i="39"/>
  <c r="T152" i="39"/>
  <c r="S152" i="39"/>
  <c r="R152" i="39"/>
  <c r="Q152" i="39"/>
  <c r="P152" i="39"/>
  <c r="O153" i="39"/>
  <c r="BS194" i="65" l="1"/>
  <c r="BR194" i="65"/>
  <c r="BR139" i="65"/>
  <c r="BS139" i="65"/>
  <c r="O140" i="65"/>
  <c r="BM139" i="65"/>
  <c r="BN139" i="65"/>
  <c r="BL139" i="65"/>
  <c r="BK139" i="65"/>
  <c r="BJ139" i="65"/>
  <c r="BI139" i="65"/>
  <c r="BH139" i="65"/>
  <c r="BG139" i="65"/>
  <c r="BF139" i="65"/>
  <c r="BE139" i="65"/>
  <c r="BD139" i="65"/>
  <c r="BC139" i="65"/>
  <c r="BB139" i="65"/>
  <c r="BA139" i="65"/>
  <c r="AZ139" i="65"/>
  <c r="AY139" i="65"/>
  <c r="AX139" i="65"/>
  <c r="AW139" i="65"/>
  <c r="AV139" i="65"/>
  <c r="AU139" i="65"/>
  <c r="AT139" i="65"/>
  <c r="AS139" i="65"/>
  <c r="AR139" i="65"/>
  <c r="AQ139" i="65"/>
  <c r="AP139" i="65"/>
  <c r="AO139" i="65"/>
  <c r="AN139" i="65"/>
  <c r="AM139" i="65"/>
  <c r="AL139" i="65"/>
  <c r="AK139" i="65"/>
  <c r="AJ139" i="65"/>
  <c r="AI139" i="65"/>
  <c r="AH139" i="65"/>
  <c r="AG139" i="65"/>
  <c r="AF139" i="65"/>
  <c r="AE139" i="65"/>
  <c r="AD139" i="65"/>
  <c r="AC139" i="65"/>
  <c r="AB139" i="65"/>
  <c r="AA139" i="65"/>
  <c r="Z139" i="65"/>
  <c r="Y139" i="65"/>
  <c r="X139" i="65"/>
  <c r="W139" i="65"/>
  <c r="V139" i="65"/>
  <c r="U139" i="65"/>
  <c r="T139" i="65"/>
  <c r="S139" i="65"/>
  <c r="R139" i="65"/>
  <c r="Q139" i="65"/>
  <c r="P139" i="65"/>
  <c r="O195" i="65"/>
  <c r="BN194" i="65"/>
  <c r="BM194" i="65"/>
  <c r="BK194" i="65"/>
  <c r="BL194" i="65"/>
  <c r="BJ194" i="65"/>
  <c r="BI194" i="65"/>
  <c r="BH194" i="65"/>
  <c r="BG194" i="65"/>
  <c r="BF194" i="65"/>
  <c r="BE194" i="65"/>
  <c r="BD194" i="65"/>
  <c r="BC194" i="65"/>
  <c r="BB194" i="65"/>
  <c r="BA194" i="65"/>
  <c r="AZ194" i="65"/>
  <c r="AY194" i="65"/>
  <c r="AX194" i="65"/>
  <c r="AW194" i="65"/>
  <c r="AV194" i="65"/>
  <c r="AU194" i="65"/>
  <c r="AT194" i="65"/>
  <c r="AS194" i="65"/>
  <c r="AR194" i="65"/>
  <c r="AQ194" i="65"/>
  <c r="AP194" i="65"/>
  <c r="AO194" i="65"/>
  <c r="AN194" i="65"/>
  <c r="AM194" i="65"/>
  <c r="AL194" i="65"/>
  <c r="AK194" i="65"/>
  <c r="AJ194" i="65"/>
  <c r="AI194" i="65"/>
  <c r="AH194" i="65"/>
  <c r="AG194" i="65"/>
  <c r="AF194" i="65"/>
  <c r="AE194" i="65"/>
  <c r="AD194" i="65"/>
  <c r="AC194" i="65"/>
  <c r="AB194" i="65"/>
  <c r="AA194" i="65"/>
  <c r="Z194" i="65"/>
  <c r="Y194" i="65"/>
  <c r="X194" i="65"/>
  <c r="W194" i="65"/>
  <c r="V194" i="65"/>
  <c r="U194" i="65"/>
  <c r="T194" i="65"/>
  <c r="S194" i="65"/>
  <c r="R194" i="65"/>
  <c r="P194" i="65"/>
  <c r="Q194" i="65"/>
  <c r="BN208" i="39"/>
  <c r="BE208" i="39"/>
  <c r="BB208" i="39"/>
  <c r="BM208" i="39"/>
  <c r="BG208" i="39"/>
  <c r="AS208" i="39"/>
  <c r="AW208" i="39"/>
  <c r="BI208" i="39"/>
  <c r="AK208" i="39"/>
  <c r="AU208" i="39"/>
  <c r="BA208" i="39"/>
  <c r="AN208" i="39"/>
  <c r="BH208" i="39"/>
  <c r="AV208" i="39"/>
  <c r="AX208" i="39"/>
  <c r="AT208" i="39"/>
  <c r="AL208" i="39"/>
  <c r="BF208" i="39"/>
  <c r="BK208" i="39"/>
  <c r="AM208" i="39"/>
  <c r="AZ208" i="39"/>
  <c r="AY208" i="39"/>
  <c r="BC208" i="39"/>
  <c r="AO208" i="39"/>
  <c r="BJ208" i="39"/>
  <c r="BD208" i="39"/>
  <c r="AR208" i="39"/>
  <c r="AQ208" i="39"/>
  <c r="AP208" i="39"/>
  <c r="BL208" i="39"/>
  <c r="Y208" i="39"/>
  <c r="AB208" i="39"/>
  <c r="AE208" i="39"/>
  <c r="AG208" i="39"/>
  <c r="AD208" i="39"/>
  <c r="AJ208" i="39"/>
  <c r="W208" i="39"/>
  <c r="X208" i="39"/>
  <c r="AF208" i="39"/>
  <c r="AC208" i="39"/>
  <c r="AA208" i="39"/>
  <c r="AI208" i="39"/>
  <c r="Z208" i="39"/>
  <c r="AH208" i="39"/>
  <c r="V208" i="39"/>
  <c r="U208" i="39"/>
  <c r="T208" i="39"/>
  <c r="S208" i="39"/>
  <c r="R208" i="39"/>
  <c r="Q208" i="39"/>
  <c r="P208" i="39"/>
  <c r="O209" i="39"/>
  <c r="BN153" i="39"/>
  <c r="AV153" i="39"/>
  <c r="AR153" i="39"/>
  <c r="AS153" i="39"/>
  <c r="AQ153" i="39"/>
  <c r="BD153" i="39"/>
  <c r="AP153" i="39"/>
  <c r="BL153" i="39"/>
  <c r="AW153" i="39"/>
  <c r="BB153" i="39"/>
  <c r="AL153" i="39"/>
  <c r="BI153" i="39"/>
  <c r="AZ153" i="39"/>
  <c r="AK153" i="39"/>
  <c r="AM153" i="39"/>
  <c r="AX153" i="39"/>
  <c r="AY153" i="39"/>
  <c r="BM153" i="39"/>
  <c r="BC153" i="39"/>
  <c r="AN153" i="39"/>
  <c r="AU153" i="39"/>
  <c r="AO153" i="39"/>
  <c r="BH153" i="39"/>
  <c r="AT153" i="39"/>
  <c r="BK153" i="39"/>
  <c r="BA153" i="39"/>
  <c r="BJ153" i="39"/>
  <c r="AC153" i="39"/>
  <c r="X153" i="39"/>
  <c r="AH153" i="39"/>
  <c r="AB153" i="39"/>
  <c r="AE153" i="39"/>
  <c r="Z153" i="39"/>
  <c r="Y153" i="39"/>
  <c r="AD153" i="39"/>
  <c r="AF153" i="39"/>
  <c r="AI153" i="39"/>
  <c r="AA153" i="39"/>
  <c r="AJ153" i="39"/>
  <c r="AG153" i="39"/>
  <c r="W153" i="39"/>
  <c r="V153" i="39"/>
  <c r="U153" i="39"/>
  <c r="T153" i="39"/>
  <c r="S153" i="39"/>
  <c r="R153" i="39"/>
  <c r="Q153" i="39"/>
  <c r="P153" i="39"/>
  <c r="AW108" i="39"/>
  <c r="AV142" i="39"/>
  <c r="AV143" i="39"/>
  <c r="AV144" i="39"/>
  <c r="O154" i="39"/>
  <c r="BR140" i="65" l="1"/>
  <c r="BS140" i="65"/>
  <c r="BS195" i="65"/>
  <c r="BR195" i="65"/>
  <c r="O196" i="65"/>
  <c r="BM195" i="65"/>
  <c r="BN195" i="65"/>
  <c r="BL195" i="65"/>
  <c r="BK195" i="65"/>
  <c r="BJ195" i="65"/>
  <c r="BI195" i="65"/>
  <c r="BH195" i="65"/>
  <c r="BG195" i="65"/>
  <c r="BF195" i="65"/>
  <c r="BE195" i="65"/>
  <c r="BD195" i="65"/>
  <c r="BC195" i="65"/>
  <c r="BB195" i="65"/>
  <c r="BA195" i="65"/>
  <c r="AZ195" i="65"/>
  <c r="AY195" i="65"/>
  <c r="AX195" i="65"/>
  <c r="AW195" i="65"/>
  <c r="AV195" i="65"/>
  <c r="AU195" i="65"/>
  <c r="AT195" i="65"/>
  <c r="AS195" i="65"/>
  <c r="AR195" i="65"/>
  <c r="AQ195" i="65"/>
  <c r="AP195" i="65"/>
  <c r="AO195" i="65"/>
  <c r="AN195" i="65"/>
  <c r="AM195" i="65"/>
  <c r="AL195" i="65"/>
  <c r="AK195" i="65"/>
  <c r="AJ195" i="65"/>
  <c r="AI195" i="65"/>
  <c r="AH195" i="65"/>
  <c r="AG195" i="65"/>
  <c r="AF195" i="65"/>
  <c r="AE195" i="65"/>
  <c r="AD195" i="65"/>
  <c r="AC195" i="65"/>
  <c r="AB195" i="65"/>
  <c r="AA195" i="65"/>
  <c r="Z195" i="65"/>
  <c r="Y195" i="65"/>
  <c r="X195" i="65"/>
  <c r="W195" i="65"/>
  <c r="V195" i="65"/>
  <c r="U195" i="65"/>
  <c r="T195" i="65"/>
  <c r="S195" i="65"/>
  <c r="R195" i="65"/>
  <c r="P195" i="65"/>
  <c r="Q195" i="65"/>
  <c r="O141" i="65"/>
  <c r="BN140" i="65"/>
  <c r="BM140" i="65"/>
  <c r="BK140" i="65"/>
  <c r="BL140" i="65"/>
  <c r="BJ140" i="65"/>
  <c r="BI140" i="65"/>
  <c r="BH140" i="65"/>
  <c r="BG140" i="65"/>
  <c r="BF140" i="65"/>
  <c r="BE140" i="65"/>
  <c r="BD140" i="65"/>
  <c r="BC140" i="65"/>
  <c r="BB140" i="65"/>
  <c r="BA140" i="65"/>
  <c r="AZ140" i="65"/>
  <c r="AY140" i="65"/>
  <c r="AX140" i="65"/>
  <c r="AW140" i="65"/>
  <c r="AV140" i="65"/>
  <c r="AU140" i="65"/>
  <c r="AT140" i="65"/>
  <c r="AS140" i="65"/>
  <c r="AR140" i="65"/>
  <c r="AQ140" i="65"/>
  <c r="AP140" i="65"/>
  <c r="AO140" i="65"/>
  <c r="AN140" i="65"/>
  <c r="AM140" i="65"/>
  <c r="AL140" i="65"/>
  <c r="AK140" i="65"/>
  <c r="AJ140" i="65"/>
  <c r="AI140" i="65"/>
  <c r="AH140" i="65"/>
  <c r="AG140" i="65"/>
  <c r="AF140" i="65"/>
  <c r="AE140" i="65"/>
  <c r="AD140" i="65"/>
  <c r="AC140" i="65"/>
  <c r="AB140" i="65"/>
  <c r="AA140" i="65"/>
  <c r="Z140" i="65"/>
  <c r="Y140" i="65"/>
  <c r="X140" i="65"/>
  <c r="W140" i="65"/>
  <c r="V140" i="65"/>
  <c r="U140" i="65"/>
  <c r="T140" i="65"/>
  <c r="S140" i="65"/>
  <c r="R140" i="65"/>
  <c r="P140" i="65"/>
  <c r="Q140" i="65"/>
  <c r="BN209" i="39"/>
  <c r="AS209" i="39"/>
  <c r="BC209" i="39"/>
  <c r="AN209" i="39"/>
  <c r="BM209" i="39"/>
  <c r="BG209" i="39"/>
  <c r="BB209" i="39"/>
  <c r="BA209" i="39"/>
  <c r="AQ209" i="39"/>
  <c r="AW209" i="39"/>
  <c r="BE209" i="39"/>
  <c r="BH209" i="39"/>
  <c r="BI209" i="39"/>
  <c r="AT209" i="39"/>
  <c r="BK209" i="39"/>
  <c r="BF209" i="39"/>
  <c r="AK209" i="39"/>
  <c r="AU209" i="39"/>
  <c r="BD209" i="39"/>
  <c r="AZ209" i="39"/>
  <c r="AL209" i="39"/>
  <c r="AM209" i="39"/>
  <c r="BJ209" i="39"/>
  <c r="AO209" i="39"/>
  <c r="AY209" i="39"/>
  <c r="BL209" i="39"/>
  <c r="AV209" i="39"/>
  <c r="AR209" i="39"/>
  <c r="AX209" i="39"/>
  <c r="AP209" i="39"/>
  <c r="Y209" i="39"/>
  <c r="X209" i="39"/>
  <c r="AG209" i="39"/>
  <c r="AD209" i="39"/>
  <c r="AE209" i="39"/>
  <c r="AJ209" i="39"/>
  <c r="AB209" i="39"/>
  <c r="W209" i="39"/>
  <c r="AH209" i="39"/>
  <c r="AI209" i="39"/>
  <c r="AA209" i="39"/>
  <c r="AC209" i="39"/>
  <c r="AF209" i="39"/>
  <c r="Z209" i="39"/>
  <c r="V209" i="39"/>
  <c r="U209" i="39"/>
  <c r="T209" i="39"/>
  <c r="S209" i="39"/>
  <c r="R209" i="39"/>
  <c r="Q209" i="39"/>
  <c r="P209" i="39"/>
  <c r="O210" i="39"/>
  <c r="AX108" i="39"/>
  <c r="AW143" i="39"/>
  <c r="AW144" i="39"/>
  <c r="AW145" i="39"/>
  <c r="BN154" i="39"/>
  <c r="BL154" i="39"/>
  <c r="AV154" i="39"/>
  <c r="AW154" i="39"/>
  <c r="BE154" i="39"/>
  <c r="AX154" i="39"/>
  <c r="BM154" i="39"/>
  <c r="AQ154" i="39"/>
  <c r="AS154" i="39"/>
  <c r="AK154" i="39"/>
  <c r="AU154" i="39"/>
  <c r="BA154" i="39"/>
  <c r="AP154" i="39"/>
  <c r="AN154" i="39"/>
  <c r="BI154" i="39"/>
  <c r="AY154" i="39"/>
  <c r="BB154" i="39"/>
  <c r="AM154" i="39"/>
  <c r="BD154" i="39"/>
  <c r="BK154" i="39"/>
  <c r="AZ154" i="39"/>
  <c r="BJ154" i="39"/>
  <c r="AR154" i="39"/>
  <c r="BC154" i="39"/>
  <c r="AT154" i="39"/>
  <c r="AL154" i="39"/>
  <c r="AO154" i="39"/>
  <c r="AE154" i="39"/>
  <c r="AC154" i="39"/>
  <c r="Y154" i="39"/>
  <c r="AB154" i="39"/>
  <c r="Z154" i="39"/>
  <c r="AH154" i="39"/>
  <c r="X154" i="39"/>
  <c r="AJ154" i="39"/>
  <c r="AG154" i="39"/>
  <c r="AD154" i="39"/>
  <c r="AI154" i="39"/>
  <c r="AF154" i="39"/>
  <c r="AA154" i="39"/>
  <c r="W154" i="39"/>
  <c r="V154" i="39"/>
  <c r="U154" i="39"/>
  <c r="T154" i="39"/>
  <c r="S154" i="39"/>
  <c r="R154" i="39"/>
  <c r="Q154" i="39"/>
  <c r="P154" i="39"/>
  <c r="O155" i="39"/>
  <c r="BR196" i="65" l="1"/>
  <c r="BS196" i="65"/>
  <c r="BS141" i="65"/>
  <c r="BR141" i="65"/>
  <c r="O142" i="65"/>
  <c r="BM141" i="65"/>
  <c r="BN141" i="65"/>
  <c r="BL141" i="65"/>
  <c r="BK141" i="65"/>
  <c r="BJ141" i="65"/>
  <c r="BI141" i="65"/>
  <c r="BH141" i="65"/>
  <c r="BG141" i="65"/>
  <c r="BF141" i="65"/>
  <c r="BE141" i="65"/>
  <c r="BD141" i="65"/>
  <c r="BC141" i="65"/>
  <c r="BB141" i="65"/>
  <c r="BA141" i="65"/>
  <c r="AZ141" i="65"/>
  <c r="AY141" i="65"/>
  <c r="AX141" i="65"/>
  <c r="AW141" i="65"/>
  <c r="AV141" i="65"/>
  <c r="AU141" i="65"/>
  <c r="AT141" i="65"/>
  <c r="AS141" i="65"/>
  <c r="AR141" i="65"/>
  <c r="AQ141" i="65"/>
  <c r="AP141" i="65"/>
  <c r="AO141" i="65"/>
  <c r="AN141" i="65"/>
  <c r="AM141" i="65"/>
  <c r="AL141" i="65"/>
  <c r="AK141" i="65"/>
  <c r="AJ141" i="65"/>
  <c r="AI141" i="65"/>
  <c r="AH141" i="65"/>
  <c r="AG141" i="65"/>
  <c r="AF141" i="65"/>
  <c r="AE141" i="65"/>
  <c r="AD141" i="65"/>
  <c r="AC141" i="65"/>
  <c r="AB141" i="65"/>
  <c r="AA141" i="65"/>
  <c r="Z141" i="65"/>
  <c r="Y141" i="65"/>
  <c r="X141" i="65"/>
  <c r="W141" i="65"/>
  <c r="V141" i="65"/>
  <c r="U141" i="65"/>
  <c r="T141" i="65"/>
  <c r="S141" i="65"/>
  <c r="R141" i="65"/>
  <c r="Q141" i="65"/>
  <c r="P141" i="65"/>
  <c r="O197" i="65"/>
  <c r="BN196" i="65"/>
  <c r="BM196" i="65"/>
  <c r="BL196" i="65"/>
  <c r="BK196" i="65"/>
  <c r="BJ196" i="65"/>
  <c r="BI196" i="65"/>
  <c r="BH196" i="65"/>
  <c r="BG196" i="65"/>
  <c r="BF196" i="65"/>
  <c r="BE196" i="65"/>
  <c r="BD196" i="65"/>
  <c r="BC196" i="65"/>
  <c r="BB196" i="65"/>
  <c r="BA196" i="65"/>
  <c r="AZ196" i="65"/>
  <c r="AY196" i="65"/>
  <c r="AX196" i="65"/>
  <c r="AW196" i="65"/>
  <c r="AV196" i="65"/>
  <c r="AU196" i="65"/>
  <c r="AT196" i="65"/>
  <c r="AS196" i="65"/>
  <c r="AR196" i="65"/>
  <c r="AQ196" i="65"/>
  <c r="AP196" i="65"/>
  <c r="AO196" i="65"/>
  <c r="AN196" i="65"/>
  <c r="AM196" i="65"/>
  <c r="AL196" i="65"/>
  <c r="AK196" i="65"/>
  <c r="AJ196" i="65"/>
  <c r="AI196" i="65"/>
  <c r="AH196" i="65"/>
  <c r="AG196" i="65"/>
  <c r="AF196" i="65"/>
  <c r="AE196" i="65"/>
  <c r="AD196" i="65"/>
  <c r="AC196" i="65"/>
  <c r="AB196" i="65"/>
  <c r="AA196" i="65"/>
  <c r="Z196" i="65"/>
  <c r="Y196" i="65"/>
  <c r="X196" i="65"/>
  <c r="W196" i="65"/>
  <c r="V196" i="65"/>
  <c r="U196" i="65"/>
  <c r="T196" i="65"/>
  <c r="S196" i="65"/>
  <c r="R196" i="65"/>
  <c r="Q196" i="65"/>
  <c r="P196" i="65"/>
  <c r="BN210" i="39"/>
  <c r="AW210" i="39"/>
  <c r="BH210" i="39"/>
  <c r="BB210" i="39"/>
  <c r="BE210" i="39"/>
  <c r="AS210" i="39"/>
  <c r="BM210" i="39"/>
  <c r="AZ210" i="39"/>
  <c r="BJ210" i="39"/>
  <c r="AQ210" i="39"/>
  <c r="AY210" i="39"/>
  <c r="BG210" i="39"/>
  <c r="BC210" i="39"/>
  <c r="AN210" i="39"/>
  <c r="BI210" i="39"/>
  <c r="BK210" i="39"/>
  <c r="AL210" i="39"/>
  <c r="AK210" i="39"/>
  <c r="BF210" i="39"/>
  <c r="AU210" i="39"/>
  <c r="AV210" i="39"/>
  <c r="AP210" i="39"/>
  <c r="AT210" i="39"/>
  <c r="AO210" i="39"/>
  <c r="AM210" i="39"/>
  <c r="BD210" i="39"/>
  <c r="BL210" i="39"/>
  <c r="AX210" i="39"/>
  <c r="AR210" i="39"/>
  <c r="BA210" i="39"/>
  <c r="AD210" i="39"/>
  <c r="X210" i="39"/>
  <c r="AE210" i="39"/>
  <c r="AB210" i="39"/>
  <c r="Y210" i="39"/>
  <c r="W210" i="39"/>
  <c r="AJ210" i="39"/>
  <c r="AG210" i="39"/>
  <c r="AH210" i="39"/>
  <c r="AF210" i="39"/>
  <c r="AI210" i="39"/>
  <c r="AC210" i="39"/>
  <c r="AA210" i="39"/>
  <c r="Z210" i="39"/>
  <c r="V210" i="39"/>
  <c r="U210" i="39"/>
  <c r="T210" i="39"/>
  <c r="S210" i="39"/>
  <c r="R210" i="39"/>
  <c r="Q210" i="39"/>
  <c r="P210" i="39"/>
  <c r="O211" i="39"/>
  <c r="BN155" i="39"/>
  <c r="BL155" i="39"/>
  <c r="AY155" i="39"/>
  <c r="BD155" i="39"/>
  <c r="AV155" i="39"/>
  <c r="AS155" i="39"/>
  <c r="AP155" i="39"/>
  <c r="AR155" i="39"/>
  <c r="AW155" i="39"/>
  <c r="BM155" i="39"/>
  <c r="AZ155" i="39"/>
  <c r="BB155" i="39"/>
  <c r="AK155" i="39"/>
  <c r="AU155" i="39"/>
  <c r="AQ155" i="39"/>
  <c r="BA155" i="39"/>
  <c r="BE155" i="39"/>
  <c r="AX155" i="39"/>
  <c r="BC155" i="39"/>
  <c r="AN155" i="39"/>
  <c r="AT155" i="39"/>
  <c r="AL155" i="39"/>
  <c r="AM155" i="39"/>
  <c r="AO155" i="39"/>
  <c r="BJ155" i="39"/>
  <c r="BF155" i="39"/>
  <c r="BK155" i="39"/>
  <c r="AC155" i="39"/>
  <c r="Y155" i="39"/>
  <c r="AH155" i="39"/>
  <c r="X155" i="39"/>
  <c r="AB155" i="39"/>
  <c r="AE155" i="39"/>
  <c r="Z155" i="39"/>
  <c r="AF155" i="39"/>
  <c r="AI155" i="39"/>
  <c r="AA155" i="39"/>
  <c r="AD155" i="39"/>
  <c r="AJ155" i="39"/>
  <c r="AG155" i="39"/>
  <c r="W155" i="39"/>
  <c r="V155" i="39"/>
  <c r="U155" i="39"/>
  <c r="T155" i="39"/>
  <c r="S155" i="39"/>
  <c r="R155" i="39"/>
  <c r="Q155" i="39"/>
  <c r="P155" i="39"/>
  <c r="AY108" i="39"/>
  <c r="AX144" i="39"/>
  <c r="AX145" i="39"/>
  <c r="AX146" i="39"/>
  <c r="O156" i="39"/>
  <c r="BR142" i="65" l="1"/>
  <c r="BS142" i="65"/>
  <c r="BS197" i="65"/>
  <c r="BR197" i="65"/>
  <c r="O198" i="65"/>
  <c r="BN197" i="65"/>
  <c r="BM197" i="65"/>
  <c r="BL197" i="65"/>
  <c r="BK197" i="65"/>
  <c r="BJ197" i="65"/>
  <c r="BI197" i="65"/>
  <c r="BH197" i="65"/>
  <c r="BG197" i="65"/>
  <c r="BF197" i="65"/>
  <c r="BE197" i="65"/>
  <c r="BD197" i="65"/>
  <c r="BC197" i="65"/>
  <c r="BB197" i="65"/>
  <c r="BA197" i="65"/>
  <c r="AZ197" i="65"/>
  <c r="AY197" i="65"/>
  <c r="AX197" i="65"/>
  <c r="AW197" i="65"/>
  <c r="AV197" i="65"/>
  <c r="AU197" i="65"/>
  <c r="AT197" i="65"/>
  <c r="AS197" i="65"/>
  <c r="AR197" i="65"/>
  <c r="AQ197" i="65"/>
  <c r="AP197" i="65"/>
  <c r="AO197" i="65"/>
  <c r="AN197" i="65"/>
  <c r="AM197" i="65"/>
  <c r="AL197" i="65"/>
  <c r="AK197" i="65"/>
  <c r="AJ197" i="65"/>
  <c r="AI197" i="65"/>
  <c r="AH197" i="65"/>
  <c r="AG197" i="65"/>
  <c r="AF197" i="65"/>
  <c r="AE197" i="65"/>
  <c r="AD197" i="65"/>
  <c r="AC197" i="65"/>
  <c r="AB197" i="65"/>
  <c r="AA197" i="65"/>
  <c r="Z197" i="65"/>
  <c r="Y197" i="65"/>
  <c r="X197" i="65"/>
  <c r="W197" i="65"/>
  <c r="V197" i="65"/>
  <c r="U197" i="65"/>
  <c r="T197" i="65"/>
  <c r="S197" i="65"/>
  <c r="R197" i="65"/>
  <c r="Q197" i="65"/>
  <c r="P197" i="65"/>
  <c r="O143" i="65"/>
  <c r="BN142" i="65"/>
  <c r="BM142" i="65"/>
  <c r="BK142" i="65"/>
  <c r="BL142" i="65"/>
  <c r="BJ142" i="65"/>
  <c r="BI142" i="65"/>
  <c r="BH142" i="65"/>
  <c r="BG142" i="65"/>
  <c r="BF142" i="65"/>
  <c r="BE142" i="65"/>
  <c r="BD142" i="65"/>
  <c r="BC142" i="65"/>
  <c r="BB142" i="65"/>
  <c r="BA142" i="65"/>
  <c r="AZ142" i="65"/>
  <c r="AY142" i="65"/>
  <c r="AX142" i="65"/>
  <c r="AW142" i="65"/>
  <c r="AV142" i="65"/>
  <c r="AU142" i="65"/>
  <c r="AT142" i="65"/>
  <c r="AS142" i="65"/>
  <c r="AR142" i="65"/>
  <c r="AQ142" i="65"/>
  <c r="AP142" i="65"/>
  <c r="AO142" i="65"/>
  <c r="AN142" i="65"/>
  <c r="AM142" i="65"/>
  <c r="AL142" i="65"/>
  <c r="AK142" i="65"/>
  <c r="AJ142" i="65"/>
  <c r="AI142" i="65"/>
  <c r="AH142" i="65"/>
  <c r="AG142" i="65"/>
  <c r="AF142" i="65"/>
  <c r="AE142" i="65"/>
  <c r="AD142" i="65"/>
  <c r="AC142" i="65"/>
  <c r="AB142" i="65"/>
  <c r="AA142" i="65"/>
  <c r="Z142" i="65"/>
  <c r="Y142" i="65"/>
  <c r="X142" i="65"/>
  <c r="W142" i="65"/>
  <c r="V142" i="65"/>
  <c r="U142" i="65"/>
  <c r="T142" i="65"/>
  <c r="S142" i="65"/>
  <c r="R142" i="65"/>
  <c r="Q142" i="65"/>
  <c r="P142" i="65"/>
  <c r="BN211" i="39"/>
  <c r="BC211" i="39"/>
  <c r="AN211" i="39"/>
  <c r="BE211" i="39"/>
  <c r="BH211" i="39"/>
  <c r="BB211" i="39"/>
  <c r="AW211" i="39"/>
  <c r="BM211" i="39"/>
  <c r="BG211" i="39"/>
  <c r="BI211" i="39"/>
  <c r="AX211" i="39"/>
  <c r="AS211" i="39"/>
  <c r="AT211" i="39"/>
  <c r="BF211" i="39"/>
  <c r="AO211" i="39"/>
  <c r="AZ211" i="39"/>
  <c r="AL211" i="39"/>
  <c r="AK211" i="39"/>
  <c r="AU211" i="39"/>
  <c r="BA211" i="39"/>
  <c r="AY211" i="39"/>
  <c r="BK211" i="39"/>
  <c r="AM211" i="39"/>
  <c r="BJ211" i="39"/>
  <c r="BL211" i="39"/>
  <c r="AV211" i="39"/>
  <c r="AR211" i="39"/>
  <c r="AQ211" i="39"/>
  <c r="AP211" i="39"/>
  <c r="BD211" i="39"/>
  <c r="W211" i="39"/>
  <c r="AD211" i="39"/>
  <c r="X211" i="39"/>
  <c r="AJ211" i="39"/>
  <c r="Y211" i="39"/>
  <c r="AE211" i="39"/>
  <c r="AG211" i="39"/>
  <c r="AB211" i="39"/>
  <c r="AA211" i="39"/>
  <c r="AF211" i="39"/>
  <c r="Z211" i="39"/>
  <c r="AI211" i="39"/>
  <c r="AH211" i="39"/>
  <c r="AC211" i="39"/>
  <c r="V211" i="39"/>
  <c r="U211" i="39"/>
  <c r="T211" i="39"/>
  <c r="S211" i="39"/>
  <c r="R211" i="39"/>
  <c r="Q211" i="39"/>
  <c r="P211" i="39"/>
  <c r="O212" i="39"/>
  <c r="AZ108" i="39"/>
  <c r="AY145" i="39"/>
  <c r="AY146" i="39"/>
  <c r="AY147" i="39"/>
  <c r="BN156" i="39"/>
  <c r="AR156" i="39"/>
  <c r="BM156" i="39"/>
  <c r="BE156" i="39"/>
  <c r="AY156" i="39"/>
  <c r="AV156" i="39"/>
  <c r="AW156" i="39"/>
  <c r="AS156" i="39"/>
  <c r="BL156" i="39"/>
  <c r="AP156" i="39"/>
  <c r="BD156" i="39"/>
  <c r="BG156" i="39"/>
  <c r="BK156" i="39"/>
  <c r="AZ156" i="39"/>
  <c r="AL156" i="39"/>
  <c r="AN156" i="39"/>
  <c r="BB156" i="39"/>
  <c r="AT156" i="39"/>
  <c r="AQ156" i="39"/>
  <c r="BC156" i="39"/>
  <c r="AM156" i="39"/>
  <c r="AX156" i="39"/>
  <c r="AK156" i="39"/>
  <c r="BF156" i="39"/>
  <c r="BA156" i="39"/>
  <c r="AO156" i="39"/>
  <c r="AU156" i="39"/>
  <c r="AE156" i="39"/>
  <c r="AH156" i="39"/>
  <c r="X156" i="39"/>
  <c r="AC156" i="39"/>
  <c r="Y156" i="39"/>
  <c r="AB156" i="39"/>
  <c r="Z156" i="39"/>
  <c r="AI156" i="39"/>
  <c r="AA156" i="39"/>
  <c r="AF156" i="39"/>
  <c r="AD156" i="39"/>
  <c r="AG156" i="39"/>
  <c r="AJ156" i="39"/>
  <c r="W156" i="39"/>
  <c r="V156" i="39"/>
  <c r="U156" i="39"/>
  <c r="T156" i="39"/>
  <c r="S156" i="39"/>
  <c r="R156" i="39"/>
  <c r="Q156" i="39"/>
  <c r="P156" i="39"/>
  <c r="O157" i="39"/>
  <c r="BS198" i="65" l="1"/>
  <c r="BR198" i="65"/>
  <c r="BR143" i="65"/>
  <c r="BS143" i="65"/>
  <c r="O144" i="65"/>
  <c r="BM143" i="65"/>
  <c r="BN143" i="65"/>
  <c r="BK143" i="65"/>
  <c r="BL143" i="65"/>
  <c r="BJ143" i="65"/>
  <c r="BI143" i="65"/>
  <c r="BH143" i="65"/>
  <c r="BG143" i="65"/>
  <c r="BF143" i="65"/>
  <c r="BE143" i="65"/>
  <c r="BD143" i="65"/>
  <c r="BC143" i="65"/>
  <c r="BB143" i="65"/>
  <c r="BA143" i="65"/>
  <c r="AZ143" i="65"/>
  <c r="AY143" i="65"/>
  <c r="AX143" i="65"/>
  <c r="AW143" i="65"/>
  <c r="AV143" i="65"/>
  <c r="AU143" i="65"/>
  <c r="AT143" i="65"/>
  <c r="AS143" i="65"/>
  <c r="AR143" i="65"/>
  <c r="AQ143" i="65"/>
  <c r="AP143" i="65"/>
  <c r="AO143" i="65"/>
  <c r="AN143" i="65"/>
  <c r="AM143" i="65"/>
  <c r="AL143" i="65"/>
  <c r="AK143" i="65"/>
  <c r="AJ143" i="65"/>
  <c r="AI143" i="65"/>
  <c r="AH143" i="65"/>
  <c r="AG143" i="65"/>
  <c r="AF143" i="65"/>
  <c r="AE143" i="65"/>
  <c r="AD143" i="65"/>
  <c r="AC143" i="65"/>
  <c r="AB143" i="65"/>
  <c r="AA143" i="65"/>
  <c r="Z143" i="65"/>
  <c r="Y143" i="65"/>
  <c r="X143" i="65"/>
  <c r="W143" i="65"/>
  <c r="V143" i="65"/>
  <c r="U143" i="65"/>
  <c r="T143" i="65"/>
  <c r="S143" i="65"/>
  <c r="R143" i="65"/>
  <c r="P143" i="65"/>
  <c r="Q143" i="65"/>
  <c r="O199" i="65"/>
  <c r="BM198" i="65"/>
  <c r="BN198" i="65"/>
  <c r="BK198" i="65"/>
  <c r="BL198" i="65"/>
  <c r="BJ198" i="65"/>
  <c r="BI198" i="65"/>
  <c r="BH198" i="65"/>
  <c r="BG198" i="65"/>
  <c r="BF198" i="65"/>
  <c r="BE198" i="65"/>
  <c r="BD198" i="65"/>
  <c r="BC198" i="65"/>
  <c r="BB198" i="65"/>
  <c r="BA198" i="65"/>
  <c r="AZ198" i="65"/>
  <c r="AY198" i="65"/>
  <c r="AX198" i="65"/>
  <c r="AW198" i="65"/>
  <c r="AV198" i="65"/>
  <c r="AU198" i="65"/>
  <c r="AT198" i="65"/>
  <c r="AS198" i="65"/>
  <c r="AR198" i="65"/>
  <c r="AQ198" i="65"/>
  <c r="AP198" i="65"/>
  <c r="AO198" i="65"/>
  <c r="AN198" i="65"/>
  <c r="AM198" i="65"/>
  <c r="AL198" i="65"/>
  <c r="AK198" i="65"/>
  <c r="AJ198" i="65"/>
  <c r="AI198" i="65"/>
  <c r="AH198" i="65"/>
  <c r="AG198" i="65"/>
  <c r="AF198" i="65"/>
  <c r="AE198" i="65"/>
  <c r="AD198" i="65"/>
  <c r="AC198" i="65"/>
  <c r="AB198" i="65"/>
  <c r="AA198" i="65"/>
  <c r="Z198" i="65"/>
  <c r="Y198" i="65"/>
  <c r="X198" i="65"/>
  <c r="W198" i="65"/>
  <c r="V198" i="65"/>
  <c r="U198" i="65"/>
  <c r="T198" i="65"/>
  <c r="S198" i="65"/>
  <c r="R198" i="65"/>
  <c r="P198" i="65"/>
  <c r="Q198" i="65"/>
  <c r="BN212" i="39"/>
  <c r="BE212" i="39"/>
  <c r="AS212" i="39"/>
  <c r="BC212" i="39"/>
  <c r="AN212" i="39"/>
  <c r="BH212" i="39"/>
  <c r="BG212" i="39"/>
  <c r="AW212" i="39"/>
  <c r="BM212" i="39"/>
  <c r="AL212" i="39"/>
  <c r="AK212" i="39"/>
  <c r="BF212" i="39"/>
  <c r="AU212" i="39"/>
  <c r="BL212" i="39"/>
  <c r="AV212" i="39"/>
  <c r="AT212" i="39"/>
  <c r="BK212" i="39"/>
  <c r="BJ212" i="39"/>
  <c r="BB212" i="39"/>
  <c r="AZ212" i="39"/>
  <c r="AM212" i="39"/>
  <c r="BI212" i="39"/>
  <c r="AP212" i="39"/>
  <c r="AO212" i="39"/>
  <c r="BA212" i="39"/>
  <c r="AY212" i="39"/>
  <c r="AQ212" i="39"/>
  <c r="BD212" i="39"/>
  <c r="AX212" i="39"/>
  <c r="AR212" i="39"/>
  <c r="AG212" i="39"/>
  <c r="AE212" i="39"/>
  <c r="AB212" i="39"/>
  <c r="W212" i="39"/>
  <c r="X212" i="39"/>
  <c r="AD212" i="39"/>
  <c r="AJ212" i="39"/>
  <c r="Y212" i="39"/>
  <c r="AA212" i="39"/>
  <c r="Z212" i="39"/>
  <c r="AC212" i="39"/>
  <c r="AF212" i="39"/>
  <c r="AI212" i="39"/>
  <c r="AH212" i="39"/>
  <c r="V212" i="39"/>
  <c r="U212" i="39"/>
  <c r="T212" i="39"/>
  <c r="S212" i="39"/>
  <c r="R212" i="39"/>
  <c r="Q212" i="39"/>
  <c r="P212" i="39"/>
  <c r="O213" i="39"/>
  <c r="BN157" i="39"/>
  <c r="BL157" i="39"/>
  <c r="AY157" i="39"/>
  <c r="BM157" i="39"/>
  <c r="AP157" i="39"/>
  <c r="AR157" i="39"/>
  <c r="BC157" i="39"/>
  <c r="BB157" i="39"/>
  <c r="AQ157" i="39"/>
  <c r="AS157" i="39"/>
  <c r="AO157" i="39"/>
  <c r="AX157" i="39"/>
  <c r="AL157" i="39"/>
  <c r="AK157" i="39"/>
  <c r="AU157" i="39"/>
  <c r="BG157" i="39"/>
  <c r="AV157" i="39"/>
  <c r="BA157" i="39"/>
  <c r="BD157" i="39"/>
  <c r="BH157" i="39"/>
  <c r="AT157" i="39"/>
  <c r="AN157" i="39"/>
  <c r="AW157" i="39"/>
  <c r="BE157" i="39"/>
  <c r="AZ157" i="39"/>
  <c r="BF157" i="39"/>
  <c r="AM157" i="39"/>
  <c r="Y157" i="39"/>
  <c r="AE157" i="39"/>
  <c r="AH157" i="39"/>
  <c r="AB157" i="39"/>
  <c r="X157" i="39"/>
  <c r="AC157" i="39"/>
  <c r="Z157" i="39"/>
  <c r="AF157" i="39"/>
  <c r="AJ157" i="39"/>
  <c r="AI157" i="39"/>
  <c r="AD157" i="39"/>
  <c r="AA157" i="39"/>
  <c r="AG157" i="39"/>
  <c r="W157" i="39"/>
  <c r="V157" i="39"/>
  <c r="U157" i="39"/>
  <c r="T157" i="39"/>
  <c r="S157" i="39"/>
  <c r="R157" i="39"/>
  <c r="Q157" i="39"/>
  <c r="P157" i="39"/>
  <c r="BA108" i="39"/>
  <c r="AZ146" i="39"/>
  <c r="AZ147" i="39"/>
  <c r="AZ148" i="39"/>
  <c r="O158" i="39"/>
  <c r="BS144" i="65" l="1"/>
  <c r="BR144" i="65"/>
  <c r="BR199" i="65"/>
  <c r="BS199" i="65"/>
  <c r="O200" i="65"/>
  <c r="BN199" i="65"/>
  <c r="BM199" i="65"/>
  <c r="BK199" i="65"/>
  <c r="BL199" i="65"/>
  <c r="BJ199" i="65"/>
  <c r="BI199" i="65"/>
  <c r="BH199" i="65"/>
  <c r="BG199" i="65"/>
  <c r="BF199" i="65"/>
  <c r="BE199" i="65"/>
  <c r="BD199" i="65"/>
  <c r="BC199" i="65"/>
  <c r="BB199" i="65"/>
  <c r="BA199" i="65"/>
  <c r="AZ199" i="65"/>
  <c r="AY199" i="65"/>
  <c r="AX199" i="65"/>
  <c r="AW199" i="65"/>
  <c r="AV199" i="65"/>
  <c r="AU199" i="65"/>
  <c r="AT199" i="65"/>
  <c r="AS199" i="65"/>
  <c r="AR199" i="65"/>
  <c r="AQ199" i="65"/>
  <c r="AP199" i="65"/>
  <c r="AO199" i="65"/>
  <c r="AN199" i="65"/>
  <c r="AM199" i="65"/>
  <c r="AL199" i="65"/>
  <c r="AK199" i="65"/>
  <c r="AJ199" i="65"/>
  <c r="AI199" i="65"/>
  <c r="AH199" i="65"/>
  <c r="AG199" i="65"/>
  <c r="AF199" i="65"/>
  <c r="AE199" i="65"/>
  <c r="AD199" i="65"/>
  <c r="AC199" i="65"/>
  <c r="AB199" i="65"/>
  <c r="AA199" i="65"/>
  <c r="Z199" i="65"/>
  <c r="Y199" i="65"/>
  <c r="X199" i="65"/>
  <c r="W199" i="65"/>
  <c r="V199" i="65"/>
  <c r="U199" i="65"/>
  <c r="T199" i="65"/>
  <c r="S199" i="65"/>
  <c r="R199" i="65"/>
  <c r="Q199" i="65"/>
  <c r="P199" i="65"/>
  <c r="O145" i="65"/>
  <c r="BM144" i="65"/>
  <c r="BN144" i="65"/>
  <c r="BK144" i="65"/>
  <c r="BL144" i="65"/>
  <c r="BJ144" i="65"/>
  <c r="BI144" i="65"/>
  <c r="BH144" i="65"/>
  <c r="BG144" i="65"/>
  <c r="BF144" i="65"/>
  <c r="BE144" i="65"/>
  <c r="BD144" i="65"/>
  <c r="BC144" i="65"/>
  <c r="BB144" i="65"/>
  <c r="BA144" i="65"/>
  <c r="AZ144" i="65"/>
  <c r="AY144" i="65"/>
  <c r="AX144" i="65"/>
  <c r="AW144" i="65"/>
  <c r="AV144" i="65"/>
  <c r="AU144" i="65"/>
  <c r="AT144" i="65"/>
  <c r="AS144" i="65"/>
  <c r="AR144" i="65"/>
  <c r="AQ144" i="65"/>
  <c r="AP144" i="65"/>
  <c r="AO144" i="65"/>
  <c r="AN144" i="65"/>
  <c r="AM144" i="65"/>
  <c r="AL144" i="65"/>
  <c r="AK144" i="65"/>
  <c r="AJ144" i="65"/>
  <c r="AI144" i="65"/>
  <c r="AH144" i="65"/>
  <c r="AG144" i="65"/>
  <c r="AF144" i="65"/>
  <c r="AE144" i="65"/>
  <c r="AD144" i="65"/>
  <c r="AC144" i="65"/>
  <c r="AB144" i="65"/>
  <c r="AA144" i="65"/>
  <c r="Z144" i="65"/>
  <c r="Y144" i="65"/>
  <c r="X144" i="65"/>
  <c r="W144" i="65"/>
  <c r="V144" i="65"/>
  <c r="U144" i="65"/>
  <c r="T144" i="65"/>
  <c r="S144" i="65"/>
  <c r="R144" i="65"/>
  <c r="P144" i="65"/>
  <c r="Q144" i="65"/>
  <c r="BN213" i="39"/>
  <c r="AW213" i="39"/>
  <c r="AS213" i="39"/>
  <c r="BE213" i="39"/>
  <c r="BM213" i="39"/>
  <c r="BG213" i="39"/>
  <c r="BC213" i="39"/>
  <c r="AN213" i="39"/>
  <c r="BH213" i="39"/>
  <c r="AO213" i="39"/>
  <c r="BB213" i="39"/>
  <c r="AK213" i="39"/>
  <c r="AR213" i="39"/>
  <c r="BI213" i="39"/>
  <c r="BK213" i="39"/>
  <c r="BJ213" i="39"/>
  <c r="AT213" i="39"/>
  <c r="AL213" i="39"/>
  <c r="AM213" i="39"/>
  <c r="AZ213" i="39"/>
  <c r="BF213" i="39"/>
  <c r="BD213" i="39"/>
  <c r="AV213" i="39"/>
  <c r="AU213" i="39"/>
  <c r="BA213" i="39"/>
  <c r="AX213" i="39"/>
  <c r="BL213" i="39"/>
  <c r="AY213" i="39"/>
  <c r="AQ213" i="39"/>
  <c r="AP213" i="39"/>
  <c r="AJ213" i="39"/>
  <c r="X213" i="39"/>
  <c r="AG213" i="39"/>
  <c r="W213" i="39"/>
  <c r="AE213" i="39"/>
  <c r="AB213" i="39"/>
  <c r="Y213" i="39"/>
  <c r="AD213" i="39"/>
  <c r="AH213" i="39"/>
  <c r="Z213" i="39"/>
  <c r="AI213" i="39"/>
  <c r="AA213" i="39"/>
  <c r="AF213" i="39"/>
  <c r="AC213" i="39"/>
  <c r="V213" i="39"/>
  <c r="U213" i="39"/>
  <c r="T213" i="39"/>
  <c r="S213" i="39"/>
  <c r="R213" i="39"/>
  <c r="Q213" i="39"/>
  <c r="P213" i="39"/>
  <c r="O214" i="39"/>
  <c r="BB108" i="39"/>
  <c r="BA147" i="39"/>
  <c r="BA148" i="39"/>
  <c r="BA149" i="39"/>
  <c r="BN158" i="39"/>
  <c r="BG158" i="39"/>
  <c r="AQ158" i="39"/>
  <c r="AX158" i="39"/>
  <c r="AP158" i="39"/>
  <c r="AW158" i="39"/>
  <c r="BM158" i="39"/>
  <c r="BE158" i="39"/>
  <c r="AY158" i="39"/>
  <c r="BD158" i="39"/>
  <c r="AV158" i="39"/>
  <c r="BI158" i="39"/>
  <c r="AR158" i="39"/>
  <c r="AN158" i="39"/>
  <c r="AZ158" i="39"/>
  <c r="AM158" i="39"/>
  <c r="AS158" i="39"/>
  <c r="AL158" i="39"/>
  <c r="AO158" i="39"/>
  <c r="BH158" i="39"/>
  <c r="BB158" i="39"/>
  <c r="AK158" i="39"/>
  <c r="BA158" i="39"/>
  <c r="BC158" i="39"/>
  <c r="AT158" i="39"/>
  <c r="BF158" i="39"/>
  <c r="AU158" i="39"/>
  <c r="AB158" i="39"/>
  <c r="Z158" i="39"/>
  <c r="AC158" i="39"/>
  <c r="Y158" i="39"/>
  <c r="AE158" i="39"/>
  <c r="X158" i="39"/>
  <c r="AH158" i="39"/>
  <c r="AI158" i="39"/>
  <c r="AD158" i="39"/>
  <c r="AJ158" i="39"/>
  <c r="AF158" i="39"/>
  <c r="AA158" i="39"/>
  <c r="AG158" i="39"/>
  <c r="W158" i="39"/>
  <c r="V158" i="39"/>
  <c r="U158" i="39"/>
  <c r="T158" i="39"/>
  <c r="S158" i="39"/>
  <c r="R158" i="39"/>
  <c r="Q158" i="39"/>
  <c r="P158" i="39"/>
  <c r="O159" i="39"/>
  <c r="BR200" i="65" l="1"/>
  <c r="BS200" i="65"/>
  <c r="BS145" i="65"/>
  <c r="BR145" i="65"/>
  <c r="O146" i="65"/>
  <c r="BM145" i="65"/>
  <c r="BN145" i="65"/>
  <c r="BK145" i="65"/>
  <c r="BL145" i="65"/>
  <c r="BJ145" i="65"/>
  <c r="BI145" i="65"/>
  <c r="BH145" i="65"/>
  <c r="BG145" i="65"/>
  <c r="BF145" i="65"/>
  <c r="BE145" i="65"/>
  <c r="BD145" i="65"/>
  <c r="BC145" i="65"/>
  <c r="BB145" i="65"/>
  <c r="BA145" i="65"/>
  <c r="AZ145" i="65"/>
  <c r="AY145" i="65"/>
  <c r="AX145" i="65"/>
  <c r="AW145" i="65"/>
  <c r="AV145" i="65"/>
  <c r="AU145" i="65"/>
  <c r="AT145" i="65"/>
  <c r="AS145" i="65"/>
  <c r="AR145" i="65"/>
  <c r="AQ145" i="65"/>
  <c r="AP145" i="65"/>
  <c r="AO145" i="65"/>
  <c r="AN145" i="65"/>
  <c r="AM145" i="65"/>
  <c r="AL145" i="65"/>
  <c r="AK145" i="65"/>
  <c r="AJ145" i="65"/>
  <c r="AI145" i="65"/>
  <c r="AH145" i="65"/>
  <c r="AG145" i="65"/>
  <c r="AF145" i="65"/>
  <c r="AE145" i="65"/>
  <c r="AD145" i="65"/>
  <c r="AC145" i="65"/>
  <c r="AB145" i="65"/>
  <c r="AA145" i="65"/>
  <c r="Z145" i="65"/>
  <c r="Y145" i="65"/>
  <c r="X145" i="65"/>
  <c r="W145" i="65"/>
  <c r="V145" i="65"/>
  <c r="U145" i="65"/>
  <c r="T145" i="65"/>
  <c r="S145" i="65"/>
  <c r="R145" i="65"/>
  <c r="Q145" i="65"/>
  <c r="P145" i="65"/>
  <c r="O201" i="65"/>
  <c r="BM200" i="65"/>
  <c r="BN200" i="65"/>
  <c r="BK200" i="65"/>
  <c r="BL200" i="65"/>
  <c r="BJ200" i="65"/>
  <c r="BI200" i="65"/>
  <c r="BH200" i="65"/>
  <c r="BG200" i="65"/>
  <c r="BF200" i="65"/>
  <c r="BE200" i="65"/>
  <c r="BD200" i="65"/>
  <c r="BC200" i="65"/>
  <c r="BB200" i="65"/>
  <c r="BA200" i="65"/>
  <c r="AZ200" i="65"/>
  <c r="AY200" i="65"/>
  <c r="AX200" i="65"/>
  <c r="AW200" i="65"/>
  <c r="AV200" i="65"/>
  <c r="AU200" i="65"/>
  <c r="AT200" i="65"/>
  <c r="AS200" i="65"/>
  <c r="AR200" i="65"/>
  <c r="AQ200" i="65"/>
  <c r="AP200" i="65"/>
  <c r="AO200" i="65"/>
  <c r="AN200" i="65"/>
  <c r="AM200" i="65"/>
  <c r="AL200" i="65"/>
  <c r="AK200" i="65"/>
  <c r="AJ200" i="65"/>
  <c r="AI200" i="65"/>
  <c r="AH200" i="65"/>
  <c r="AG200" i="65"/>
  <c r="AF200" i="65"/>
  <c r="AE200" i="65"/>
  <c r="AD200" i="65"/>
  <c r="AC200" i="65"/>
  <c r="AB200" i="65"/>
  <c r="AA200" i="65"/>
  <c r="Z200" i="65"/>
  <c r="Y200" i="65"/>
  <c r="X200" i="65"/>
  <c r="W200" i="65"/>
  <c r="V200" i="65"/>
  <c r="U200" i="65"/>
  <c r="T200" i="65"/>
  <c r="S200" i="65"/>
  <c r="R200" i="65"/>
  <c r="Q200" i="65"/>
  <c r="P200" i="65"/>
  <c r="BN214" i="39"/>
  <c r="AS214" i="39"/>
  <c r="AW214" i="39"/>
  <c r="BM214" i="39"/>
  <c r="BE214" i="39"/>
  <c r="BG214" i="39"/>
  <c r="BC214" i="39"/>
  <c r="BB214" i="39"/>
  <c r="BK214" i="39"/>
  <c r="AM214" i="39"/>
  <c r="BD214" i="39"/>
  <c r="AX214" i="39"/>
  <c r="BH214" i="39"/>
  <c r="BI214" i="39"/>
  <c r="AT214" i="39"/>
  <c r="AZ214" i="39"/>
  <c r="AK214" i="39"/>
  <c r="BJ214" i="39"/>
  <c r="AU214" i="39"/>
  <c r="AO214" i="39"/>
  <c r="AN214" i="39"/>
  <c r="AL214" i="39"/>
  <c r="BA214" i="39"/>
  <c r="AP214" i="39"/>
  <c r="BF214" i="39"/>
  <c r="BL214" i="39"/>
  <c r="AV214" i="39"/>
  <c r="AY214" i="39"/>
  <c r="AQ214" i="39"/>
  <c r="AR214" i="39"/>
  <c r="AJ214" i="39"/>
  <c r="AB214" i="39"/>
  <c r="X214" i="39"/>
  <c r="AG214" i="39"/>
  <c r="AE214" i="39"/>
  <c r="AD214" i="39"/>
  <c r="Y214" i="39"/>
  <c r="W214" i="39"/>
  <c r="AH214" i="39"/>
  <c r="AI214" i="39"/>
  <c r="AA214" i="39"/>
  <c r="Z214" i="39"/>
  <c r="AF214" i="39"/>
  <c r="AC214" i="39"/>
  <c r="V214" i="39"/>
  <c r="U214" i="39"/>
  <c r="T214" i="39"/>
  <c r="S214" i="39"/>
  <c r="R214" i="39"/>
  <c r="Q214" i="39"/>
  <c r="P214" i="39"/>
  <c r="O215" i="39"/>
  <c r="BN159" i="39"/>
  <c r="AP159" i="39"/>
  <c r="AR159" i="39"/>
  <c r="AS159" i="39"/>
  <c r="BD159" i="39"/>
  <c r="AW159" i="39"/>
  <c r="BG159" i="39"/>
  <c r="AQ159" i="39"/>
  <c r="AV159" i="39"/>
  <c r="AT159" i="39"/>
  <c r="AZ159" i="39"/>
  <c r="AL159" i="39"/>
  <c r="AX159" i="39"/>
  <c r="BE159" i="39"/>
  <c r="BJ159" i="39"/>
  <c r="BC159" i="39"/>
  <c r="AK159" i="39"/>
  <c r="BA159" i="39"/>
  <c r="AY159" i="39"/>
  <c r="AN159" i="39"/>
  <c r="BH159" i="39"/>
  <c r="BF159" i="39"/>
  <c r="BB159" i="39"/>
  <c r="AU159" i="39"/>
  <c r="BI159" i="39"/>
  <c r="AM159" i="39"/>
  <c r="AO159" i="39"/>
  <c r="Z159" i="39"/>
  <c r="AE159" i="39"/>
  <c r="AB159" i="39"/>
  <c r="AH159" i="39"/>
  <c r="Y159" i="39"/>
  <c r="X159" i="39"/>
  <c r="AC159" i="39"/>
  <c r="AF159" i="39"/>
  <c r="AD159" i="39"/>
  <c r="AG159" i="39"/>
  <c r="AJ159" i="39"/>
  <c r="AA159" i="39"/>
  <c r="AI159" i="39"/>
  <c r="W159" i="39"/>
  <c r="V159" i="39"/>
  <c r="U159" i="39"/>
  <c r="T159" i="39"/>
  <c r="S159" i="39"/>
  <c r="R159" i="39"/>
  <c r="Q159" i="39"/>
  <c r="P159" i="39"/>
  <c r="BC108" i="39"/>
  <c r="BB148" i="39"/>
  <c r="BB149" i="39"/>
  <c r="BB150" i="39"/>
  <c r="O160" i="39"/>
  <c r="BR146" i="65" l="1"/>
  <c r="BS146" i="65"/>
  <c r="BS201" i="65"/>
  <c r="BR201" i="65"/>
  <c r="O202" i="65"/>
  <c r="BM201" i="65"/>
  <c r="BN201" i="65"/>
  <c r="BK201" i="65"/>
  <c r="BL201" i="65"/>
  <c r="BJ201" i="65"/>
  <c r="BI201" i="65"/>
  <c r="BH201" i="65"/>
  <c r="BG201" i="65"/>
  <c r="BF201" i="65"/>
  <c r="BE201" i="65"/>
  <c r="BD201" i="65"/>
  <c r="BC201" i="65"/>
  <c r="BB201" i="65"/>
  <c r="BA201" i="65"/>
  <c r="AZ201" i="65"/>
  <c r="AY201" i="65"/>
  <c r="AX201" i="65"/>
  <c r="AW201" i="65"/>
  <c r="AV201" i="65"/>
  <c r="AU201" i="65"/>
  <c r="AT201" i="65"/>
  <c r="AS201" i="65"/>
  <c r="AR201" i="65"/>
  <c r="AQ201" i="65"/>
  <c r="AP201" i="65"/>
  <c r="AO201" i="65"/>
  <c r="AN201" i="65"/>
  <c r="AM201" i="65"/>
  <c r="AL201" i="65"/>
  <c r="AK201" i="65"/>
  <c r="AJ201" i="65"/>
  <c r="AI201" i="65"/>
  <c r="AH201" i="65"/>
  <c r="AG201" i="65"/>
  <c r="AF201" i="65"/>
  <c r="AE201" i="65"/>
  <c r="AD201" i="65"/>
  <c r="AC201" i="65"/>
  <c r="AB201" i="65"/>
  <c r="AA201" i="65"/>
  <c r="Z201" i="65"/>
  <c r="Y201" i="65"/>
  <c r="X201" i="65"/>
  <c r="W201" i="65"/>
  <c r="V201" i="65"/>
  <c r="U201" i="65"/>
  <c r="T201" i="65"/>
  <c r="S201" i="65"/>
  <c r="R201" i="65"/>
  <c r="P201" i="65"/>
  <c r="Q201" i="65"/>
  <c r="O147" i="65"/>
  <c r="BM146" i="65"/>
  <c r="BN146" i="65"/>
  <c r="BK146" i="65"/>
  <c r="BL146" i="65"/>
  <c r="BJ146" i="65"/>
  <c r="BI146" i="65"/>
  <c r="BH146" i="65"/>
  <c r="BG146" i="65"/>
  <c r="BF146" i="65"/>
  <c r="BE146" i="65"/>
  <c r="BD146" i="65"/>
  <c r="BC146" i="65"/>
  <c r="BB146" i="65"/>
  <c r="BA146" i="65"/>
  <c r="AZ146" i="65"/>
  <c r="AY146" i="65"/>
  <c r="AX146" i="65"/>
  <c r="AW146" i="65"/>
  <c r="AV146" i="65"/>
  <c r="AU146" i="65"/>
  <c r="AT146" i="65"/>
  <c r="AS146" i="65"/>
  <c r="AR146" i="65"/>
  <c r="AQ146" i="65"/>
  <c r="AP146" i="65"/>
  <c r="AO146" i="65"/>
  <c r="AN146" i="65"/>
  <c r="AM146" i="65"/>
  <c r="AL146" i="65"/>
  <c r="AK146" i="65"/>
  <c r="AJ146" i="65"/>
  <c r="AI146" i="65"/>
  <c r="AH146" i="65"/>
  <c r="AG146" i="65"/>
  <c r="AF146" i="65"/>
  <c r="AE146" i="65"/>
  <c r="AD146" i="65"/>
  <c r="AC146" i="65"/>
  <c r="AB146" i="65"/>
  <c r="AA146" i="65"/>
  <c r="Z146" i="65"/>
  <c r="Y146" i="65"/>
  <c r="X146" i="65"/>
  <c r="W146" i="65"/>
  <c r="V146" i="65"/>
  <c r="U146" i="65"/>
  <c r="T146" i="65"/>
  <c r="S146" i="65"/>
  <c r="R146" i="65"/>
  <c r="Q146" i="65"/>
  <c r="P146" i="65"/>
  <c r="BN215" i="39"/>
  <c r="AS215" i="39"/>
  <c r="BB215" i="39"/>
  <c r="BI215" i="39"/>
  <c r="BC215" i="39"/>
  <c r="AW215" i="39"/>
  <c r="BM215" i="39"/>
  <c r="BG215" i="39"/>
  <c r="BJ215" i="39"/>
  <c r="BL215" i="39"/>
  <c r="BD215" i="39"/>
  <c r="AR215" i="39"/>
  <c r="BE215" i="39"/>
  <c r="AL215" i="39"/>
  <c r="AU215" i="39"/>
  <c r="BA215" i="39"/>
  <c r="AZ215" i="39"/>
  <c r="AM215" i="39"/>
  <c r="BF215" i="39"/>
  <c r="AN215" i="39"/>
  <c r="BH215" i="39"/>
  <c r="AQ215" i="39"/>
  <c r="AV215" i="39"/>
  <c r="AX215" i="39"/>
  <c r="AT215" i="39"/>
  <c r="BK215" i="39"/>
  <c r="AK215" i="39"/>
  <c r="AP215" i="39"/>
  <c r="AO215" i="39"/>
  <c r="AY215" i="39"/>
  <c r="X215" i="39"/>
  <c r="AD215" i="39"/>
  <c r="AJ215" i="39"/>
  <c r="W215" i="39"/>
  <c r="AG215" i="39"/>
  <c r="AB215" i="39"/>
  <c r="Y215" i="39"/>
  <c r="AE215" i="39"/>
  <c r="AC215" i="39"/>
  <c r="AH215" i="39"/>
  <c r="Z215" i="39"/>
  <c r="AA215" i="39"/>
  <c r="AF215" i="39"/>
  <c r="AI215" i="39"/>
  <c r="V215" i="39"/>
  <c r="U215" i="39"/>
  <c r="T215" i="39"/>
  <c r="S215" i="39"/>
  <c r="R215" i="39"/>
  <c r="Q215" i="39"/>
  <c r="P215" i="39"/>
  <c r="O216" i="39"/>
  <c r="BD108" i="39"/>
  <c r="BC149" i="39"/>
  <c r="BC150" i="39"/>
  <c r="BC151" i="39"/>
  <c r="AQ160" i="39"/>
  <c r="BE160" i="39"/>
  <c r="AV160" i="39"/>
  <c r="AW160" i="39"/>
  <c r="AP160" i="39"/>
  <c r="AR160" i="39"/>
  <c r="BG160" i="39"/>
  <c r="AS160" i="39"/>
  <c r="BB160" i="39"/>
  <c r="BK160" i="39"/>
  <c r="BH160" i="39"/>
  <c r="AU160" i="39"/>
  <c r="AL160" i="39"/>
  <c r="BI160" i="39"/>
  <c r="BF160" i="39"/>
  <c r="AX160" i="39"/>
  <c r="AY160" i="39"/>
  <c r="AN160" i="39"/>
  <c r="BD160" i="39"/>
  <c r="AK160" i="39"/>
  <c r="AO160" i="39"/>
  <c r="BC160" i="39"/>
  <c r="AT160" i="39"/>
  <c r="BA160" i="39"/>
  <c r="AM160" i="39"/>
  <c r="BJ160" i="39"/>
  <c r="AZ160" i="39"/>
  <c r="Z160" i="39"/>
  <c r="X160" i="39"/>
  <c r="AB160" i="39"/>
  <c r="AC160" i="39"/>
  <c r="Y160" i="39"/>
  <c r="AE160" i="39"/>
  <c r="AH160" i="39"/>
  <c r="AD160" i="39"/>
  <c r="AF160" i="39"/>
  <c r="AA160" i="39"/>
  <c r="AJ160" i="39"/>
  <c r="AI160" i="39"/>
  <c r="AG160" i="39"/>
  <c r="W160" i="39"/>
  <c r="V160" i="39"/>
  <c r="U160" i="39"/>
  <c r="T160" i="39"/>
  <c r="S160" i="39"/>
  <c r="R160" i="39"/>
  <c r="Q160" i="39"/>
  <c r="P160" i="39"/>
  <c r="O161" i="39"/>
  <c r="BS202" i="65" l="1"/>
  <c r="BR202" i="65"/>
  <c r="BR147" i="65"/>
  <c r="BS147" i="65"/>
  <c r="O148" i="65"/>
  <c r="BN147" i="65"/>
  <c r="BM147" i="65"/>
  <c r="BL147" i="65"/>
  <c r="BK147" i="65"/>
  <c r="BJ147" i="65"/>
  <c r="BI147" i="65"/>
  <c r="BH147" i="65"/>
  <c r="BG147" i="65"/>
  <c r="BF147" i="65"/>
  <c r="BE147" i="65"/>
  <c r="BD147" i="65"/>
  <c r="BC147" i="65"/>
  <c r="BB147" i="65"/>
  <c r="BA147" i="65"/>
  <c r="AZ147" i="65"/>
  <c r="AY147" i="65"/>
  <c r="AX147" i="65"/>
  <c r="AW147" i="65"/>
  <c r="AV147" i="65"/>
  <c r="AU147" i="65"/>
  <c r="AT147" i="65"/>
  <c r="AS147" i="65"/>
  <c r="AR147" i="65"/>
  <c r="AQ147" i="65"/>
  <c r="AP147" i="65"/>
  <c r="AO147" i="65"/>
  <c r="AN147" i="65"/>
  <c r="AM147" i="65"/>
  <c r="AL147" i="65"/>
  <c r="AK147" i="65"/>
  <c r="AJ147" i="65"/>
  <c r="AI147" i="65"/>
  <c r="AH147" i="65"/>
  <c r="AG147" i="65"/>
  <c r="AF147" i="65"/>
  <c r="AE147" i="65"/>
  <c r="AD147" i="65"/>
  <c r="AC147" i="65"/>
  <c r="AB147" i="65"/>
  <c r="AA147" i="65"/>
  <c r="Z147" i="65"/>
  <c r="Y147" i="65"/>
  <c r="X147" i="65"/>
  <c r="W147" i="65"/>
  <c r="V147" i="65"/>
  <c r="U147" i="65"/>
  <c r="T147" i="65"/>
  <c r="S147" i="65"/>
  <c r="R147" i="65"/>
  <c r="P147" i="65"/>
  <c r="Q147" i="65"/>
  <c r="O203" i="65"/>
  <c r="BM202" i="65"/>
  <c r="BN202" i="65"/>
  <c r="BK202" i="65"/>
  <c r="BL202" i="65"/>
  <c r="BJ202" i="65"/>
  <c r="BI202" i="65"/>
  <c r="BH202" i="65"/>
  <c r="BG202" i="65"/>
  <c r="BF202" i="65"/>
  <c r="BE202" i="65"/>
  <c r="BD202" i="65"/>
  <c r="BC202" i="65"/>
  <c r="BB202" i="65"/>
  <c r="BA202" i="65"/>
  <c r="AZ202" i="65"/>
  <c r="AY202" i="65"/>
  <c r="AX202" i="65"/>
  <c r="AW202" i="65"/>
  <c r="AV202" i="65"/>
  <c r="AU202" i="65"/>
  <c r="AT202" i="65"/>
  <c r="AS202" i="65"/>
  <c r="AR202" i="65"/>
  <c r="AQ202" i="65"/>
  <c r="AP202" i="65"/>
  <c r="AO202" i="65"/>
  <c r="AN202" i="65"/>
  <c r="AM202" i="65"/>
  <c r="AL202" i="65"/>
  <c r="AK202" i="65"/>
  <c r="AJ202" i="65"/>
  <c r="AI202" i="65"/>
  <c r="AH202" i="65"/>
  <c r="AG202" i="65"/>
  <c r="AF202" i="65"/>
  <c r="AE202" i="65"/>
  <c r="AD202" i="65"/>
  <c r="AC202" i="65"/>
  <c r="AB202" i="65"/>
  <c r="AA202" i="65"/>
  <c r="Z202" i="65"/>
  <c r="Y202" i="65"/>
  <c r="X202" i="65"/>
  <c r="W202" i="65"/>
  <c r="V202" i="65"/>
  <c r="U202" i="65"/>
  <c r="T202" i="65"/>
  <c r="S202" i="65"/>
  <c r="R202" i="65"/>
  <c r="P202" i="65"/>
  <c r="Q202" i="65"/>
  <c r="BN216" i="39"/>
  <c r="BE216" i="39"/>
  <c r="BG216" i="39"/>
  <c r="AN216" i="39"/>
  <c r="AS216" i="39"/>
  <c r="AW216" i="39"/>
  <c r="BH216" i="39"/>
  <c r="AR216" i="39"/>
  <c r="BM216" i="39"/>
  <c r="BC216" i="39"/>
  <c r="AK216" i="39"/>
  <c r="BF216" i="39"/>
  <c r="AU216" i="39"/>
  <c r="AO216" i="39"/>
  <c r="BJ216" i="39"/>
  <c r="BB216" i="39"/>
  <c r="BI216" i="39"/>
  <c r="AT216" i="39"/>
  <c r="BK216" i="39"/>
  <c r="AL216" i="39"/>
  <c r="BL216" i="39"/>
  <c r="AZ216" i="39"/>
  <c r="AV216" i="39"/>
  <c r="AY216" i="39"/>
  <c r="AM216" i="39"/>
  <c r="AP216" i="39"/>
  <c r="AQ216" i="39"/>
  <c r="BD216" i="39"/>
  <c r="BA216" i="39"/>
  <c r="AX216" i="39"/>
  <c r="AG216" i="39"/>
  <c r="AE216" i="39"/>
  <c r="X216" i="39"/>
  <c r="W216" i="39"/>
  <c r="AD216" i="39"/>
  <c r="AJ216" i="39"/>
  <c r="AB216" i="39"/>
  <c r="Y216" i="39"/>
  <c r="AF216" i="39"/>
  <c r="AC216" i="39"/>
  <c r="AA216" i="39"/>
  <c r="Z216" i="39"/>
  <c r="AI216" i="39"/>
  <c r="AH216" i="39"/>
  <c r="V216" i="39"/>
  <c r="U216" i="39"/>
  <c r="T216" i="39"/>
  <c r="S216" i="39"/>
  <c r="R216" i="39"/>
  <c r="Q216" i="39"/>
  <c r="P216" i="39"/>
  <c r="O217" i="39"/>
  <c r="BG161" i="39"/>
  <c r="AQ161" i="39"/>
  <c r="BL161" i="39"/>
  <c r="AP161" i="39"/>
  <c r="BE161" i="39"/>
  <c r="AV161" i="39"/>
  <c r="AW161" i="39"/>
  <c r="BB161" i="39"/>
  <c r="AY161" i="39"/>
  <c r="AT161" i="39"/>
  <c r="BK161" i="39"/>
  <c r="BF161" i="39"/>
  <c r="AM161" i="39"/>
  <c r="BC161" i="39"/>
  <c r="BI161" i="39"/>
  <c r="AZ161" i="39"/>
  <c r="AX161" i="39"/>
  <c r="BD161" i="39"/>
  <c r="AR161" i="39"/>
  <c r="AN161" i="39"/>
  <c r="AL161" i="39"/>
  <c r="AO161" i="39"/>
  <c r="AK161" i="39"/>
  <c r="BH161" i="39"/>
  <c r="AS161" i="39"/>
  <c r="BJ161" i="39"/>
  <c r="AU161" i="39"/>
  <c r="BA161" i="39"/>
  <c r="Y161" i="39"/>
  <c r="AE161" i="39"/>
  <c r="Z161" i="39"/>
  <c r="AH161" i="39"/>
  <c r="X161" i="39"/>
  <c r="AC161" i="39"/>
  <c r="AB161" i="39"/>
  <c r="AI161" i="39"/>
  <c r="AF161" i="39"/>
  <c r="AA161" i="39"/>
  <c r="AD161" i="39"/>
  <c r="AJ161" i="39"/>
  <c r="AG161" i="39"/>
  <c r="W161" i="39"/>
  <c r="V161" i="39"/>
  <c r="U161" i="39"/>
  <c r="T161" i="39"/>
  <c r="S161" i="39"/>
  <c r="R161" i="39"/>
  <c r="Q161" i="39"/>
  <c r="P161" i="39"/>
  <c r="BE108" i="39"/>
  <c r="BD150" i="39"/>
  <c r="BD151" i="39"/>
  <c r="BD152" i="39"/>
  <c r="BR148" i="65" l="1"/>
  <c r="BS148" i="65"/>
  <c r="BR203" i="65"/>
  <c r="BS203" i="65"/>
  <c r="O204" i="65"/>
  <c r="BM203" i="65"/>
  <c r="BN203" i="65"/>
  <c r="BK203" i="65"/>
  <c r="BL203" i="65"/>
  <c r="BJ203" i="65"/>
  <c r="BI203" i="65"/>
  <c r="BH203" i="65"/>
  <c r="BG203" i="65"/>
  <c r="BF203" i="65"/>
  <c r="BE203" i="65"/>
  <c r="BD203" i="65"/>
  <c r="BC203" i="65"/>
  <c r="BB203" i="65"/>
  <c r="BA203" i="65"/>
  <c r="AZ203" i="65"/>
  <c r="AY203" i="65"/>
  <c r="AX203" i="65"/>
  <c r="AW203" i="65"/>
  <c r="AV203" i="65"/>
  <c r="AU203" i="65"/>
  <c r="AT203" i="65"/>
  <c r="AS203" i="65"/>
  <c r="AR203" i="65"/>
  <c r="AQ203" i="65"/>
  <c r="AP203" i="65"/>
  <c r="AO203" i="65"/>
  <c r="AN203" i="65"/>
  <c r="AM203" i="65"/>
  <c r="AL203" i="65"/>
  <c r="AK203" i="65"/>
  <c r="AJ203" i="65"/>
  <c r="AI203" i="65"/>
  <c r="AH203" i="65"/>
  <c r="AG203" i="65"/>
  <c r="AF203" i="65"/>
  <c r="AE203" i="65"/>
  <c r="AD203" i="65"/>
  <c r="AC203" i="65"/>
  <c r="AB203" i="65"/>
  <c r="AA203" i="65"/>
  <c r="Z203" i="65"/>
  <c r="Y203" i="65"/>
  <c r="X203" i="65"/>
  <c r="W203" i="65"/>
  <c r="V203" i="65"/>
  <c r="U203" i="65"/>
  <c r="T203" i="65"/>
  <c r="S203" i="65"/>
  <c r="R203" i="65"/>
  <c r="P203" i="65"/>
  <c r="Q203" i="65"/>
  <c r="O149" i="65"/>
  <c r="BM148" i="65"/>
  <c r="BN148" i="65"/>
  <c r="BL148" i="65"/>
  <c r="BK148" i="65"/>
  <c r="BJ148" i="65"/>
  <c r="BI148" i="65"/>
  <c r="BH148" i="65"/>
  <c r="BG148" i="65"/>
  <c r="BF148" i="65"/>
  <c r="BE148" i="65"/>
  <c r="BD148" i="65"/>
  <c r="BC148" i="65"/>
  <c r="BB148" i="65"/>
  <c r="BA148" i="65"/>
  <c r="AZ148" i="65"/>
  <c r="AY148" i="65"/>
  <c r="AX148" i="65"/>
  <c r="AW148" i="65"/>
  <c r="AV148" i="65"/>
  <c r="AU148" i="65"/>
  <c r="AT148" i="65"/>
  <c r="AS148" i="65"/>
  <c r="AR148" i="65"/>
  <c r="AQ148" i="65"/>
  <c r="AP148" i="65"/>
  <c r="AO148" i="65"/>
  <c r="AN148" i="65"/>
  <c r="AM148" i="65"/>
  <c r="AL148" i="65"/>
  <c r="AK148" i="65"/>
  <c r="AJ148" i="65"/>
  <c r="AI148" i="65"/>
  <c r="AH148" i="65"/>
  <c r="AG148" i="65"/>
  <c r="AF148" i="65"/>
  <c r="AE148" i="65"/>
  <c r="AD148" i="65"/>
  <c r="AC148" i="65"/>
  <c r="AB148" i="65"/>
  <c r="AA148" i="65"/>
  <c r="Z148" i="65"/>
  <c r="Y148" i="65"/>
  <c r="X148" i="65"/>
  <c r="W148" i="65"/>
  <c r="V148" i="65"/>
  <c r="U148" i="65"/>
  <c r="T148" i="65"/>
  <c r="S148" i="65"/>
  <c r="R148" i="65"/>
  <c r="P148" i="65"/>
  <c r="Q148" i="65"/>
  <c r="BN217" i="39"/>
  <c r="BH217" i="39"/>
  <c r="AS217" i="39"/>
  <c r="BB217" i="39"/>
  <c r="BI217" i="39"/>
  <c r="AL217" i="39"/>
  <c r="AK217" i="39"/>
  <c r="BF217" i="39"/>
  <c r="AU217" i="39"/>
  <c r="BJ217" i="39"/>
  <c r="AW217" i="39"/>
  <c r="BM217" i="39"/>
  <c r="BE217" i="39"/>
  <c r="BG217" i="39"/>
  <c r="BC217" i="39"/>
  <c r="AZ217" i="39"/>
  <c r="AY217" i="39"/>
  <c r="BK217" i="39"/>
  <c r="AM217" i="39"/>
  <c r="AT217" i="39"/>
  <c r="AO217" i="39"/>
  <c r="AN217" i="39"/>
  <c r="BD217" i="39"/>
  <c r="AX217" i="39"/>
  <c r="BA217" i="39"/>
  <c r="AR217" i="39"/>
  <c r="BL217" i="39"/>
  <c r="AV217" i="39"/>
  <c r="AQ217" i="39"/>
  <c r="AP217" i="39"/>
  <c r="AG217" i="39"/>
  <c r="AB217" i="39"/>
  <c r="Y217" i="39"/>
  <c r="AJ217" i="39"/>
  <c r="W217" i="39"/>
  <c r="AE217" i="39"/>
  <c r="X217" i="39"/>
  <c r="AD217" i="39"/>
  <c r="AH217" i="39"/>
  <c r="AF217" i="39"/>
  <c r="AC217" i="39"/>
  <c r="Z217" i="39"/>
  <c r="AA217" i="39"/>
  <c r="AI217" i="39"/>
  <c r="V217" i="39"/>
  <c r="U217" i="39"/>
  <c r="T217" i="39"/>
  <c r="S217" i="39"/>
  <c r="R217" i="39"/>
  <c r="Q217" i="39"/>
  <c r="P217" i="39"/>
  <c r="BF108" i="39"/>
  <c r="BE151" i="39"/>
  <c r="BE152" i="39"/>
  <c r="BE153" i="39"/>
  <c r="BS204" i="65" l="1"/>
  <c r="BR204" i="65"/>
  <c r="BS149" i="65"/>
  <c r="BR149" i="65"/>
  <c r="O150" i="65"/>
  <c r="BM149" i="65"/>
  <c r="BN149" i="65"/>
  <c r="BL149" i="65"/>
  <c r="BK149" i="65"/>
  <c r="BJ149" i="65"/>
  <c r="BI149" i="65"/>
  <c r="BH149" i="65"/>
  <c r="BG149" i="65"/>
  <c r="BF149" i="65"/>
  <c r="BE149" i="65"/>
  <c r="BD149" i="65"/>
  <c r="BC149" i="65"/>
  <c r="BB149" i="65"/>
  <c r="BA149" i="65"/>
  <c r="AZ149" i="65"/>
  <c r="AY149" i="65"/>
  <c r="AX149" i="65"/>
  <c r="AW149" i="65"/>
  <c r="AV149" i="65"/>
  <c r="AU149" i="65"/>
  <c r="AT149" i="65"/>
  <c r="AS149" i="65"/>
  <c r="AR149" i="65"/>
  <c r="AQ149" i="65"/>
  <c r="AP149" i="65"/>
  <c r="AO149" i="65"/>
  <c r="AN149" i="65"/>
  <c r="AM149" i="65"/>
  <c r="AL149" i="65"/>
  <c r="AK149" i="65"/>
  <c r="AJ149" i="65"/>
  <c r="AI149" i="65"/>
  <c r="AH149" i="65"/>
  <c r="AG149" i="65"/>
  <c r="AF149" i="65"/>
  <c r="AE149" i="65"/>
  <c r="AD149" i="65"/>
  <c r="AC149" i="65"/>
  <c r="AB149" i="65"/>
  <c r="AA149" i="65"/>
  <c r="Z149" i="65"/>
  <c r="Y149" i="65"/>
  <c r="X149" i="65"/>
  <c r="W149" i="65"/>
  <c r="V149" i="65"/>
  <c r="U149" i="65"/>
  <c r="T149" i="65"/>
  <c r="S149" i="65"/>
  <c r="R149" i="65"/>
  <c r="Q149" i="65"/>
  <c r="P149" i="65"/>
  <c r="O205" i="65"/>
  <c r="BN204" i="65"/>
  <c r="BM204" i="65"/>
  <c r="BK204" i="65"/>
  <c r="BL204" i="65"/>
  <c r="BJ204" i="65"/>
  <c r="BI204" i="65"/>
  <c r="BH204" i="65"/>
  <c r="BG204" i="65"/>
  <c r="BF204" i="65"/>
  <c r="BE204" i="65"/>
  <c r="BD204" i="65"/>
  <c r="BC204" i="65"/>
  <c r="BB204" i="65"/>
  <c r="BA204" i="65"/>
  <c r="AZ204" i="65"/>
  <c r="AY204" i="65"/>
  <c r="AX204" i="65"/>
  <c r="AW204" i="65"/>
  <c r="AV204" i="65"/>
  <c r="AU204" i="65"/>
  <c r="AT204" i="65"/>
  <c r="AS204" i="65"/>
  <c r="AR204" i="65"/>
  <c r="AQ204" i="65"/>
  <c r="AP204" i="65"/>
  <c r="AO204" i="65"/>
  <c r="AN204" i="65"/>
  <c r="AM204" i="65"/>
  <c r="AL204" i="65"/>
  <c r="AK204" i="65"/>
  <c r="AJ204" i="65"/>
  <c r="AI204" i="65"/>
  <c r="AH204" i="65"/>
  <c r="AG204" i="65"/>
  <c r="AF204" i="65"/>
  <c r="AE204" i="65"/>
  <c r="AD204" i="65"/>
  <c r="AC204" i="65"/>
  <c r="AB204" i="65"/>
  <c r="AA204" i="65"/>
  <c r="Z204" i="65"/>
  <c r="Y204" i="65"/>
  <c r="X204" i="65"/>
  <c r="W204" i="65"/>
  <c r="V204" i="65"/>
  <c r="U204" i="65"/>
  <c r="T204" i="65"/>
  <c r="S204" i="65"/>
  <c r="R204" i="65"/>
  <c r="Q204" i="65"/>
  <c r="P204" i="65"/>
  <c r="BG108" i="39"/>
  <c r="BF152" i="39"/>
  <c r="BF153" i="39"/>
  <c r="BF154" i="39"/>
  <c r="BR150" i="65" l="1"/>
  <c r="BS150" i="65"/>
  <c r="BS205" i="65"/>
  <c r="BR205" i="65"/>
  <c r="O206" i="65"/>
  <c r="BM205" i="65"/>
  <c r="BN205" i="65"/>
  <c r="BL205" i="65"/>
  <c r="BK205" i="65"/>
  <c r="BJ205" i="65"/>
  <c r="BI205" i="65"/>
  <c r="BH205" i="65"/>
  <c r="BG205" i="65"/>
  <c r="BF205" i="65"/>
  <c r="BE205" i="65"/>
  <c r="BD205" i="65"/>
  <c r="BC205" i="65"/>
  <c r="BB205" i="65"/>
  <c r="BA205" i="65"/>
  <c r="AZ205" i="65"/>
  <c r="AY205" i="65"/>
  <c r="AX205" i="65"/>
  <c r="AW205" i="65"/>
  <c r="AV205" i="65"/>
  <c r="AU205" i="65"/>
  <c r="AT205" i="65"/>
  <c r="AS205" i="65"/>
  <c r="AR205" i="65"/>
  <c r="AQ205" i="65"/>
  <c r="AP205" i="65"/>
  <c r="AO205" i="65"/>
  <c r="AN205" i="65"/>
  <c r="AM205" i="65"/>
  <c r="AL205" i="65"/>
  <c r="AK205" i="65"/>
  <c r="AJ205" i="65"/>
  <c r="AI205" i="65"/>
  <c r="AH205" i="65"/>
  <c r="AG205" i="65"/>
  <c r="AF205" i="65"/>
  <c r="AE205" i="65"/>
  <c r="AD205" i="65"/>
  <c r="AC205" i="65"/>
  <c r="AB205" i="65"/>
  <c r="AA205" i="65"/>
  <c r="Z205" i="65"/>
  <c r="Y205" i="65"/>
  <c r="X205" i="65"/>
  <c r="W205" i="65"/>
  <c r="V205" i="65"/>
  <c r="U205" i="65"/>
  <c r="T205" i="65"/>
  <c r="S205" i="65"/>
  <c r="R205" i="65"/>
  <c r="Q205" i="65"/>
  <c r="P205" i="65"/>
  <c r="O151" i="65"/>
  <c r="BM150" i="65"/>
  <c r="BN150" i="65"/>
  <c r="BK150" i="65"/>
  <c r="BL150" i="65"/>
  <c r="BJ150" i="65"/>
  <c r="BI150" i="65"/>
  <c r="BH150" i="65"/>
  <c r="BG150" i="65"/>
  <c r="BF150" i="65"/>
  <c r="BE150" i="65"/>
  <c r="BD150" i="65"/>
  <c r="BC150" i="65"/>
  <c r="BB150" i="65"/>
  <c r="BA150" i="65"/>
  <c r="AZ150" i="65"/>
  <c r="AY150" i="65"/>
  <c r="AX150" i="65"/>
  <c r="AW150" i="65"/>
  <c r="AV150" i="65"/>
  <c r="AU150" i="65"/>
  <c r="AT150" i="65"/>
  <c r="AS150" i="65"/>
  <c r="AR150" i="65"/>
  <c r="AQ150" i="65"/>
  <c r="AP150" i="65"/>
  <c r="AO150" i="65"/>
  <c r="AN150" i="65"/>
  <c r="AM150" i="65"/>
  <c r="AL150" i="65"/>
  <c r="AK150" i="65"/>
  <c r="AJ150" i="65"/>
  <c r="AI150" i="65"/>
  <c r="AH150" i="65"/>
  <c r="AG150" i="65"/>
  <c r="AF150" i="65"/>
  <c r="AE150" i="65"/>
  <c r="AD150" i="65"/>
  <c r="AC150" i="65"/>
  <c r="AB150" i="65"/>
  <c r="AA150" i="65"/>
  <c r="Z150" i="65"/>
  <c r="Y150" i="65"/>
  <c r="X150" i="65"/>
  <c r="W150" i="65"/>
  <c r="V150" i="65"/>
  <c r="U150" i="65"/>
  <c r="T150" i="65"/>
  <c r="S150" i="65"/>
  <c r="R150" i="65"/>
  <c r="Q150" i="65"/>
  <c r="P150" i="65"/>
  <c r="BH108" i="39"/>
  <c r="BG153" i="39"/>
  <c r="BG154" i="39"/>
  <c r="BG155" i="39"/>
  <c r="BR206" i="65" l="1"/>
  <c r="BS206" i="65"/>
  <c r="BS151" i="65"/>
  <c r="BR151" i="65"/>
  <c r="O152" i="65"/>
  <c r="BN151" i="65"/>
  <c r="BM151" i="65"/>
  <c r="BL151" i="65"/>
  <c r="BK151" i="65"/>
  <c r="BJ151" i="65"/>
  <c r="BI151" i="65"/>
  <c r="BH151" i="65"/>
  <c r="BG151" i="65"/>
  <c r="BF151" i="65"/>
  <c r="BE151" i="65"/>
  <c r="BD151" i="65"/>
  <c r="BC151" i="65"/>
  <c r="BB151" i="65"/>
  <c r="BA151" i="65"/>
  <c r="AZ151" i="65"/>
  <c r="AY151" i="65"/>
  <c r="AX151" i="65"/>
  <c r="AW151" i="65"/>
  <c r="AV151" i="65"/>
  <c r="AU151" i="65"/>
  <c r="AT151" i="65"/>
  <c r="AS151" i="65"/>
  <c r="AR151" i="65"/>
  <c r="AQ151" i="65"/>
  <c r="AP151" i="65"/>
  <c r="AO151" i="65"/>
  <c r="AN151" i="65"/>
  <c r="AM151" i="65"/>
  <c r="AL151" i="65"/>
  <c r="AK151" i="65"/>
  <c r="AJ151" i="65"/>
  <c r="AI151" i="65"/>
  <c r="AH151" i="65"/>
  <c r="AG151" i="65"/>
  <c r="AF151" i="65"/>
  <c r="AE151" i="65"/>
  <c r="AD151" i="65"/>
  <c r="AC151" i="65"/>
  <c r="AB151" i="65"/>
  <c r="AA151" i="65"/>
  <c r="Z151" i="65"/>
  <c r="Y151" i="65"/>
  <c r="X151" i="65"/>
  <c r="W151" i="65"/>
  <c r="V151" i="65"/>
  <c r="U151" i="65"/>
  <c r="T151" i="65"/>
  <c r="S151" i="65"/>
  <c r="R151" i="65"/>
  <c r="Q151" i="65"/>
  <c r="P151" i="65"/>
  <c r="O207" i="65"/>
  <c r="BN206" i="65"/>
  <c r="BM206" i="65"/>
  <c r="BL206" i="65"/>
  <c r="BK206" i="65"/>
  <c r="BJ206" i="65"/>
  <c r="BI206" i="65"/>
  <c r="BH206" i="65"/>
  <c r="BG206" i="65"/>
  <c r="BF206" i="65"/>
  <c r="BE206" i="65"/>
  <c r="BD206" i="65"/>
  <c r="BC206" i="65"/>
  <c r="BB206" i="65"/>
  <c r="BA206" i="65"/>
  <c r="AZ206" i="65"/>
  <c r="AY206" i="65"/>
  <c r="AX206" i="65"/>
  <c r="AW206" i="65"/>
  <c r="AV206" i="65"/>
  <c r="AU206" i="65"/>
  <c r="AT206" i="65"/>
  <c r="AS206" i="65"/>
  <c r="AR206" i="65"/>
  <c r="AQ206" i="65"/>
  <c r="AP206" i="65"/>
  <c r="AO206" i="65"/>
  <c r="AN206" i="65"/>
  <c r="AM206" i="65"/>
  <c r="AL206" i="65"/>
  <c r="AK206" i="65"/>
  <c r="AJ206" i="65"/>
  <c r="AI206" i="65"/>
  <c r="AH206" i="65"/>
  <c r="AG206" i="65"/>
  <c r="AF206" i="65"/>
  <c r="AE206" i="65"/>
  <c r="AD206" i="65"/>
  <c r="AC206" i="65"/>
  <c r="AB206" i="65"/>
  <c r="AA206" i="65"/>
  <c r="Z206" i="65"/>
  <c r="Y206" i="65"/>
  <c r="X206" i="65"/>
  <c r="W206" i="65"/>
  <c r="V206" i="65"/>
  <c r="U206" i="65"/>
  <c r="T206" i="65"/>
  <c r="S206" i="65"/>
  <c r="R206" i="65"/>
  <c r="Q206" i="65"/>
  <c r="P206" i="65"/>
  <c r="BI108" i="39"/>
  <c r="BH154" i="39"/>
  <c r="BH155" i="39"/>
  <c r="BH156" i="39"/>
  <c r="BS152" i="65" l="1"/>
  <c r="BR152" i="65"/>
  <c r="BS207" i="65"/>
  <c r="BR207" i="65"/>
  <c r="O208" i="65"/>
  <c r="BN207" i="65"/>
  <c r="BM207" i="65"/>
  <c r="BL207" i="65"/>
  <c r="BK207" i="65"/>
  <c r="BJ207" i="65"/>
  <c r="BI207" i="65"/>
  <c r="BH207" i="65"/>
  <c r="BG207" i="65"/>
  <c r="BF207" i="65"/>
  <c r="BE207" i="65"/>
  <c r="BD207" i="65"/>
  <c r="BC207" i="65"/>
  <c r="BB207" i="65"/>
  <c r="BA207" i="65"/>
  <c r="AZ207" i="65"/>
  <c r="AY207" i="65"/>
  <c r="AX207" i="65"/>
  <c r="AW207" i="65"/>
  <c r="AV207" i="65"/>
  <c r="AU207" i="65"/>
  <c r="AT207" i="65"/>
  <c r="AS207" i="65"/>
  <c r="AR207" i="65"/>
  <c r="AQ207" i="65"/>
  <c r="AP207" i="65"/>
  <c r="AO207" i="65"/>
  <c r="AN207" i="65"/>
  <c r="AM207" i="65"/>
  <c r="AL207" i="65"/>
  <c r="AK207" i="65"/>
  <c r="AJ207" i="65"/>
  <c r="AI207" i="65"/>
  <c r="AH207" i="65"/>
  <c r="AG207" i="65"/>
  <c r="AF207" i="65"/>
  <c r="AE207" i="65"/>
  <c r="AD207" i="65"/>
  <c r="AC207" i="65"/>
  <c r="AB207" i="65"/>
  <c r="AA207" i="65"/>
  <c r="Z207" i="65"/>
  <c r="Y207" i="65"/>
  <c r="X207" i="65"/>
  <c r="W207" i="65"/>
  <c r="V207" i="65"/>
  <c r="U207" i="65"/>
  <c r="T207" i="65"/>
  <c r="S207" i="65"/>
  <c r="R207" i="65"/>
  <c r="Q207" i="65"/>
  <c r="P207" i="65"/>
  <c r="O153" i="65"/>
  <c r="BN152" i="65"/>
  <c r="BM152" i="65"/>
  <c r="BL152" i="65"/>
  <c r="BK152" i="65"/>
  <c r="BJ152" i="65"/>
  <c r="BI152" i="65"/>
  <c r="BH152" i="65"/>
  <c r="BG152" i="65"/>
  <c r="BF152" i="65"/>
  <c r="BE152" i="65"/>
  <c r="BD152" i="65"/>
  <c r="BC152" i="65"/>
  <c r="BB152" i="65"/>
  <c r="BA152" i="65"/>
  <c r="AZ152" i="65"/>
  <c r="AY152" i="65"/>
  <c r="AX152" i="65"/>
  <c r="AW152" i="65"/>
  <c r="AV152" i="65"/>
  <c r="AU152" i="65"/>
  <c r="AT152" i="65"/>
  <c r="AS152" i="65"/>
  <c r="AR152" i="65"/>
  <c r="AQ152" i="65"/>
  <c r="AP152" i="65"/>
  <c r="AO152" i="65"/>
  <c r="AN152" i="65"/>
  <c r="AM152" i="65"/>
  <c r="AL152" i="65"/>
  <c r="AK152" i="65"/>
  <c r="AJ152" i="65"/>
  <c r="AI152" i="65"/>
  <c r="AH152" i="65"/>
  <c r="AG152" i="65"/>
  <c r="AF152" i="65"/>
  <c r="AE152" i="65"/>
  <c r="AD152" i="65"/>
  <c r="AC152" i="65"/>
  <c r="AB152" i="65"/>
  <c r="AA152" i="65"/>
  <c r="Z152" i="65"/>
  <c r="Y152" i="65"/>
  <c r="X152" i="65"/>
  <c r="W152" i="65"/>
  <c r="V152" i="65"/>
  <c r="U152" i="65"/>
  <c r="T152" i="65"/>
  <c r="S152" i="65"/>
  <c r="R152" i="65"/>
  <c r="Q152" i="65"/>
  <c r="P152" i="65"/>
  <c r="BJ108" i="39"/>
  <c r="BI155" i="39"/>
  <c r="BI156" i="39"/>
  <c r="BI157" i="39"/>
  <c r="BS208" i="65" l="1"/>
  <c r="BR208" i="65"/>
  <c r="BR153" i="65"/>
  <c r="BS153" i="65"/>
  <c r="O154" i="65"/>
  <c r="BM153" i="65"/>
  <c r="BN153" i="65"/>
  <c r="BL153" i="65"/>
  <c r="BK153" i="65"/>
  <c r="BJ153" i="65"/>
  <c r="BI153" i="65"/>
  <c r="BH153" i="65"/>
  <c r="BG153" i="65"/>
  <c r="BF153" i="65"/>
  <c r="BE153" i="65"/>
  <c r="BD153" i="65"/>
  <c r="BC153" i="65"/>
  <c r="BB153" i="65"/>
  <c r="BA153" i="65"/>
  <c r="AZ153" i="65"/>
  <c r="AY153" i="65"/>
  <c r="AX153" i="65"/>
  <c r="AW153" i="65"/>
  <c r="AV153" i="65"/>
  <c r="AU153" i="65"/>
  <c r="AT153" i="65"/>
  <c r="AS153" i="65"/>
  <c r="AR153" i="65"/>
  <c r="AQ153" i="65"/>
  <c r="AP153" i="65"/>
  <c r="AO153" i="65"/>
  <c r="AN153" i="65"/>
  <c r="AM153" i="65"/>
  <c r="AL153" i="65"/>
  <c r="AK153" i="65"/>
  <c r="AJ153" i="65"/>
  <c r="AI153" i="65"/>
  <c r="AH153" i="65"/>
  <c r="AG153" i="65"/>
  <c r="AF153" i="65"/>
  <c r="AE153" i="65"/>
  <c r="AD153" i="65"/>
  <c r="AC153" i="65"/>
  <c r="AB153" i="65"/>
  <c r="AA153" i="65"/>
  <c r="Z153" i="65"/>
  <c r="Y153" i="65"/>
  <c r="X153" i="65"/>
  <c r="W153" i="65"/>
  <c r="V153" i="65"/>
  <c r="U153" i="65"/>
  <c r="T153" i="65"/>
  <c r="S153" i="65"/>
  <c r="R153" i="65"/>
  <c r="Q153" i="65"/>
  <c r="P153" i="65"/>
  <c r="O209" i="65"/>
  <c r="BM208" i="65"/>
  <c r="BN208" i="65"/>
  <c r="BK208" i="65"/>
  <c r="BL208" i="65"/>
  <c r="BJ208" i="65"/>
  <c r="BI208" i="65"/>
  <c r="BH208" i="65"/>
  <c r="BG208" i="65"/>
  <c r="BF208" i="65"/>
  <c r="BE208" i="65"/>
  <c r="BD208" i="65"/>
  <c r="BC208" i="65"/>
  <c r="BB208" i="65"/>
  <c r="BA208" i="65"/>
  <c r="AZ208" i="65"/>
  <c r="AY208" i="65"/>
  <c r="AX208" i="65"/>
  <c r="AW208" i="65"/>
  <c r="AV208" i="65"/>
  <c r="AU208" i="65"/>
  <c r="AT208" i="65"/>
  <c r="AS208" i="65"/>
  <c r="AR208" i="65"/>
  <c r="AQ208" i="65"/>
  <c r="AP208" i="65"/>
  <c r="AO208" i="65"/>
  <c r="AN208" i="65"/>
  <c r="AM208" i="65"/>
  <c r="AL208" i="65"/>
  <c r="AK208" i="65"/>
  <c r="AJ208" i="65"/>
  <c r="AI208" i="65"/>
  <c r="AH208" i="65"/>
  <c r="AG208" i="65"/>
  <c r="AF208" i="65"/>
  <c r="AE208" i="65"/>
  <c r="AD208" i="65"/>
  <c r="AC208" i="65"/>
  <c r="AB208" i="65"/>
  <c r="AA208" i="65"/>
  <c r="Z208" i="65"/>
  <c r="Y208" i="65"/>
  <c r="X208" i="65"/>
  <c r="W208" i="65"/>
  <c r="V208" i="65"/>
  <c r="U208" i="65"/>
  <c r="T208" i="65"/>
  <c r="S208" i="65"/>
  <c r="R208" i="65"/>
  <c r="Q208" i="65"/>
  <c r="P208" i="65"/>
  <c r="BK108" i="39"/>
  <c r="BJ156" i="39"/>
  <c r="BJ157" i="39"/>
  <c r="BJ158" i="39"/>
  <c r="BR154" i="65" l="1"/>
  <c r="BS154" i="65"/>
  <c r="BS209" i="65"/>
  <c r="BR209" i="65"/>
  <c r="O210" i="65"/>
  <c r="BM209" i="65"/>
  <c r="BN209" i="65"/>
  <c r="BK209" i="65"/>
  <c r="BL209" i="65"/>
  <c r="BJ209" i="65"/>
  <c r="BI209" i="65"/>
  <c r="BH209" i="65"/>
  <c r="BG209" i="65"/>
  <c r="BF209" i="65"/>
  <c r="BE209" i="65"/>
  <c r="BD209" i="65"/>
  <c r="BC209" i="65"/>
  <c r="BB209" i="65"/>
  <c r="BA209" i="65"/>
  <c r="AZ209" i="65"/>
  <c r="AY209" i="65"/>
  <c r="AX209" i="65"/>
  <c r="AW209" i="65"/>
  <c r="AV209" i="65"/>
  <c r="AU209" i="65"/>
  <c r="AT209" i="65"/>
  <c r="AS209" i="65"/>
  <c r="AR209" i="65"/>
  <c r="AQ209" i="65"/>
  <c r="AP209" i="65"/>
  <c r="AO209" i="65"/>
  <c r="AN209" i="65"/>
  <c r="AM209" i="65"/>
  <c r="AL209" i="65"/>
  <c r="AK209" i="65"/>
  <c r="AJ209" i="65"/>
  <c r="AI209" i="65"/>
  <c r="AH209" i="65"/>
  <c r="AG209" i="65"/>
  <c r="AF209" i="65"/>
  <c r="AE209" i="65"/>
  <c r="AD209" i="65"/>
  <c r="AC209" i="65"/>
  <c r="AB209" i="65"/>
  <c r="AA209" i="65"/>
  <c r="Z209" i="65"/>
  <c r="Y209" i="65"/>
  <c r="X209" i="65"/>
  <c r="W209" i="65"/>
  <c r="V209" i="65"/>
  <c r="U209" i="65"/>
  <c r="T209" i="65"/>
  <c r="S209" i="65"/>
  <c r="R209" i="65"/>
  <c r="P209" i="65"/>
  <c r="Q209" i="65"/>
  <c r="O155" i="65"/>
  <c r="BN154" i="65"/>
  <c r="BM154" i="65"/>
  <c r="BL154" i="65"/>
  <c r="BK154" i="65"/>
  <c r="BJ154" i="65"/>
  <c r="BI154" i="65"/>
  <c r="BH154" i="65"/>
  <c r="BG154" i="65"/>
  <c r="BF154" i="65"/>
  <c r="BE154" i="65"/>
  <c r="BD154" i="65"/>
  <c r="BC154" i="65"/>
  <c r="BB154" i="65"/>
  <c r="BA154" i="65"/>
  <c r="AZ154" i="65"/>
  <c r="AY154" i="65"/>
  <c r="AX154" i="65"/>
  <c r="AW154" i="65"/>
  <c r="AV154" i="65"/>
  <c r="AU154" i="65"/>
  <c r="AT154" i="65"/>
  <c r="AS154" i="65"/>
  <c r="AR154" i="65"/>
  <c r="AQ154" i="65"/>
  <c r="AP154" i="65"/>
  <c r="AO154" i="65"/>
  <c r="AN154" i="65"/>
  <c r="AM154" i="65"/>
  <c r="AL154" i="65"/>
  <c r="AK154" i="65"/>
  <c r="AJ154" i="65"/>
  <c r="AI154" i="65"/>
  <c r="AH154" i="65"/>
  <c r="AG154" i="65"/>
  <c r="AF154" i="65"/>
  <c r="AE154" i="65"/>
  <c r="AD154" i="65"/>
  <c r="AC154" i="65"/>
  <c r="AB154" i="65"/>
  <c r="AA154" i="65"/>
  <c r="Z154" i="65"/>
  <c r="Y154" i="65"/>
  <c r="X154" i="65"/>
  <c r="W154" i="65"/>
  <c r="V154" i="65"/>
  <c r="U154" i="65"/>
  <c r="T154" i="65"/>
  <c r="S154" i="65"/>
  <c r="R154" i="65"/>
  <c r="Q154" i="65"/>
  <c r="P154" i="65"/>
  <c r="BL108" i="39"/>
  <c r="BK157" i="39"/>
  <c r="BK158" i="39"/>
  <c r="BK159" i="39"/>
  <c r="BR210" i="65" l="1"/>
  <c r="BS210" i="65"/>
  <c r="BR155" i="65"/>
  <c r="BS155" i="65"/>
  <c r="O156" i="65"/>
  <c r="BN155" i="65"/>
  <c r="BM155" i="65"/>
  <c r="BL155" i="65"/>
  <c r="BK155" i="65"/>
  <c r="BJ155" i="65"/>
  <c r="BI155" i="65"/>
  <c r="BH155" i="65"/>
  <c r="BG155" i="65"/>
  <c r="BF155" i="65"/>
  <c r="BE155" i="65"/>
  <c r="BD155" i="65"/>
  <c r="BC155" i="65"/>
  <c r="BB155" i="65"/>
  <c r="BA155" i="65"/>
  <c r="AZ155" i="65"/>
  <c r="AY155" i="65"/>
  <c r="AX155" i="65"/>
  <c r="AW155" i="65"/>
  <c r="AV155" i="65"/>
  <c r="AU155" i="65"/>
  <c r="AT155" i="65"/>
  <c r="AS155" i="65"/>
  <c r="AR155" i="65"/>
  <c r="AQ155" i="65"/>
  <c r="AP155" i="65"/>
  <c r="AO155" i="65"/>
  <c r="AN155" i="65"/>
  <c r="AM155" i="65"/>
  <c r="AL155" i="65"/>
  <c r="AK155" i="65"/>
  <c r="AJ155" i="65"/>
  <c r="AI155" i="65"/>
  <c r="AH155" i="65"/>
  <c r="AG155" i="65"/>
  <c r="AF155" i="65"/>
  <c r="AE155" i="65"/>
  <c r="AD155" i="65"/>
  <c r="AC155" i="65"/>
  <c r="AB155" i="65"/>
  <c r="AA155" i="65"/>
  <c r="Z155" i="65"/>
  <c r="Y155" i="65"/>
  <c r="X155" i="65"/>
  <c r="W155" i="65"/>
  <c r="V155" i="65"/>
  <c r="U155" i="65"/>
  <c r="T155" i="65"/>
  <c r="S155" i="65"/>
  <c r="R155" i="65"/>
  <c r="Q155" i="65"/>
  <c r="P155" i="65"/>
  <c r="O211" i="65"/>
  <c r="BM210" i="65"/>
  <c r="BN210" i="65"/>
  <c r="BK210" i="65"/>
  <c r="BL210" i="65"/>
  <c r="BJ210" i="65"/>
  <c r="BI210" i="65"/>
  <c r="BH210" i="65"/>
  <c r="BG210" i="65"/>
  <c r="BF210" i="65"/>
  <c r="BE210" i="65"/>
  <c r="BD210" i="65"/>
  <c r="BC210" i="65"/>
  <c r="BB210" i="65"/>
  <c r="BA210" i="65"/>
  <c r="AZ210" i="65"/>
  <c r="AY210" i="65"/>
  <c r="AX210" i="65"/>
  <c r="AW210" i="65"/>
  <c r="AV210" i="65"/>
  <c r="AU210" i="65"/>
  <c r="AT210" i="65"/>
  <c r="AS210" i="65"/>
  <c r="AR210" i="65"/>
  <c r="AQ210" i="65"/>
  <c r="AP210" i="65"/>
  <c r="AO210" i="65"/>
  <c r="AN210" i="65"/>
  <c r="AM210" i="65"/>
  <c r="AL210" i="65"/>
  <c r="AK210" i="65"/>
  <c r="AJ210" i="65"/>
  <c r="AI210" i="65"/>
  <c r="AH210" i="65"/>
  <c r="AG210" i="65"/>
  <c r="AF210" i="65"/>
  <c r="AE210" i="65"/>
  <c r="AD210" i="65"/>
  <c r="AC210" i="65"/>
  <c r="AB210" i="65"/>
  <c r="AA210" i="65"/>
  <c r="Z210" i="65"/>
  <c r="Y210" i="65"/>
  <c r="X210" i="65"/>
  <c r="W210" i="65"/>
  <c r="V210" i="65"/>
  <c r="U210" i="65"/>
  <c r="T210" i="65"/>
  <c r="S210" i="65"/>
  <c r="R210" i="65"/>
  <c r="P210" i="65"/>
  <c r="Q210" i="65"/>
  <c r="BM108" i="39"/>
  <c r="BL158" i="39"/>
  <c r="BL159" i="39"/>
  <c r="BL160" i="39"/>
  <c r="BS156" i="65" l="1"/>
  <c r="BR156" i="65"/>
  <c r="BS211" i="65"/>
  <c r="BR211" i="65"/>
  <c r="O212" i="65"/>
  <c r="BN211" i="65"/>
  <c r="BM211" i="65"/>
  <c r="BL211" i="65"/>
  <c r="BK211" i="65"/>
  <c r="BJ211" i="65"/>
  <c r="BI211" i="65"/>
  <c r="BH211" i="65"/>
  <c r="BG211" i="65"/>
  <c r="BF211" i="65"/>
  <c r="BE211" i="65"/>
  <c r="BD211" i="65"/>
  <c r="BC211" i="65"/>
  <c r="BB211" i="65"/>
  <c r="BA211" i="65"/>
  <c r="AZ211" i="65"/>
  <c r="AY211" i="65"/>
  <c r="AX211" i="65"/>
  <c r="AW211" i="65"/>
  <c r="AV211" i="65"/>
  <c r="AU211" i="65"/>
  <c r="AT211" i="65"/>
  <c r="AS211" i="65"/>
  <c r="AR211" i="65"/>
  <c r="AQ211" i="65"/>
  <c r="AP211" i="65"/>
  <c r="AO211" i="65"/>
  <c r="AN211" i="65"/>
  <c r="AM211" i="65"/>
  <c r="AL211" i="65"/>
  <c r="AK211" i="65"/>
  <c r="AJ211" i="65"/>
  <c r="AI211" i="65"/>
  <c r="AH211" i="65"/>
  <c r="AG211" i="65"/>
  <c r="AF211" i="65"/>
  <c r="AE211" i="65"/>
  <c r="AD211" i="65"/>
  <c r="AC211" i="65"/>
  <c r="AB211" i="65"/>
  <c r="AA211" i="65"/>
  <c r="Z211" i="65"/>
  <c r="Y211" i="65"/>
  <c r="X211" i="65"/>
  <c r="W211" i="65"/>
  <c r="V211" i="65"/>
  <c r="U211" i="65"/>
  <c r="T211" i="65"/>
  <c r="S211" i="65"/>
  <c r="R211" i="65"/>
  <c r="P211" i="65"/>
  <c r="Q211" i="65"/>
  <c r="O157" i="65"/>
  <c r="BN156" i="65"/>
  <c r="BM156" i="65"/>
  <c r="BL156" i="65"/>
  <c r="BK156" i="65"/>
  <c r="BJ156" i="65"/>
  <c r="BI156" i="65"/>
  <c r="BH156" i="65"/>
  <c r="BG156" i="65"/>
  <c r="BF156" i="65"/>
  <c r="BE156" i="65"/>
  <c r="BD156" i="65"/>
  <c r="BC156" i="65"/>
  <c r="BB156" i="65"/>
  <c r="BA156" i="65"/>
  <c r="AZ156" i="65"/>
  <c r="AY156" i="65"/>
  <c r="AX156" i="65"/>
  <c r="AW156" i="65"/>
  <c r="AV156" i="65"/>
  <c r="AU156" i="65"/>
  <c r="AT156" i="65"/>
  <c r="AS156" i="65"/>
  <c r="AR156" i="65"/>
  <c r="AQ156" i="65"/>
  <c r="AP156" i="65"/>
  <c r="AO156" i="65"/>
  <c r="AN156" i="65"/>
  <c r="AM156" i="65"/>
  <c r="AL156" i="65"/>
  <c r="AK156" i="65"/>
  <c r="AJ156" i="65"/>
  <c r="AI156" i="65"/>
  <c r="AH156" i="65"/>
  <c r="AG156" i="65"/>
  <c r="AF156" i="65"/>
  <c r="AE156" i="65"/>
  <c r="AD156" i="65"/>
  <c r="AC156" i="65"/>
  <c r="AB156" i="65"/>
  <c r="AA156" i="65"/>
  <c r="Z156" i="65"/>
  <c r="Y156" i="65"/>
  <c r="X156" i="65"/>
  <c r="W156" i="65"/>
  <c r="V156" i="65"/>
  <c r="U156" i="65"/>
  <c r="T156" i="65"/>
  <c r="S156" i="65"/>
  <c r="R156" i="65"/>
  <c r="Q156" i="65"/>
  <c r="P156" i="65"/>
  <c r="BN108" i="39"/>
  <c r="BM159" i="39"/>
  <c r="BM160" i="39"/>
  <c r="BM161" i="39"/>
  <c r="BR212" i="65" l="1"/>
  <c r="BS212" i="65"/>
  <c r="BR157" i="65"/>
  <c r="BS157" i="65"/>
  <c r="O158" i="65"/>
  <c r="BM157" i="65"/>
  <c r="BN157" i="65"/>
  <c r="BL157" i="65"/>
  <c r="BK157" i="65"/>
  <c r="BJ157" i="65"/>
  <c r="BI157" i="65"/>
  <c r="BH157" i="65"/>
  <c r="BG157" i="65"/>
  <c r="BF157" i="65"/>
  <c r="BE157" i="65"/>
  <c r="BD157" i="65"/>
  <c r="BC157" i="65"/>
  <c r="BB157" i="65"/>
  <c r="BA157" i="65"/>
  <c r="AZ157" i="65"/>
  <c r="AY157" i="65"/>
  <c r="AX157" i="65"/>
  <c r="AW157" i="65"/>
  <c r="AV157" i="65"/>
  <c r="AU157" i="65"/>
  <c r="AT157" i="65"/>
  <c r="AS157" i="65"/>
  <c r="AR157" i="65"/>
  <c r="AQ157" i="65"/>
  <c r="AP157" i="65"/>
  <c r="AO157" i="65"/>
  <c r="AN157" i="65"/>
  <c r="AM157" i="65"/>
  <c r="AL157" i="65"/>
  <c r="AK157" i="65"/>
  <c r="AJ157" i="65"/>
  <c r="AI157" i="65"/>
  <c r="AH157" i="65"/>
  <c r="AG157" i="65"/>
  <c r="AF157" i="65"/>
  <c r="AE157" i="65"/>
  <c r="AD157" i="65"/>
  <c r="AC157" i="65"/>
  <c r="AB157" i="65"/>
  <c r="AA157" i="65"/>
  <c r="Z157" i="65"/>
  <c r="Y157" i="65"/>
  <c r="X157" i="65"/>
  <c r="W157" i="65"/>
  <c r="V157" i="65"/>
  <c r="U157" i="65"/>
  <c r="T157" i="65"/>
  <c r="S157" i="65"/>
  <c r="R157" i="65"/>
  <c r="P157" i="65"/>
  <c r="Q157" i="65"/>
  <c r="O213" i="65"/>
  <c r="BM212" i="65"/>
  <c r="BN212" i="65"/>
  <c r="BL212" i="65"/>
  <c r="BK212" i="65"/>
  <c r="BJ212" i="65"/>
  <c r="BI212" i="65"/>
  <c r="BH212" i="65"/>
  <c r="BG212" i="65"/>
  <c r="BF212" i="65"/>
  <c r="BE212" i="65"/>
  <c r="BD212" i="65"/>
  <c r="BC212" i="65"/>
  <c r="BB212" i="65"/>
  <c r="BA212" i="65"/>
  <c r="AZ212" i="65"/>
  <c r="AY212" i="65"/>
  <c r="AX212" i="65"/>
  <c r="AW212" i="65"/>
  <c r="AV212" i="65"/>
  <c r="AU212" i="65"/>
  <c r="AT212" i="65"/>
  <c r="AS212" i="65"/>
  <c r="AR212" i="65"/>
  <c r="AQ212" i="65"/>
  <c r="AP212" i="65"/>
  <c r="AO212" i="65"/>
  <c r="AN212" i="65"/>
  <c r="AM212" i="65"/>
  <c r="AL212" i="65"/>
  <c r="AK212" i="65"/>
  <c r="AJ212" i="65"/>
  <c r="AI212" i="65"/>
  <c r="AH212" i="65"/>
  <c r="AG212" i="65"/>
  <c r="AF212" i="65"/>
  <c r="AE212" i="65"/>
  <c r="AD212" i="65"/>
  <c r="AC212" i="65"/>
  <c r="AB212" i="65"/>
  <c r="AA212" i="65"/>
  <c r="Z212" i="65"/>
  <c r="Y212" i="65"/>
  <c r="X212" i="65"/>
  <c r="W212" i="65"/>
  <c r="V212" i="65"/>
  <c r="U212" i="65"/>
  <c r="T212" i="65"/>
  <c r="S212" i="65"/>
  <c r="R212" i="65"/>
  <c r="P212" i="65"/>
  <c r="Q212" i="65"/>
  <c r="P222" i="39" a="1"/>
  <c r="BN160" i="39"/>
  <c r="BN161" i="39"/>
  <c r="BS158" i="65" l="1"/>
  <c r="BR158" i="65"/>
  <c r="BS213" i="65"/>
  <c r="BR213" i="65"/>
  <c r="O214" i="65"/>
  <c r="BN213" i="65"/>
  <c r="BM213" i="65"/>
  <c r="BK213" i="65"/>
  <c r="BL213" i="65"/>
  <c r="BJ213" i="65"/>
  <c r="BI213" i="65"/>
  <c r="BH213" i="65"/>
  <c r="BG213" i="65"/>
  <c r="BF213" i="65"/>
  <c r="BE213" i="65"/>
  <c r="BD213" i="65"/>
  <c r="BC213" i="65"/>
  <c r="BB213" i="65"/>
  <c r="BA213" i="65"/>
  <c r="AZ213" i="65"/>
  <c r="AY213" i="65"/>
  <c r="AX213" i="65"/>
  <c r="AW213" i="65"/>
  <c r="AV213" i="65"/>
  <c r="AU213" i="65"/>
  <c r="AT213" i="65"/>
  <c r="AS213" i="65"/>
  <c r="AR213" i="65"/>
  <c r="AQ213" i="65"/>
  <c r="AP213" i="65"/>
  <c r="AO213" i="65"/>
  <c r="AN213" i="65"/>
  <c r="AM213" i="65"/>
  <c r="AL213" i="65"/>
  <c r="AK213" i="65"/>
  <c r="AJ213" i="65"/>
  <c r="AI213" i="65"/>
  <c r="AH213" i="65"/>
  <c r="AG213" i="65"/>
  <c r="AF213" i="65"/>
  <c r="AE213" i="65"/>
  <c r="AD213" i="65"/>
  <c r="AC213" i="65"/>
  <c r="AB213" i="65"/>
  <c r="AA213" i="65"/>
  <c r="Z213" i="65"/>
  <c r="Y213" i="65"/>
  <c r="X213" i="65"/>
  <c r="W213" i="65"/>
  <c r="V213" i="65"/>
  <c r="U213" i="65"/>
  <c r="T213" i="65"/>
  <c r="S213" i="65"/>
  <c r="R213" i="65"/>
  <c r="Q213" i="65"/>
  <c r="P213" i="65"/>
  <c r="O159" i="65"/>
  <c r="BM158" i="65"/>
  <c r="BN158" i="65"/>
  <c r="BL158" i="65"/>
  <c r="BK158" i="65"/>
  <c r="BJ158" i="65"/>
  <c r="BI158" i="65"/>
  <c r="BH158" i="65"/>
  <c r="BG158" i="65"/>
  <c r="BF158" i="65"/>
  <c r="BE158" i="65"/>
  <c r="BD158" i="65"/>
  <c r="BC158" i="65"/>
  <c r="BB158" i="65"/>
  <c r="BA158" i="65"/>
  <c r="AZ158" i="65"/>
  <c r="AY158" i="65"/>
  <c r="AX158" i="65"/>
  <c r="AW158" i="65"/>
  <c r="AV158" i="65"/>
  <c r="AU158" i="65"/>
  <c r="AT158" i="65"/>
  <c r="AS158" i="65"/>
  <c r="AR158" i="65"/>
  <c r="AQ158" i="65"/>
  <c r="AP158" i="65"/>
  <c r="AO158" i="65"/>
  <c r="AN158" i="65"/>
  <c r="AM158" i="65"/>
  <c r="AL158" i="65"/>
  <c r="AK158" i="65"/>
  <c r="AJ158" i="65"/>
  <c r="AI158" i="65"/>
  <c r="AH158" i="65"/>
  <c r="AG158" i="65"/>
  <c r="AF158" i="65"/>
  <c r="AE158" i="65"/>
  <c r="AD158" i="65"/>
  <c r="AC158" i="65"/>
  <c r="AB158" i="65"/>
  <c r="AA158" i="65"/>
  <c r="Z158" i="65"/>
  <c r="Y158" i="65"/>
  <c r="X158" i="65"/>
  <c r="W158" i="65"/>
  <c r="V158" i="65"/>
  <c r="U158" i="65"/>
  <c r="T158" i="65"/>
  <c r="S158" i="65"/>
  <c r="R158" i="65"/>
  <c r="P158" i="65"/>
  <c r="Q158" i="65"/>
  <c r="P222" i="39"/>
  <c r="BS214" i="65" l="1"/>
  <c r="BR214" i="65"/>
  <c r="BR159" i="65"/>
  <c r="BS159" i="65"/>
  <c r="O160" i="65"/>
  <c r="BM159" i="65"/>
  <c r="BN159" i="65"/>
  <c r="BK159" i="65"/>
  <c r="BL159" i="65"/>
  <c r="BJ159" i="65"/>
  <c r="BI159" i="65"/>
  <c r="BH159" i="65"/>
  <c r="BG159" i="65"/>
  <c r="BF159" i="65"/>
  <c r="BE159" i="65"/>
  <c r="BD159" i="65"/>
  <c r="BC159" i="65"/>
  <c r="BB159" i="65"/>
  <c r="BA159" i="65"/>
  <c r="AZ159" i="65"/>
  <c r="AY159" i="65"/>
  <c r="AX159" i="65"/>
  <c r="AW159" i="65"/>
  <c r="AV159" i="65"/>
  <c r="AU159" i="65"/>
  <c r="AT159" i="65"/>
  <c r="AS159" i="65"/>
  <c r="AR159" i="65"/>
  <c r="AQ159" i="65"/>
  <c r="AP159" i="65"/>
  <c r="AO159" i="65"/>
  <c r="AN159" i="65"/>
  <c r="AM159" i="65"/>
  <c r="AL159" i="65"/>
  <c r="AK159" i="65"/>
  <c r="AJ159" i="65"/>
  <c r="AI159" i="65"/>
  <c r="AH159" i="65"/>
  <c r="AG159" i="65"/>
  <c r="AF159" i="65"/>
  <c r="AE159" i="65"/>
  <c r="AD159" i="65"/>
  <c r="AC159" i="65"/>
  <c r="AB159" i="65"/>
  <c r="AA159" i="65"/>
  <c r="Z159" i="65"/>
  <c r="Y159" i="65"/>
  <c r="X159" i="65"/>
  <c r="W159" i="65"/>
  <c r="V159" i="65"/>
  <c r="U159" i="65"/>
  <c r="T159" i="65"/>
  <c r="S159" i="65"/>
  <c r="R159" i="65"/>
  <c r="P159" i="65"/>
  <c r="Q159" i="65"/>
  <c r="O215" i="65"/>
  <c r="BN214" i="65"/>
  <c r="BM214" i="65"/>
  <c r="BK214" i="65"/>
  <c r="BL214" i="65"/>
  <c r="BJ214" i="65"/>
  <c r="BI214" i="65"/>
  <c r="BH214" i="65"/>
  <c r="BG214" i="65"/>
  <c r="BF214" i="65"/>
  <c r="BE214" i="65"/>
  <c r="BD214" i="65"/>
  <c r="BC214" i="65"/>
  <c r="BB214" i="65"/>
  <c r="BA214" i="65"/>
  <c r="AZ214" i="65"/>
  <c r="AY214" i="65"/>
  <c r="AX214" i="65"/>
  <c r="AW214" i="65"/>
  <c r="AV214" i="65"/>
  <c r="AU214" i="65"/>
  <c r="AT214" i="65"/>
  <c r="AS214" i="65"/>
  <c r="AR214" i="65"/>
  <c r="AQ214" i="65"/>
  <c r="AP214" i="65"/>
  <c r="AO214" i="65"/>
  <c r="AN214" i="65"/>
  <c r="AM214" i="65"/>
  <c r="AL214" i="65"/>
  <c r="AK214" i="65"/>
  <c r="AJ214" i="65"/>
  <c r="AI214" i="65"/>
  <c r="AH214" i="65"/>
  <c r="AG214" i="65"/>
  <c r="AF214" i="65"/>
  <c r="AE214" i="65"/>
  <c r="AD214" i="65"/>
  <c r="AC214" i="65"/>
  <c r="AB214" i="65"/>
  <c r="AA214" i="65"/>
  <c r="Z214" i="65"/>
  <c r="Y214" i="65"/>
  <c r="X214" i="65"/>
  <c r="W214" i="65"/>
  <c r="V214" i="65"/>
  <c r="U214" i="65"/>
  <c r="T214" i="65"/>
  <c r="S214" i="65"/>
  <c r="R214" i="65"/>
  <c r="P214" i="65"/>
  <c r="Q214" i="65"/>
  <c r="BT3" i="39" a="1"/>
  <c r="BT3" i="39" s="1"/>
  <c r="BT4" i="39" s="1" a="1"/>
  <c r="BT4" i="39" s="1"/>
  <c r="BT5" i="39" s="1" a="1"/>
  <c r="BT5" i="39" s="1"/>
  <c r="BT6" i="39" s="1" a="1"/>
  <c r="BT6" i="39" s="1"/>
  <c r="BT7" i="39" s="1" a="1"/>
  <c r="BT7" i="39" s="1"/>
  <c r="BT8" i="39" s="1" a="1"/>
  <c r="BT8" i="39" s="1"/>
  <c r="BT9" i="39" s="1" a="1"/>
  <c r="BT9" i="39" s="1"/>
  <c r="BT10" i="39" s="1" a="1"/>
  <c r="BT10" i="39" s="1"/>
  <c r="BT11" i="39" s="1" a="1"/>
  <c r="BT11" i="39" s="1"/>
  <c r="BT12" i="39" s="1" a="1"/>
  <c r="BT12" i="39" s="1"/>
  <c r="BT13" i="39" s="1" a="1"/>
  <c r="BT13" i="39" s="1"/>
  <c r="BT14" i="39" s="1" a="1"/>
  <c r="BT14" i="39" s="1"/>
  <c r="BT15" i="39" s="1" a="1"/>
  <c r="BT15" i="39" s="1"/>
  <c r="BT16" i="39" s="1" a="1"/>
  <c r="BT16" i="39" s="1"/>
  <c r="BT17" i="39" s="1" a="1"/>
  <c r="BT17" i="39" s="1"/>
  <c r="BT18" i="39" s="1" a="1"/>
  <c r="BT18" i="39" s="1"/>
  <c r="BT19" i="39" s="1" a="1"/>
  <c r="BT19" i="39" s="1"/>
  <c r="BT20" i="39" s="1" a="1"/>
  <c r="BR160" i="65" l="1"/>
  <c r="BS160" i="65"/>
  <c r="BR215" i="65"/>
  <c r="BS215" i="65"/>
  <c r="O216" i="65"/>
  <c r="BN215" i="65"/>
  <c r="BM215" i="65"/>
  <c r="BL215" i="65"/>
  <c r="BK215" i="65"/>
  <c r="BJ215" i="65"/>
  <c r="BI215" i="65"/>
  <c r="BH215" i="65"/>
  <c r="BG215" i="65"/>
  <c r="BF215" i="65"/>
  <c r="BE215" i="65"/>
  <c r="BD215" i="65"/>
  <c r="BC215" i="65"/>
  <c r="BB215" i="65"/>
  <c r="BA215" i="65"/>
  <c r="AZ215" i="65"/>
  <c r="AY215" i="65"/>
  <c r="AX215" i="65"/>
  <c r="AW215" i="65"/>
  <c r="AV215" i="65"/>
  <c r="AU215" i="65"/>
  <c r="AT215" i="65"/>
  <c r="AS215" i="65"/>
  <c r="AR215" i="65"/>
  <c r="AQ215" i="65"/>
  <c r="AP215" i="65"/>
  <c r="AO215" i="65"/>
  <c r="AN215" i="65"/>
  <c r="AM215" i="65"/>
  <c r="AL215" i="65"/>
  <c r="AK215" i="65"/>
  <c r="AJ215" i="65"/>
  <c r="AI215" i="65"/>
  <c r="AH215" i="65"/>
  <c r="AG215" i="65"/>
  <c r="AF215" i="65"/>
  <c r="AE215" i="65"/>
  <c r="AD215" i="65"/>
  <c r="AC215" i="65"/>
  <c r="AB215" i="65"/>
  <c r="AA215" i="65"/>
  <c r="Z215" i="65"/>
  <c r="Y215" i="65"/>
  <c r="X215" i="65"/>
  <c r="W215" i="65"/>
  <c r="V215" i="65"/>
  <c r="U215" i="65"/>
  <c r="T215" i="65"/>
  <c r="S215" i="65"/>
  <c r="R215" i="65"/>
  <c r="P215" i="65"/>
  <c r="Q215" i="65"/>
  <c r="O161" i="65"/>
  <c r="BN160" i="65"/>
  <c r="BM160" i="65"/>
  <c r="BK160" i="65"/>
  <c r="BL160" i="65"/>
  <c r="BJ160" i="65"/>
  <c r="BI160" i="65"/>
  <c r="BH160" i="65"/>
  <c r="BG160" i="65"/>
  <c r="BF160" i="65"/>
  <c r="BE160" i="65"/>
  <c r="BD160" i="65"/>
  <c r="BC160" i="65"/>
  <c r="BB160" i="65"/>
  <c r="BA160" i="65"/>
  <c r="AZ160" i="65"/>
  <c r="AY160" i="65"/>
  <c r="AX160" i="65"/>
  <c r="AW160" i="65"/>
  <c r="AV160" i="65"/>
  <c r="AU160" i="65"/>
  <c r="AT160" i="65"/>
  <c r="AS160" i="65"/>
  <c r="AR160" i="65"/>
  <c r="AQ160" i="65"/>
  <c r="AP160" i="65"/>
  <c r="AO160" i="65"/>
  <c r="AN160" i="65"/>
  <c r="AM160" i="65"/>
  <c r="AL160" i="65"/>
  <c r="AK160" i="65"/>
  <c r="AJ160" i="65"/>
  <c r="AI160" i="65"/>
  <c r="AH160" i="65"/>
  <c r="AG160" i="65"/>
  <c r="AF160" i="65"/>
  <c r="AE160" i="65"/>
  <c r="AD160" i="65"/>
  <c r="AC160" i="65"/>
  <c r="AB160" i="65"/>
  <c r="AA160" i="65"/>
  <c r="Z160" i="65"/>
  <c r="Y160" i="65"/>
  <c r="X160" i="65"/>
  <c r="W160" i="65"/>
  <c r="V160" i="65"/>
  <c r="U160" i="65"/>
  <c r="T160" i="65"/>
  <c r="S160" i="65"/>
  <c r="R160" i="65"/>
  <c r="P160" i="65"/>
  <c r="Q160" i="65"/>
  <c r="BT20" i="39"/>
  <c r="F17" i="39" a="1"/>
  <c r="F16" i="39" a="1"/>
  <c r="F18" i="39" a="1"/>
  <c r="F21" i="39" a="1"/>
  <c r="F19" i="39" a="1"/>
  <c r="F22" i="39" a="1"/>
  <c r="F20" i="39" a="1"/>
  <c r="F16" i="39" l="1"/>
  <c r="BR216" i="65"/>
  <c r="BS216" i="65"/>
  <c r="BR161" i="65"/>
  <c r="BS161" i="65"/>
  <c r="BM161" i="65"/>
  <c r="BN161" i="65"/>
  <c r="BL161" i="65"/>
  <c r="BK161" i="65"/>
  <c r="BJ161" i="65"/>
  <c r="BI161" i="65"/>
  <c r="BH161" i="65"/>
  <c r="BG161" i="65"/>
  <c r="BF161" i="65"/>
  <c r="BE161" i="65"/>
  <c r="BD161" i="65"/>
  <c r="BC161" i="65"/>
  <c r="BB161" i="65"/>
  <c r="BA161" i="65"/>
  <c r="AZ161" i="65"/>
  <c r="AY161" i="65"/>
  <c r="AX161" i="65"/>
  <c r="AW161" i="65"/>
  <c r="AV161" i="65"/>
  <c r="AU161" i="65"/>
  <c r="AT161" i="65"/>
  <c r="AS161" i="65"/>
  <c r="AR161" i="65"/>
  <c r="AQ161" i="65"/>
  <c r="AP161" i="65"/>
  <c r="AO161" i="65"/>
  <c r="AN161" i="65"/>
  <c r="AM161" i="65"/>
  <c r="AL161" i="65"/>
  <c r="AK161" i="65"/>
  <c r="AJ161" i="65"/>
  <c r="AI161" i="65"/>
  <c r="AH161" i="65"/>
  <c r="AG161" i="65"/>
  <c r="AF161" i="65"/>
  <c r="AE161" i="65"/>
  <c r="AD161" i="65"/>
  <c r="AC161" i="65"/>
  <c r="AB161" i="65"/>
  <c r="AA161" i="65"/>
  <c r="Z161" i="65"/>
  <c r="Y161" i="65"/>
  <c r="X161" i="65"/>
  <c r="W161" i="65"/>
  <c r="V161" i="65"/>
  <c r="U161" i="65"/>
  <c r="T161" i="65"/>
  <c r="S161" i="65"/>
  <c r="R161" i="65"/>
  <c r="P161" i="65"/>
  <c r="Q161" i="65"/>
  <c r="O217" i="65"/>
  <c r="BM216" i="65"/>
  <c r="BN216" i="65"/>
  <c r="BK216" i="65"/>
  <c r="BL216" i="65"/>
  <c r="BJ216" i="65"/>
  <c r="BI216" i="65"/>
  <c r="BH216" i="65"/>
  <c r="BG216" i="65"/>
  <c r="BF216" i="65"/>
  <c r="BE216" i="65"/>
  <c r="BD216" i="65"/>
  <c r="BC216" i="65"/>
  <c r="BB216" i="65"/>
  <c r="BA216" i="65"/>
  <c r="AZ216" i="65"/>
  <c r="AY216" i="65"/>
  <c r="AX216" i="65"/>
  <c r="AW216" i="65"/>
  <c r="AV216" i="65"/>
  <c r="AU216" i="65"/>
  <c r="AT216" i="65"/>
  <c r="AS216" i="65"/>
  <c r="AR216" i="65"/>
  <c r="AQ216" i="65"/>
  <c r="AP216" i="65"/>
  <c r="AO216" i="65"/>
  <c r="AN216" i="65"/>
  <c r="AM216" i="65"/>
  <c r="AL216" i="65"/>
  <c r="AK216" i="65"/>
  <c r="AJ216" i="65"/>
  <c r="AI216" i="65"/>
  <c r="AH216" i="65"/>
  <c r="AG216" i="65"/>
  <c r="AF216" i="65"/>
  <c r="AE216" i="65"/>
  <c r="AD216" i="65"/>
  <c r="AC216" i="65"/>
  <c r="AB216" i="65"/>
  <c r="AA216" i="65"/>
  <c r="Z216" i="65"/>
  <c r="Y216" i="65"/>
  <c r="X216" i="65"/>
  <c r="W216" i="65"/>
  <c r="V216" i="65"/>
  <c r="U216" i="65"/>
  <c r="T216" i="65"/>
  <c r="S216" i="65"/>
  <c r="R216" i="65"/>
  <c r="P216" i="65"/>
  <c r="Q216" i="65"/>
  <c r="F21" i="39"/>
  <c r="F18" i="39"/>
  <c r="F20" i="39"/>
  <c r="F17" i="39"/>
  <c r="F22" i="39"/>
  <c r="F19" i="39"/>
  <c r="BR217" i="65" l="1"/>
  <c r="BS217" i="65"/>
  <c r="BN217" i="65"/>
  <c r="BM217" i="65"/>
  <c r="BL217" i="65"/>
  <c r="BK217" i="65"/>
  <c r="BJ217" i="65"/>
  <c r="BI217" i="65"/>
  <c r="BH217" i="65"/>
  <c r="BG217" i="65"/>
  <c r="BF217" i="65"/>
  <c r="BE217" i="65"/>
  <c r="BD217" i="65"/>
  <c r="BC217" i="65"/>
  <c r="BB217" i="65"/>
  <c r="BA217" i="65"/>
  <c r="AZ217" i="65"/>
  <c r="AY217" i="65"/>
  <c r="AX217" i="65"/>
  <c r="AW217" i="65"/>
  <c r="AV217" i="65"/>
  <c r="AU217" i="65"/>
  <c r="AT217" i="65"/>
  <c r="AS217" i="65"/>
  <c r="AR217" i="65"/>
  <c r="AQ217" i="65"/>
  <c r="AP217" i="65"/>
  <c r="AO217" i="65"/>
  <c r="AN217" i="65"/>
  <c r="AM217" i="65"/>
  <c r="AL217" i="65"/>
  <c r="AK217" i="65"/>
  <c r="AJ217" i="65"/>
  <c r="AI217" i="65"/>
  <c r="AH217" i="65"/>
  <c r="AG217" i="65"/>
  <c r="AF217" i="65"/>
  <c r="AE217" i="65"/>
  <c r="AD217" i="65"/>
  <c r="AC217" i="65"/>
  <c r="AB217" i="65"/>
  <c r="AA217" i="65"/>
  <c r="Z217" i="65"/>
  <c r="Y217" i="65"/>
  <c r="X217" i="65"/>
  <c r="W217" i="65"/>
  <c r="V217" i="65"/>
  <c r="U217" i="65"/>
  <c r="T217" i="65"/>
  <c r="S217" i="65"/>
  <c r="R217" i="65"/>
  <c r="Q217" i="65"/>
  <c r="P217" i="65"/>
  <c r="H17" i="39"/>
  <c r="H22" i="39"/>
  <c r="H21" i="39"/>
  <c r="H19" i="39"/>
  <c r="H18" i="39"/>
  <c r="H16" i="39"/>
  <c r="H20" i="39"/>
  <c r="P222" i="65" l="1" a="1"/>
  <c r="P222" i="65" s="1"/>
  <c r="BT3" i="65" s="1" a="1"/>
  <c r="BT3" i="65" s="1"/>
  <c r="BT4" i="65" s="1" a="1"/>
  <c r="BT4" i="65" s="1"/>
  <c r="BT5" i="65" s="1" a="1"/>
  <c r="BT5" i="65" s="1"/>
  <c r="BT6" i="65" s="1" a="1"/>
  <c r="BT6" i="65" s="1"/>
  <c r="BT7" i="65" s="1" a="1"/>
  <c r="BT7" i="65" s="1"/>
  <c r="BT8" i="65" s="1" a="1"/>
  <c r="BT8" i="65" s="1"/>
  <c r="BT9" i="65" s="1" a="1"/>
  <c r="BT9" i="65" s="1"/>
  <c r="BT10" i="65" s="1" a="1"/>
  <c r="BT10" i="65" s="1"/>
  <c r="BT11" i="65" s="1" a="1"/>
  <c r="BT11" i="65" s="1"/>
  <c r="BT12" i="65" s="1" a="1"/>
  <c r="BT12" i="65" s="1"/>
  <c r="BT13" i="65" s="1" a="1"/>
  <c r="BT13" i="65" s="1"/>
  <c r="BT14" i="65" s="1" a="1"/>
  <c r="BT14" i="65" s="1"/>
  <c r="BT15" i="65" s="1" a="1"/>
  <c r="BT15" i="65" s="1"/>
  <c r="BT16" i="65" s="1" a="1"/>
  <c r="BT16" i="65" s="1"/>
  <c r="BT17" i="65" s="1" a="1"/>
  <c r="H25" i="39"/>
  <c r="BT17" i="65" l="1"/>
  <c r="DA160" i="65" l="1"/>
  <c r="DA157" i="65"/>
  <c r="DA154" i="65"/>
  <c r="DA151" i="65"/>
  <c r="DA158" i="65"/>
  <c r="DA153" i="65"/>
  <c r="DA149" i="65"/>
  <c r="DA148" i="65"/>
  <c r="DA166" i="65"/>
  <c r="DA159" i="65"/>
  <c r="DA155" i="65"/>
  <c r="DA150" i="65"/>
  <c r="DA146" i="65"/>
  <c r="DA142" i="65"/>
  <c r="DA139" i="65"/>
  <c r="DA136" i="65"/>
  <c r="DA133" i="65"/>
  <c r="DA130" i="65"/>
  <c r="DA127" i="65"/>
  <c r="DA124" i="65"/>
  <c r="DA121" i="65"/>
  <c r="DA118" i="65"/>
  <c r="DA115" i="65"/>
  <c r="DA112" i="65"/>
  <c r="DA161" i="65"/>
  <c r="DA156" i="65"/>
  <c r="DA152" i="65"/>
  <c r="DA145" i="65"/>
  <c r="DA147" i="65"/>
  <c r="DA141" i="65"/>
  <c r="DA137" i="65"/>
  <c r="DA132" i="65"/>
  <c r="DA128" i="65"/>
  <c r="DA143" i="65"/>
  <c r="DA144" i="65"/>
  <c r="DA138" i="65"/>
  <c r="DA134" i="65"/>
  <c r="DA129" i="65"/>
  <c r="DA131" i="65"/>
  <c r="DA125" i="65"/>
  <c r="DA123" i="65"/>
  <c r="DA117" i="65"/>
  <c r="DA116" i="65"/>
  <c r="DA140" i="65"/>
  <c r="DA119" i="65"/>
  <c r="DA113" i="65"/>
  <c r="DA111" i="65"/>
  <c r="DA135" i="65"/>
  <c r="DA122" i="65"/>
  <c r="DA120" i="65"/>
  <c r="DA114" i="65"/>
  <c r="DA126" i="65"/>
  <c r="CE161" i="65"/>
  <c r="CE158" i="65"/>
  <c r="CE155" i="65"/>
  <c r="CE152" i="65"/>
  <c r="CE149" i="65"/>
  <c r="CE160" i="65"/>
  <c r="CE156" i="65"/>
  <c r="CE151" i="65"/>
  <c r="CE148" i="65"/>
  <c r="CE157" i="65"/>
  <c r="CE153" i="65"/>
  <c r="CE166" i="65"/>
  <c r="CE146" i="65"/>
  <c r="CE140" i="65"/>
  <c r="CE137" i="65"/>
  <c r="CE134" i="65"/>
  <c r="CE131" i="65"/>
  <c r="CE128" i="65"/>
  <c r="CE125" i="65"/>
  <c r="CE122" i="65"/>
  <c r="CE119" i="65"/>
  <c r="CE116" i="65"/>
  <c r="CE113" i="65"/>
  <c r="CE159" i="65"/>
  <c r="CE154" i="65"/>
  <c r="CE150" i="65"/>
  <c r="CE145" i="65"/>
  <c r="CE147" i="65"/>
  <c r="CE139" i="65"/>
  <c r="CE135" i="65"/>
  <c r="CE130" i="65"/>
  <c r="CE126" i="65"/>
  <c r="CE144" i="65"/>
  <c r="CE143" i="65"/>
  <c r="CE141" i="65"/>
  <c r="CE136" i="65"/>
  <c r="CE132" i="65"/>
  <c r="CE127" i="65"/>
  <c r="CE123" i="65"/>
  <c r="CE117" i="65"/>
  <c r="CE133" i="65"/>
  <c r="CE111" i="65"/>
  <c r="CE118" i="65"/>
  <c r="CE112" i="65"/>
  <c r="CE129" i="65"/>
  <c r="CE124" i="65"/>
  <c r="CE120" i="65"/>
  <c r="CE142" i="65"/>
  <c r="CE121" i="65"/>
  <c r="CE114" i="65"/>
  <c r="CE138" i="65"/>
  <c r="CE115" i="65"/>
  <c r="CF159" i="65"/>
  <c r="CF156" i="65"/>
  <c r="CF153" i="65"/>
  <c r="CF150" i="65"/>
  <c r="CF147" i="65"/>
  <c r="CF144" i="65"/>
  <c r="CF161" i="65"/>
  <c r="CF166" i="65"/>
  <c r="CF158" i="65"/>
  <c r="CF154" i="65"/>
  <c r="CF149" i="65"/>
  <c r="CF145" i="65"/>
  <c r="CF141" i="65"/>
  <c r="CF138" i="65"/>
  <c r="CF135" i="65"/>
  <c r="CF132" i="65"/>
  <c r="CF129" i="65"/>
  <c r="CF126" i="65"/>
  <c r="CF123" i="65"/>
  <c r="CF120" i="65"/>
  <c r="CF117" i="65"/>
  <c r="CF114" i="65"/>
  <c r="CF111" i="65"/>
  <c r="CF155" i="65"/>
  <c r="CF146" i="65"/>
  <c r="CF139" i="65"/>
  <c r="CF134" i="65"/>
  <c r="CF130" i="65"/>
  <c r="CF157" i="65"/>
  <c r="CF160" i="65"/>
  <c r="CF143" i="65"/>
  <c r="CF140" i="65"/>
  <c r="CF136" i="65"/>
  <c r="CF131" i="65"/>
  <c r="CF151" i="65"/>
  <c r="CF148" i="65"/>
  <c r="CF142" i="65"/>
  <c r="CF137" i="65"/>
  <c r="CF133" i="65"/>
  <c r="CF128" i="65"/>
  <c r="CF124" i="65"/>
  <c r="CF119" i="65"/>
  <c r="CF115" i="65"/>
  <c r="CF116" i="65"/>
  <c r="CF127" i="65"/>
  <c r="CF118" i="65"/>
  <c r="CF112" i="65"/>
  <c r="CF121" i="65"/>
  <c r="CF113" i="65"/>
  <c r="CF152" i="65"/>
  <c r="CF125" i="65"/>
  <c r="CF122" i="65"/>
  <c r="CG159" i="65"/>
  <c r="CG156" i="65"/>
  <c r="CG153" i="65"/>
  <c r="CG150" i="65"/>
  <c r="CG166" i="65"/>
  <c r="CG161" i="65"/>
  <c r="CG157" i="65"/>
  <c r="CG152" i="65"/>
  <c r="CG147" i="65"/>
  <c r="CG158" i="65"/>
  <c r="CG154" i="65"/>
  <c r="CG149" i="65"/>
  <c r="CG141" i="65"/>
  <c r="CG138" i="65"/>
  <c r="CG135" i="65"/>
  <c r="CG132" i="65"/>
  <c r="CG129" i="65"/>
  <c r="CG126" i="65"/>
  <c r="CG123" i="65"/>
  <c r="CG120" i="65"/>
  <c r="CG117" i="65"/>
  <c r="CG114" i="65"/>
  <c r="CG111" i="65"/>
  <c r="CG160" i="65"/>
  <c r="CG155" i="65"/>
  <c r="CG151" i="65"/>
  <c r="CG148" i="65"/>
  <c r="CG144" i="65"/>
  <c r="CG143" i="65"/>
  <c r="CG140" i="65"/>
  <c r="CG136" i="65"/>
  <c r="CG131" i="65"/>
  <c r="CG127" i="65"/>
  <c r="CG142" i="65"/>
  <c r="CG137" i="65"/>
  <c r="CG133" i="65"/>
  <c r="CG128" i="65"/>
  <c r="CG145" i="65"/>
  <c r="CG118" i="65"/>
  <c r="CG112" i="65"/>
  <c r="CG146" i="65"/>
  <c r="CG134" i="65"/>
  <c r="CG130" i="65"/>
  <c r="CG124" i="65"/>
  <c r="CG121" i="65"/>
  <c r="CG119" i="65"/>
  <c r="CG113" i="65"/>
  <c r="CG125" i="65"/>
  <c r="CG139" i="65"/>
  <c r="CG122" i="65"/>
  <c r="CG115" i="65"/>
  <c r="CG116" i="65"/>
  <c r="CI160" i="65"/>
  <c r="CI157" i="65"/>
  <c r="CI154" i="65"/>
  <c r="CI151" i="65"/>
  <c r="CI158" i="65"/>
  <c r="CI153" i="65"/>
  <c r="CI149" i="65"/>
  <c r="CI166" i="65"/>
  <c r="CI159" i="65"/>
  <c r="CI155" i="65"/>
  <c r="CI150" i="65"/>
  <c r="CI148" i="65"/>
  <c r="CI143" i="65"/>
  <c r="CI142" i="65"/>
  <c r="CI139" i="65"/>
  <c r="CI136" i="65"/>
  <c r="CI133" i="65"/>
  <c r="CI130" i="65"/>
  <c r="CI127" i="65"/>
  <c r="CI124" i="65"/>
  <c r="CI121" i="65"/>
  <c r="CI118" i="65"/>
  <c r="CI115" i="65"/>
  <c r="CI112" i="65"/>
  <c r="CI161" i="65"/>
  <c r="CI156" i="65"/>
  <c r="CI152" i="65"/>
  <c r="CI147" i="65"/>
  <c r="CI141" i="65"/>
  <c r="CI137" i="65"/>
  <c r="CI132" i="65"/>
  <c r="CI128" i="65"/>
  <c r="CI144" i="65"/>
  <c r="CI146" i="65"/>
  <c r="CI145" i="65"/>
  <c r="CI138" i="65"/>
  <c r="CI134" i="65"/>
  <c r="CI129" i="65"/>
  <c r="CI135" i="65"/>
  <c r="CI119" i="65"/>
  <c r="CI113" i="65"/>
  <c r="CI111" i="65"/>
  <c r="CI131" i="65"/>
  <c r="CI125" i="65"/>
  <c r="CI122" i="65"/>
  <c r="CI120" i="65"/>
  <c r="CI114" i="65"/>
  <c r="CI140" i="65"/>
  <c r="CI123" i="65"/>
  <c r="CI117" i="65"/>
  <c r="CI116" i="65"/>
  <c r="CI126" i="65"/>
  <c r="CT166" i="65"/>
  <c r="CT160" i="65"/>
  <c r="CT157" i="65"/>
  <c r="CT154" i="65"/>
  <c r="CT151" i="65"/>
  <c r="CT148" i="65"/>
  <c r="CT145" i="65"/>
  <c r="CT161" i="65"/>
  <c r="CT156" i="65"/>
  <c r="CT152" i="65"/>
  <c r="CT142" i="65"/>
  <c r="CT139" i="65"/>
  <c r="CT136" i="65"/>
  <c r="CT133" i="65"/>
  <c r="CT130" i="65"/>
  <c r="CT127" i="65"/>
  <c r="CT124" i="65"/>
  <c r="CT121" i="65"/>
  <c r="CT118" i="65"/>
  <c r="CT115" i="65"/>
  <c r="CT112" i="65"/>
  <c r="CT149" i="65"/>
  <c r="CT143" i="65"/>
  <c r="CT141" i="65"/>
  <c r="CT137" i="65"/>
  <c r="CT132" i="65"/>
  <c r="CT128" i="65"/>
  <c r="CT150" i="65"/>
  <c r="CT144" i="65"/>
  <c r="CT153" i="65"/>
  <c r="CT138" i="65"/>
  <c r="CT134" i="65"/>
  <c r="CT129" i="65"/>
  <c r="CT155" i="65"/>
  <c r="CT147" i="65"/>
  <c r="CT158" i="65"/>
  <c r="CT146" i="65"/>
  <c r="CT140" i="65"/>
  <c r="CT135" i="65"/>
  <c r="CT131" i="65"/>
  <c r="CT126" i="65"/>
  <c r="CT122" i="65"/>
  <c r="CT117" i="65"/>
  <c r="CT113" i="65"/>
  <c r="CT119" i="65"/>
  <c r="CT111" i="65"/>
  <c r="CT120" i="65"/>
  <c r="CT114" i="65"/>
  <c r="CT125" i="65"/>
  <c r="CT159" i="65"/>
  <c r="CT123" i="65"/>
  <c r="CT116" i="65"/>
  <c r="DI161" i="65"/>
  <c r="DI158" i="65"/>
  <c r="DI155" i="65"/>
  <c r="DI152" i="65"/>
  <c r="DI149" i="65"/>
  <c r="DI157" i="65"/>
  <c r="DI153" i="65"/>
  <c r="DI148" i="65"/>
  <c r="DI147" i="65"/>
  <c r="DI166" i="65"/>
  <c r="DI159" i="65"/>
  <c r="DI154" i="65"/>
  <c r="DI150" i="65"/>
  <c r="DI146" i="65"/>
  <c r="DI145" i="65"/>
  <c r="DI140" i="65"/>
  <c r="DI137" i="65"/>
  <c r="DI134" i="65"/>
  <c r="DI131" i="65"/>
  <c r="DI128" i="65"/>
  <c r="DI125" i="65"/>
  <c r="DI122" i="65"/>
  <c r="DI119" i="65"/>
  <c r="DI116" i="65"/>
  <c r="DI113" i="65"/>
  <c r="DI160" i="65"/>
  <c r="DI156" i="65"/>
  <c r="DI151" i="65"/>
  <c r="DI144" i="65"/>
  <c r="DI141" i="65"/>
  <c r="DI136" i="65"/>
  <c r="DI132" i="65"/>
  <c r="DI127" i="65"/>
  <c r="DI142" i="65"/>
  <c r="DI138" i="65"/>
  <c r="DI133" i="65"/>
  <c r="DI129" i="65"/>
  <c r="DI143" i="65"/>
  <c r="DI139" i="65"/>
  <c r="DI123" i="65"/>
  <c r="DI117" i="65"/>
  <c r="DI115" i="65"/>
  <c r="DI126" i="65"/>
  <c r="DI124" i="65"/>
  <c r="DI135" i="65"/>
  <c r="DI118" i="65"/>
  <c r="DI112" i="65"/>
  <c r="DI111" i="65"/>
  <c r="DI130" i="65"/>
  <c r="DI121" i="65"/>
  <c r="DI120" i="65"/>
  <c r="DI114" i="65"/>
  <c r="DL166" i="65"/>
  <c r="DL160" i="65"/>
  <c r="DL157" i="65"/>
  <c r="DL154" i="65"/>
  <c r="DL151" i="65"/>
  <c r="DL148" i="65"/>
  <c r="DL145" i="65"/>
  <c r="DL142" i="65"/>
  <c r="DL161" i="65"/>
  <c r="DL156" i="65"/>
  <c r="DL152" i="65"/>
  <c r="DL143" i="65"/>
  <c r="DL147" i="65"/>
  <c r="DL139" i="65"/>
  <c r="DL136" i="65"/>
  <c r="DL133" i="65"/>
  <c r="DL130" i="65"/>
  <c r="DL127" i="65"/>
  <c r="DL124" i="65"/>
  <c r="DL121" i="65"/>
  <c r="DL118" i="65"/>
  <c r="DL115" i="65"/>
  <c r="DL112" i="65"/>
  <c r="DL158" i="65"/>
  <c r="DL141" i="65"/>
  <c r="DL137" i="65"/>
  <c r="DL132" i="65"/>
  <c r="DL128" i="65"/>
  <c r="DL159" i="65"/>
  <c r="DL146" i="65"/>
  <c r="DL149" i="65"/>
  <c r="DL138" i="65"/>
  <c r="DL134" i="65"/>
  <c r="DL129" i="65"/>
  <c r="DL150" i="65"/>
  <c r="DL153" i="65"/>
  <c r="DL144" i="65"/>
  <c r="DL140" i="65"/>
  <c r="DL135" i="65"/>
  <c r="DL131" i="65"/>
  <c r="DL126" i="65"/>
  <c r="DL122" i="65"/>
  <c r="DL117" i="65"/>
  <c r="DL113" i="65"/>
  <c r="DL155" i="65"/>
  <c r="DL123" i="65"/>
  <c r="DL116" i="65"/>
  <c r="DL125" i="65"/>
  <c r="DL119" i="65"/>
  <c r="DL111" i="65"/>
  <c r="DL120" i="65"/>
  <c r="DL114" i="65"/>
  <c r="DG160" i="65"/>
  <c r="DG157" i="65"/>
  <c r="DG154" i="65"/>
  <c r="DG151" i="65"/>
  <c r="DG148" i="65"/>
  <c r="DG161" i="65"/>
  <c r="DG156" i="65"/>
  <c r="DG152" i="65"/>
  <c r="DG158" i="65"/>
  <c r="DG153" i="65"/>
  <c r="DG149" i="65"/>
  <c r="DG147" i="65"/>
  <c r="DG166" i="65"/>
  <c r="DG146" i="65"/>
  <c r="DG142" i="65"/>
  <c r="DG139" i="65"/>
  <c r="DG136" i="65"/>
  <c r="DG133" i="65"/>
  <c r="DG130" i="65"/>
  <c r="DG127" i="65"/>
  <c r="DG124" i="65"/>
  <c r="DG121" i="65"/>
  <c r="DG118" i="65"/>
  <c r="DG115" i="65"/>
  <c r="DG112" i="65"/>
  <c r="DG159" i="65"/>
  <c r="DG155" i="65"/>
  <c r="DG150" i="65"/>
  <c r="DG144" i="65"/>
  <c r="DG145" i="65"/>
  <c r="DG140" i="65"/>
  <c r="DG135" i="65"/>
  <c r="DG131" i="65"/>
  <c r="DG126" i="65"/>
  <c r="DG141" i="65"/>
  <c r="DG137" i="65"/>
  <c r="DG132" i="65"/>
  <c r="DG128" i="65"/>
  <c r="DG129" i="65"/>
  <c r="DG120" i="65"/>
  <c r="DG117" i="65"/>
  <c r="DG143" i="65"/>
  <c r="DG122" i="65"/>
  <c r="DG114" i="65"/>
  <c r="DG138" i="65"/>
  <c r="DG116" i="65"/>
  <c r="DG123" i="65"/>
  <c r="DG125" i="65"/>
  <c r="DG134" i="65"/>
  <c r="DG111" i="65"/>
  <c r="DG119" i="65"/>
  <c r="DG113" i="65"/>
  <c r="CV161" i="65"/>
  <c r="CV158" i="65"/>
  <c r="CV155" i="65"/>
  <c r="CV152" i="65"/>
  <c r="CV149" i="65"/>
  <c r="CV146" i="65"/>
  <c r="CV143" i="65"/>
  <c r="CV157" i="65"/>
  <c r="CV153" i="65"/>
  <c r="CV144" i="65"/>
  <c r="CV166" i="65"/>
  <c r="CV148" i="65"/>
  <c r="CV140" i="65"/>
  <c r="CV137" i="65"/>
  <c r="CV134" i="65"/>
  <c r="CV131" i="65"/>
  <c r="CV128" i="65"/>
  <c r="CV125" i="65"/>
  <c r="CV122" i="65"/>
  <c r="CV119" i="65"/>
  <c r="CV116" i="65"/>
  <c r="CV113" i="65"/>
  <c r="CV150" i="65"/>
  <c r="CV142" i="65"/>
  <c r="CV138" i="65"/>
  <c r="CV133" i="65"/>
  <c r="CV129" i="65"/>
  <c r="CV151" i="65"/>
  <c r="CV154" i="65"/>
  <c r="CV147" i="65"/>
  <c r="CV145" i="65"/>
  <c r="CV139" i="65"/>
  <c r="CV135" i="65"/>
  <c r="CV130" i="65"/>
  <c r="CV156" i="65"/>
  <c r="CV159" i="65"/>
  <c r="CV141" i="65"/>
  <c r="CV136" i="65"/>
  <c r="CV132" i="65"/>
  <c r="CV127" i="65"/>
  <c r="CV123" i="65"/>
  <c r="CV118" i="65"/>
  <c r="CV114" i="65"/>
  <c r="CV126" i="65"/>
  <c r="CV120" i="65"/>
  <c r="CV121" i="65"/>
  <c r="CV160" i="65"/>
  <c r="CV124" i="65"/>
  <c r="CV115" i="65"/>
  <c r="CV117" i="65"/>
  <c r="CV111" i="65"/>
  <c r="CV112" i="65"/>
  <c r="CN166" i="65"/>
  <c r="CN160" i="65"/>
  <c r="CN157" i="65"/>
  <c r="CN154" i="65"/>
  <c r="CN151" i="65"/>
  <c r="CN148" i="65"/>
  <c r="CN145" i="65"/>
  <c r="CN147" i="65"/>
  <c r="CN161" i="65"/>
  <c r="CN158" i="65"/>
  <c r="CN153" i="65"/>
  <c r="CN149" i="65"/>
  <c r="CN144" i="65"/>
  <c r="CN142" i="65"/>
  <c r="CN139" i="65"/>
  <c r="CN136" i="65"/>
  <c r="CN133" i="65"/>
  <c r="CN130" i="65"/>
  <c r="CN127" i="65"/>
  <c r="CN124" i="65"/>
  <c r="CN121" i="65"/>
  <c r="CN118" i="65"/>
  <c r="CN115" i="65"/>
  <c r="CN112" i="65"/>
  <c r="CN159" i="65"/>
  <c r="CN138" i="65"/>
  <c r="CN134" i="65"/>
  <c r="CN129" i="65"/>
  <c r="CN146" i="65"/>
  <c r="CN150" i="65"/>
  <c r="CN140" i="65"/>
  <c r="CN135" i="65"/>
  <c r="CN131" i="65"/>
  <c r="CN152" i="65"/>
  <c r="CN143" i="65"/>
  <c r="CN155" i="65"/>
  <c r="CN141" i="65"/>
  <c r="CN137" i="65"/>
  <c r="CN132" i="65"/>
  <c r="CN128" i="65"/>
  <c r="CN123" i="65"/>
  <c r="CN119" i="65"/>
  <c r="CN114" i="65"/>
  <c r="CN125" i="65"/>
  <c r="CN122" i="65"/>
  <c r="CN111" i="65"/>
  <c r="CN116" i="65"/>
  <c r="CN117" i="65"/>
  <c r="CN126" i="65"/>
  <c r="CN113" i="65"/>
  <c r="CN156" i="65"/>
  <c r="CN120" i="65"/>
  <c r="CO160" i="65"/>
  <c r="CO157" i="65"/>
  <c r="CO154" i="65"/>
  <c r="CO151" i="65"/>
  <c r="CO161" i="65"/>
  <c r="CO156" i="65"/>
  <c r="CO152" i="65"/>
  <c r="CO158" i="65"/>
  <c r="CO153" i="65"/>
  <c r="CO149" i="65"/>
  <c r="CO166" i="65"/>
  <c r="CO144" i="65"/>
  <c r="CO142" i="65"/>
  <c r="CO139" i="65"/>
  <c r="CO136" i="65"/>
  <c r="CO133" i="65"/>
  <c r="CO130" i="65"/>
  <c r="CO127" i="65"/>
  <c r="CO124" i="65"/>
  <c r="CO121" i="65"/>
  <c r="CO118" i="65"/>
  <c r="CO115" i="65"/>
  <c r="CO112" i="65"/>
  <c r="CO159" i="65"/>
  <c r="CO155" i="65"/>
  <c r="CO150" i="65"/>
  <c r="CO148" i="65"/>
  <c r="CO143" i="65"/>
  <c r="CO146" i="65"/>
  <c r="CO145" i="65"/>
  <c r="CO140" i="65"/>
  <c r="CO135" i="65"/>
  <c r="CO131" i="65"/>
  <c r="CO126" i="65"/>
  <c r="CO141" i="65"/>
  <c r="CO137" i="65"/>
  <c r="CO132" i="65"/>
  <c r="CO128" i="65"/>
  <c r="CO147" i="65"/>
  <c r="CO134" i="65"/>
  <c r="CO116" i="65"/>
  <c r="CO113" i="65"/>
  <c r="CO123" i="65"/>
  <c r="CO117" i="65"/>
  <c r="CO129" i="65"/>
  <c r="CO111" i="65"/>
  <c r="CO119" i="65"/>
  <c r="CO138" i="65"/>
  <c r="CO120" i="65"/>
  <c r="CO125" i="65"/>
  <c r="CO122" i="65"/>
  <c r="CO114" i="65"/>
  <c r="CR159" i="65"/>
  <c r="CR156" i="65"/>
  <c r="CR153" i="65"/>
  <c r="CR150" i="65"/>
  <c r="CR147" i="65"/>
  <c r="CR144" i="65"/>
  <c r="CR166" i="65"/>
  <c r="CR160" i="65"/>
  <c r="CR155" i="65"/>
  <c r="CR151" i="65"/>
  <c r="CR146" i="65"/>
  <c r="CR141" i="65"/>
  <c r="CR138" i="65"/>
  <c r="CR135" i="65"/>
  <c r="CR132" i="65"/>
  <c r="CR129" i="65"/>
  <c r="CR126" i="65"/>
  <c r="CR123" i="65"/>
  <c r="CR120" i="65"/>
  <c r="CR117" i="65"/>
  <c r="CR114" i="65"/>
  <c r="CR111" i="65"/>
  <c r="CR140" i="65"/>
  <c r="CR136" i="65"/>
  <c r="CR131" i="65"/>
  <c r="CR127" i="65"/>
  <c r="CR149" i="65"/>
  <c r="CR148" i="65"/>
  <c r="CR161" i="65"/>
  <c r="CR152" i="65"/>
  <c r="CR143" i="65"/>
  <c r="CR142" i="65"/>
  <c r="CR137" i="65"/>
  <c r="CR133" i="65"/>
  <c r="CR128" i="65"/>
  <c r="CR154" i="65"/>
  <c r="CR145" i="65"/>
  <c r="CR157" i="65"/>
  <c r="CR139" i="65"/>
  <c r="CR134" i="65"/>
  <c r="CR130" i="65"/>
  <c r="CR125" i="65"/>
  <c r="CR121" i="65"/>
  <c r="CR116" i="65"/>
  <c r="CR112" i="65"/>
  <c r="CR158" i="65"/>
  <c r="CR118" i="65"/>
  <c r="CR119" i="65"/>
  <c r="CR113" i="65"/>
  <c r="CR124" i="65"/>
  <c r="CR122" i="65"/>
  <c r="CR115" i="65"/>
  <c r="DC161" i="65"/>
  <c r="DC158" i="65"/>
  <c r="DC155" i="65"/>
  <c r="DC152" i="65"/>
  <c r="DC149" i="65"/>
  <c r="DC159" i="65"/>
  <c r="DC154" i="65"/>
  <c r="DC150" i="65"/>
  <c r="DC160" i="65"/>
  <c r="DC156" i="65"/>
  <c r="DC151" i="65"/>
  <c r="DC144" i="65"/>
  <c r="DC140" i="65"/>
  <c r="DC137" i="65"/>
  <c r="DC134" i="65"/>
  <c r="DC131" i="65"/>
  <c r="DC128" i="65"/>
  <c r="DC125" i="65"/>
  <c r="DC122" i="65"/>
  <c r="DC119" i="65"/>
  <c r="DC116" i="65"/>
  <c r="DC113" i="65"/>
  <c r="DC157" i="65"/>
  <c r="DC153" i="65"/>
  <c r="DC148" i="65"/>
  <c r="DC147" i="65"/>
  <c r="DC146" i="65"/>
  <c r="DC166" i="65"/>
  <c r="DC143" i="65"/>
  <c r="DC142" i="65"/>
  <c r="DC138" i="65"/>
  <c r="DC133" i="65"/>
  <c r="DC129" i="65"/>
  <c r="DC124" i="65"/>
  <c r="DC139" i="65"/>
  <c r="DC135" i="65"/>
  <c r="DC130" i="65"/>
  <c r="DC145" i="65"/>
  <c r="DC118" i="65"/>
  <c r="DC111" i="65"/>
  <c r="DC141" i="65"/>
  <c r="DC112" i="65"/>
  <c r="DC127" i="65"/>
  <c r="DC120" i="65"/>
  <c r="DC114" i="65"/>
  <c r="DC136" i="65"/>
  <c r="DC121" i="65"/>
  <c r="DC126" i="65"/>
  <c r="DC123" i="65"/>
  <c r="DC115" i="65"/>
  <c r="DC132" i="65"/>
  <c r="DC117" i="65"/>
  <c r="BU159" i="65"/>
  <c r="BU156" i="65"/>
  <c r="BU153" i="65"/>
  <c r="BU150" i="65"/>
  <c r="BU166" i="65"/>
  <c r="BU160" i="65"/>
  <c r="BU155" i="65"/>
  <c r="BU151" i="65"/>
  <c r="BU161" i="65"/>
  <c r="BU157" i="65"/>
  <c r="BU152" i="65"/>
  <c r="BU148" i="65"/>
  <c r="BU143" i="65"/>
  <c r="BU141" i="65"/>
  <c r="BU138" i="65"/>
  <c r="BU135" i="65"/>
  <c r="BU132" i="65"/>
  <c r="BU129" i="65"/>
  <c r="BU126" i="65"/>
  <c r="BU123" i="65"/>
  <c r="BU120" i="65"/>
  <c r="BU117" i="65"/>
  <c r="BU114" i="65"/>
  <c r="BU111" i="65"/>
  <c r="BU158" i="65"/>
  <c r="BU154" i="65"/>
  <c r="BU149" i="65"/>
  <c r="BU147" i="65"/>
  <c r="BU139" i="65"/>
  <c r="BU134" i="65"/>
  <c r="BU130" i="65"/>
  <c r="BU125" i="65"/>
  <c r="BU140" i="65"/>
  <c r="BU136" i="65"/>
  <c r="BU131" i="65"/>
  <c r="BU127" i="65"/>
  <c r="BU145" i="65"/>
  <c r="BU144" i="65"/>
  <c r="BU116" i="65"/>
  <c r="BU137" i="65"/>
  <c r="BU124" i="65"/>
  <c r="BU118" i="65"/>
  <c r="BU112" i="65"/>
  <c r="BU146" i="65"/>
  <c r="BU133" i="65"/>
  <c r="BU119" i="65"/>
  <c r="BU121" i="65"/>
  <c r="BU113" i="65"/>
  <c r="BU142" i="65"/>
  <c r="BU115" i="65"/>
  <c r="BU128" i="65"/>
  <c r="BU122" i="65"/>
  <c r="BW160" i="65"/>
  <c r="BW157" i="65"/>
  <c r="BW154" i="65"/>
  <c r="BW151" i="65"/>
  <c r="BW161" i="65"/>
  <c r="BW156" i="65"/>
  <c r="BW152" i="65"/>
  <c r="BW158" i="65"/>
  <c r="BW153" i="65"/>
  <c r="BW149" i="65"/>
  <c r="BW147" i="65"/>
  <c r="BW166" i="65"/>
  <c r="BW146" i="65"/>
  <c r="BW142" i="65"/>
  <c r="BW139" i="65"/>
  <c r="BW136" i="65"/>
  <c r="BW133" i="65"/>
  <c r="BW130" i="65"/>
  <c r="BW127" i="65"/>
  <c r="BW124" i="65"/>
  <c r="BW121" i="65"/>
  <c r="BW118" i="65"/>
  <c r="BW115" i="65"/>
  <c r="BW112" i="65"/>
  <c r="BW159" i="65"/>
  <c r="BW155" i="65"/>
  <c r="BW150" i="65"/>
  <c r="BW148" i="65"/>
  <c r="BW143" i="65"/>
  <c r="BW140" i="65"/>
  <c r="BW135" i="65"/>
  <c r="BW131" i="65"/>
  <c r="BW126" i="65"/>
  <c r="BW144" i="65"/>
  <c r="BW145" i="65"/>
  <c r="BW141" i="65"/>
  <c r="BW137" i="65"/>
  <c r="BW132" i="65"/>
  <c r="BW128" i="65"/>
  <c r="BW138" i="65"/>
  <c r="BW111" i="65"/>
  <c r="BW125" i="65"/>
  <c r="BW119" i="65"/>
  <c r="BW113" i="65"/>
  <c r="BW134" i="65"/>
  <c r="BW120" i="65"/>
  <c r="BW122" i="65"/>
  <c r="BW114" i="65"/>
  <c r="BW129" i="65"/>
  <c r="BW116" i="65"/>
  <c r="BW123" i="65"/>
  <c r="BW117" i="65"/>
  <c r="DP159" i="65"/>
  <c r="DP156" i="65"/>
  <c r="DP153" i="65"/>
  <c r="DP150" i="65"/>
  <c r="DP147" i="65"/>
  <c r="DP144" i="65"/>
  <c r="DP161" i="65"/>
  <c r="DP166" i="65"/>
  <c r="DP146" i="65"/>
  <c r="DP158" i="65"/>
  <c r="DP154" i="65"/>
  <c r="DP149" i="65"/>
  <c r="DP145" i="65"/>
  <c r="DP141" i="65"/>
  <c r="DP138" i="65"/>
  <c r="DP135" i="65"/>
  <c r="DP132" i="65"/>
  <c r="DP129" i="65"/>
  <c r="DP126" i="65"/>
  <c r="DP123" i="65"/>
  <c r="DP120" i="65"/>
  <c r="DP117" i="65"/>
  <c r="DP114" i="65"/>
  <c r="DP111" i="65"/>
  <c r="DP160" i="65"/>
  <c r="DP143" i="65"/>
  <c r="DP139" i="65"/>
  <c r="DP134" i="65"/>
  <c r="DP130" i="65"/>
  <c r="DP125" i="65"/>
  <c r="DP148" i="65"/>
  <c r="DP151" i="65"/>
  <c r="DP140" i="65"/>
  <c r="DP136" i="65"/>
  <c r="DP131" i="65"/>
  <c r="DP127" i="65"/>
  <c r="DP152" i="65"/>
  <c r="DP155" i="65"/>
  <c r="DP137" i="65"/>
  <c r="DP133" i="65"/>
  <c r="DP128" i="65"/>
  <c r="DP124" i="65"/>
  <c r="DP119" i="65"/>
  <c r="DP115" i="65"/>
  <c r="DP157" i="65"/>
  <c r="DP121" i="65"/>
  <c r="DP113" i="65"/>
  <c r="DP122" i="65"/>
  <c r="DP116" i="65"/>
  <c r="DP142" i="65"/>
  <c r="DP118" i="65"/>
  <c r="DP112" i="65"/>
  <c r="DB161" i="65"/>
  <c r="DB158" i="65"/>
  <c r="DB155" i="65"/>
  <c r="DB152" i="65"/>
  <c r="DB149" i="65"/>
  <c r="DB146" i="65"/>
  <c r="DB143" i="65"/>
  <c r="DB166" i="65"/>
  <c r="DB147" i="65"/>
  <c r="DB160" i="65"/>
  <c r="DB156" i="65"/>
  <c r="DB151" i="65"/>
  <c r="DB145" i="65"/>
  <c r="DB144" i="65"/>
  <c r="DB140" i="65"/>
  <c r="DB137" i="65"/>
  <c r="DB134" i="65"/>
  <c r="DB131" i="65"/>
  <c r="DB128" i="65"/>
  <c r="DB125" i="65"/>
  <c r="DB122" i="65"/>
  <c r="DB119" i="65"/>
  <c r="DB116" i="65"/>
  <c r="DB113" i="65"/>
  <c r="DB153" i="65"/>
  <c r="DB141" i="65"/>
  <c r="DB136" i="65"/>
  <c r="DB132" i="65"/>
  <c r="DB127" i="65"/>
  <c r="DB154" i="65"/>
  <c r="DB157" i="65"/>
  <c r="DB142" i="65"/>
  <c r="DB138" i="65"/>
  <c r="DB133" i="65"/>
  <c r="DB129" i="65"/>
  <c r="DB159" i="65"/>
  <c r="DB148" i="65"/>
  <c r="DB139" i="65"/>
  <c r="DB135" i="65"/>
  <c r="DB130" i="65"/>
  <c r="DB126" i="65"/>
  <c r="DB121" i="65"/>
  <c r="DB117" i="65"/>
  <c r="DB112" i="65"/>
  <c r="DB150" i="65"/>
  <c r="DB118" i="65"/>
  <c r="DB111" i="65"/>
  <c r="DB120" i="65"/>
  <c r="DB114" i="65"/>
  <c r="DB124" i="65"/>
  <c r="DB123" i="65"/>
  <c r="DB115" i="65"/>
  <c r="CX159" i="65"/>
  <c r="CX156" i="65"/>
  <c r="CX153" i="65"/>
  <c r="CX150" i="65"/>
  <c r="CX147" i="65"/>
  <c r="CX144" i="65"/>
  <c r="CX161" i="65"/>
  <c r="CX166" i="65"/>
  <c r="CX148" i="65"/>
  <c r="CX158" i="65"/>
  <c r="CX154" i="65"/>
  <c r="CX149" i="65"/>
  <c r="CX143" i="65"/>
  <c r="CX141" i="65"/>
  <c r="CX138" i="65"/>
  <c r="CX135" i="65"/>
  <c r="CX132" i="65"/>
  <c r="CX129" i="65"/>
  <c r="CX126" i="65"/>
  <c r="CX123" i="65"/>
  <c r="CX120" i="65"/>
  <c r="CX117" i="65"/>
  <c r="CX114" i="65"/>
  <c r="CX111" i="65"/>
  <c r="CX151" i="65"/>
  <c r="CX145" i="65"/>
  <c r="CX139" i="65"/>
  <c r="CX134" i="65"/>
  <c r="CX130" i="65"/>
  <c r="CX152" i="65"/>
  <c r="CX146" i="65"/>
  <c r="CX155" i="65"/>
  <c r="CX140" i="65"/>
  <c r="CX136" i="65"/>
  <c r="CX131" i="65"/>
  <c r="CX157" i="65"/>
  <c r="CX160" i="65"/>
  <c r="CX142" i="65"/>
  <c r="CX137" i="65"/>
  <c r="CX133" i="65"/>
  <c r="CX128" i="65"/>
  <c r="CX124" i="65"/>
  <c r="CX119" i="65"/>
  <c r="CX115" i="65"/>
  <c r="CX112" i="65"/>
  <c r="CX122" i="65"/>
  <c r="CX125" i="65"/>
  <c r="CX116" i="65"/>
  <c r="CX127" i="65"/>
  <c r="CX118" i="65"/>
  <c r="CX121" i="65"/>
  <c r="CX113" i="65"/>
  <c r="DH161" i="65"/>
  <c r="DH158" i="65"/>
  <c r="DH155" i="65"/>
  <c r="DH152" i="65"/>
  <c r="DH149" i="65"/>
  <c r="DH146" i="65"/>
  <c r="DH143" i="65"/>
  <c r="DH166" i="65"/>
  <c r="DH159" i="65"/>
  <c r="DH154" i="65"/>
  <c r="DH150" i="65"/>
  <c r="DH145" i="65"/>
  <c r="DH140" i="65"/>
  <c r="DH137" i="65"/>
  <c r="DH134" i="65"/>
  <c r="DH131" i="65"/>
  <c r="DH128" i="65"/>
  <c r="DH125" i="65"/>
  <c r="DH122" i="65"/>
  <c r="DH119" i="65"/>
  <c r="DH116" i="65"/>
  <c r="DH113" i="65"/>
  <c r="DH156" i="65"/>
  <c r="DH139" i="65"/>
  <c r="DH135" i="65"/>
  <c r="DH130" i="65"/>
  <c r="DH126" i="65"/>
  <c r="DH157" i="65"/>
  <c r="DH160" i="65"/>
  <c r="DH141" i="65"/>
  <c r="DH136" i="65"/>
  <c r="DH132" i="65"/>
  <c r="DH148" i="65"/>
  <c r="DH151" i="65"/>
  <c r="DH142" i="65"/>
  <c r="DH138" i="65"/>
  <c r="DH133" i="65"/>
  <c r="DH129" i="65"/>
  <c r="DH124" i="65"/>
  <c r="DH120" i="65"/>
  <c r="DH115" i="65"/>
  <c r="DH111" i="65"/>
  <c r="DH121" i="65"/>
  <c r="DH114" i="65"/>
  <c r="DH127" i="65"/>
  <c r="DH147" i="65"/>
  <c r="DH144" i="65"/>
  <c r="DH123" i="65"/>
  <c r="DH117" i="65"/>
  <c r="DH118" i="65"/>
  <c r="DH112" i="65"/>
  <c r="DH153" i="65"/>
  <c r="DE159" i="65"/>
  <c r="DE156" i="65"/>
  <c r="DE153" i="65"/>
  <c r="DE150" i="65"/>
  <c r="DE166" i="65"/>
  <c r="DE160" i="65"/>
  <c r="DE155" i="65"/>
  <c r="DE151" i="65"/>
  <c r="DE161" i="65"/>
  <c r="DE157" i="65"/>
  <c r="DE152" i="65"/>
  <c r="DE148" i="65"/>
  <c r="DE143" i="65"/>
  <c r="DE141" i="65"/>
  <c r="DE138" i="65"/>
  <c r="DE135" i="65"/>
  <c r="DE132" i="65"/>
  <c r="DE129" i="65"/>
  <c r="DE126" i="65"/>
  <c r="DE123" i="65"/>
  <c r="DE120" i="65"/>
  <c r="DE117" i="65"/>
  <c r="DE114" i="65"/>
  <c r="DE111" i="65"/>
  <c r="DE158" i="65"/>
  <c r="DE154" i="65"/>
  <c r="DE149" i="65"/>
  <c r="DE147" i="65"/>
  <c r="DE139" i="65"/>
  <c r="DE134" i="65"/>
  <c r="DE130" i="65"/>
  <c r="DE125" i="65"/>
  <c r="DE145" i="65"/>
  <c r="DE144" i="65"/>
  <c r="DE140" i="65"/>
  <c r="DE136" i="65"/>
  <c r="DE131" i="65"/>
  <c r="DE127" i="65"/>
  <c r="DE146" i="65"/>
  <c r="DE142" i="65"/>
  <c r="DE119" i="65"/>
  <c r="DE128" i="65"/>
  <c r="DE121" i="65"/>
  <c r="DE113" i="65"/>
  <c r="DE115" i="65"/>
  <c r="DE124" i="65"/>
  <c r="DE122" i="65"/>
  <c r="DE137" i="65"/>
  <c r="DE133" i="65"/>
  <c r="DE116" i="65"/>
  <c r="DE118" i="65"/>
  <c r="DE112" i="65"/>
  <c r="DF166" i="65"/>
  <c r="DF160" i="65"/>
  <c r="DF157" i="65"/>
  <c r="DF154" i="65"/>
  <c r="DF151" i="65"/>
  <c r="DF148" i="65"/>
  <c r="DF145" i="65"/>
  <c r="DF161" i="65"/>
  <c r="DF158" i="65"/>
  <c r="DF153" i="65"/>
  <c r="DF149" i="65"/>
  <c r="DF147" i="65"/>
  <c r="DF146" i="65"/>
  <c r="DF142" i="65"/>
  <c r="DF139" i="65"/>
  <c r="DF136" i="65"/>
  <c r="DF133" i="65"/>
  <c r="DF130" i="65"/>
  <c r="DF127" i="65"/>
  <c r="DF124" i="65"/>
  <c r="DF121" i="65"/>
  <c r="DF118" i="65"/>
  <c r="DF115" i="65"/>
  <c r="DF112" i="65"/>
  <c r="DF155" i="65"/>
  <c r="DF143" i="65"/>
  <c r="DF138" i="65"/>
  <c r="DF134" i="65"/>
  <c r="DF129" i="65"/>
  <c r="DF156" i="65"/>
  <c r="DF144" i="65"/>
  <c r="DF159" i="65"/>
  <c r="DF140" i="65"/>
  <c r="DF135" i="65"/>
  <c r="DF131" i="65"/>
  <c r="DF150" i="65"/>
  <c r="DF141" i="65"/>
  <c r="DF137" i="65"/>
  <c r="DF132" i="65"/>
  <c r="DF128" i="65"/>
  <c r="DF123" i="65"/>
  <c r="DF119" i="65"/>
  <c r="DF114" i="65"/>
  <c r="DF113" i="65"/>
  <c r="DF120" i="65"/>
  <c r="DF152" i="65"/>
  <c r="DF122" i="65"/>
  <c r="DF126" i="65"/>
  <c r="DF116" i="65"/>
  <c r="DF125" i="65"/>
  <c r="DF117" i="65"/>
  <c r="DF111" i="65"/>
  <c r="DJ159" i="65"/>
  <c r="DJ156" i="65"/>
  <c r="DJ153" i="65"/>
  <c r="DJ150" i="65"/>
  <c r="DJ147" i="65"/>
  <c r="DJ144" i="65"/>
  <c r="DJ166" i="65"/>
  <c r="DJ160" i="65"/>
  <c r="DJ155" i="65"/>
  <c r="DJ151" i="65"/>
  <c r="DJ141" i="65"/>
  <c r="DJ138" i="65"/>
  <c r="DJ135" i="65"/>
  <c r="DJ132" i="65"/>
  <c r="DJ129" i="65"/>
  <c r="DJ126" i="65"/>
  <c r="DJ123" i="65"/>
  <c r="DJ120" i="65"/>
  <c r="DJ117" i="65"/>
  <c r="DJ114" i="65"/>
  <c r="DJ111" i="65"/>
  <c r="DJ161" i="65"/>
  <c r="DJ157" i="65"/>
  <c r="DJ145" i="65"/>
  <c r="DJ140" i="65"/>
  <c r="DJ136" i="65"/>
  <c r="DJ131" i="65"/>
  <c r="DJ127" i="65"/>
  <c r="DJ158" i="65"/>
  <c r="DJ148" i="65"/>
  <c r="DJ142" i="65"/>
  <c r="DJ137" i="65"/>
  <c r="DJ133" i="65"/>
  <c r="DJ128" i="65"/>
  <c r="DJ149" i="65"/>
  <c r="DJ146" i="65"/>
  <c r="DJ143" i="65"/>
  <c r="DJ152" i="65"/>
  <c r="DJ139" i="65"/>
  <c r="DJ134" i="65"/>
  <c r="DJ130" i="65"/>
  <c r="DJ125" i="65"/>
  <c r="DJ121" i="65"/>
  <c r="DJ116" i="65"/>
  <c r="DJ112" i="65"/>
  <c r="DJ122" i="65"/>
  <c r="DJ115" i="65"/>
  <c r="DJ124" i="65"/>
  <c r="DJ154" i="65"/>
  <c r="DJ118" i="65"/>
  <c r="DJ119" i="65"/>
  <c r="DJ113" i="65"/>
  <c r="BZ159" i="65"/>
  <c r="BZ156" i="65"/>
  <c r="BZ153" i="65"/>
  <c r="BZ150" i="65"/>
  <c r="BZ147" i="65"/>
  <c r="BZ144" i="65"/>
  <c r="BZ166" i="65"/>
  <c r="BZ160" i="65"/>
  <c r="BZ155" i="65"/>
  <c r="BZ151" i="65"/>
  <c r="BZ148" i="65"/>
  <c r="BZ141" i="65"/>
  <c r="BZ138" i="65"/>
  <c r="BZ135" i="65"/>
  <c r="BZ132" i="65"/>
  <c r="BZ129" i="65"/>
  <c r="BZ126" i="65"/>
  <c r="BZ123" i="65"/>
  <c r="BZ120" i="65"/>
  <c r="BZ117" i="65"/>
  <c r="BZ114" i="65"/>
  <c r="BZ111" i="65"/>
  <c r="BZ152" i="65"/>
  <c r="BZ140" i="65"/>
  <c r="BZ136" i="65"/>
  <c r="BZ131" i="65"/>
  <c r="BZ127" i="65"/>
  <c r="BZ154" i="65"/>
  <c r="BZ157" i="65"/>
  <c r="BZ145" i="65"/>
  <c r="BZ142" i="65"/>
  <c r="BZ137" i="65"/>
  <c r="BZ133" i="65"/>
  <c r="BZ128" i="65"/>
  <c r="BZ158" i="65"/>
  <c r="BZ146" i="65"/>
  <c r="BZ161" i="65"/>
  <c r="BZ139" i="65"/>
  <c r="BZ134" i="65"/>
  <c r="BZ130" i="65"/>
  <c r="BZ125" i="65"/>
  <c r="BZ121" i="65"/>
  <c r="BZ116" i="65"/>
  <c r="BZ112" i="65"/>
  <c r="BZ119" i="65"/>
  <c r="BZ113" i="65"/>
  <c r="BZ122" i="65"/>
  <c r="BZ115" i="65"/>
  <c r="BZ149" i="65"/>
  <c r="BZ143" i="65"/>
  <c r="BZ118" i="65"/>
  <c r="BZ124" i="65"/>
  <c r="CM159" i="65"/>
  <c r="CM156" i="65"/>
  <c r="CM153" i="65"/>
  <c r="CM150" i="65"/>
  <c r="CM166" i="65"/>
  <c r="CM160" i="65"/>
  <c r="CM155" i="65"/>
  <c r="CM151" i="65"/>
  <c r="CM161" i="65"/>
  <c r="CM157" i="65"/>
  <c r="CM152" i="65"/>
  <c r="CM145" i="65"/>
  <c r="CM141" i="65"/>
  <c r="CM138" i="65"/>
  <c r="CM135" i="65"/>
  <c r="CM132" i="65"/>
  <c r="CM129" i="65"/>
  <c r="CM126" i="65"/>
  <c r="CM123" i="65"/>
  <c r="CM120" i="65"/>
  <c r="CM117" i="65"/>
  <c r="CM114" i="65"/>
  <c r="CM111" i="65"/>
  <c r="CM158" i="65"/>
  <c r="CM154" i="65"/>
  <c r="CM149" i="65"/>
  <c r="CM139" i="65"/>
  <c r="CM134" i="65"/>
  <c r="CM130" i="65"/>
  <c r="CM125" i="65"/>
  <c r="CM148" i="65"/>
  <c r="CM146" i="65"/>
  <c r="CM140" i="65"/>
  <c r="CM136" i="65"/>
  <c r="CM131" i="65"/>
  <c r="CM127" i="65"/>
  <c r="CM143" i="65"/>
  <c r="CM133" i="65"/>
  <c r="CM115" i="65"/>
  <c r="CM122" i="65"/>
  <c r="CM142" i="65"/>
  <c r="CM116" i="65"/>
  <c r="CM118" i="65"/>
  <c r="CM112" i="65"/>
  <c r="CM147" i="65"/>
  <c r="CM128" i="65"/>
  <c r="CM144" i="65"/>
  <c r="CM119" i="65"/>
  <c r="CM137" i="65"/>
  <c r="CM124" i="65"/>
  <c r="CM121" i="65"/>
  <c r="CM113" i="65"/>
  <c r="CL159" i="65"/>
  <c r="CL156" i="65"/>
  <c r="CL153" i="65"/>
  <c r="CL150" i="65"/>
  <c r="CL147" i="65"/>
  <c r="CL144" i="65"/>
  <c r="CL148" i="65"/>
  <c r="CL161" i="65"/>
  <c r="CL157" i="65"/>
  <c r="CL152" i="65"/>
  <c r="CL146" i="65"/>
  <c r="CL166" i="65"/>
  <c r="CL145" i="65"/>
  <c r="CL141" i="65"/>
  <c r="CL138" i="65"/>
  <c r="CL135" i="65"/>
  <c r="CL132" i="65"/>
  <c r="CL129" i="65"/>
  <c r="CL126" i="65"/>
  <c r="CL123" i="65"/>
  <c r="CL120" i="65"/>
  <c r="CL117" i="65"/>
  <c r="CL114" i="65"/>
  <c r="CL111" i="65"/>
  <c r="CL158" i="65"/>
  <c r="CL142" i="65"/>
  <c r="CL137" i="65"/>
  <c r="CL133" i="65"/>
  <c r="CL128" i="65"/>
  <c r="CL160" i="65"/>
  <c r="CL149" i="65"/>
  <c r="CL139" i="65"/>
  <c r="CL134" i="65"/>
  <c r="CL130" i="65"/>
  <c r="CL151" i="65"/>
  <c r="CL154" i="65"/>
  <c r="CL140" i="65"/>
  <c r="CL136" i="65"/>
  <c r="CL131" i="65"/>
  <c r="CL127" i="65"/>
  <c r="CL122" i="65"/>
  <c r="CL118" i="65"/>
  <c r="CL113" i="65"/>
  <c r="CL124" i="65"/>
  <c r="CL121" i="65"/>
  <c r="CL155" i="65"/>
  <c r="CL125" i="65"/>
  <c r="CL115" i="65"/>
  <c r="CL143" i="65"/>
  <c r="CL116" i="65"/>
  <c r="CL112" i="65"/>
  <c r="CL119" i="65"/>
  <c r="CD161" i="65"/>
  <c r="CD158" i="65"/>
  <c r="CD155" i="65"/>
  <c r="CD152" i="65"/>
  <c r="CD149" i="65"/>
  <c r="CD146" i="65"/>
  <c r="CD143" i="65"/>
  <c r="CD147" i="65"/>
  <c r="CD157" i="65"/>
  <c r="CD153" i="65"/>
  <c r="CD166" i="65"/>
  <c r="CD140" i="65"/>
  <c r="CD137" i="65"/>
  <c r="CD134" i="65"/>
  <c r="CD131" i="65"/>
  <c r="CD128" i="65"/>
  <c r="CD125" i="65"/>
  <c r="CD122" i="65"/>
  <c r="CD119" i="65"/>
  <c r="CD116" i="65"/>
  <c r="CD113" i="65"/>
  <c r="CD154" i="65"/>
  <c r="CD142" i="65"/>
  <c r="CD138" i="65"/>
  <c r="CD133" i="65"/>
  <c r="CD129" i="65"/>
  <c r="CD156" i="65"/>
  <c r="CD159" i="65"/>
  <c r="CD139" i="65"/>
  <c r="CD135" i="65"/>
  <c r="CD130" i="65"/>
  <c r="CD160" i="65"/>
  <c r="CD150" i="65"/>
  <c r="CD144" i="65"/>
  <c r="CD141" i="65"/>
  <c r="CD136" i="65"/>
  <c r="CD132" i="65"/>
  <c r="CD127" i="65"/>
  <c r="CD123" i="65"/>
  <c r="CD118" i="65"/>
  <c r="CD114" i="65"/>
  <c r="CD148" i="65"/>
  <c r="CD145" i="65"/>
  <c r="CD126" i="65"/>
  <c r="CD115" i="65"/>
  <c r="CD117" i="65"/>
  <c r="CD111" i="65"/>
  <c r="CD112" i="65"/>
  <c r="CD124" i="65"/>
  <c r="CD120" i="65"/>
  <c r="CD151" i="65"/>
  <c r="CD121" i="65"/>
  <c r="DN161" i="65"/>
  <c r="DN158" i="65"/>
  <c r="DN155" i="65"/>
  <c r="DN152" i="65"/>
  <c r="DN149" i="65"/>
  <c r="DN146" i="65"/>
  <c r="DN143" i="65"/>
  <c r="DN147" i="65"/>
  <c r="DN157" i="65"/>
  <c r="DN153" i="65"/>
  <c r="DN148" i="65"/>
  <c r="DN142" i="65"/>
  <c r="DN166" i="65"/>
  <c r="DN140" i="65"/>
  <c r="DN137" i="65"/>
  <c r="DN134" i="65"/>
  <c r="DN131" i="65"/>
  <c r="DN128" i="65"/>
  <c r="DN125" i="65"/>
  <c r="DN122" i="65"/>
  <c r="DN119" i="65"/>
  <c r="DN116" i="65"/>
  <c r="DN113" i="65"/>
  <c r="DN159" i="65"/>
  <c r="DN138" i="65"/>
  <c r="DN133" i="65"/>
  <c r="DN129" i="65"/>
  <c r="DN160" i="65"/>
  <c r="DN150" i="65"/>
  <c r="DN144" i="65"/>
  <c r="DN139" i="65"/>
  <c r="DN135" i="65"/>
  <c r="DN130" i="65"/>
  <c r="DN151" i="65"/>
  <c r="DN145" i="65"/>
  <c r="DN154" i="65"/>
  <c r="DN141" i="65"/>
  <c r="DN136" i="65"/>
  <c r="DN132" i="65"/>
  <c r="DN127" i="65"/>
  <c r="DN123" i="65"/>
  <c r="DN118" i="65"/>
  <c r="DN114" i="65"/>
  <c r="DN126" i="65"/>
  <c r="DN124" i="65"/>
  <c r="DN111" i="65"/>
  <c r="DN112" i="65"/>
  <c r="DN120" i="65"/>
  <c r="DN121" i="65"/>
  <c r="DN156" i="65"/>
  <c r="DN115" i="65"/>
  <c r="DN117" i="65"/>
  <c r="CC160" i="65"/>
  <c r="CC157" i="65"/>
  <c r="CC154" i="65"/>
  <c r="CC151" i="65"/>
  <c r="CC159" i="65"/>
  <c r="CC155" i="65"/>
  <c r="CC150" i="65"/>
  <c r="CC161" i="65"/>
  <c r="CC156" i="65"/>
  <c r="CC152" i="65"/>
  <c r="CC148" i="65"/>
  <c r="CC147" i="65"/>
  <c r="CC142" i="65"/>
  <c r="CC139" i="65"/>
  <c r="CC136" i="65"/>
  <c r="CC133" i="65"/>
  <c r="CC130" i="65"/>
  <c r="CC127" i="65"/>
  <c r="CC124" i="65"/>
  <c r="CC121" i="65"/>
  <c r="CC118" i="65"/>
  <c r="CC115" i="65"/>
  <c r="CC112" i="65"/>
  <c r="CC158" i="65"/>
  <c r="CC153" i="65"/>
  <c r="CC149" i="65"/>
  <c r="CC146" i="65"/>
  <c r="CC145" i="65"/>
  <c r="CC138" i="65"/>
  <c r="CC134" i="65"/>
  <c r="CC129" i="65"/>
  <c r="CC125" i="65"/>
  <c r="CC140" i="65"/>
  <c r="CC135" i="65"/>
  <c r="CC131" i="65"/>
  <c r="CC166" i="65"/>
  <c r="CC143" i="65"/>
  <c r="CC137" i="65"/>
  <c r="CC122" i="65"/>
  <c r="CC111" i="65"/>
  <c r="CC126" i="65"/>
  <c r="CC123" i="65"/>
  <c r="CC116" i="65"/>
  <c r="CC132" i="65"/>
  <c r="CC117" i="65"/>
  <c r="CC119" i="65"/>
  <c r="CC141" i="65"/>
  <c r="CC128" i="65"/>
  <c r="CC113" i="65"/>
  <c r="CC144" i="65"/>
  <c r="CC120" i="65"/>
  <c r="CC114" i="65"/>
  <c r="DM160" i="65"/>
  <c r="DM157" i="65"/>
  <c r="DM154" i="65"/>
  <c r="DM151" i="65"/>
  <c r="DM148" i="65"/>
  <c r="DM159" i="65"/>
  <c r="DM155" i="65"/>
  <c r="DM150" i="65"/>
  <c r="DM161" i="65"/>
  <c r="DM156" i="65"/>
  <c r="DM152" i="65"/>
  <c r="DM147" i="65"/>
  <c r="DM139" i="65"/>
  <c r="DM136" i="65"/>
  <c r="DM133" i="65"/>
  <c r="DM130" i="65"/>
  <c r="DM127" i="65"/>
  <c r="DM124" i="65"/>
  <c r="DM121" i="65"/>
  <c r="DM118" i="65"/>
  <c r="DM115" i="65"/>
  <c r="DM112" i="65"/>
  <c r="DM158" i="65"/>
  <c r="DM153" i="65"/>
  <c r="DM149" i="65"/>
  <c r="DM146" i="65"/>
  <c r="DM142" i="65"/>
  <c r="DM166" i="65"/>
  <c r="DM138" i="65"/>
  <c r="DM134" i="65"/>
  <c r="DM129" i="65"/>
  <c r="DM125" i="65"/>
  <c r="DM143" i="65"/>
  <c r="DM144" i="65"/>
  <c r="DM140" i="65"/>
  <c r="DM135" i="65"/>
  <c r="DM131" i="65"/>
  <c r="DM145" i="65"/>
  <c r="DM141" i="65"/>
  <c r="DM128" i="65"/>
  <c r="DM117" i="65"/>
  <c r="DM114" i="65"/>
  <c r="DM126" i="65"/>
  <c r="DM119" i="65"/>
  <c r="DM111" i="65"/>
  <c r="DM137" i="65"/>
  <c r="DM113" i="65"/>
  <c r="DM120" i="65"/>
  <c r="DM132" i="65"/>
  <c r="DM122" i="65"/>
  <c r="DM123" i="65"/>
  <c r="DM116" i="65"/>
  <c r="CB166" i="65"/>
  <c r="CB160" i="65"/>
  <c r="CB157" i="65"/>
  <c r="CB154" i="65"/>
  <c r="CB151" i="65"/>
  <c r="CB148" i="65"/>
  <c r="CB145" i="65"/>
  <c r="CB161" i="65"/>
  <c r="CB156" i="65"/>
  <c r="CB152" i="65"/>
  <c r="CB143" i="65"/>
  <c r="CB147" i="65"/>
  <c r="CB142" i="65"/>
  <c r="CB139" i="65"/>
  <c r="CB136" i="65"/>
  <c r="CB133" i="65"/>
  <c r="CB130" i="65"/>
  <c r="CB127" i="65"/>
  <c r="CB124" i="65"/>
  <c r="CB121" i="65"/>
  <c r="CB118" i="65"/>
  <c r="CB115" i="65"/>
  <c r="CB112" i="65"/>
  <c r="CB153" i="65"/>
  <c r="CB144" i="65"/>
  <c r="CB141" i="65"/>
  <c r="CB137" i="65"/>
  <c r="CB132" i="65"/>
  <c r="CB128" i="65"/>
  <c r="CB155" i="65"/>
  <c r="CB146" i="65"/>
  <c r="CB158" i="65"/>
  <c r="CB138" i="65"/>
  <c r="CB134" i="65"/>
  <c r="CB129" i="65"/>
  <c r="CB159" i="65"/>
  <c r="CB149" i="65"/>
  <c r="CB140" i="65"/>
  <c r="CB135" i="65"/>
  <c r="CB131" i="65"/>
  <c r="CB126" i="65"/>
  <c r="CB122" i="65"/>
  <c r="CB117" i="65"/>
  <c r="CB113" i="65"/>
  <c r="CB120" i="65"/>
  <c r="CB114" i="65"/>
  <c r="CB150" i="65"/>
  <c r="CB123" i="65"/>
  <c r="CB116" i="65"/>
  <c r="CB119" i="65"/>
  <c r="CB111" i="65"/>
  <c r="CB125" i="65"/>
  <c r="CH166" i="65"/>
  <c r="CH160" i="65"/>
  <c r="CH157" i="65"/>
  <c r="CH154" i="65"/>
  <c r="CH151" i="65"/>
  <c r="CH148" i="65"/>
  <c r="CH145" i="65"/>
  <c r="CH159" i="65"/>
  <c r="CH155" i="65"/>
  <c r="CH150" i="65"/>
  <c r="CH144" i="65"/>
  <c r="CH143" i="65"/>
  <c r="CH142" i="65"/>
  <c r="CH139" i="65"/>
  <c r="CH136" i="65"/>
  <c r="CH133" i="65"/>
  <c r="CH130" i="65"/>
  <c r="CH127" i="65"/>
  <c r="CH124" i="65"/>
  <c r="CH121" i="65"/>
  <c r="CH118" i="65"/>
  <c r="CH115" i="65"/>
  <c r="CH112" i="65"/>
  <c r="CH156" i="65"/>
  <c r="CH147" i="65"/>
  <c r="CH140" i="65"/>
  <c r="CH135" i="65"/>
  <c r="CH131" i="65"/>
  <c r="CH126" i="65"/>
  <c r="CH158" i="65"/>
  <c r="CH141" i="65"/>
  <c r="CH137" i="65"/>
  <c r="CH132" i="65"/>
  <c r="CH128" i="65"/>
  <c r="CH161" i="65"/>
  <c r="CH149" i="65"/>
  <c r="CH152" i="65"/>
  <c r="CH146" i="65"/>
  <c r="CH138" i="65"/>
  <c r="CH134" i="65"/>
  <c r="CH129" i="65"/>
  <c r="CH125" i="65"/>
  <c r="CH120" i="65"/>
  <c r="CH116" i="65"/>
  <c r="CH111" i="65"/>
  <c r="CH153" i="65"/>
  <c r="CH119" i="65"/>
  <c r="CH113" i="65"/>
  <c r="CH122" i="65"/>
  <c r="CH114" i="65"/>
  <c r="CH123" i="65"/>
  <c r="CH117" i="65"/>
  <c r="CU160" i="65"/>
  <c r="CU157" i="65"/>
  <c r="CU154" i="65"/>
  <c r="CU151" i="65"/>
  <c r="CU159" i="65"/>
  <c r="CU155" i="65"/>
  <c r="CU150" i="65"/>
  <c r="CU147" i="65"/>
  <c r="CU161" i="65"/>
  <c r="CU156" i="65"/>
  <c r="CU152" i="65"/>
  <c r="CU145" i="65"/>
  <c r="CU142" i="65"/>
  <c r="CU139" i="65"/>
  <c r="CU136" i="65"/>
  <c r="CU133" i="65"/>
  <c r="CU130" i="65"/>
  <c r="CU127" i="65"/>
  <c r="CU124" i="65"/>
  <c r="CU121" i="65"/>
  <c r="CU118" i="65"/>
  <c r="CU115" i="65"/>
  <c r="CU112" i="65"/>
  <c r="CU158" i="65"/>
  <c r="CU153" i="65"/>
  <c r="CU149" i="65"/>
  <c r="CU144" i="65"/>
  <c r="CU148" i="65"/>
  <c r="CU138" i="65"/>
  <c r="CU134" i="65"/>
  <c r="CU129" i="65"/>
  <c r="CU125" i="65"/>
  <c r="CU166" i="65"/>
  <c r="CU146" i="65"/>
  <c r="CU140" i="65"/>
  <c r="CU135" i="65"/>
  <c r="CU131" i="65"/>
  <c r="CU132" i="65"/>
  <c r="CU113" i="65"/>
  <c r="CU126" i="65"/>
  <c r="CU120" i="65"/>
  <c r="CU114" i="65"/>
  <c r="CU143" i="65"/>
  <c r="CU141" i="65"/>
  <c r="CU128" i="65"/>
  <c r="CU122" i="65"/>
  <c r="CU123" i="65"/>
  <c r="CU116" i="65"/>
  <c r="CU137" i="65"/>
  <c r="CU117" i="65"/>
  <c r="CU119" i="65"/>
  <c r="CU111" i="65"/>
  <c r="CS159" i="65"/>
  <c r="CS156" i="65"/>
  <c r="CS153" i="65"/>
  <c r="CS150" i="65"/>
  <c r="CS166" i="65"/>
  <c r="CS158" i="65"/>
  <c r="CS154" i="65"/>
  <c r="CS149" i="65"/>
  <c r="CS148" i="65"/>
  <c r="CS160" i="65"/>
  <c r="CS155" i="65"/>
  <c r="CS151" i="65"/>
  <c r="CS147" i="65"/>
  <c r="CS146" i="65"/>
  <c r="CS141" i="65"/>
  <c r="CS138" i="65"/>
  <c r="CS135" i="65"/>
  <c r="CS132" i="65"/>
  <c r="CS129" i="65"/>
  <c r="CS126" i="65"/>
  <c r="CS123" i="65"/>
  <c r="CS120" i="65"/>
  <c r="CS117" i="65"/>
  <c r="CS114" i="65"/>
  <c r="CS111" i="65"/>
  <c r="CS161" i="65"/>
  <c r="CS157" i="65"/>
  <c r="CS152" i="65"/>
  <c r="CS145" i="65"/>
  <c r="CS143" i="65"/>
  <c r="CS142" i="65"/>
  <c r="CS137" i="65"/>
  <c r="CS133" i="65"/>
  <c r="CS128" i="65"/>
  <c r="CS124" i="65"/>
  <c r="CS144" i="65"/>
  <c r="CS139" i="65"/>
  <c r="CS134" i="65"/>
  <c r="CS130" i="65"/>
  <c r="CS112" i="65"/>
  <c r="CS131" i="65"/>
  <c r="CS119" i="65"/>
  <c r="CS113" i="65"/>
  <c r="CS121" i="65"/>
  <c r="CS122" i="65"/>
  <c r="CS115" i="65"/>
  <c r="CS140" i="65"/>
  <c r="CS136" i="65"/>
  <c r="CS127" i="65"/>
  <c r="CS125" i="65"/>
  <c r="CS118" i="65"/>
  <c r="CS116" i="65"/>
  <c r="CJ161" i="65"/>
  <c r="CJ158" i="65"/>
  <c r="CJ155" i="65"/>
  <c r="CJ152" i="65"/>
  <c r="CJ149" i="65"/>
  <c r="CJ146" i="65"/>
  <c r="CJ143" i="65"/>
  <c r="CJ166" i="65"/>
  <c r="CJ148" i="65"/>
  <c r="CJ160" i="65"/>
  <c r="CJ156" i="65"/>
  <c r="CJ151" i="65"/>
  <c r="CJ147" i="65"/>
  <c r="CJ140" i="65"/>
  <c r="CJ137" i="65"/>
  <c r="CJ134" i="65"/>
  <c r="CJ131" i="65"/>
  <c r="CJ128" i="65"/>
  <c r="CJ125" i="65"/>
  <c r="CJ122" i="65"/>
  <c r="CJ119" i="65"/>
  <c r="CJ116" i="65"/>
  <c r="CJ113" i="65"/>
  <c r="CJ157" i="65"/>
  <c r="CJ141" i="65"/>
  <c r="CJ136" i="65"/>
  <c r="CJ132" i="65"/>
  <c r="CJ127" i="65"/>
  <c r="CJ159" i="65"/>
  <c r="CJ144" i="65"/>
  <c r="CJ145" i="65"/>
  <c r="CJ142" i="65"/>
  <c r="CJ138" i="65"/>
  <c r="CJ133" i="65"/>
  <c r="CJ129" i="65"/>
  <c r="CJ150" i="65"/>
  <c r="CJ153" i="65"/>
  <c r="CJ139" i="65"/>
  <c r="CJ135" i="65"/>
  <c r="CJ130" i="65"/>
  <c r="CJ126" i="65"/>
  <c r="CJ121" i="65"/>
  <c r="CJ117" i="65"/>
  <c r="CJ112" i="65"/>
  <c r="CJ124" i="65"/>
  <c r="CJ120" i="65"/>
  <c r="CJ114" i="65"/>
  <c r="CJ123" i="65"/>
  <c r="CJ154" i="65"/>
  <c r="CJ115" i="65"/>
  <c r="CJ118" i="65"/>
  <c r="CJ111" i="65"/>
  <c r="DO161" i="65"/>
  <c r="DO158" i="65"/>
  <c r="DO155" i="65"/>
  <c r="DO152" i="65"/>
  <c r="DO149" i="65"/>
  <c r="DO160" i="65"/>
  <c r="DO156" i="65"/>
  <c r="DO151" i="65"/>
  <c r="DO157" i="65"/>
  <c r="DO153" i="65"/>
  <c r="DO148" i="65"/>
  <c r="DO166" i="65"/>
  <c r="DO146" i="65"/>
  <c r="DO140" i="65"/>
  <c r="DO137" i="65"/>
  <c r="DO134" i="65"/>
  <c r="DO131" i="65"/>
  <c r="DO128" i="65"/>
  <c r="DO125" i="65"/>
  <c r="DO122" i="65"/>
  <c r="DO119" i="65"/>
  <c r="DO116" i="65"/>
  <c r="DO113" i="65"/>
  <c r="DO159" i="65"/>
  <c r="DO154" i="65"/>
  <c r="DO150" i="65"/>
  <c r="DO145" i="65"/>
  <c r="DO142" i="65"/>
  <c r="DO144" i="65"/>
  <c r="DO143" i="65"/>
  <c r="DO139" i="65"/>
  <c r="DO135" i="65"/>
  <c r="DO130" i="65"/>
  <c r="DO126" i="65"/>
  <c r="DO147" i="65"/>
  <c r="DO141" i="65"/>
  <c r="DO136" i="65"/>
  <c r="DO132" i="65"/>
  <c r="DO127" i="65"/>
  <c r="DO118" i="65"/>
  <c r="DO112" i="65"/>
  <c r="DO138" i="65"/>
  <c r="DO120" i="65"/>
  <c r="DO121" i="65"/>
  <c r="DO114" i="65"/>
  <c r="DO115" i="65"/>
  <c r="DO133" i="65"/>
  <c r="DO123" i="65"/>
  <c r="DO117" i="65"/>
  <c r="DO129" i="65"/>
  <c r="DO124" i="65"/>
  <c r="DO111" i="65"/>
  <c r="CW161" i="65"/>
  <c r="CW158" i="65"/>
  <c r="CW155" i="65"/>
  <c r="CW152" i="65"/>
  <c r="CW149" i="65"/>
  <c r="CW160" i="65"/>
  <c r="CW156" i="65"/>
  <c r="CW151" i="65"/>
  <c r="CW157" i="65"/>
  <c r="CW153" i="65"/>
  <c r="CW166" i="65"/>
  <c r="CW148" i="65"/>
  <c r="CW140" i="65"/>
  <c r="CW137" i="65"/>
  <c r="CW134" i="65"/>
  <c r="CW131" i="65"/>
  <c r="CW128" i="65"/>
  <c r="CW125" i="65"/>
  <c r="CW122" i="65"/>
  <c r="CW119" i="65"/>
  <c r="CW116" i="65"/>
  <c r="CW113" i="65"/>
  <c r="CW159" i="65"/>
  <c r="CW154" i="65"/>
  <c r="CW150" i="65"/>
  <c r="CW147" i="65"/>
  <c r="CW143" i="65"/>
  <c r="CW144" i="65"/>
  <c r="CW145" i="65"/>
  <c r="CW139" i="65"/>
  <c r="CW135" i="65"/>
  <c r="CW130" i="65"/>
  <c r="CW126" i="65"/>
  <c r="CW146" i="65"/>
  <c r="CW141" i="65"/>
  <c r="CW136" i="65"/>
  <c r="CW132" i="65"/>
  <c r="CW127" i="65"/>
  <c r="CW121" i="65"/>
  <c r="CW114" i="65"/>
  <c r="CW142" i="65"/>
  <c r="CW129" i="65"/>
  <c r="CW124" i="65"/>
  <c r="CW115" i="65"/>
  <c r="CW123" i="65"/>
  <c r="CW117" i="65"/>
  <c r="CW138" i="65"/>
  <c r="CW118" i="65"/>
  <c r="CW112" i="65"/>
  <c r="CW133" i="65"/>
  <c r="CW120" i="65"/>
  <c r="CW111" i="65"/>
  <c r="DK159" i="65"/>
  <c r="DK156" i="65"/>
  <c r="DK153" i="65"/>
  <c r="DK150" i="65"/>
  <c r="DK166" i="65"/>
  <c r="DK158" i="65"/>
  <c r="DK154" i="65"/>
  <c r="DK149" i="65"/>
  <c r="DK160" i="65"/>
  <c r="DK155" i="65"/>
  <c r="DK151" i="65"/>
  <c r="DK144" i="65"/>
  <c r="DK141" i="65"/>
  <c r="DK138" i="65"/>
  <c r="DK135" i="65"/>
  <c r="DK132" i="65"/>
  <c r="DK129" i="65"/>
  <c r="DK126" i="65"/>
  <c r="DK123" i="65"/>
  <c r="DK120" i="65"/>
  <c r="DK117" i="65"/>
  <c r="DK114" i="65"/>
  <c r="DK111" i="65"/>
  <c r="DK161" i="65"/>
  <c r="DK157" i="65"/>
  <c r="DK152" i="65"/>
  <c r="DK148" i="65"/>
  <c r="DK143" i="65"/>
  <c r="DK142" i="65"/>
  <c r="DK137" i="65"/>
  <c r="DK133" i="65"/>
  <c r="DK128" i="65"/>
  <c r="DK124" i="65"/>
  <c r="DK146" i="65"/>
  <c r="DK139" i="65"/>
  <c r="DK134" i="65"/>
  <c r="DK130" i="65"/>
  <c r="DK147" i="65"/>
  <c r="DK127" i="65"/>
  <c r="DK140" i="65"/>
  <c r="DK118" i="65"/>
  <c r="DK116" i="65"/>
  <c r="DK136" i="65"/>
  <c r="DK125" i="65"/>
  <c r="DK112" i="65"/>
  <c r="DK119" i="65"/>
  <c r="DK113" i="65"/>
  <c r="DK145" i="65"/>
  <c r="DK121" i="65"/>
  <c r="DK131" i="65"/>
  <c r="DK122" i="65"/>
  <c r="DK115" i="65"/>
  <c r="BX161" i="65"/>
  <c r="BX158" i="65"/>
  <c r="BX155" i="65"/>
  <c r="BX152" i="65"/>
  <c r="BX149" i="65"/>
  <c r="BX146" i="65"/>
  <c r="BX143" i="65"/>
  <c r="BX148" i="65"/>
  <c r="BX166" i="65"/>
  <c r="BX159" i="65"/>
  <c r="BX154" i="65"/>
  <c r="BX150" i="65"/>
  <c r="BX145" i="65"/>
  <c r="BX140" i="65"/>
  <c r="BX137" i="65"/>
  <c r="BX134" i="65"/>
  <c r="BX131" i="65"/>
  <c r="BX128" i="65"/>
  <c r="BX125" i="65"/>
  <c r="BX122" i="65"/>
  <c r="BX119" i="65"/>
  <c r="BX116" i="65"/>
  <c r="BX113" i="65"/>
  <c r="BX151" i="65"/>
  <c r="BX139" i="65"/>
  <c r="BX135" i="65"/>
  <c r="BX130" i="65"/>
  <c r="BX126" i="65"/>
  <c r="BX153" i="65"/>
  <c r="BX144" i="65"/>
  <c r="BX156" i="65"/>
  <c r="BX141" i="65"/>
  <c r="BX136" i="65"/>
  <c r="BX132" i="65"/>
  <c r="BX157" i="65"/>
  <c r="BX147" i="65"/>
  <c r="BX160" i="65"/>
  <c r="BX142" i="65"/>
  <c r="BX138" i="65"/>
  <c r="BX133" i="65"/>
  <c r="BX129" i="65"/>
  <c r="BX124" i="65"/>
  <c r="BX120" i="65"/>
  <c r="BX115" i="65"/>
  <c r="BX111" i="65"/>
  <c r="BX118" i="65"/>
  <c r="BX112" i="65"/>
  <c r="BX121" i="65"/>
  <c r="BX114" i="65"/>
  <c r="BX127" i="65"/>
  <c r="BX123" i="65"/>
  <c r="BX117" i="65"/>
  <c r="CY159" i="65"/>
  <c r="CY156" i="65"/>
  <c r="CY153" i="65"/>
  <c r="CY150" i="65"/>
  <c r="CY166" i="65"/>
  <c r="CY161" i="65"/>
  <c r="CY157" i="65"/>
  <c r="CY152" i="65"/>
  <c r="CY158" i="65"/>
  <c r="CY154" i="65"/>
  <c r="CY149" i="65"/>
  <c r="CY147" i="65"/>
  <c r="CY141" i="65"/>
  <c r="CY138" i="65"/>
  <c r="CY135" i="65"/>
  <c r="CY132" i="65"/>
  <c r="CY129" i="65"/>
  <c r="CY126" i="65"/>
  <c r="CY123" i="65"/>
  <c r="CY120" i="65"/>
  <c r="CY117" i="65"/>
  <c r="CY114" i="65"/>
  <c r="CY111" i="65"/>
  <c r="CY160" i="65"/>
  <c r="CY155" i="65"/>
  <c r="CY151" i="65"/>
  <c r="CY146" i="65"/>
  <c r="CY140" i="65"/>
  <c r="CY136" i="65"/>
  <c r="CY131" i="65"/>
  <c r="CY127" i="65"/>
  <c r="CY142" i="65"/>
  <c r="CY137" i="65"/>
  <c r="CY133" i="65"/>
  <c r="CY128" i="65"/>
  <c r="CY143" i="65"/>
  <c r="CY130" i="65"/>
  <c r="CY124" i="65"/>
  <c r="CY122" i="65"/>
  <c r="CY115" i="65"/>
  <c r="CY125" i="65"/>
  <c r="CY116" i="65"/>
  <c r="CY139" i="65"/>
  <c r="CY118" i="65"/>
  <c r="CY112" i="65"/>
  <c r="CY144" i="65"/>
  <c r="CY145" i="65"/>
  <c r="CY121" i="65"/>
  <c r="CY119" i="65"/>
  <c r="CY113" i="65"/>
  <c r="CY148" i="65"/>
  <c r="CY134" i="65"/>
  <c r="BV166" i="65"/>
  <c r="BV160" i="65"/>
  <c r="BV157" i="65"/>
  <c r="BV154" i="65"/>
  <c r="BV151" i="65"/>
  <c r="BV148" i="65"/>
  <c r="BV145" i="65"/>
  <c r="BV158" i="65"/>
  <c r="BV153" i="65"/>
  <c r="BV149" i="65"/>
  <c r="BV147" i="65"/>
  <c r="BV146" i="65"/>
  <c r="BV142" i="65"/>
  <c r="BV139" i="65"/>
  <c r="BV136" i="65"/>
  <c r="BV133" i="65"/>
  <c r="BV130" i="65"/>
  <c r="BV127" i="65"/>
  <c r="BV124" i="65"/>
  <c r="BV121" i="65"/>
  <c r="BV118" i="65"/>
  <c r="BV115" i="65"/>
  <c r="BV112" i="65"/>
  <c r="BV150" i="65"/>
  <c r="BV138" i="65"/>
  <c r="BV134" i="65"/>
  <c r="BV129" i="65"/>
  <c r="BV152" i="65"/>
  <c r="BV155" i="65"/>
  <c r="BV143" i="65"/>
  <c r="BV140" i="65"/>
  <c r="BV135" i="65"/>
  <c r="BV131" i="65"/>
  <c r="BV156" i="65"/>
  <c r="BV144" i="65"/>
  <c r="BV159" i="65"/>
  <c r="BV141" i="65"/>
  <c r="BV137" i="65"/>
  <c r="BV132" i="65"/>
  <c r="BV128" i="65"/>
  <c r="BV123" i="65"/>
  <c r="BV119" i="65"/>
  <c r="BV114" i="65"/>
  <c r="BV117" i="65"/>
  <c r="BV126" i="65"/>
  <c r="BV161" i="65"/>
  <c r="BV111" i="65"/>
  <c r="BV125" i="65"/>
  <c r="BV113" i="65"/>
  <c r="BV120" i="65"/>
  <c r="BV122" i="65"/>
  <c r="BV116" i="65"/>
  <c r="BY161" i="65"/>
  <c r="BY158" i="65"/>
  <c r="BY155" i="65"/>
  <c r="BY152" i="65"/>
  <c r="BY149" i="65"/>
  <c r="BY157" i="65"/>
  <c r="BY153" i="65"/>
  <c r="BY147" i="65"/>
  <c r="BY166" i="65"/>
  <c r="BY159" i="65"/>
  <c r="BY154" i="65"/>
  <c r="BY150" i="65"/>
  <c r="BY145" i="65"/>
  <c r="BY140" i="65"/>
  <c r="BY137" i="65"/>
  <c r="BY134" i="65"/>
  <c r="BY131" i="65"/>
  <c r="BY128" i="65"/>
  <c r="BY125" i="65"/>
  <c r="BY122" i="65"/>
  <c r="BY119" i="65"/>
  <c r="BY116" i="65"/>
  <c r="BY113" i="65"/>
  <c r="BY160" i="65"/>
  <c r="BY156" i="65"/>
  <c r="BY151" i="65"/>
  <c r="BY144" i="65"/>
  <c r="BY148" i="65"/>
  <c r="BY143" i="65"/>
  <c r="BY141" i="65"/>
  <c r="BY136" i="65"/>
  <c r="BY132" i="65"/>
  <c r="BY127" i="65"/>
  <c r="BY142" i="65"/>
  <c r="BY138" i="65"/>
  <c r="BY133" i="65"/>
  <c r="BY129" i="65"/>
  <c r="BY146" i="65"/>
  <c r="BY124" i="65"/>
  <c r="BY135" i="65"/>
  <c r="BY121" i="65"/>
  <c r="BY120" i="65"/>
  <c r="BY114" i="65"/>
  <c r="BY126" i="65"/>
  <c r="BY123" i="65"/>
  <c r="BY115" i="65"/>
  <c r="BY117" i="65"/>
  <c r="BY130" i="65"/>
  <c r="BY139" i="65"/>
  <c r="BY118" i="65"/>
  <c r="BY112" i="65"/>
  <c r="BY111" i="65"/>
  <c r="CA159" i="65"/>
  <c r="CA156" i="65"/>
  <c r="CA153" i="65"/>
  <c r="CA150" i="65"/>
  <c r="CA166" i="65"/>
  <c r="CA158" i="65"/>
  <c r="CA154" i="65"/>
  <c r="CA149" i="65"/>
  <c r="CA160" i="65"/>
  <c r="CA155" i="65"/>
  <c r="CA151" i="65"/>
  <c r="CA148" i="65"/>
  <c r="CA144" i="65"/>
  <c r="CA141" i="65"/>
  <c r="CA138" i="65"/>
  <c r="CA135" i="65"/>
  <c r="CA132" i="65"/>
  <c r="CA129" i="65"/>
  <c r="CA126" i="65"/>
  <c r="CA123" i="65"/>
  <c r="CA120" i="65"/>
  <c r="CA117" i="65"/>
  <c r="CA114" i="65"/>
  <c r="CA111" i="65"/>
  <c r="CA161" i="65"/>
  <c r="CA157" i="65"/>
  <c r="CA152" i="65"/>
  <c r="CA143" i="65"/>
  <c r="CA145" i="65"/>
  <c r="CA142" i="65"/>
  <c r="CA137" i="65"/>
  <c r="CA133" i="65"/>
  <c r="CA128" i="65"/>
  <c r="CA124" i="65"/>
  <c r="CA147" i="65"/>
  <c r="CA146" i="65"/>
  <c r="CA139" i="65"/>
  <c r="CA134" i="65"/>
  <c r="CA130" i="65"/>
  <c r="CA136" i="65"/>
  <c r="CA125" i="65"/>
  <c r="CA121" i="65"/>
  <c r="CA116" i="65"/>
  <c r="CA122" i="65"/>
  <c r="CA115" i="65"/>
  <c r="CA127" i="65"/>
  <c r="CA131" i="65"/>
  <c r="CA118" i="65"/>
  <c r="CA112" i="65"/>
  <c r="CA140" i="65"/>
  <c r="CA119" i="65"/>
  <c r="CA113" i="65"/>
  <c r="CK161" i="65"/>
  <c r="CK158" i="65"/>
  <c r="CK155" i="65"/>
  <c r="CK152" i="65"/>
  <c r="CK149" i="65"/>
  <c r="CK159" i="65"/>
  <c r="CK154" i="65"/>
  <c r="CK150" i="65"/>
  <c r="CK160" i="65"/>
  <c r="CK156" i="65"/>
  <c r="CK151" i="65"/>
  <c r="CK147" i="65"/>
  <c r="CK140" i="65"/>
  <c r="CK137" i="65"/>
  <c r="CK134" i="65"/>
  <c r="CK131" i="65"/>
  <c r="CK128" i="65"/>
  <c r="CK125" i="65"/>
  <c r="CK122" i="65"/>
  <c r="CK119" i="65"/>
  <c r="CK116" i="65"/>
  <c r="CK113" i="65"/>
  <c r="CK157" i="65"/>
  <c r="CK153" i="65"/>
  <c r="CK146" i="65"/>
  <c r="CK144" i="65"/>
  <c r="CK143" i="65"/>
  <c r="CK145" i="65"/>
  <c r="CK142" i="65"/>
  <c r="CK138" i="65"/>
  <c r="CK133" i="65"/>
  <c r="CK129" i="65"/>
  <c r="CK124" i="65"/>
  <c r="CK166" i="65"/>
  <c r="CK148" i="65"/>
  <c r="CK139" i="65"/>
  <c r="CK135" i="65"/>
  <c r="CK130" i="65"/>
  <c r="CK127" i="65"/>
  <c r="CK120" i="65"/>
  <c r="CK114" i="65"/>
  <c r="CK132" i="65"/>
  <c r="CK121" i="65"/>
  <c r="CK123" i="65"/>
  <c r="CK115" i="65"/>
  <c r="CK141" i="65"/>
  <c r="CK117" i="65"/>
  <c r="CK126" i="65"/>
  <c r="CK118" i="65"/>
  <c r="CK111" i="65"/>
  <c r="CK136" i="65"/>
  <c r="CK112" i="65"/>
  <c r="CQ161" i="65"/>
  <c r="CQ158" i="65"/>
  <c r="CQ155" i="65"/>
  <c r="CQ152" i="65"/>
  <c r="CQ149" i="65"/>
  <c r="CQ157" i="65"/>
  <c r="CQ153" i="65"/>
  <c r="CQ166" i="65"/>
  <c r="CQ159" i="65"/>
  <c r="CQ154" i="65"/>
  <c r="CQ150" i="65"/>
  <c r="CQ148" i="65"/>
  <c r="CQ147" i="65"/>
  <c r="CQ143" i="65"/>
  <c r="CQ140" i="65"/>
  <c r="CQ137" i="65"/>
  <c r="CQ134" i="65"/>
  <c r="CQ131" i="65"/>
  <c r="CQ128" i="65"/>
  <c r="CQ125" i="65"/>
  <c r="CQ122" i="65"/>
  <c r="CQ119" i="65"/>
  <c r="CQ116" i="65"/>
  <c r="CQ113" i="65"/>
  <c r="CQ160" i="65"/>
  <c r="CQ156" i="65"/>
  <c r="CQ151" i="65"/>
  <c r="CQ141" i="65"/>
  <c r="CQ136" i="65"/>
  <c r="CQ132" i="65"/>
  <c r="CQ127" i="65"/>
  <c r="CQ144" i="65"/>
  <c r="CQ142" i="65"/>
  <c r="CQ138" i="65"/>
  <c r="CQ133" i="65"/>
  <c r="CQ129" i="65"/>
  <c r="CQ145" i="65"/>
  <c r="CQ146" i="65"/>
  <c r="CQ130" i="65"/>
  <c r="CQ118" i="65"/>
  <c r="CQ112" i="65"/>
  <c r="CQ111" i="65"/>
  <c r="CQ126" i="65"/>
  <c r="CQ139" i="65"/>
  <c r="CQ121" i="65"/>
  <c r="CQ120" i="65"/>
  <c r="CQ114" i="65"/>
  <c r="CQ124" i="65"/>
  <c r="CQ135" i="65"/>
  <c r="CQ123" i="65"/>
  <c r="CQ117" i="65"/>
  <c r="CQ115" i="65"/>
  <c r="DD159" i="65"/>
  <c r="DD156" i="65"/>
  <c r="DD153" i="65"/>
  <c r="DD150" i="65"/>
  <c r="DD147" i="65"/>
  <c r="DD144" i="65"/>
  <c r="DD161" i="65"/>
  <c r="DD157" i="65"/>
  <c r="DD152" i="65"/>
  <c r="DD148" i="65"/>
  <c r="DD166" i="65"/>
  <c r="DD143" i="65"/>
  <c r="DD141" i="65"/>
  <c r="DD138" i="65"/>
  <c r="DD135" i="65"/>
  <c r="DD132" i="65"/>
  <c r="DD129" i="65"/>
  <c r="DD126" i="65"/>
  <c r="DD123" i="65"/>
  <c r="DD120" i="65"/>
  <c r="DD117" i="65"/>
  <c r="DD114" i="65"/>
  <c r="DD111" i="65"/>
  <c r="DD154" i="65"/>
  <c r="DD142" i="65"/>
  <c r="DD137" i="65"/>
  <c r="DD133" i="65"/>
  <c r="DD128" i="65"/>
  <c r="DD155" i="65"/>
  <c r="DD158" i="65"/>
  <c r="DD139" i="65"/>
  <c r="DD134" i="65"/>
  <c r="DD130" i="65"/>
  <c r="DD160" i="65"/>
  <c r="DD145" i="65"/>
  <c r="DD149" i="65"/>
  <c r="DD140" i="65"/>
  <c r="DD136" i="65"/>
  <c r="DD131" i="65"/>
  <c r="DD127" i="65"/>
  <c r="DD122" i="65"/>
  <c r="DD118" i="65"/>
  <c r="DD113" i="65"/>
  <c r="DD112" i="65"/>
  <c r="DD119" i="65"/>
  <c r="DD121" i="65"/>
  <c r="DD115" i="65"/>
  <c r="DD151" i="65"/>
  <c r="DD124" i="65"/>
  <c r="DD146" i="65"/>
  <c r="DD125" i="65"/>
  <c r="DD116" i="65"/>
  <c r="CZ166" i="65"/>
  <c r="CZ160" i="65"/>
  <c r="CZ157" i="65"/>
  <c r="CZ154" i="65"/>
  <c r="CZ151" i="65"/>
  <c r="CZ148" i="65"/>
  <c r="CZ145" i="65"/>
  <c r="CZ147" i="65"/>
  <c r="CZ159" i="65"/>
  <c r="CZ155" i="65"/>
  <c r="CZ150" i="65"/>
  <c r="CZ146" i="65"/>
  <c r="CZ142" i="65"/>
  <c r="CZ139" i="65"/>
  <c r="CZ136" i="65"/>
  <c r="CZ133" i="65"/>
  <c r="CZ130" i="65"/>
  <c r="CZ127" i="65"/>
  <c r="CZ124" i="65"/>
  <c r="CZ121" i="65"/>
  <c r="CZ118" i="65"/>
  <c r="CZ115" i="65"/>
  <c r="CZ112" i="65"/>
  <c r="CZ152" i="65"/>
  <c r="CZ140" i="65"/>
  <c r="CZ135" i="65"/>
  <c r="CZ131" i="65"/>
  <c r="CZ126" i="65"/>
  <c r="CZ161" i="65"/>
  <c r="CZ153" i="65"/>
  <c r="CZ156" i="65"/>
  <c r="CZ141" i="65"/>
  <c r="CZ137" i="65"/>
  <c r="CZ132" i="65"/>
  <c r="CZ128" i="65"/>
  <c r="CZ158" i="65"/>
  <c r="CZ143" i="65"/>
  <c r="CZ144" i="65"/>
  <c r="CZ138" i="65"/>
  <c r="CZ134" i="65"/>
  <c r="CZ129" i="65"/>
  <c r="CZ125" i="65"/>
  <c r="CZ120" i="65"/>
  <c r="CZ116" i="65"/>
  <c r="CZ111" i="65"/>
  <c r="CZ123" i="65"/>
  <c r="CZ117" i="65"/>
  <c r="CZ119" i="65"/>
  <c r="CZ149" i="65"/>
  <c r="CZ113" i="65"/>
  <c r="CZ122" i="65"/>
  <c r="CZ114" i="65"/>
  <c r="CP161" i="65"/>
  <c r="CP158" i="65"/>
  <c r="CP155" i="65"/>
  <c r="CP152" i="65"/>
  <c r="CP149" i="65"/>
  <c r="CP146" i="65"/>
  <c r="CP143" i="65"/>
  <c r="CP166" i="65"/>
  <c r="CP159" i="65"/>
  <c r="CP154" i="65"/>
  <c r="CP150" i="65"/>
  <c r="CP148" i="65"/>
  <c r="CP147" i="65"/>
  <c r="CP140" i="65"/>
  <c r="CP137" i="65"/>
  <c r="CP134" i="65"/>
  <c r="CP131" i="65"/>
  <c r="CP128" i="65"/>
  <c r="CP125" i="65"/>
  <c r="CP122" i="65"/>
  <c r="CP119" i="65"/>
  <c r="CP116" i="65"/>
  <c r="CP113" i="65"/>
  <c r="CP160" i="65"/>
  <c r="CP139" i="65"/>
  <c r="CP135" i="65"/>
  <c r="CP130" i="65"/>
  <c r="CP126" i="65"/>
  <c r="CP151" i="65"/>
  <c r="CP141" i="65"/>
  <c r="CP136" i="65"/>
  <c r="CP132" i="65"/>
  <c r="CP153" i="65"/>
  <c r="CP156" i="65"/>
  <c r="CP144" i="65"/>
  <c r="CP142" i="65"/>
  <c r="CP138" i="65"/>
  <c r="CP133" i="65"/>
  <c r="CP129" i="65"/>
  <c r="CP124" i="65"/>
  <c r="CP120" i="65"/>
  <c r="CP115" i="65"/>
  <c r="CP111" i="65"/>
  <c r="CP123" i="65"/>
  <c r="CP117" i="65"/>
  <c r="CP157" i="65"/>
  <c r="CP118" i="65"/>
  <c r="CP112" i="65"/>
  <c r="CP121" i="65"/>
  <c r="CP114" i="65"/>
  <c r="CP145" i="65"/>
  <c r="CP127" i="65"/>
  <c r="BT18" i="65" a="1"/>
  <c r="BT18" i="65" s="1"/>
  <c r="BT19" i="65" s="1" a="1"/>
  <c r="BT19" i="65" s="1"/>
  <c r="BT20" i="65" s="1" a="1"/>
  <c r="CJ215" i="65" l="1"/>
  <c r="CJ212" i="65"/>
  <c r="CJ217" i="65"/>
  <c r="CJ214" i="65"/>
  <c r="CJ211" i="65"/>
  <c r="CJ207" i="65"/>
  <c r="CJ206" i="65"/>
  <c r="CJ203" i="65"/>
  <c r="CJ200" i="65"/>
  <c r="CJ197" i="65"/>
  <c r="CJ210" i="65"/>
  <c r="CJ199" i="65"/>
  <c r="CJ195" i="65"/>
  <c r="CJ192" i="65"/>
  <c r="CJ189" i="65"/>
  <c r="CJ186" i="65"/>
  <c r="CJ183" i="65"/>
  <c r="CJ180" i="65"/>
  <c r="CJ177" i="65"/>
  <c r="CJ174" i="65"/>
  <c r="CJ209" i="65"/>
  <c r="CJ190" i="65"/>
  <c r="CJ221" i="65"/>
  <c r="CJ216" i="65"/>
  <c r="CJ208" i="65"/>
  <c r="CJ205" i="65"/>
  <c r="CJ204" i="65"/>
  <c r="CJ196" i="65"/>
  <c r="CJ194" i="65"/>
  <c r="CJ193" i="65"/>
  <c r="CJ201" i="65"/>
  <c r="CJ198" i="65"/>
  <c r="CJ185" i="65"/>
  <c r="CJ182" i="65"/>
  <c r="CJ181" i="65"/>
  <c r="CJ179" i="65"/>
  <c r="CJ178" i="65"/>
  <c r="CJ202" i="65"/>
  <c r="CJ191" i="65"/>
  <c r="CJ170" i="65"/>
  <c r="CJ167" i="65"/>
  <c r="CJ213" i="65"/>
  <c r="CJ171" i="65"/>
  <c r="CJ188" i="65"/>
  <c r="CJ184" i="65"/>
  <c r="CJ176" i="65"/>
  <c r="CJ175" i="65"/>
  <c r="CJ173" i="65"/>
  <c r="CJ172" i="65"/>
  <c r="CJ168" i="65"/>
  <c r="CJ169" i="65"/>
  <c r="CJ187" i="65"/>
  <c r="DM216" i="65"/>
  <c r="DM212" i="65"/>
  <c r="DM208" i="65"/>
  <c r="DM210" i="65"/>
  <c r="DM207" i="65"/>
  <c r="DM203" i="65"/>
  <c r="DM199" i="65"/>
  <c r="DM214" i="65"/>
  <c r="DM211" i="65"/>
  <c r="DM190" i="65"/>
  <c r="DM215" i="65"/>
  <c r="DM202" i="65"/>
  <c r="DM201" i="65"/>
  <c r="DM200" i="65"/>
  <c r="DM198" i="65"/>
  <c r="DM197" i="65"/>
  <c r="DM221" i="65"/>
  <c r="DM205" i="65"/>
  <c r="DM209" i="65"/>
  <c r="DM196" i="65"/>
  <c r="DM192" i="65"/>
  <c r="DM188" i="65"/>
  <c r="DM185" i="65"/>
  <c r="DM180" i="65"/>
  <c r="DM176" i="65"/>
  <c r="DM217" i="65"/>
  <c r="DM206" i="65"/>
  <c r="DM189" i="65"/>
  <c r="DM172" i="65"/>
  <c r="DM171" i="65"/>
  <c r="DM213" i="65"/>
  <c r="DM187" i="65"/>
  <c r="DM186" i="65"/>
  <c r="DM184" i="65"/>
  <c r="DM183" i="65"/>
  <c r="DM174" i="65"/>
  <c r="DM194" i="65"/>
  <c r="DM182" i="65"/>
  <c r="DM181" i="65"/>
  <c r="DM179" i="65"/>
  <c r="DM178" i="65"/>
  <c r="DM177" i="65"/>
  <c r="DM170" i="65"/>
  <c r="DM167" i="65"/>
  <c r="DM191" i="65"/>
  <c r="DM195" i="65"/>
  <c r="DM168" i="65"/>
  <c r="DM204" i="65"/>
  <c r="DM193" i="65"/>
  <c r="DM169" i="65"/>
  <c r="DM175" i="65"/>
  <c r="DM173" i="65"/>
  <c r="DH215" i="65"/>
  <c r="DH212" i="65"/>
  <c r="DH217" i="65"/>
  <c r="DH214" i="65"/>
  <c r="DH211" i="65"/>
  <c r="DH221" i="65"/>
  <c r="DH213" i="65"/>
  <c r="DH206" i="65"/>
  <c r="DH203" i="65"/>
  <c r="DH200" i="65"/>
  <c r="DH197" i="65"/>
  <c r="DH216" i="65"/>
  <c r="DH210" i="65"/>
  <c r="DH208" i="65"/>
  <c r="DH207" i="65"/>
  <c r="DH202" i="65"/>
  <c r="DH192" i="65"/>
  <c r="DH189" i="65"/>
  <c r="DH186" i="65"/>
  <c r="DH183" i="65"/>
  <c r="DH180" i="65"/>
  <c r="DH177" i="65"/>
  <c r="DH174" i="65"/>
  <c r="DH199" i="65"/>
  <c r="DH198" i="65"/>
  <c r="DH196" i="65"/>
  <c r="DH195" i="65"/>
  <c r="DH193" i="65"/>
  <c r="DH209" i="65"/>
  <c r="DH205" i="65"/>
  <c r="DH194" i="65"/>
  <c r="DH179" i="65"/>
  <c r="DH204" i="65"/>
  <c r="DH187" i="65"/>
  <c r="DH175" i="65"/>
  <c r="DH201" i="65"/>
  <c r="DH188" i="65"/>
  <c r="DH173" i="65"/>
  <c r="DH170" i="65"/>
  <c r="DH167" i="65"/>
  <c r="DH191" i="65"/>
  <c r="DH172" i="65"/>
  <c r="DH185" i="65"/>
  <c r="DH184" i="65"/>
  <c r="DH182" i="65"/>
  <c r="DH181" i="65"/>
  <c r="DH178" i="65"/>
  <c r="DH169" i="65"/>
  <c r="DH176" i="65"/>
  <c r="DH190" i="65"/>
  <c r="DH171" i="65"/>
  <c r="DH168" i="65"/>
  <c r="DP216" i="65"/>
  <c r="DP213" i="65"/>
  <c r="DP210" i="65"/>
  <c r="DP215" i="65"/>
  <c r="DP212" i="65"/>
  <c r="DP217" i="65"/>
  <c r="DP204" i="65"/>
  <c r="DP201" i="65"/>
  <c r="DP198" i="65"/>
  <c r="DP195" i="65"/>
  <c r="DP209" i="65"/>
  <c r="DP208" i="65"/>
  <c r="DP207" i="65"/>
  <c r="DP197" i="65"/>
  <c r="DP193" i="65"/>
  <c r="DP190" i="65"/>
  <c r="DP187" i="65"/>
  <c r="DP184" i="65"/>
  <c r="DP181" i="65"/>
  <c r="DP178" i="65"/>
  <c r="DP175" i="65"/>
  <c r="DP172" i="65"/>
  <c r="DP206" i="65"/>
  <c r="DP203" i="65"/>
  <c r="DP202" i="65"/>
  <c r="DP200" i="65"/>
  <c r="DP199" i="65"/>
  <c r="DP196" i="65"/>
  <c r="DP188" i="65"/>
  <c r="DP214" i="65"/>
  <c r="DP191" i="65"/>
  <c r="DP183" i="65"/>
  <c r="DP221" i="65"/>
  <c r="DP211" i="65"/>
  <c r="DP171" i="65"/>
  <c r="DP168" i="65"/>
  <c r="DP194" i="65"/>
  <c r="DP180" i="65"/>
  <c r="DP179" i="65"/>
  <c r="DP177" i="65"/>
  <c r="DP176" i="65"/>
  <c r="DP205" i="65"/>
  <c r="DP192" i="65"/>
  <c r="DP185" i="65"/>
  <c r="DP169" i="65"/>
  <c r="DP189" i="65"/>
  <c r="DP186" i="65"/>
  <c r="DP182" i="65"/>
  <c r="DP174" i="65"/>
  <c r="DP173" i="65"/>
  <c r="DP170" i="65"/>
  <c r="DP167" i="65"/>
  <c r="BW213" i="65"/>
  <c r="BW208" i="65"/>
  <c r="BW216" i="65"/>
  <c r="BW211" i="65"/>
  <c r="BW198" i="65"/>
  <c r="BW206" i="65"/>
  <c r="BW194" i="65"/>
  <c r="BW189" i="65"/>
  <c r="BW214" i="65"/>
  <c r="BW210" i="65"/>
  <c r="BW205" i="65"/>
  <c r="BW204" i="65"/>
  <c r="BW203" i="65"/>
  <c r="BW202" i="65"/>
  <c r="BW201" i="65"/>
  <c r="BW200" i="65"/>
  <c r="BW197" i="65"/>
  <c r="BW217" i="65"/>
  <c r="BW209" i="65"/>
  <c r="BW212" i="65"/>
  <c r="BW191" i="65"/>
  <c r="BW184" i="65"/>
  <c r="BW215" i="65"/>
  <c r="BW199" i="65"/>
  <c r="BW195" i="65"/>
  <c r="BW176" i="65"/>
  <c r="BW171" i="65"/>
  <c r="BW185" i="65"/>
  <c r="BW182" i="65"/>
  <c r="BW181" i="65"/>
  <c r="BW180" i="65"/>
  <c r="BW179" i="65"/>
  <c r="BW178" i="65"/>
  <c r="BW177" i="65"/>
  <c r="BW173" i="65"/>
  <c r="BW170" i="65"/>
  <c r="BW167" i="65"/>
  <c r="BW221" i="65"/>
  <c r="BW192" i="65"/>
  <c r="BW174" i="65"/>
  <c r="BW190" i="65"/>
  <c r="BW188" i="65"/>
  <c r="BW187" i="65"/>
  <c r="BW186" i="65"/>
  <c r="BW183" i="65"/>
  <c r="BW175" i="65"/>
  <c r="BW207" i="65"/>
  <c r="BW193" i="65"/>
  <c r="BW169" i="65"/>
  <c r="BW172" i="65"/>
  <c r="BW196" i="65"/>
  <c r="BW168" i="65"/>
  <c r="CI215" i="65"/>
  <c r="CI210" i="65"/>
  <c r="CI208" i="65"/>
  <c r="CI217" i="65"/>
  <c r="CI212" i="65"/>
  <c r="CI221" i="65"/>
  <c r="CI216" i="65"/>
  <c r="CI214" i="65"/>
  <c r="CI213" i="65"/>
  <c r="CI211" i="65"/>
  <c r="CI204" i="65"/>
  <c r="CI196" i="65"/>
  <c r="CI195" i="65"/>
  <c r="CI191" i="65"/>
  <c r="CI206" i="65"/>
  <c r="CI202" i="65"/>
  <c r="CI201" i="65"/>
  <c r="CI200" i="65"/>
  <c r="CI199" i="65"/>
  <c r="CI198" i="65"/>
  <c r="CI197" i="65"/>
  <c r="CI207" i="65"/>
  <c r="CI203" i="65"/>
  <c r="CI194" i="65"/>
  <c r="CI181" i="65"/>
  <c r="CI205" i="65"/>
  <c r="CI193" i="65"/>
  <c r="CI188" i="65"/>
  <c r="CI187" i="65"/>
  <c r="CI186" i="65"/>
  <c r="CI185" i="65"/>
  <c r="CI184" i="65"/>
  <c r="CI183" i="65"/>
  <c r="CI180" i="65"/>
  <c r="CI173" i="65"/>
  <c r="CI171" i="65"/>
  <c r="CI209" i="65"/>
  <c r="CI192" i="65"/>
  <c r="CI175" i="65"/>
  <c r="CI174" i="65"/>
  <c r="CI170" i="65"/>
  <c r="CI167" i="65"/>
  <c r="CI176" i="65"/>
  <c r="CI179" i="65"/>
  <c r="CI177" i="65"/>
  <c r="CI189" i="65"/>
  <c r="CI182" i="65"/>
  <c r="CI178" i="65"/>
  <c r="CI172" i="65"/>
  <c r="CI168" i="65"/>
  <c r="CI190" i="65"/>
  <c r="CI169" i="65"/>
  <c r="CZ217" i="65"/>
  <c r="CZ214" i="65"/>
  <c r="CZ211" i="65"/>
  <c r="CZ216" i="65"/>
  <c r="CZ213" i="65"/>
  <c r="CZ210" i="65"/>
  <c r="CZ221" i="65"/>
  <c r="CZ215" i="65"/>
  <c r="CZ205" i="65"/>
  <c r="CZ202" i="65"/>
  <c r="CZ199" i="65"/>
  <c r="CZ196" i="65"/>
  <c r="CZ207" i="65"/>
  <c r="CZ198" i="65"/>
  <c r="CZ194" i="65"/>
  <c r="CZ191" i="65"/>
  <c r="CZ188" i="65"/>
  <c r="CZ185" i="65"/>
  <c r="CZ182" i="65"/>
  <c r="CZ179" i="65"/>
  <c r="CZ176" i="65"/>
  <c r="CZ173" i="65"/>
  <c r="CZ195" i="65"/>
  <c r="CZ189" i="65"/>
  <c r="CZ212" i="65"/>
  <c r="CZ209" i="65"/>
  <c r="CZ208" i="65"/>
  <c r="CZ203" i="65"/>
  <c r="CZ201" i="65"/>
  <c r="CZ200" i="65"/>
  <c r="CZ197" i="65"/>
  <c r="CZ193" i="65"/>
  <c r="CZ192" i="65"/>
  <c r="CZ184" i="65"/>
  <c r="CZ187" i="65"/>
  <c r="CZ186" i="65"/>
  <c r="CZ183" i="65"/>
  <c r="CZ204" i="65"/>
  <c r="CZ206" i="65"/>
  <c r="CZ190" i="65"/>
  <c r="CZ169" i="65"/>
  <c r="CZ174" i="65"/>
  <c r="CZ180" i="65"/>
  <c r="CZ178" i="65"/>
  <c r="CZ170" i="65"/>
  <c r="CZ175" i="65"/>
  <c r="CZ172" i="65"/>
  <c r="CZ167" i="65"/>
  <c r="CZ181" i="65"/>
  <c r="CZ177" i="65"/>
  <c r="CZ168" i="65"/>
  <c r="CZ171" i="65"/>
  <c r="DD216" i="65"/>
  <c r="DD213" i="65"/>
  <c r="DD210" i="65"/>
  <c r="DD215" i="65"/>
  <c r="DD212" i="65"/>
  <c r="DD217" i="65"/>
  <c r="DD211" i="65"/>
  <c r="DD208" i="65"/>
  <c r="DD204" i="65"/>
  <c r="DD201" i="65"/>
  <c r="DD198" i="65"/>
  <c r="DD195" i="65"/>
  <c r="DD200" i="65"/>
  <c r="DD193" i="65"/>
  <c r="DD190" i="65"/>
  <c r="DD187" i="65"/>
  <c r="DD184" i="65"/>
  <c r="DD181" i="65"/>
  <c r="DD178" i="65"/>
  <c r="DD175" i="65"/>
  <c r="DD172" i="65"/>
  <c r="DD207" i="65"/>
  <c r="DD191" i="65"/>
  <c r="DD214" i="65"/>
  <c r="DD197" i="65"/>
  <c r="DD196" i="65"/>
  <c r="DD209" i="65"/>
  <c r="DD203" i="65"/>
  <c r="DD206" i="65"/>
  <c r="DD199" i="65"/>
  <c r="DD189" i="65"/>
  <c r="DD188" i="65"/>
  <c r="DD186" i="65"/>
  <c r="DD177" i="65"/>
  <c r="DD173" i="65"/>
  <c r="DD221" i="65"/>
  <c r="DD205" i="65"/>
  <c r="DD202" i="65"/>
  <c r="DD185" i="65"/>
  <c r="DD171" i="65"/>
  <c r="DD168" i="65"/>
  <c r="DD183" i="65"/>
  <c r="DD182" i="65"/>
  <c r="DD180" i="65"/>
  <c r="DD179" i="65"/>
  <c r="DD176" i="65"/>
  <c r="DD192" i="65"/>
  <c r="DD194" i="65"/>
  <c r="DD167" i="65"/>
  <c r="DD174" i="65"/>
  <c r="DD169" i="65"/>
  <c r="DD170" i="65"/>
  <c r="CA221" i="65"/>
  <c r="CA215" i="65"/>
  <c r="CA211" i="65"/>
  <c r="CA210" i="65"/>
  <c r="CA207" i="65"/>
  <c r="CA213" i="65"/>
  <c r="CA208" i="65"/>
  <c r="CA200" i="65"/>
  <c r="CA209" i="65"/>
  <c r="CA191" i="65"/>
  <c r="CA195" i="65"/>
  <c r="CA194" i="65"/>
  <c r="CA216" i="65"/>
  <c r="CA212" i="65"/>
  <c r="CA214" i="65"/>
  <c r="CA197" i="65"/>
  <c r="CA196" i="65"/>
  <c r="CA192" i="65"/>
  <c r="CA186" i="65"/>
  <c r="CA177" i="65"/>
  <c r="CA187" i="65"/>
  <c r="CA184" i="65"/>
  <c r="CA183" i="65"/>
  <c r="CA182" i="65"/>
  <c r="CA181" i="65"/>
  <c r="CA180" i="65"/>
  <c r="CA179" i="65"/>
  <c r="CA173" i="65"/>
  <c r="CA204" i="65"/>
  <c r="CA206" i="65"/>
  <c r="CA205" i="65"/>
  <c r="CA203" i="65"/>
  <c r="CA202" i="65"/>
  <c r="CA199" i="65"/>
  <c r="CA193" i="65"/>
  <c r="CA190" i="65"/>
  <c r="CA189" i="65"/>
  <c r="CA175" i="65"/>
  <c r="CA172" i="65"/>
  <c r="CA169" i="65"/>
  <c r="CA201" i="65"/>
  <c r="CA178" i="65"/>
  <c r="CA217" i="65"/>
  <c r="CA185" i="65"/>
  <c r="CA167" i="65"/>
  <c r="CA198" i="65"/>
  <c r="CA168" i="65"/>
  <c r="CA188" i="65"/>
  <c r="CA171" i="65"/>
  <c r="CA176" i="65"/>
  <c r="CA174" i="65"/>
  <c r="CA170" i="65"/>
  <c r="BY221" i="65"/>
  <c r="BY214" i="65"/>
  <c r="BY209" i="65"/>
  <c r="BY217" i="65"/>
  <c r="BY212" i="65"/>
  <c r="BY210" i="65"/>
  <c r="BY208" i="65"/>
  <c r="BY207" i="65"/>
  <c r="BY206" i="65"/>
  <c r="BY201" i="65"/>
  <c r="BY197" i="65"/>
  <c r="BY203" i="65"/>
  <c r="BY202" i="65"/>
  <c r="BY200" i="65"/>
  <c r="BY199" i="65"/>
  <c r="BY198" i="65"/>
  <c r="BY196" i="65"/>
  <c r="BY216" i="65"/>
  <c r="BY205" i="65"/>
  <c r="BY193" i="65"/>
  <c r="BY187" i="65"/>
  <c r="BY183" i="65"/>
  <c r="BY178" i="65"/>
  <c r="BY213" i="65"/>
  <c r="BY211" i="65"/>
  <c r="BY189" i="65"/>
  <c r="BY172" i="65"/>
  <c r="BY204" i="65"/>
  <c r="BY176" i="65"/>
  <c r="BY171" i="65"/>
  <c r="BY168" i="65"/>
  <c r="BY191" i="65"/>
  <c r="BY188" i="65"/>
  <c r="BY186" i="65"/>
  <c r="BY185" i="65"/>
  <c r="BY184" i="65"/>
  <c r="BY182" i="65"/>
  <c r="BY181" i="65"/>
  <c r="BY215" i="65"/>
  <c r="BY194" i="65"/>
  <c r="BY180" i="65"/>
  <c r="BY179" i="65"/>
  <c r="BY177" i="65"/>
  <c r="BY192" i="65"/>
  <c r="BY174" i="65"/>
  <c r="BY173" i="65"/>
  <c r="BY190" i="65"/>
  <c r="BY170" i="65"/>
  <c r="BY195" i="65"/>
  <c r="BY167" i="65"/>
  <c r="BY169" i="65"/>
  <c r="BY175" i="65"/>
  <c r="BV217" i="65"/>
  <c r="BV214" i="65"/>
  <c r="BV211" i="65"/>
  <c r="BV216" i="65"/>
  <c r="BV213" i="65"/>
  <c r="BV207" i="65"/>
  <c r="BV205" i="65"/>
  <c r="BV202" i="65"/>
  <c r="BV199" i="65"/>
  <c r="BV196" i="65"/>
  <c r="BV221" i="65"/>
  <c r="BV215" i="65"/>
  <c r="BV212" i="65"/>
  <c r="BV203" i="65"/>
  <c r="BV194" i="65"/>
  <c r="BV191" i="65"/>
  <c r="BV188" i="65"/>
  <c r="BV185" i="65"/>
  <c r="BV182" i="65"/>
  <c r="BV179" i="65"/>
  <c r="BV176" i="65"/>
  <c r="BV173" i="65"/>
  <c r="BV190" i="65"/>
  <c r="BV206" i="65"/>
  <c r="BV195" i="65"/>
  <c r="BV193" i="65"/>
  <c r="BV192" i="65"/>
  <c r="BV204" i="65"/>
  <c r="BV200" i="65"/>
  <c r="BV180" i="65"/>
  <c r="BV210" i="65"/>
  <c r="BV208" i="65"/>
  <c r="BV197" i="65"/>
  <c r="BV187" i="65"/>
  <c r="BV186" i="65"/>
  <c r="BV184" i="65"/>
  <c r="BV183" i="65"/>
  <c r="BV174" i="65"/>
  <c r="BV172" i="65"/>
  <c r="BV169" i="65"/>
  <c r="BV209" i="65"/>
  <c r="BV181" i="65"/>
  <c r="BV178" i="65"/>
  <c r="BV177" i="65"/>
  <c r="BV198" i="65"/>
  <c r="BV201" i="65"/>
  <c r="BV171" i="65"/>
  <c r="BV168" i="65"/>
  <c r="BV175" i="65"/>
  <c r="BV170" i="65"/>
  <c r="BV189" i="65"/>
  <c r="BV167" i="65"/>
  <c r="CY221" i="65"/>
  <c r="CY214" i="65"/>
  <c r="CY207" i="65"/>
  <c r="CY209" i="65"/>
  <c r="CY208" i="65"/>
  <c r="CY203" i="65"/>
  <c r="CY204" i="65"/>
  <c r="CY201" i="65"/>
  <c r="CY200" i="65"/>
  <c r="CY199" i="65"/>
  <c r="CY198" i="65"/>
  <c r="CY197" i="65"/>
  <c r="CY196" i="65"/>
  <c r="CY194" i="65"/>
  <c r="CY190" i="65"/>
  <c r="CY215" i="65"/>
  <c r="CY216" i="65"/>
  <c r="CY212" i="65"/>
  <c r="CY202" i="65"/>
  <c r="CY206" i="65"/>
  <c r="CY192" i="65"/>
  <c r="CY180" i="65"/>
  <c r="CY193" i="65"/>
  <c r="CY172" i="65"/>
  <c r="CY217" i="65"/>
  <c r="CY213" i="65"/>
  <c r="CY211" i="65"/>
  <c r="CY210" i="65"/>
  <c r="CY205" i="65"/>
  <c r="CY174" i="65"/>
  <c r="CY173" i="65"/>
  <c r="CY169" i="65"/>
  <c r="CY191" i="65"/>
  <c r="CY188" i="65"/>
  <c r="CY181" i="65"/>
  <c r="CY178" i="65"/>
  <c r="CY177" i="65"/>
  <c r="CY176" i="65"/>
  <c r="CY189" i="65"/>
  <c r="CY195" i="65"/>
  <c r="CY186" i="65"/>
  <c r="CY184" i="65"/>
  <c r="CY182" i="65"/>
  <c r="CY171" i="65"/>
  <c r="CY170" i="65"/>
  <c r="CY187" i="65"/>
  <c r="CY185" i="65"/>
  <c r="CY183" i="65"/>
  <c r="CY179" i="65"/>
  <c r="CY175" i="65"/>
  <c r="CY167" i="65"/>
  <c r="CY168" i="65"/>
  <c r="BX215" i="65"/>
  <c r="BX212" i="65"/>
  <c r="BX217" i="65"/>
  <c r="BX214" i="65"/>
  <c r="BX211" i="65"/>
  <c r="BX221" i="65"/>
  <c r="BX210" i="65"/>
  <c r="BX206" i="65"/>
  <c r="BX203" i="65"/>
  <c r="BX200" i="65"/>
  <c r="BX197" i="65"/>
  <c r="BX209" i="65"/>
  <c r="BX202" i="65"/>
  <c r="BX195" i="65"/>
  <c r="BX192" i="65"/>
  <c r="BX189" i="65"/>
  <c r="BX186" i="65"/>
  <c r="BX183" i="65"/>
  <c r="BX180" i="65"/>
  <c r="BX177" i="65"/>
  <c r="BX174" i="65"/>
  <c r="BX216" i="65"/>
  <c r="BX213" i="65"/>
  <c r="BX205" i="65"/>
  <c r="BX204" i="65"/>
  <c r="BX201" i="65"/>
  <c r="BX193" i="65"/>
  <c r="BX207" i="65"/>
  <c r="BX199" i="65"/>
  <c r="BX198" i="65"/>
  <c r="BX196" i="65"/>
  <c r="BX194" i="65"/>
  <c r="BX188" i="65"/>
  <c r="BX179" i="65"/>
  <c r="BX190" i="65"/>
  <c r="BX175" i="65"/>
  <c r="BX208" i="65"/>
  <c r="BX191" i="65"/>
  <c r="BX173" i="65"/>
  <c r="BX170" i="65"/>
  <c r="BX167" i="65"/>
  <c r="BX187" i="65"/>
  <c r="BX185" i="65"/>
  <c r="BX184" i="65"/>
  <c r="BX182" i="65"/>
  <c r="BX181" i="65"/>
  <c r="BX178" i="65"/>
  <c r="BX176" i="65"/>
  <c r="BX169" i="65"/>
  <c r="BX172" i="65"/>
  <c r="BX168" i="65"/>
  <c r="BX171" i="65"/>
  <c r="CW221" i="65"/>
  <c r="CW217" i="65"/>
  <c r="CW213" i="65"/>
  <c r="CW209" i="65"/>
  <c r="CW208" i="65"/>
  <c r="CW212" i="65"/>
  <c r="CW211" i="65"/>
  <c r="CW204" i="65"/>
  <c r="CW200" i="65"/>
  <c r="CW195" i="65"/>
  <c r="CW214" i="65"/>
  <c r="CW191" i="65"/>
  <c r="CW206" i="65"/>
  <c r="CW205" i="65"/>
  <c r="CW207" i="65"/>
  <c r="CW201" i="65"/>
  <c r="CW198" i="65"/>
  <c r="CW210" i="65"/>
  <c r="CW202" i="65"/>
  <c r="CW197" i="65"/>
  <c r="CW193" i="65"/>
  <c r="CW186" i="65"/>
  <c r="CW181" i="65"/>
  <c r="CW177" i="65"/>
  <c r="CW173" i="65"/>
  <c r="CW216" i="65"/>
  <c r="CW203" i="65"/>
  <c r="CW215" i="65"/>
  <c r="CW183" i="65"/>
  <c r="CW182" i="65"/>
  <c r="CW180" i="65"/>
  <c r="CW179" i="65"/>
  <c r="CW178" i="65"/>
  <c r="CW176" i="65"/>
  <c r="CW175" i="65"/>
  <c r="CW199" i="65"/>
  <c r="CW194" i="65"/>
  <c r="CW192" i="65"/>
  <c r="CW190" i="65"/>
  <c r="CW189" i="65"/>
  <c r="CW188" i="65"/>
  <c r="CW171" i="65"/>
  <c r="CW168" i="65"/>
  <c r="CW187" i="65"/>
  <c r="CW185" i="65"/>
  <c r="CW184" i="65"/>
  <c r="CW169" i="65"/>
  <c r="CW196" i="65"/>
  <c r="CW174" i="65"/>
  <c r="CW172" i="65"/>
  <c r="CW170" i="65"/>
  <c r="CW167" i="65"/>
  <c r="CS221" i="65"/>
  <c r="CS215" i="65"/>
  <c r="CS211" i="65"/>
  <c r="CS207" i="65"/>
  <c r="CS217" i="65"/>
  <c r="CS202" i="65"/>
  <c r="CS198" i="65"/>
  <c r="CS189" i="65"/>
  <c r="CS216" i="65"/>
  <c r="CS213" i="65"/>
  <c r="CS206" i="65"/>
  <c r="CS205" i="65"/>
  <c r="CS214" i="65"/>
  <c r="CS210" i="65"/>
  <c r="CS209" i="65"/>
  <c r="CS203" i="65"/>
  <c r="CS201" i="65"/>
  <c r="CS200" i="65"/>
  <c r="CS199" i="65"/>
  <c r="CS197" i="65"/>
  <c r="CS196" i="65"/>
  <c r="CS194" i="65"/>
  <c r="CS193" i="65"/>
  <c r="CS192" i="65"/>
  <c r="CS208" i="65"/>
  <c r="CS204" i="65"/>
  <c r="CS184" i="65"/>
  <c r="CS179" i="65"/>
  <c r="CS190" i="65"/>
  <c r="CS181" i="65"/>
  <c r="CS180" i="65"/>
  <c r="CS178" i="65"/>
  <c r="CS177" i="65"/>
  <c r="CS176" i="65"/>
  <c r="CS212" i="65"/>
  <c r="CS195" i="65"/>
  <c r="CS173" i="65"/>
  <c r="CS191" i="65"/>
  <c r="CS169" i="65"/>
  <c r="CS171" i="65"/>
  <c r="CS188" i="65"/>
  <c r="CS186" i="65"/>
  <c r="CS182" i="65"/>
  <c r="CS167" i="65"/>
  <c r="CS168" i="65"/>
  <c r="CS187" i="65"/>
  <c r="CS185" i="65"/>
  <c r="CS183" i="65"/>
  <c r="CS174" i="65"/>
  <c r="CS172" i="65"/>
  <c r="CS170" i="65"/>
  <c r="CS175" i="65"/>
  <c r="CU216" i="65"/>
  <c r="CU212" i="65"/>
  <c r="CU208" i="65"/>
  <c r="CU209" i="65"/>
  <c r="CU221" i="65"/>
  <c r="CU217" i="65"/>
  <c r="CU215" i="65"/>
  <c r="CU214" i="65"/>
  <c r="CU213" i="65"/>
  <c r="CU201" i="65"/>
  <c r="CU207" i="65"/>
  <c r="CU192" i="65"/>
  <c r="CU188" i="65"/>
  <c r="CU210" i="65"/>
  <c r="CU202" i="65"/>
  <c r="CU199" i="65"/>
  <c r="CU196" i="65"/>
  <c r="CU195" i="65"/>
  <c r="CU191" i="65"/>
  <c r="CU190" i="65"/>
  <c r="CU189" i="65"/>
  <c r="CU187" i="65"/>
  <c r="CU178" i="65"/>
  <c r="CU174" i="65"/>
  <c r="CU171" i="65"/>
  <c r="CU204" i="65"/>
  <c r="CU203" i="65"/>
  <c r="CU200" i="65"/>
  <c r="CU197" i="65"/>
  <c r="CU186" i="65"/>
  <c r="CU172" i="65"/>
  <c r="CU211" i="65"/>
  <c r="CU206" i="65"/>
  <c r="CU205" i="65"/>
  <c r="CU185" i="65"/>
  <c r="CU184" i="65"/>
  <c r="CU183" i="65"/>
  <c r="CU182" i="65"/>
  <c r="CU181" i="65"/>
  <c r="CU180" i="65"/>
  <c r="CU177" i="65"/>
  <c r="CU170" i="65"/>
  <c r="CU167" i="65"/>
  <c r="CU173" i="65"/>
  <c r="CU198" i="65"/>
  <c r="CU193" i="65"/>
  <c r="CU168" i="65"/>
  <c r="CU169" i="65"/>
  <c r="CU179" i="65"/>
  <c r="CU176" i="65"/>
  <c r="CU175" i="65"/>
  <c r="CU194" i="65"/>
  <c r="CH217" i="65"/>
  <c r="CH214" i="65"/>
  <c r="CH211" i="65"/>
  <c r="CH216" i="65"/>
  <c r="CH213" i="65"/>
  <c r="CH210" i="65"/>
  <c r="CH221" i="65"/>
  <c r="CH208" i="65"/>
  <c r="CH205" i="65"/>
  <c r="CH202" i="65"/>
  <c r="CH199" i="65"/>
  <c r="CH196" i="65"/>
  <c r="CH215" i="65"/>
  <c r="CH212" i="65"/>
  <c r="CH209" i="65"/>
  <c r="CH207" i="65"/>
  <c r="CH200" i="65"/>
  <c r="CH194" i="65"/>
  <c r="CH191" i="65"/>
  <c r="CH188" i="65"/>
  <c r="CH185" i="65"/>
  <c r="CH182" i="65"/>
  <c r="CH179" i="65"/>
  <c r="CH176" i="65"/>
  <c r="CH173" i="65"/>
  <c r="CH201" i="65"/>
  <c r="CH198" i="65"/>
  <c r="CH197" i="65"/>
  <c r="CH203" i="65"/>
  <c r="CH206" i="65"/>
  <c r="CH186" i="65"/>
  <c r="CH177" i="65"/>
  <c r="CH190" i="65"/>
  <c r="CH189" i="65"/>
  <c r="CH172" i="65"/>
  <c r="CH169" i="65"/>
  <c r="CH192" i="65"/>
  <c r="CH175" i="65"/>
  <c r="CH204" i="65"/>
  <c r="CH178" i="65"/>
  <c r="CH195" i="65"/>
  <c r="CH193" i="65"/>
  <c r="CH187" i="65"/>
  <c r="CH183" i="65"/>
  <c r="CH181" i="65"/>
  <c r="CH170" i="65"/>
  <c r="CH171" i="65"/>
  <c r="CH174" i="65"/>
  <c r="CH167" i="65"/>
  <c r="CH184" i="65"/>
  <c r="CH180" i="65"/>
  <c r="CH168" i="65"/>
  <c r="CM221" i="65"/>
  <c r="CM217" i="65"/>
  <c r="CM212" i="65"/>
  <c r="CM207" i="65"/>
  <c r="CM214" i="65"/>
  <c r="CM206" i="65"/>
  <c r="CM197" i="65"/>
  <c r="CM216" i="65"/>
  <c r="CM213" i="65"/>
  <c r="CM210" i="65"/>
  <c r="CM193" i="65"/>
  <c r="CM188" i="65"/>
  <c r="CM211" i="65"/>
  <c r="CM209" i="65"/>
  <c r="CM204" i="65"/>
  <c r="CM203" i="65"/>
  <c r="CM200" i="65"/>
  <c r="CM191" i="65"/>
  <c r="CM215" i="65"/>
  <c r="CM192" i="65"/>
  <c r="CM190" i="65"/>
  <c r="CM189" i="65"/>
  <c r="CM183" i="65"/>
  <c r="CM196" i="65"/>
  <c r="CM175" i="65"/>
  <c r="CM201" i="65"/>
  <c r="CM187" i="65"/>
  <c r="CM186" i="65"/>
  <c r="CM185" i="65"/>
  <c r="CM182" i="65"/>
  <c r="CM198" i="65"/>
  <c r="CM184" i="65"/>
  <c r="CM181" i="65"/>
  <c r="CM180" i="65"/>
  <c r="CM179" i="65"/>
  <c r="CM178" i="65"/>
  <c r="CM177" i="65"/>
  <c r="CM176" i="65"/>
  <c r="CM172" i="65"/>
  <c r="CM169" i="65"/>
  <c r="CM194" i="65"/>
  <c r="CM199" i="65"/>
  <c r="CM208" i="65"/>
  <c r="CM202" i="65"/>
  <c r="CM195" i="65"/>
  <c r="CM174" i="65"/>
  <c r="CM173" i="65"/>
  <c r="CM168" i="65"/>
  <c r="CM205" i="65"/>
  <c r="CM170" i="65"/>
  <c r="CM167" i="65"/>
  <c r="CM171" i="65"/>
  <c r="DJ216" i="65"/>
  <c r="DJ213" i="65"/>
  <c r="DJ210" i="65"/>
  <c r="DJ215" i="65"/>
  <c r="DJ212" i="65"/>
  <c r="DJ214" i="65"/>
  <c r="DJ209" i="65"/>
  <c r="DJ204" i="65"/>
  <c r="DJ201" i="65"/>
  <c r="DJ198" i="65"/>
  <c r="DJ195" i="65"/>
  <c r="DJ221" i="65"/>
  <c r="DJ205" i="65"/>
  <c r="DJ196" i="65"/>
  <c r="DJ193" i="65"/>
  <c r="DJ190" i="65"/>
  <c r="DJ187" i="65"/>
  <c r="DJ184" i="65"/>
  <c r="DJ181" i="65"/>
  <c r="DJ178" i="65"/>
  <c r="DJ175" i="65"/>
  <c r="DJ172" i="65"/>
  <c r="DJ192" i="65"/>
  <c r="DJ208" i="65"/>
  <c r="DJ207" i="65"/>
  <c r="DJ211" i="65"/>
  <c r="DJ206" i="65"/>
  <c r="DJ194" i="65"/>
  <c r="DJ203" i="65"/>
  <c r="DJ202" i="65"/>
  <c r="DJ200" i="65"/>
  <c r="DJ199" i="65"/>
  <c r="DJ217" i="65"/>
  <c r="DJ182" i="65"/>
  <c r="DJ183" i="65"/>
  <c r="DJ180" i="65"/>
  <c r="DJ179" i="65"/>
  <c r="DJ177" i="65"/>
  <c r="DJ176" i="65"/>
  <c r="DJ174" i="65"/>
  <c r="DJ171" i="65"/>
  <c r="DJ168" i="65"/>
  <c r="DJ189" i="65"/>
  <c r="DJ191" i="65"/>
  <c r="DJ188" i="65"/>
  <c r="DJ170" i="65"/>
  <c r="DJ185" i="65"/>
  <c r="DJ167" i="65"/>
  <c r="DJ197" i="65"/>
  <c r="DJ186" i="65"/>
  <c r="DJ169" i="65"/>
  <c r="DJ173" i="65"/>
  <c r="CN217" i="65"/>
  <c r="CN214" i="65"/>
  <c r="CN211" i="65"/>
  <c r="CN216" i="65"/>
  <c r="CN213" i="65"/>
  <c r="CN210" i="65"/>
  <c r="CN209" i="65"/>
  <c r="CN205" i="65"/>
  <c r="CN202" i="65"/>
  <c r="CN199" i="65"/>
  <c r="CN196" i="65"/>
  <c r="CN201" i="65"/>
  <c r="CN194" i="65"/>
  <c r="CN191" i="65"/>
  <c r="CN188" i="65"/>
  <c r="CN185" i="65"/>
  <c r="CN182" i="65"/>
  <c r="CN179" i="65"/>
  <c r="CN176" i="65"/>
  <c r="CN173" i="65"/>
  <c r="CN192" i="65"/>
  <c r="CN208" i="65"/>
  <c r="CN215" i="65"/>
  <c r="CN207" i="65"/>
  <c r="CN203" i="65"/>
  <c r="CN200" i="65"/>
  <c r="CN197" i="65"/>
  <c r="CN187" i="65"/>
  <c r="CN178" i="65"/>
  <c r="CN206" i="65"/>
  <c r="CN174" i="65"/>
  <c r="CN221" i="65"/>
  <c r="CN198" i="65"/>
  <c r="CN190" i="65"/>
  <c r="CN189" i="65"/>
  <c r="CN184" i="65"/>
  <c r="CN183" i="65"/>
  <c r="CN181" i="65"/>
  <c r="CN180" i="65"/>
  <c r="CN177" i="65"/>
  <c r="CN172" i="65"/>
  <c r="CN169" i="65"/>
  <c r="CN204" i="65"/>
  <c r="CN195" i="65"/>
  <c r="CN212" i="65"/>
  <c r="CN186" i="65"/>
  <c r="CN175" i="65"/>
  <c r="CN168" i="65"/>
  <c r="CN170" i="65"/>
  <c r="CN171" i="65"/>
  <c r="CN167" i="65"/>
  <c r="CN193" i="65"/>
  <c r="CV215" i="65"/>
  <c r="CV212" i="65"/>
  <c r="CV217" i="65"/>
  <c r="CV214" i="65"/>
  <c r="CV211" i="65"/>
  <c r="CV221" i="65"/>
  <c r="CV213" i="65"/>
  <c r="CV206" i="65"/>
  <c r="CV203" i="65"/>
  <c r="CV200" i="65"/>
  <c r="CV197" i="65"/>
  <c r="CV216" i="65"/>
  <c r="CV210" i="65"/>
  <c r="CV205" i="65"/>
  <c r="CV196" i="65"/>
  <c r="CV192" i="65"/>
  <c r="CV189" i="65"/>
  <c r="CV186" i="65"/>
  <c r="CV183" i="65"/>
  <c r="CV180" i="65"/>
  <c r="CV177" i="65"/>
  <c r="CV174" i="65"/>
  <c r="CV204" i="65"/>
  <c r="CV191" i="65"/>
  <c r="CV190" i="65"/>
  <c r="CV194" i="65"/>
  <c r="CV188" i="65"/>
  <c r="CV182" i="65"/>
  <c r="CV209" i="65"/>
  <c r="CV207" i="65"/>
  <c r="CV198" i="65"/>
  <c r="CV208" i="65"/>
  <c r="CV187" i="65"/>
  <c r="CV185" i="65"/>
  <c r="CV184" i="65"/>
  <c r="CV181" i="65"/>
  <c r="CV170" i="65"/>
  <c r="CV167" i="65"/>
  <c r="CV179" i="65"/>
  <c r="CV178" i="65"/>
  <c r="CV176" i="65"/>
  <c r="CV175" i="65"/>
  <c r="CV195" i="65"/>
  <c r="CV193" i="65"/>
  <c r="CV168" i="65"/>
  <c r="CV171" i="65"/>
  <c r="CV169" i="65"/>
  <c r="CV201" i="65"/>
  <c r="CV199" i="65"/>
  <c r="CV173" i="65"/>
  <c r="CV172" i="65"/>
  <c r="CV202" i="65"/>
  <c r="DL217" i="65"/>
  <c r="DL214" i="65"/>
  <c r="DL211" i="65"/>
  <c r="DL216" i="65"/>
  <c r="DL213" i="65"/>
  <c r="DL210" i="65"/>
  <c r="DL215" i="65"/>
  <c r="DL205" i="65"/>
  <c r="DL202" i="65"/>
  <c r="DL199" i="65"/>
  <c r="DL196" i="65"/>
  <c r="DL204" i="65"/>
  <c r="DL195" i="65"/>
  <c r="DL194" i="65"/>
  <c r="DL191" i="65"/>
  <c r="DL188" i="65"/>
  <c r="DL185" i="65"/>
  <c r="DL182" i="65"/>
  <c r="DL179" i="65"/>
  <c r="DL176" i="65"/>
  <c r="DL173" i="65"/>
  <c r="DL203" i="65"/>
  <c r="DL221" i="65"/>
  <c r="DL207" i="65"/>
  <c r="DL193" i="65"/>
  <c r="DL192" i="65"/>
  <c r="DL208" i="65"/>
  <c r="DL201" i="65"/>
  <c r="DL189" i="65"/>
  <c r="DL181" i="65"/>
  <c r="DL212" i="65"/>
  <c r="DL206" i="65"/>
  <c r="DL209" i="65"/>
  <c r="DL175" i="65"/>
  <c r="DL169" i="65"/>
  <c r="DL197" i="65"/>
  <c r="DL187" i="65"/>
  <c r="DL186" i="65"/>
  <c r="DL184" i="65"/>
  <c r="DL183" i="65"/>
  <c r="DL180" i="65"/>
  <c r="DL174" i="65"/>
  <c r="DL198" i="65"/>
  <c r="DL190" i="65"/>
  <c r="DL171" i="65"/>
  <c r="DL167" i="65"/>
  <c r="DL177" i="65"/>
  <c r="DL168" i="65"/>
  <c r="DL178" i="65"/>
  <c r="DL172" i="65"/>
  <c r="DL170" i="65"/>
  <c r="DL200" i="65"/>
  <c r="CG221" i="65"/>
  <c r="CG214" i="65"/>
  <c r="CG207" i="65"/>
  <c r="CG216" i="65"/>
  <c r="CG211" i="65"/>
  <c r="CG209" i="65"/>
  <c r="CG217" i="65"/>
  <c r="CG208" i="65"/>
  <c r="CG205" i="65"/>
  <c r="CG201" i="65"/>
  <c r="CG196" i="65"/>
  <c r="CG206" i="65"/>
  <c r="CG204" i="65"/>
  <c r="CG203" i="65"/>
  <c r="CG202" i="65"/>
  <c r="CG200" i="65"/>
  <c r="CG199" i="65"/>
  <c r="CG192" i="65"/>
  <c r="CG212" i="65"/>
  <c r="CG215" i="65"/>
  <c r="CG193" i="65"/>
  <c r="CG198" i="65"/>
  <c r="CG195" i="65"/>
  <c r="CG187" i="65"/>
  <c r="CG182" i="65"/>
  <c r="CG178" i="65"/>
  <c r="CG174" i="65"/>
  <c r="CG176" i="65"/>
  <c r="CG194" i="65"/>
  <c r="CG191" i="65"/>
  <c r="CG172" i="65"/>
  <c r="CG169" i="65"/>
  <c r="CG184" i="65"/>
  <c r="CG183" i="65"/>
  <c r="CG181" i="65"/>
  <c r="CG180" i="65"/>
  <c r="CG179" i="65"/>
  <c r="CG177" i="65"/>
  <c r="CG171" i="65"/>
  <c r="CG210" i="65"/>
  <c r="CG189" i="65"/>
  <c r="CG197" i="65"/>
  <c r="CG190" i="65"/>
  <c r="CG185" i="65"/>
  <c r="CG170" i="65"/>
  <c r="CG213" i="65"/>
  <c r="CG188" i="65"/>
  <c r="CG186" i="65"/>
  <c r="CG175" i="65"/>
  <c r="CG173" i="65"/>
  <c r="CG167" i="65"/>
  <c r="CG168" i="65"/>
  <c r="CP215" i="65"/>
  <c r="CP212" i="65"/>
  <c r="CP217" i="65"/>
  <c r="CP214" i="65"/>
  <c r="CP211" i="65"/>
  <c r="CP221" i="65"/>
  <c r="CP210" i="65"/>
  <c r="CP208" i="65"/>
  <c r="CP206" i="65"/>
  <c r="CP203" i="65"/>
  <c r="CP200" i="65"/>
  <c r="CP197" i="65"/>
  <c r="CP209" i="65"/>
  <c r="CP207" i="65"/>
  <c r="CP204" i="65"/>
  <c r="CP195" i="65"/>
  <c r="CP192" i="65"/>
  <c r="CP189" i="65"/>
  <c r="CP186" i="65"/>
  <c r="CP183" i="65"/>
  <c r="CP180" i="65"/>
  <c r="CP177" i="65"/>
  <c r="CP174" i="65"/>
  <c r="CP205" i="65"/>
  <c r="CP202" i="65"/>
  <c r="CP201" i="65"/>
  <c r="CP199" i="65"/>
  <c r="CP198" i="65"/>
  <c r="CP191" i="65"/>
  <c r="CP196" i="65"/>
  <c r="CP213" i="65"/>
  <c r="CP194" i="65"/>
  <c r="CP193" i="65"/>
  <c r="CP181" i="65"/>
  <c r="CP173" i="65"/>
  <c r="CP216" i="65"/>
  <c r="CP175" i="65"/>
  <c r="CP170" i="65"/>
  <c r="CP167" i="65"/>
  <c r="CP190" i="65"/>
  <c r="CP187" i="65"/>
  <c r="CP185" i="65"/>
  <c r="CP184" i="65"/>
  <c r="CP188" i="65"/>
  <c r="CP182" i="65"/>
  <c r="CP179" i="65"/>
  <c r="CP178" i="65"/>
  <c r="CP176" i="65"/>
  <c r="CP172" i="65"/>
  <c r="CP169" i="65"/>
  <c r="CP171" i="65"/>
  <c r="CP168" i="65"/>
  <c r="CQ221" i="65"/>
  <c r="CQ214" i="65"/>
  <c r="CQ210" i="65"/>
  <c r="CQ209" i="65"/>
  <c r="CQ216" i="65"/>
  <c r="CQ207" i="65"/>
  <c r="CQ208" i="65"/>
  <c r="CQ199" i="65"/>
  <c r="CQ215" i="65"/>
  <c r="CQ212" i="65"/>
  <c r="CQ200" i="65"/>
  <c r="CQ197" i="65"/>
  <c r="CQ196" i="65"/>
  <c r="CQ195" i="65"/>
  <c r="CQ190" i="65"/>
  <c r="CQ213" i="65"/>
  <c r="CQ217" i="65"/>
  <c r="CQ211" i="65"/>
  <c r="CQ205" i="65"/>
  <c r="CQ192" i="65"/>
  <c r="CQ204" i="65"/>
  <c r="CQ185" i="65"/>
  <c r="CQ176" i="65"/>
  <c r="CQ202" i="65"/>
  <c r="CQ194" i="65"/>
  <c r="CQ191" i="65"/>
  <c r="CQ187" i="65"/>
  <c r="CQ184" i="65"/>
  <c r="CQ172" i="65"/>
  <c r="CQ193" i="65"/>
  <c r="CQ174" i="65"/>
  <c r="CQ171" i="65"/>
  <c r="CQ168" i="65"/>
  <c r="CQ201" i="65"/>
  <c r="CQ175" i="65"/>
  <c r="CQ206" i="65"/>
  <c r="CQ203" i="65"/>
  <c r="CQ188" i="65"/>
  <c r="CQ186" i="65"/>
  <c r="CQ183" i="65"/>
  <c r="CQ182" i="65"/>
  <c r="CQ181" i="65"/>
  <c r="CQ180" i="65"/>
  <c r="CQ179" i="65"/>
  <c r="CQ178" i="65"/>
  <c r="CQ198" i="65"/>
  <c r="CQ177" i="65"/>
  <c r="CQ189" i="65"/>
  <c r="CQ170" i="65"/>
  <c r="CQ167" i="65"/>
  <c r="CQ169" i="65"/>
  <c r="CQ173" i="65"/>
  <c r="CC216" i="65"/>
  <c r="CC212" i="65"/>
  <c r="CC208" i="65"/>
  <c r="CC214" i="65"/>
  <c r="CC207" i="65"/>
  <c r="CC203" i="65"/>
  <c r="CC199" i="65"/>
  <c r="CC221" i="65"/>
  <c r="CC190" i="65"/>
  <c r="CC205" i="65"/>
  <c r="CC204" i="65"/>
  <c r="CC217" i="65"/>
  <c r="CC213" i="65"/>
  <c r="CC209" i="65"/>
  <c r="CC206" i="65"/>
  <c r="CC202" i="65"/>
  <c r="CC197" i="65"/>
  <c r="CC189" i="65"/>
  <c r="CC185" i="65"/>
  <c r="CC180" i="65"/>
  <c r="CC210" i="65"/>
  <c r="CC201" i="65"/>
  <c r="CC194" i="65"/>
  <c r="CC192" i="65"/>
  <c r="CC171" i="65"/>
  <c r="CC195" i="65"/>
  <c r="CC193" i="65"/>
  <c r="CC174" i="65"/>
  <c r="CC215" i="65"/>
  <c r="CC196" i="65"/>
  <c r="CC188" i="65"/>
  <c r="CC187" i="65"/>
  <c r="CC186" i="65"/>
  <c r="CC184" i="65"/>
  <c r="CC183" i="65"/>
  <c r="CC170" i="65"/>
  <c r="CC167" i="65"/>
  <c r="CC175" i="65"/>
  <c r="CC172" i="65"/>
  <c r="CC200" i="65"/>
  <c r="CC191" i="65"/>
  <c r="CC181" i="65"/>
  <c r="CC179" i="65"/>
  <c r="CC177" i="65"/>
  <c r="CC168" i="65"/>
  <c r="CC198" i="65"/>
  <c r="CC169" i="65"/>
  <c r="CC211" i="65"/>
  <c r="CC182" i="65"/>
  <c r="CC178" i="65"/>
  <c r="CC176" i="65"/>
  <c r="CC173" i="65"/>
  <c r="CL216" i="65"/>
  <c r="CL213" i="65"/>
  <c r="CL210" i="65"/>
  <c r="CL215" i="65"/>
  <c r="CL212" i="65"/>
  <c r="CL221" i="65"/>
  <c r="CL204" i="65"/>
  <c r="CL201" i="65"/>
  <c r="CL198" i="65"/>
  <c r="CL202" i="65"/>
  <c r="CL193" i="65"/>
  <c r="CL190" i="65"/>
  <c r="CL187" i="65"/>
  <c r="CL184" i="65"/>
  <c r="CL181" i="65"/>
  <c r="CL178" i="65"/>
  <c r="CL175" i="65"/>
  <c r="CL189" i="65"/>
  <c r="CL214" i="65"/>
  <c r="CL208" i="65"/>
  <c r="CL211" i="65"/>
  <c r="CL209" i="65"/>
  <c r="CL205" i="65"/>
  <c r="CL199" i="65"/>
  <c r="CL188" i="65"/>
  <c r="CL179" i="65"/>
  <c r="CL203" i="65"/>
  <c r="CL195" i="65"/>
  <c r="CL206" i="65"/>
  <c r="CL207" i="65"/>
  <c r="CL217" i="65"/>
  <c r="CL194" i="65"/>
  <c r="CL173" i="65"/>
  <c r="CL171" i="65"/>
  <c r="CL168" i="65"/>
  <c r="CL186" i="65"/>
  <c r="CL185" i="65"/>
  <c r="CL183" i="65"/>
  <c r="CL182" i="65"/>
  <c r="CL174" i="65"/>
  <c r="CL192" i="65"/>
  <c r="CL191" i="65"/>
  <c r="CL167" i="65"/>
  <c r="CL200" i="65"/>
  <c r="CL176" i="65"/>
  <c r="CL172" i="65"/>
  <c r="CL180" i="65"/>
  <c r="CL169" i="65"/>
  <c r="CL196" i="65"/>
  <c r="CL170" i="65"/>
  <c r="CL197" i="65"/>
  <c r="CL177" i="65"/>
  <c r="DB215" i="65"/>
  <c r="DB212" i="65"/>
  <c r="DB217" i="65"/>
  <c r="DB214" i="65"/>
  <c r="DB211" i="65"/>
  <c r="DB216" i="65"/>
  <c r="DB210" i="65"/>
  <c r="DB209" i="65"/>
  <c r="DB206" i="65"/>
  <c r="DB203" i="65"/>
  <c r="DB200" i="65"/>
  <c r="DB197" i="65"/>
  <c r="DB201" i="65"/>
  <c r="DB192" i="65"/>
  <c r="DB189" i="65"/>
  <c r="DB186" i="65"/>
  <c r="DB183" i="65"/>
  <c r="DB180" i="65"/>
  <c r="DB177" i="65"/>
  <c r="DB174" i="65"/>
  <c r="DB213" i="65"/>
  <c r="DB188" i="65"/>
  <c r="DB205" i="65"/>
  <c r="DB204" i="65"/>
  <c r="DB194" i="65"/>
  <c r="DB193" i="65"/>
  <c r="DB195" i="65"/>
  <c r="DB221" i="65"/>
  <c r="DB198" i="65"/>
  <c r="DB187" i="65"/>
  <c r="DB178" i="65"/>
  <c r="DB191" i="65"/>
  <c r="DB179" i="65"/>
  <c r="DB176" i="65"/>
  <c r="DB208" i="65"/>
  <c r="DB199" i="65"/>
  <c r="DB196" i="65"/>
  <c r="DB172" i="65"/>
  <c r="DB170" i="65"/>
  <c r="DB167" i="65"/>
  <c r="DB202" i="65"/>
  <c r="DB207" i="65"/>
  <c r="DB175" i="65"/>
  <c r="DB185" i="65"/>
  <c r="DB181" i="65"/>
  <c r="DB173" i="65"/>
  <c r="DB168" i="65"/>
  <c r="DB190" i="65"/>
  <c r="DB171" i="65"/>
  <c r="DB169" i="65"/>
  <c r="DB184" i="65"/>
  <c r="DB182" i="65"/>
  <c r="DI221" i="65"/>
  <c r="DI214" i="65"/>
  <c r="DI210" i="65"/>
  <c r="DI209" i="65"/>
  <c r="DI217" i="65"/>
  <c r="DI213" i="65"/>
  <c r="DI212" i="65"/>
  <c r="DI211" i="65"/>
  <c r="DI206" i="65"/>
  <c r="DI201" i="65"/>
  <c r="DI197" i="65"/>
  <c r="DI188" i="65"/>
  <c r="DI216" i="65"/>
  <c r="DI205" i="65"/>
  <c r="DI204" i="65"/>
  <c r="DI208" i="65"/>
  <c r="DI202" i="65"/>
  <c r="DI199" i="65"/>
  <c r="DI196" i="65"/>
  <c r="DI200" i="65"/>
  <c r="DI195" i="65"/>
  <c r="DI193" i="65"/>
  <c r="DI187" i="65"/>
  <c r="DI183" i="65"/>
  <c r="DI178" i="65"/>
  <c r="DI203" i="65"/>
  <c r="DI186" i="65"/>
  <c r="DI185" i="65"/>
  <c r="DI184" i="65"/>
  <c r="DI182" i="65"/>
  <c r="DI181" i="65"/>
  <c r="DI215" i="65"/>
  <c r="DI198" i="65"/>
  <c r="DI191" i="65"/>
  <c r="DI189" i="65"/>
  <c r="DI172" i="65"/>
  <c r="DI207" i="65"/>
  <c r="DI192" i="65"/>
  <c r="DI190" i="65"/>
  <c r="DI171" i="65"/>
  <c r="DI168" i="65"/>
  <c r="DI173" i="65"/>
  <c r="DI180" i="65"/>
  <c r="DI179" i="65"/>
  <c r="DI177" i="65"/>
  <c r="DI176" i="65"/>
  <c r="DI170" i="65"/>
  <c r="DI167" i="65"/>
  <c r="DI194" i="65"/>
  <c r="DI174" i="65"/>
  <c r="DI169" i="65"/>
  <c r="DI175" i="65"/>
  <c r="CF216" i="65"/>
  <c r="CF213" i="65"/>
  <c r="CF210" i="65"/>
  <c r="CF215" i="65"/>
  <c r="CF212" i="65"/>
  <c r="CF204" i="65"/>
  <c r="CF201" i="65"/>
  <c r="CF198" i="65"/>
  <c r="CF206" i="65"/>
  <c r="CF197" i="65"/>
  <c r="CF193" i="65"/>
  <c r="CF190" i="65"/>
  <c r="CF187" i="65"/>
  <c r="CF184" i="65"/>
  <c r="CF181" i="65"/>
  <c r="CF178" i="65"/>
  <c r="CF175" i="65"/>
  <c r="CF217" i="65"/>
  <c r="CF214" i="65"/>
  <c r="CF211" i="65"/>
  <c r="CF205" i="65"/>
  <c r="CF209" i="65"/>
  <c r="CF195" i="65"/>
  <c r="CF194" i="65"/>
  <c r="CF192" i="65"/>
  <c r="CF208" i="65"/>
  <c r="CF202" i="65"/>
  <c r="CF183" i="65"/>
  <c r="CF203" i="65"/>
  <c r="CF207" i="65"/>
  <c r="CF199" i="65"/>
  <c r="CF196" i="65"/>
  <c r="CF180" i="65"/>
  <c r="CF179" i="65"/>
  <c r="CF177" i="65"/>
  <c r="CF171" i="65"/>
  <c r="CF168" i="65"/>
  <c r="CF221" i="65"/>
  <c r="CF176" i="65"/>
  <c r="CF188" i="65"/>
  <c r="CF186" i="65"/>
  <c r="CF185" i="65"/>
  <c r="CF182" i="65"/>
  <c r="CF173" i="65"/>
  <c r="CF200" i="65"/>
  <c r="CF189" i="65"/>
  <c r="CF169" i="65"/>
  <c r="CF170" i="65"/>
  <c r="CF174" i="65"/>
  <c r="CF172" i="65"/>
  <c r="CF167" i="65"/>
  <c r="CF191" i="65"/>
  <c r="CE221" i="65"/>
  <c r="CE217" i="65"/>
  <c r="CE213" i="65"/>
  <c r="CE209" i="65"/>
  <c r="CE215" i="65"/>
  <c r="CE210" i="65"/>
  <c r="CE202" i="65"/>
  <c r="CE193" i="65"/>
  <c r="CE189" i="65"/>
  <c r="CE208" i="65"/>
  <c r="CE207" i="65"/>
  <c r="CE211" i="65"/>
  <c r="CE206" i="65"/>
  <c r="CE205" i="65"/>
  <c r="CE204" i="65"/>
  <c r="CE203" i="65"/>
  <c r="CE200" i="65"/>
  <c r="CE199" i="65"/>
  <c r="CE198" i="65"/>
  <c r="CE197" i="65"/>
  <c r="CE196" i="65"/>
  <c r="CE191" i="65"/>
  <c r="CE216" i="65"/>
  <c r="CE212" i="65"/>
  <c r="CE188" i="65"/>
  <c r="CE179" i="65"/>
  <c r="CE175" i="65"/>
  <c r="CE172" i="65"/>
  <c r="CE186" i="65"/>
  <c r="CE185" i="65"/>
  <c r="CE184" i="65"/>
  <c r="CE183" i="65"/>
  <c r="CE182" i="65"/>
  <c r="CE181" i="65"/>
  <c r="CE178" i="65"/>
  <c r="CE173" i="65"/>
  <c r="CE180" i="65"/>
  <c r="CE177" i="65"/>
  <c r="CE171" i="65"/>
  <c r="CE168" i="65"/>
  <c r="CE190" i="65"/>
  <c r="CE187" i="65"/>
  <c r="CE195" i="65"/>
  <c r="CE194" i="65"/>
  <c r="CE169" i="65"/>
  <c r="CE214" i="65"/>
  <c r="CE176" i="65"/>
  <c r="CE170" i="65"/>
  <c r="CE201" i="65"/>
  <c r="CE174" i="65"/>
  <c r="CE192" i="65"/>
  <c r="CE167" i="65"/>
  <c r="DK221" i="65"/>
  <c r="DK215" i="65"/>
  <c r="DK211" i="65"/>
  <c r="DK207" i="65"/>
  <c r="DK208" i="65"/>
  <c r="DK200" i="65"/>
  <c r="DK217" i="65"/>
  <c r="DK191" i="65"/>
  <c r="DK213" i="65"/>
  <c r="DK210" i="65"/>
  <c r="DK209" i="65"/>
  <c r="DK206" i="65"/>
  <c r="DK205" i="65"/>
  <c r="DK204" i="65"/>
  <c r="DK193" i="65"/>
  <c r="DK192" i="65"/>
  <c r="DK214" i="65"/>
  <c r="DK201" i="65"/>
  <c r="DK198" i="65"/>
  <c r="DK197" i="65"/>
  <c r="DK196" i="65"/>
  <c r="DK216" i="65"/>
  <c r="DK212" i="65"/>
  <c r="DK194" i="65"/>
  <c r="DK186" i="65"/>
  <c r="DK177" i="65"/>
  <c r="DK178" i="65"/>
  <c r="DK173" i="65"/>
  <c r="DK202" i="65"/>
  <c r="DK195" i="65"/>
  <c r="DK190" i="65"/>
  <c r="DK185" i="65"/>
  <c r="DK175" i="65"/>
  <c r="DK169" i="65"/>
  <c r="DK170" i="65"/>
  <c r="DK188" i="65"/>
  <c r="DK187" i="65"/>
  <c r="DK183" i="65"/>
  <c r="DK181" i="65"/>
  <c r="DK179" i="65"/>
  <c r="DK171" i="65"/>
  <c r="DK167" i="65"/>
  <c r="DK199" i="65"/>
  <c r="DK189" i="65"/>
  <c r="DK168" i="65"/>
  <c r="DK203" i="65"/>
  <c r="DK184" i="65"/>
  <c r="DK182" i="65"/>
  <c r="DK180" i="65"/>
  <c r="DK174" i="65"/>
  <c r="DK176" i="65"/>
  <c r="DK172" i="65"/>
  <c r="BZ216" i="65"/>
  <c r="BZ213" i="65"/>
  <c r="BZ215" i="65"/>
  <c r="BZ212" i="65"/>
  <c r="BZ209" i="65"/>
  <c r="BZ204" i="65"/>
  <c r="BZ201" i="65"/>
  <c r="BZ198" i="65"/>
  <c r="BZ205" i="65"/>
  <c r="BZ196" i="65"/>
  <c r="BZ193" i="65"/>
  <c r="BZ190" i="65"/>
  <c r="BZ187" i="65"/>
  <c r="BZ184" i="65"/>
  <c r="BZ181" i="65"/>
  <c r="BZ178" i="65"/>
  <c r="BZ175" i="65"/>
  <c r="BZ210" i="65"/>
  <c r="BZ208" i="65"/>
  <c r="BZ207" i="65"/>
  <c r="BZ197" i="65"/>
  <c r="BZ192" i="65"/>
  <c r="BZ217" i="65"/>
  <c r="BZ214" i="65"/>
  <c r="BZ211" i="65"/>
  <c r="BZ221" i="65"/>
  <c r="BZ203" i="65"/>
  <c r="BZ200" i="65"/>
  <c r="BZ191" i="65"/>
  <c r="BZ182" i="65"/>
  <c r="BZ188" i="65"/>
  <c r="BZ186" i="65"/>
  <c r="BZ185" i="65"/>
  <c r="BZ174" i="65"/>
  <c r="BZ206" i="65"/>
  <c r="BZ176" i="65"/>
  <c r="BZ171" i="65"/>
  <c r="BZ168" i="65"/>
  <c r="BZ195" i="65"/>
  <c r="BZ194" i="65"/>
  <c r="BZ183" i="65"/>
  <c r="BZ180" i="65"/>
  <c r="BZ179" i="65"/>
  <c r="BZ172" i="65"/>
  <c r="BZ170" i="65"/>
  <c r="BZ202" i="65"/>
  <c r="BZ189" i="65"/>
  <c r="BZ177" i="65"/>
  <c r="BZ167" i="65"/>
  <c r="BZ169" i="65"/>
  <c r="BZ199" i="65"/>
  <c r="BZ173" i="65"/>
  <c r="DG213" i="65"/>
  <c r="DG208" i="65"/>
  <c r="DG221" i="65"/>
  <c r="DG215" i="65"/>
  <c r="DG214" i="65"/>
  <c r="DG209" i="65"/>
  <c r="DG198" i="65"/>
  <c r="DG212" i="65"/>
  <c r="DG205" i="65"/>
  <c r="DG204" i="65"/>
  <c r="DG203" i="65"/>
  <c r="DG202" i="65"/>
  <c r="DG201" i="65"/>
  <c r="DG200" i="65"/>
  <c r="DG197" i="65"/>
  <c r="DG194" i="65"/>
  <c r="DG189" i="65"/>
  <c r="DG216" i="65"/>
  <c r="DG210" i="65"/>
  <c r="DG207" i="65"/>
  <c r="DG191" i="65"/>
  <c r="DG190" i="65"/>
  <c r="DG184" i="65"/>
  <c r="DG171" i="65"/>
  <c r="DG217" i="65"/>
  <c r="DG211" i="65"/>
  <c r="DG206" i="65"/>
  <c r="DG176" i="65"/>
  <c r="DG195" i="65"/>
  <c r="DG188" i="65"/>
  <c r="DG173" i="65"/>
  <c r="DG170" i="65"/>
  <c r="DG167" i="65"/>
  <c r="DG199" i="65"/>
  <c r="DG193" i="65"/>
  <c r="DG196" i="65"/>
  <c r="DG187" i="65"/>
  <c r="DG186" i="65"/>
  <c r="DG183" i="65"/>
  <c r="DG185" i="65"/>
  <c r="DG182" i="65"/>
  <c r="DG181" i="65"/>
  <c r="DG180" i="65"/>
  <c r="DG179" i="65"/>
  <c r="DG178" i="65"/>
  <c r="DG177" i="65"/>
  <c r="DG175" i="65"/>
  <c r="DG174" i="65"/>
  <c r="DG172" i="65"/>
  <c r="DG169" i="65"/>
  <c r="DG192" i="65"/>
  <c r="DG168" i="65"/>
  <c r="CT217" i="65"/>
  <c r="CT214" i="65"/>
  <c r="CT211" i="65"/>
  <c r="CT216" i="65"/>
  <c r="CT213" i="65"/>
  <c r="CT210" i="65"/>
  <c r="CT212" i="65"/>
  <c r="CT205" i="65"/>
  <c r="CT202" i="65"/>
  <c r="CT199" i="65"/>
  <c r="CT196" i="65"/>
  <c r="CT206" i="65"/>
  <c r="CT197" i="65"/>
  <c r="CT194" i="65"/>
  <c r="CT191" i="65"/>
  <c r="CT188" i="65"/>
  <c r="CT185" i="65"/>
  <c r="CT182" i="65"/>
  <c r="CT179" i="65"/>
  <c r="CT176" i="65"/>
  <c r="CT173" i="65"/>
  <c r="CT209" i="65"/>
  <c r="CT208" i="65"/>
  <c r="CT193" i="65"/>
  <c r="CT204" i="65"/>
  <c r="CT198" i="65"/>
  <c r="CT195" i="65"/>
  <c r="CT215" i="65"/>
  <c r="CT201" i="65"/>
  <c r="CT183" i="65"/>
  <c r="CT175" i="65"/>
  <c r="CT207" i="65"/>
  <c r="CT221" i="65"/>
  <c r="CT169" i="65"/>
  <c r="CT203" i="65"/>
  <c r="CT200" i="65"/>
  <c r="CT187" i="65"/>
  <c r="CT186" i="65"/>
  <c r="CT172" i="65"/>
  <c r="CT167" i="65"/>
  <c r="CT184" i="65"/>
  <c r="CT180" i="65"/>
  <c r="CT178" i="65"/>
  <c r="CT171" i="65"/>
  <c r="CT168" i="65"/>
  <c r="CT192" i="65"/>
  <c r="CT190" i="65"/>
  <c r="CT181" i="65"/>
  <c r="CT177" i="65"/>
  <c r="CT174" i="65"/>
  <c r="CT170" i="65"/>
  <c r="CT189" i="65"/>
  <c r="DA215" i="65"/>
  <c r="DA210" i="65"/>
  <c r="DA208" i="65"/>
  <c r="DA206" i="65"/>
  <c r="DA202" i="65"/>
  <c r="DA197" i="65"/>
  <c r="DA216" i="65"/>
  <c r="DA193" i="65"/>
  <c r="DA221" i="65"/>
  <c r="DA207" i="65"/>
  <c r="DA217" i="65"/>
  <c r="DA213" i="65"/>
  <c r="DA192" i="65"/>
  <c r="DA211" i="65"/>
  <c r="DA199" i="65"/>
  <c r="DA198" i="65"/>
  <c r="DA196" i="65"/>
  <c r="DA209" i="65"/>
  <c r="DA194" i="65"/>
  <c r="DA214" i="65"/>
  <c r="DA203" i="65"/>
  <c r="DA183" i="65"/>
  <c r="DA179" i="65"/>
  <c r="DA201" i="65"/>
  <c r="DA195" i="65"/>
  <c r="DA185" i="65"/>
  <c r="DA184" i="65"/>
  <c r="DA182" i="65"/>
  <c r="DA181" i="65"/>
  <c r="DA180" i="65"/>
  <c r="DA178" i="65"/>
  <c r="DA177" i="65"/>
  <c r="DA175" i="65"/>
  <c r="DA171" i="65"/>
  <c r="DA204" i="65"/>
  <c r="DA212" i="65"/>
  <c r="DA205" i="65"/>
  <c r="DA173" i="65"/>
  <c r="DA172" i="65"/>
  <c r="DA170" i="65"/>
  <c r="DA167" i="65"/>
  <c r="DA190" i="65"/>
  <c r="DA189" i="65"/>
  <c r="DA200" i="65"/>
  <c r="DA188" i="65"/>
  <c r="DA187" i="65"/>
  <c r="DA174" i="65"/>
  <c r="DA191" i="65"/>
  <c r="DA176" i="65"/>
  <c r="DA168" i="65"/>
  <c r="DA169" i="65"/>
  <c r="DA186" i="65"/>
  <c r="BT159" i="65"/>
  <c r="BT156" i="65"/>
  <c r="BT153" i="65"/>
  <c r="BT150" i="65"/>
  <c r="BT147" i="65"/>
  <c r="BT144" i="65"/>
  <c r="BT161" i="65"/>
  <c r="BT157" i="65"/>
  <c r="BT152" i="65"/>
  <c r="BT148" i="65"/>
  <c r="BT166" i="65"/>
  <c r="BT143" i="65"/>
  <c r="BT141" i="65"/>
  <c r="BT138" i="65"/>
  <c r="BT135" i="65"/>
  <c r="BT132" i="65"/>
  <c r="BT129" i="65"/>
  <c r="BT126" i="65"/>
  <c r="BT123" i="65"/>
  <c r="BT120" i="65"/>
  <c r="BT117" i="65"/>
  <c r="BT114" i="65"/>
  <c r="BT111" i="65"/>
  <c r="BT149" i="65"/>
  <c r="BT146" i="65"/>
  <c r="BT142" i="65"/>
  <c r="BT137" i="65"/>
  <c r="BT133" i="65"/>
  <c r="BT128" i="65"/>
  <c r="BT151" i="65"/>
  <c r="BT154" i="65"/>
  <c r="BT139" i="65"/>
  <c r="BT134" i="65"/>
  <c r="BT130" i="65"/>
  <c r="BT155" i="65"/>
  <c r="BT158" i="65"/>
  <c r="BT140" i="65"/>
  <c r="BT136" i="65"/>
  <c r="BT131" i="65"/>
  <c r="BT127" i="65"/>
  <c r="BT122" i="65"/>
  <c r="BT118" i="65"/>
  <c r="BT113" i="65"/>
  <c r="BT145" i="65"/>
  <c r="BT116" i="65"/>
  <c r="BT124" i="65"/>
  <c r="BT112" i="65"/>
  <c r="BT119" i="65"/>
  <c r="BT160" i="65"/>
  <c r="BT125" i="65"/>
  <c r="BT121" i="65"/>
  <c r="BT115" i="65"/>
  <c r="CK221" i="65"/>
  <c r="CK216" i="65"/>
  <c r="CK211" i="65"/>
  <c r="CK209" i="65"/>
  <c r="CK213" i="65"/>
  <c r="CK203" i="65"/>
  <c r="CK198" i="65"/>
  <c r="CK208" i="65"/>
  <c r="CK207" i="65"/>
  <c r="CK194" i="65"/>
  <c r="CK215" i="65"/>
  <c r="CK212" i="65"/>
  <c r="CK206" i="65"/>
  <c r="CK205" i="65"/>
  <c r="CK204" i="65"/>
  <c r="CK195" i="65"/>
  <c r="CK192" i="65"/>
  <c r="CK210" i="65"/>
  <c r="CK193" i="65"/>
  <c r="CK191" i="65"/>
  <c r="CK184" i="65"/>
  <c r="CK180" i="65"/>
  <c r="CK200" i="65"/>
  <c r="CK197" i="65"/>
  <c r="CK177" i="65"/>
  <c r="CK176" i="65"/>
  <c r="CK172" i="65"/>
  <c r="CK174" i="65"/>
  <c r="CK217" i="65"/>
  <c r="CK214" i="65"/>
  <c r="CK201" i="65"/>
  <c r="CK190" i="65"/>
  <c r="CK189" i="65"/>
  <c r="CK188" i="65"/>
  <c r="CK187" i="65"/>
  <c r="CK173" i="65"/>
  <c r="CK171" i="65"/>
  <c r="CK168" i="65"/>
  <c r="CK202" i="65"/>
  <c r="CK196" i="65"/>
  <c r="CK199" i="65"/>
  <c r="CK175" i="65"/>
  <c r="CK167" i="65"/>
  <c r="CK186" i="65"/>
  <c r="CK182" i="65"/>
  <c r="CK178" i="65"/>
  <c r="CK169" i="65"/>
  <c r="CK183" i="65"/>
  <c r="CK179" i="65"/>
  <c r="CK170" i="65"/>
  <c r="CK185" i="65"/>
  <c r="CK181" i="65"/>
  <c r="DO221" i="65"/>
  <c r="DO217" i="65"/>
  <c r="DO213" i="65"/>
  <c r="DO209" i="65"/>
  <c r="DO206" i="65"/>
  <c r="DO211" i="65"/>
  <c r="DO202" i="65"/>
  <c r="DO208" i="65"/>
  <c r="DO207" i="65"/>
  <c r="DO205" i="65"/>
  <c r="DO204" i="65"/>
  <c r="DO201" i="65"/>
  <c r="DO193" i="65"/>
  <c r="DO189" i="65"/>
  <c r="DO215" i="65"/>
  <c r="DO212" i="65"/>
  <c r="DO210" i="65"/>
  <c r="DO198" i="65"/>
  <c r="DO195" i="65"/>
  <c r="DO197" i="65"/>
  <c r="DO179" i="65"/>
  <c r="DO216" i="65"/>
  <c r="DO199" i="65"/>
  <c r="DO196" i="65"/>
  <c r="DO191" i="65"/>
  <c r="DO175" i="65"/>
  <c r="DO214" i="65"/>
  <c r="DO194" i="65"/>
  <c r="DO192" i="65"/>
  <c r="DO180" i="65"/>
  <c r="DO177" i="65"/>
  <c r="DO176" i="65"/>
  <c r="DO173" i="65"/>
  <c r="DO203" i="65"/>
  <c r="DO200" i="65"/>
  <c r="DO172" i="65"/>
  <c r="DO171" i="65"/>
  <c r="DO168" i="65"/>
  <c r="DO186" i="65"/>
  <c r="DO185" i="65"/>
  <c r="DO184" i="65"/>
  <c r="DO183" i="65"/>
  <c r="DO182" i="65"/>
  <c r="DO181" i="65"/>
  <c r="DO178" i="65"/>
  <c r="DO174" i="65"/>
  <c r="DO190" i="65"/>
  <c r="DO187" i="65"/>
  <c r="DO169" i="65"/>
  <c r="DO188" i="65"/>
  <c r="DO170" i="65"/>
  <c r="DO167" i="65"/>
  <c r="CX216" i="65"/>
  <c r="CX213" i="65"/>
  <c r="CX210" i="65"/>
  <c r="CX215" i="65"/>
  <c r="CX212" i="65"/>
  <c r="CX214" i="65"/>
  <c r="CX207" i="65"/>
  <c r="CX204" i="65"/>
  <c r="CX201" i="65"/>
  <c r="CX198" i="65"/>
  <c r="CX195" i="65"/>
  <c r="CX199" i="65"/>
  <c r="CX193" i="65"/>
  <c r="CX190" i="65"/>
  <c r="CX187" i="65"/>
  <c r="CX184" i="65"/>
  <c r="CX181" i="65"/>
  <c r="CX178" i="65"/>
  <c r="CX175" i="65"/>
  <c r="CX172" i="65"/>
  <c r="CX217" i="65"/>
  <c r="CX211" i="65"/>
  <c r="CX206" i="65"/>
  <c r="CX205" i="65"/>
  <c r="CX203" i="65"/>
  <c r="CX202" i="65"/>
  <c r="CX221" i="65"/>
  <c r="CX208" i="65"/>
  <c r="CX185" i="65"/>
  <c r="CX176" i="65"/>
  <c r="CX194" i="65"/>
  <c r="CX192" i="65"/>
  <c r="CX191" i="65"/>
  <c r="CX189" i="65"/>
  <c r="CX188" i="65"/>
  <c r="CX177" i="65"/>
  <c r="CX171" i="65"/>
  <c r="CX168" i="65"/>
  <c r="CX196" i="65"/>
  <c r="CX174" i="65"/>
  <c r="CX200" i="65"/>
  <c r="CX186" i="65"/>
  <c r="CX183" i="65"/>
  <c r="CX182" i="65"/>
  <c r="CX180" i="65"/>
  <c r="CX179" i="65"/>
  <c r="CX209" i="65"/>
  <c r="CX197" i="65"/>
  <c r="CX169" i="65"/>
  <c r="CX170" i="65"/>
  <c r="CX173" i="65"/>
  <c r="CX167" i="65"/>
  <c r="DC221" i="65"/>
  <c r="DC216" i="65"/>
  <c r="DC211" i="65"/>
  <c r="DC209" i="65"/>
  <c r="DC205" i="65"/>
  <c r="DC196" i="65"/>
  <c r="DC210" i="65"/>
  <c r="DC192" i="65"/>
  <c r="DC217" i="65"/>
  <c r="DC206" i="65"/>
  <c r="DC212" i="65"/>
  <c r="DC207" i="65"/>
  <c r="DC203" i="65"/>
  <c r="DC202" i="65"/>
  <c r="DC201" i="65"/>
  <c r="DC200" i="65"/>
  <c r="DC199" i="65"/>
  <c r="DC198" i="65"/>
  <c r="DC195" i="65"/>
  <c r="DC204" i="65"/>
  <c r="DC182" i="65"/>
  <c r="DC190" i="65"/>
  <c r="DC189" i="65"/>
  <c r="DC188" i="65"/>
  <c r="DC174" i="65"/>
  <c r="DC208" i="65"/>
  <c r="DC215" i="65"/>
  <c r="DC214" i="65"/>
  <c r="DC213" i="65"/>
  <c r="DC187" i="65"/>
  <c r="DC186" i="65"/>
  <c r="DC185" i="65"/>
  <c r="DC184" i="65"/>
  <c r="DC181" i="65"/>
  <c r="DC175" i="65"/>
  <c r="DC171" i="65"/>
  <c r="DC168" i="65"/>
  <c r="DC172" i="65"/>
  <c r="DC197" i="65"/>
  <c r="DC194" i="65"/>
  <c r="DC173" i="65"/>
  <c r="DC167" i="65"/>
  <c r="DC191" i="65"/>
  <c r="DC183" i="65"/>
  <c r="DC179" i="65"/>
  <c r="DC177" i="65"/>
  <c r="DC176" i="65"/>
  <c r="DC169" i="65"/>
  <c r="DC193" i="65"/>
  <c r="DC180" i="65"/>
  <c r="DC170" i="65"/>
  <c r="DC178" i="65"/>
  <c r="BT20" i="65"/>
  <c r="CB217" i="65"/>
  <c r="CB214" i="65"/>
  <c r="CB211" i="65"/>
  <c r="CB216" i="65"/>
  <c r="CB213" i="65"/>
  <c r="CB221" i="65"/>
  <c r="CB205" i="65"/>
  <c r="CB202" i="65"/>
  <c r="CB199" i="65"/>
  <c r="CB196" i="65"/>
  <c r="CB204" i="65"/>
  <c r="CB194" i="65"/>
  <c r="CB191" i="65"/>
  <c r="CB188" i="65"/>
  <c r="CB185" i="65"/>
  <c r="CB182" i="65"/>
  <c r="CB179" i="65"/>
  <c r="CB176" i="65"/>
  <c r="CB173" i="65"/>
  <c r="CB215" i="65"/>
  <c r="CB212" i="65"/>
  <c r="CB195" i="65"/>
  <c r="CB206" i="65"/>
  <c r="CB193" i="65"/>
  <c r="CB192" i="65"/>
  <c r="CB210" i="65"/>
  <c r="CB201" i="65"/>
  <c r="CB181" i="65"/>
  <c r="CB208" i="65"/>
  <c r="CB198" i="65"/>
  <c r="CB178" i="65"/>
  <c r="CB177" i="65"/>
  <c r="CB203" i="65"/>
  <c r="CB209" i="65"/>
  <c r="CB200" i="65"/>
  <c r="CB190" i="65"/>
  <c r="CB189" i="65"/>
  <c r="CB175" i="65"/>
  <c r="CB172" i="65"/>
  <c r="CB169" i="65"/>
  <c r="CB207" i="65"/>
  <c r="CB174" i="65"/>
  <c r="CB197" i="65"/>
  <c r="CB167" i="65"/>
  <c r="CB187" i="65"/>
  <c r="CB183" i="65"/>
  <c r="CB168" i="65"/>
  <c r="CB171" i="65"/>
  <c r="CB186" i="65"/>
  <c r="CB184" i="65"/>
  <c r="CB180" i="65"/>
  <c r="CB170" i="65"/>
  <c r="DN215" i="65"/>
  <c r="DN212" i="65"/>
  <c r="DN217" i="65"/>
  <c r="DN214" i="65"/>
  <c r="DN211" i="65"/>
  <c r="DN216" i="65"/>
  <c r="DN206" i="65"/>
  <c r="DN203" i="65"/>
  <c r="DN200" i="65"/>
  <c r="DN197" i="65"/>
  <c r="DN198" i="65"/>
  <c r="DN192" i="65"/>
  <c r="DN189" i="65"/>
  <c r="DN186" i="65"/>
  <c r="DN183" i="65"/>
  <c r="DN180" i="65"/>
  <c r="DN177" i="65"/>
  <c r="DN174" i="65"/>
  <c r="DN209" i="65"/>
  <c r="DN194" i="65"/>
  <c r="DN221" i="65"/>
  <c r="DN208" i="65"/>
  <c r="DN199" i="65"/>
  <c r="DN196" i="65"/>
  <c r="DN195" i="65"/>
  <c r="DN213" i="65"/>
  <c r="DN207" i="65"/>
  <c r="DN201" i="65"/>
  <c r="DN191" i="65"/>
  <c r="DN190" i="65"/>
  <c r="DN204" i="65"/>
  <c r="DN184" i="65"/>
  <c r="DN205" i="65"/>
  <c r="DN202" i="65"/>
  <c r="DN193" i="65"/>
  <c r="DN188" i="65"/>
  <c r="DN210" i="65"/>
  <c r="DN185" i="65"/>
  <c r="DN182" i="65"/>
  <c r="DN181" i="65"/>
  <c r="DN179" i="65"/>
  <c r="DN178" i="65"/>
  <c r="DN170" i="65"/>
  <c r="DN167" i="65"/>
  <c r="DN176" i="65"/>
  <c r="DN173" i="65"/>
  <c r="DN187" i="65"/>
  <c r="DN168" i="65"/>
  <c r="DN169" i="65"/>
  <c r="DN175" i="65"/>
  <c r="DN172" i="65"/>
  <c r="DN171" i="65"/>
  <c r="CD215" i="65"/>
  <c r="CD212" i="65"/>
  <c r="CD217" i="65"/>
  <c r="CD214" i="65"/>
  <c r="CD211" i="65"/>
  <c r="CD206" i="65"/>
  <c r="CD203" i="65"/>
  <c r="CD200" i="65"/>
  <c r="CD197" i="65"/>
  <c r="CD198" i="65"/>
  <c r="CD195" i="65"/>
  <c r="CD192" i="65"/>
  <c r="CD189" i="65"/>
  <c r="CD186" i="65"/>
  <c r="CD183" i="65"/>
  <c r="CD180" i="65"/>
  <c r="CD177" i="65"/>
  <c r="CD174" i="65"/>
  <c r="CD194" i="65"/>
  <c r="CD216" i="65"/>
  <c r="CD213" i="65"/>
  <c r="CD210" i="65"/>
  <c r="CD209" i="65"/>
  <c r="CD208" i="65"/>
  <c r="CD202" i="65"/>
  <c r="CD201" i="65"/>
  <c r="CD221" i="65"/>
  <c r="CD199" i="65"/>
  <c r="CD196" i="65"/>
  <c r="CD207" i="65"/>
  <c r="CD190" i="65"/>
  <c r="CD184" i="65"/>
  <c r="CD204" i="65"/>
  <c r="CD191" i="65"/>
  <c r="CD176" i="65"/>
  <c r="CD205" i="65"/>
  <c r="CD188" i="65"/>
  <c r="CD187" i="65"/>
  <c r="CD170" i="65"/>
  <c r="CD167" i="65"/>
  <c r="CD185" i="65"/>
  <c r="CD182" i="65"/>
  <c r="CD181" i="65"/>
  <c r="CD179" i="65"/>
  <c r="CD178" i="65"/>
  <c r="CD173" i="65"/>
  <c r="CD193" i="65"/>
  <c r="CD168" i="65"/>
  <c r="CD171" i="65"/>
  <c r="CD169" i="65"/>
  <c r="CD175" i="65"/>
  <c r="CD172" i="65"/>
  <c r="DF217" i="65"/>
  <c r="DF214" i="65"/>
  <c r="DF211" i="65"/>
  <c r="DF216" i="65"/>
  <c r="DF213" i="65"/>
  <c r="DF210" i="65"/>
  <c r="DF212" i="65"/>
  <c r="DF207" i="65"/>
  <c r="DF205" i="65"/>
  <c r="DF202" i="65"/>
  <c r="DF199" i="65"/>
  <c r="DF196" i="65"/>
  <c r="DF203" i="65"/>
  <c r="DF194" i="65"/>
  <c r="DF191" i="65"/>
  <c r="DF188" i="65"/>
  <c r="DF185" i="65"/>
  <c r="DF182" i="65"/>
  <c r="DF179" i="65"/>
  <c r="DF176" i="65"/>
  <c r="DF173" i="65"/>
  <c r="DF221" i="65"/>
  <c r="DF215" i="65"/>
  <c r="DF206" i="65"/>
  <c r="DF190" i="65"/>
  <c r="DF204" i="65"/>
  <c r="DF208" i="65"/>
  <c r="DF180" i="65"/>
  <c r="DF200" i="65"/>
  <c r="DF197" i="65"/>
  <c r="DF192" i="65"/>
  <c r="DF172" i="65"/>
  <c r="DF193" i="65"/>
  <c r="DF181" i="65"/>
  <c r="DF178" i="65"/>
  <c r="DF177" i="65"/>
  <c r="DF174" i="65"/>
  <c r="DF169" i="65"/>
  <c r="DF209" i="65"/>
  <c r="DF201" i="65"/>
  <c r="DF198" i="65"/>
  <c r="DF189" i="65"/>
  <c r="DF175" i="65"/>
  <c r="DF187" i="65"/>
  <c r="DF186" i="65"/>
  <c r="DF184" i="65"/>
  <c r="DF183" i="65"/>
  <c r="DF168" i="65"/>
  <c r="DF170" i="65"/>
  <c r="DF171" i="65"/>
  <c r="DF167" i="65"/>
  <c r="DF195" i="65"/>
  <c r="DE221" i="65"/>
  <c r="DE217" i="65"/>
  <c r="DE212" i="65"/>
  <c r="DE207" i="65"/>
  <c r="DE204" i="65"/>
  <c r="DE199" i="65"/>
  <c r="DE195" i="65"/>
  <c r="DE209" i="65"/>
  <c r="DE208" i="65"/>
  <c r="DE211" i="65"/>
  <c r="DE215" i="65"/>
  <c r="DE206" i="65"/>
  <c r="DE205" i="65"/>
  <c r="DE214" i="65"/>
  <c r="DE210" i="65"/>
  <c r="DE200" i="65"/>
  <c r="DE197" i="65"/>
  <c r="DE191" i="65"/>
  <c r="DE190" i="65"/>
  <c r="DE213" i="65"/>
  <c r="DE185" i="65"/>
  <c r="DE181" i="65"/>
  <c r="DE176" i="65"/>
  <c r="DE194" i="65"/>
  <c r="DE216" i="65"/>
  <c r="DE203" i="65"/>
  <c r="DE202" i="65"/>
  <c r="DE187" i="65"/>
  <c r="DE186" i="65"/>
  <c r="DE184" i="65"/>
  <c r="DE183" i="65"/>
  <c r="DE182" i="65"/>
  <c r="DE180" i="65"/>
  <c r="DE179" i="65"/>
  <c r="DE175" i="65"/>
  <c r="DE193" i="65"/>
  <c r="DE178" i="65"/>
  <c r="DE177" i="65"/>
  <c r="DE174" i="65"/>
  <c r="DE169" i="65"/>
  <c r="DE171" i="65"/>
  <c r="DE196" i="65"/>
  <c r="DE173" i="65"/>
  <c r="DE198" i="65"/>
  <c r="DE172" i="65"/>
  <c r="DE168" i="65"/>
  <c r="DE201" i="65"/>
  <c r="DE192" i="65"/>
  <c r="DE170" i="65"/>
  <c r="DE189" i="65"/>
  <c r="DE188" i="65"/>
  <c r="DE167" i="65"/>
  <c r="BU221" i="65"/>
  <c r="BU217" i="65"/>
  <c r="BU212" i="65"/>
  <c r="BU210" i="65"/>
  <c r="BU207" i="65"/>
  <c r="BU215" i="65"/>
  <c r="BU216" i="65"/>
  <c r="BU214" i="65"/>
  <c r="BU213" i="65"/>
  <c r="BU211" i="65"/>
  <c r="BU204" i="65"/>
  <c r="BU199" i="65"/>
  <c r="BU195" i="65"/>
  <c r="BU209" i="65"/>
  <c r="BU208" i="65"/>
  <c r="BU201" i="65"/>
  <c r="BU200" i="65"/>
  <c r="BU198" i="65"/>
  <c r="BU197" i="65"/>
  <c r="BU196" i="65"/>
  <c r="BU194" i="65"/>
  <c r="BU190" i="65"/>
  <c r="BU189" i="65"/>
  <c r="BU185" i="65"/>
  <c r="BU181" i="65"/>
  <c r="BU202" i="65"/>
  <c r="BU193" i="65"/>
  <c r="BU205" i="65"/>
  <c r="BU192" i="65"/>
  <c r="BU188" i="65"/>
  <c r="BU175" i="65"/>
  <c r="BU206" i="65"/>
  <c r="BU203" i="65"/>
  <c r="BU191" i="65"/>
  <c r="BU187" i="65"/>
  <c r="BU186" i="65"/>
  <c r="BU184" i="65"/>
  <c r="BU183" i="65"/>
  <c r="BU182" i="65"/>
  <c r="BU180" i="65"/>
  <c r="BU179" i="65"/>
  <c r="BU174" i="65"/>
  <c r="BU172" i="65"/>
  <c r="BU169" i="65"/>
  <c r="BU171" i="65"/>
  <c r="BU176" i="65"/>
  <c r="BU173" i="65"/>
  <c r="BU168" i="65"/>
  <c r="BU177" i="65"/>
  <c r="BU170" i="65"/>
  <c r="BU178" i="65"/>
  <c r="BU167" i="65"/>
  <c r="CR216" i="65"/>
  <c r="CR213" i="65"/>
  <c r="CR210" i="65"/>
  <c r="CR215" i="65"/>
  <c r="CR212" i="65"/>
  <c r="CR211" i="65"/>
  <c r="CR204" i="65"/>
  <c r="CR201" i="65"/>
  <c r="CR198" i="65"/>
  <c r="CR195" i="65"/>
  <c r="CR203" i="65"/>
  <c r="CR193" i="65"/>
  <c r="CR190" i="65"/>
  <c r="CR187" i="65"/>
  <c r="CR184" i="65"/>
  <c r="CR181" i="65"/>
  <c r="CR178" i="65"/>
  <c r="CR175" i="65"/>
  <c r="CR172" i="65"/>
  <c r="CR221" i="65"/>
  <c r="CR194" i="65"/>
  <c r="CR202" i="65"/>
  <c r="CR217" i="65"/>
  <c r="CR206" i="65"/>
  <c r="CR205" i="65"/>
  <c r="CR207" i="65"/>
  <c r="CR200" i="65"/>
  <c r="CR196" i="65"/>
  <c r="CR180" i="65"/>
  <c r="CR199" i="65"/>
  <c r="CR192" i="65"/>
  <c r="CR189" i="65"/>
  <c r="CR188" i="65"/>
  <c r="CR186" i="65"/>
  <c r="CR185" i="65"/>
  <c r="CR183" i="65"/>
  <c r="CR182" i="65"/>
  <c r="CR179" i="65"/>
  <c r="CR209" i="65"/>
  <c r="CR214" i="65"/>
  <c r="CR174" i="65"/>
  <c r="CR171" i="65"/>
  <c r="CR168" i="65"/>
  <c r="CR208" i="65"/>
  <c r="CR197" i="65"/>
  <c r="CR173" i="65"/>
  <c r="CR177" i="65"/>
  <c r="CR170" i="65"/>
  <c r="CR167" i="65"/>
  <c r="CR191" i="65"/>
  <c r="CR169" i="65"/>
  <c r="CR176" i="65"/>
  <c r="CO213" i="65"/>
  <c r="CO208" i="65"/>
  <c r="CO215" i="65"/>
  <c r="CO205" i="65"/>
  <c r="CO200" i="65"/>
  <c r="CO196" i="65"/>
  <c r="CO206" i="65"/>
  <c r="CO204" i="65"/>
  <c r="CO203" i="65"/>
  <c r="CO217" i="65"/>
  <c r="CO214" i="65"/>
  <c r="CO211" i="65"/>
  <c r="CO209" i="65"/>
  <c r="CO207" i="65"/>
  <c r="CO221" i="65"/>
  <c r="CO202" i="65"/>
  <c r="CO201" i="65"/>
  <c r="CO199" i="65"/>
  <c r="CO198" i="65"/>
  <c r="CO197" i="65"/>
  <c r="CO195" i="65"/>
  <c r="CO186" i="65"/>
  <c r="CO182" i="65"/>
  <c r="CO177" i="65"/>
  <c r="CO171" i="65"/>
  <c r="CO188" i="65"/>
  <c r="CO179" i="65"/>
  <c r="CO178" i="65"/>
  <c r="CO176" i="65"/>
  <c r="CO216" i="65"/>
  <c r="CO212" i="65"/>
  <c r="CO210" i="65"/>
  <c r="CO193" i="65"/>
  <c r="CO175" i="65"/>
  <c r="CO170" i="65"/>
  <c r="CO167" i="65"/>
  <c r="CO189" i="65"/>
  <c r="CO172" i="65"/>
  <c r="CO192" i="65"/>
  <c r="CO191" i="65"/>
  <c r="CO190" i="65"/>
  <c r="CO187" i="65"/>
  <c r="CO185" i="65"/>
  <c r="CO184" i="65"/>
  <c r="CO183" i="65"/>
  <c r="CO181" i="65"/>
  <c r="CO180" i="65"/>
  <c r="CO194" i="65"/>
  <c r="CO174" i="65"/>
  <c r="CO173" i="65"/>
  <c r="CO169" i="65"/>
  <c r="CO168" i="65"/>
  <c r="F20" i="65" a="1"/>
  <c r="F21" i="65" a="1"/>
  <c r="F17" i="65" a="1"/>
  <c r="F22" i="65" a="1"/>
  <c r="F18" i="65" a="1"/>
  <c r="F19" i="65" a="1"/>
  <c r="F16" i="65" a="1"/>
  <c r="F19" i="65" l="1"/>
  <c r="H19" i="65" s="1"/>
  <c r="F17" i="65"/>
  <c r="H17" i="65" s="1"/>
  <c r="F21" i="65"/>
  <c r="H21" i="65" s="1"/>
  <c r="F20" i="65"/>
  <c r="H20" i="65" s="1"/>
  <c r="F22" i="65"/>
  <c r="H22" i="65" s="1"/>
  <c r="F16" i="65"/>
  <c r="H16" i="65" s="1"/>
  <c r="F18" i="65"/>
  <c r="H18" i="65" s="1"/>
  <c r="BT216" i="65"/>
  <c r="BT213" i="65"/>
  <c r="BT215" i="65"/>
  <c r="BT212" i="65"/>
  <c r="BT208" i="65"/>
  <c r="BT204" i="65"/>
  <c r="BT201" i="65"/>
  <c r="BT198" i="65"/>
  <c r="BT217" i="65"/>
  <c r="BT200" i="65"/>
  <c r="BT193" i="65"/>
  <c r="BT190" i="65"/>
  <c r="BT187" i="65"/>
  <c r="BT184" i="65"/>
  <c r="BT181" i="65"/>
  <c r="BT178" i="65"/>
  <c r="BT175" i="65"/>
  <c r="BT191" i="65"/>
  <c r="BT221" i="65"/>
  <c r="BT210" i="65"/>
  <c r="BT207" i="65"/>
  <c r="BT206" i="65"/>
  <c r="BT205" i="65"/>
  <c r="BT203" i="65"/>
  <c r="BT202" i="65"/>
  <c r="BT199" i="65"/>
  <c r="BT195" i="65"/>
  <c r="BT186" i="65"/>
  <c r="BT177" i="65"/>
  <c r="BT214" i="65"/>
  <c r="BT196" i="65"/>
  <c r="BT173" i="65"/>
  <c r="BT211" i="65"/>
  <c r="BT194" i="65"/>
  <c r="BT171" i="65"/>
  <c r="BT168" i="65"/>
  <c r="BT197" i="65"/>
  <c r="BT192" i="65"/>
  <c r="BT188" i="65"/>
  <c r="BT185" i="65"/>
  <c r="BT189" i="65"/>
  <c r="BT176" i="65"/>
  <c r="BT167" i="65"/>
  <c r="BT174" i="65"/>
  <c r="BT183" i="65"/>
  <c r="BT179" i="65"/>
  <c r="BT169" i="65"/>
  <c r="BT172" i="65"/>
  <c r="BT170" i="65"/>
  <c r="BT209" i="65"/>
  <c r="BT180" i="65"/>
  <c r="BT182" i="65"/>
  <c r="H25" i="65" l="1"/>
  <c r="BR222" i="65" a="1"/>
  <c r="BR222" i="65" s="1"/>
  <c r="BT21" i="65" s="1" a="1"/>
  <c r="BT21" i="65" s="1"/>
  <c r="BT22" i="65" s="1" a="1"/>
  <c r="BT22" i="65" s="1"/>
  <c r="BT23" i="65" s="1" a="1"/>
  <c r="BT23" i="65" s="1"/>
  <c r="BT24" i="65" s="1" a="1"/>
  <c r="BT24" i="65" s="1"/>
  <c r="BT25" i="65" s="1" a="1"/>
  <c r="BT25" i="65" s="1"/>
  <c r="BT26" i="65" s="1" a="1"/>
  <c r="BT26" i="65" s="1"/>
  <c r="BT27" i="65" s="1" a="1"/>
  <c r="BT27" i="65" s="1"/>
  <c r="BT28" i="65" s="1" a="1"/>
  <c r="BT28" i="65" s="1"/>
  <c r="BT29" i="65" s="1" a="1"/>
  <c r="BT29" i="65" s="1"/>
  <c r="BT30" i="65" s="1" a="1"/>
  <c r="BT30" i="65" s="1"/>
  <c r="BT31" i="65" s="1" a="1"/>
  <c r="BT31" i="65" s="1"/>
  <c r="BT32" i="65" s="1" a="1"/>
  <c r="BT32" i="65" s="1"/>
  <c r="BT33" i="65" s="1" a="1"/>
  <c r="BT33" i="65" s="1"/>
  <c r="BT34" i="65" s="1" a="1"/>
  <c r="BT34" i="65" s="1"/>
  <c r="BT35" i="65" s="1" a="1"/>
  <c r="BT35" i="65" s="1"/>
  <c r="BT36" i="65" s="1" a="1"/>
  <c r="BT36" i="65" s="1"/>
  <c r="BT37" i="65" s="1" a="1"/>
  <c r="BT37" i="65" s="1"/>
  <c r="BT38" i="65" s="1" a="1"/>
  <c r="BT38" i="65" s="1"/>
  <c r="F45" i="65" a="1"/>
  <c r="F45" i="65" l="1"/>
  <c r="F49" i="65" a="1"/>
  <c r="F46" i="65" a="1"/>
  <c r="F47" i="65" a="1"/>
  <c r="F48" i="65" a="1"/>
  <c r="F50" i="65" a="1"/>
  <c r="F51" i="65" a="1"/>
  <c r="H45" i="65" l="1"/>
  <c r="F50" i="65"/>
  <c r="F47" i="65"/>
  <c r="F46" i="65"/>
  <c r="F51" i="65"/>
  <c r="F49" i="65"/>
  <c r="F48" i="65"/>
  <c r="H51" i="65" l="1"/>
  <c r="H47" i="65"/>
  <c r="H46" i="65"/>
  <c r="H50" i="65"/>
  <c r="H48" i="65"/>
  <c r="H49" i="65"/>
  <c r="H54" i="6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<sst xmlns="http://schemas.openxmlformats.org/spreadsheetml/2006/main" count="354" uniqueCount="91">
  <si>
    <t>Sigma</t>
  </si>
  <si>
    <t>MeanRev</t>
  </si>
  <si>
    <t>A</t>
  </si>
  <si>
    <t>B</t>
  </si>
  <si>
    <t>Pu</t>
  </si>
  <si>
    <t>Count</t>
  </si>
  <si>
    <t xml:space="preserve">Time Step </t>
  </si>
  <si>
    <t>j</t>
  </si>
  <si>
    <t xml:space="preserve">Rate </t>
  </si>
  <si>
    <t>i</t>
  </si>
  <si>
    <t>r_min</t>
  </si>
  <si>
    <t>r_max</t>
  </si>
  <si>
    <t>step</t>
  </si>
  <si>
    <t>ds</t>
  </si>
  <si>
    <t>Inv_A*B</t>
  </si>
  <si>
    <t>Ri</t>
  </si>
  <si>
    <t>Parameters</t>
  </si>
  <si>
    <t>Pm</t>
  </si>
  <si>
    <t>Pd</t>
  </si>
  <si>
    <t>Delta_t</t>
  </si>
  <si>
    <t>Ignore</t>
  </si>
  <si>
    <t>Not Used</t>
  </si>
  <si>
    <t>NOT USED</t>
  </si>
  <si>
    <t>Expiry</t>
  </si>
  <si>
    <t>Crank Nicolson</t>
  </si>
  <si>
    <t>Implicit</t>
  </si>
  <si>
    <t>Number</t>
  </si>
  <si>
    <t>Implicit/ Crank</t>
  </si>
  <si>
    <t>lookup</t>
  </si>
  <si>
    <t>Val Date</t>
  </si>
  <si>
    <t>Maturity Date</t>
  </si>
  <si>
    <t>R</t>
  </si>
  <si>
    <t>Div</t>
  </si>
  <si>
    <t>Spot</t>
  </si>
  <si>
    <t>Time to Mat</t>
  </si>
  <si>
    <t>IVOL</t>
  </si>
  <si>
    <t>LVOL</t>
  </si>
  <si>
    <t>1M</t>
  </si>
  <si>
    <t>K</t>
  </si>
  <si>
    <t>Ln(K)</t>
  </si>
  <si>
    <t>In %</t>
  </si>
  <si>
    <t>St.Dev Unit</t>
  </si>
  <si>
    <t>Forward</t>
  </si>
  <si>
    <t>ATM Vol</t>
  </si>
  <si>
    <t>Max Black Scholes</t>
  </si>
  <si>
    <t>S_Min</t>
  </si>
  <si>
    <t>S_Max</t>
  </si>
  <si>
    <t>Formularised</t>
  </si>
  <si>
    <t>Inputs</t>
  </si>
  <si>
    <t>Adjustable Parameter</t>
  </si>
  <si>
    <t>Output</t>
  </si>
  <si>
    <t>Ln(S_Min)</t>
  </si>
  <si>
    <t>Ln(S_Max)</t>
  </si>
  <si>
    <t>Time Steps</t>
  </si>
  <si>
    <t>Spot Steps</t>
  </si>
  <si>
    <t>Ln (K) , x</t>
  </si>
  <si>
    <t>Local Vol</t>
  </si>
  <si>
    <t>Boundary Conditions</t>
  </si>
  <si>
    <t>C</t>
  </si>
  <si>
    <t>A Matrix Coefficients</t>
  </si>
  <si>
    <t>Murex Output Values for Comparison</t>
  </si>
  <si>
    <t>Comparison Cell, Ignore For Now</t>
  </si>
  <si>
    <t>I-0.5dt.A</t>
  </si>
  <si>
    <t>I+0.5dtA</t>
  </si>
  <si>
    <t>BS Price</t>
  </si>
  <si>
    <t>LV Price</t>
  </si>
  <si>
    <t>Least Squared</t>
  </si>
  <si>
    <t>Minimization</t>
  </si>
  <si>
    <t>Solver's Objective (To Minimize)</t>
  </si>
  <si>
    <t>Boundary Values, Not used in Minimization</t>
  </si>
  <si>
    <t>dt</t>
  </si>
  <si>
    <t>dx</t>
  </si>
  <si>
    <t>2*dx</t>
  </si>
  <si>
    <t>dx^2</t>
  </si>
  <si>
    <t>LV</t>
  </si>
  <si>
    <t>IV</t>
  </si>
  <si>
    <t>Local Vol P1</t>
  </si>
  <si>
    <t>P1</t>
  </si>
  <si>
    <t>P2</t>
  </si>
  <si>
    <t>Local Vol P2</t>
  </si>
  <si>
    <t>3M</t>
  </si>
  <si>
    <t>Jeff</t>
  </si>
  <si>
    <t>CWX</t>
  </si>
  <si>
    <t>RD</t>
  </si>
  <si>
    <t>Gaps</t>
  </si>
  <si>
    <t>1. How to determine first guess value</t>
  </si>
  <si>
    <t>2. BFGS</t>
  </si>
  <si>
    <t>3. Smoothing Penalization</t>
  </si>
  <si>
    <t>Monte Carlo</t>
  </si>
  <si>
    <t>T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</si>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</sst>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_(* #,##0.00_);_(* \(#,##0.00\);_(* &quot;-&quot;??_);_(@_)"/>
    <numFmt numFmtId="165" formatCode="0.0000%"/>
    <numFmt numFmtId="166" formatCode="#,##0.00000000"/>
    <numFmt numFmtId="167" formatCode="_(* #,##0.0000_);_(* \(#,##0.0000\);_(* &quot;-&quot;??_);_(@_)"/>
    <numFmt numFmtId="168" formatCode="_(* #,##0.000000_);_(* \(#,##0.000000\);_(* &quot;-&quot;??_);_(@_)"/>
    <numFmt numFmtId="169" formatCode="_(* #,##0.0000000_);_(* \(#,##0.0000000\);_(* &quot;-&quot;??_);_(@_)"/>
    <numFmt numFmtId="170" formatCode="0.000%"/>
    <numFmt numFmtId="171" formatCode="_(* #,##0.00000000_);_(* \(#,##0.00000000\);_(* &quot;-&quot;??_);_(@_)"/>
    <numFmt numFmtId="172" formatCode="_(* #,##0.00000_);_(* \(#,##0.00000\);_(* &quot;-&quot;??_);_(@_)"/>
    <numFmt numFmtId="173" formatCode="_(* #,##0.0000000000_);_(* \(#,##0.0000000000\);_(* &quot;-&quot;??_);_(@_)"/>
    <numFmt numFmtId="174" formatCode="0.0000000%"/>
    <numFmt numFmtId="175" formatCode="_(* #,##0_);_(* \(#,##0\);_(* &quot;-&quot;??_);_(@_)"/>
    <numFmt numFmtId="176" formatCode="#,##0.000000"/>
    <numFmt numFmtId="177" formatCode="0.0%"/>
    <numFmt numFmtId="178" formatCode="#,##0.00000"/>
    <numFmt numFmtId="179" formatCode="_(* #,##0.000_);_(* \(#,##0.000\);_(* &quot;-&quot;??_);_(@_)"/>
    <numFmt numFmtId="180" formatCode="#,##0.0000000"/>
    <numFmt numFmtId="181" formatCode="0.00000000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mbria"/>
      <family val="1"/>
      <scheme val="major"/>
    </font>
  </fonts>
  <fills count="5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4" applyNumberFormat="0" applyFill="0" applyAlignment="0" applyProtection="0"/>
    <xf numFmtId="0" fontId="6" fillId="0" borderId="5" applyNumberFormat="0" applyFill="0" applyAlignment="0" applyProtection="0"/>
    <xf numFmtId="0" fontId="7" fillId="0" borderId="6" applyNumberFormat="0" applyFill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7" applyNumberFormat="0" applyAlignment="0" applyProtection="0"/>
    <xf numFmtId="0" fontId="12" fillId="8" borderId="8" applyNumberFormat="0" applyAlignment="0" applyProtection="0"/>
    <xf numFmtId="0" fontId="13" fillId="8" borderId="7" applyNumberFormat="0" applyAlignment="0" applyProtection="0"/>
    <xf numFmtId="0" fontId="14" fillId="0" borderId="9" applyNumberFormat="0" applyFill="0" applyAlignment="0" applyProtection="0"/>
    <xf numFmtId="0" fontId="15" fillId="9" borderId="10" applyNumberFormat="0" applyAlignment="0" applyProtection="0"/>
    <xf numFmtId="0" fontId="16" fillId="0" borderId="0" applyNumberFormat="0" applyFill="0" applyBorder="0" applyAlignment="0" applyProtection="0"/>
    <xf numFmtId="0" fontId="2" fillId="10" borderId="11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12" applyNumberFormat="0" applyFill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34" borderId="0" applyNumberFormat="0" applyBorder="0" applyAlignment="0" applyProtection="0"/>
    <xf numFmtId="43" fontId="2" fillId="0" borderId="0" applyFon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71" fontId="0" fillId="35" borderId="1" xfId="1" applyNumberFormat="1" applyFont="1" applyFill="1" applyBorder="1"/>
    <xf numFmtId="171" fontId="0" fillId="36" borderId="1" xfId="1" applyNumberFormat="1" applyFont="1" applyFill="1" applyBorder="1"/>
    <xf numFmtId="171" fontId="0" fillId="0" borderId="1" xfId="1" applyNumberFormat="1" applyFont="1" applyFill="1" applyBorder="1"/>
    <xf numFmtId="175" fontId="0" fillId="0" borderId="0" xfId="0" applyNumberFormat="1"/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/>
    <xf numFmtId="4" fontId="0" fillId="0" borderId="0" xfId="0" applyNumberFormat="1"/>
    <xf numFmtId="164" fontId="0" fillId="0" borderId="1" xfId="1" applyFont="1" applyBorder="1"/>
    <xf numFmtId="172" fontId="0" fillId="0" borderId="1" xfId="0" applyNumberFormat="1" applyBorder="1"/>
    <xf numFmtId="164" fontId="0" fillId="0" borderId="0" xfId="0" applyNumberFormat="1"/>
    <xf numFmtId="167" fontId="0" fillId="0" borderId="1" xfId="1" applyNumberFormat="1" applyFont="1" applyBorder="1"/>
    <xf numFmtId="10" fontId="0" fillId="0" borderId="1" xfId="2" applyNumberFormat="1" applyFont="1" applyBorder="1"/>
    <xf numFmtId="171" fontId="0" fillId="0" borderId="0" xfId="0" applyNumberFormat="1"/>
    <xf numFmtId="172" fontId="0" fillId="0" borderId="0" xfId="0" applyNumberFormat="1"/>
    <xf numFmtId="10" fontId="0" fillId="0" borderId="0" xfId="0" applyNumberFormat="1"/>
    <xf numFmtId="167" fontId="0" fillId="0" borderId="0" xfId="0" applyNumberFormat="1"/>
    <xf numFmtId="0" fontId="1" fillId="2" borderId="0" xfId="0" applyFont="1" applyFill="1" applyBorder="1" applyAlignment="1">
      <alignment horizontal="center"/>
    </xf>
    <xf numFmtId="14" fontId="0" fillId="0" borderId="2" xfId="0" applyNumberFormat="1" applyBorder="1"/>
    <xf numFmtId="0" fontId="1" fillId="2" borderId="2" xfId="0" applyFont="1" applyFill="1" applyBorder="1"/>
    <xf numFmtId="170" fontId="1" fillId="2" borderId="1" xfId="0" applyNumberFormat="1" applyFont="1" applyFill="1" applyBorder="1"/>
    <xf numFmtId="10" fontId="0" fillId="0" borderId="1" xfId="0" applyNumberFormat="1" applyBorder="1"/>
    <xf numFmtId="169" fontId="0" fillId="0" borderId="0" xfId="0" applyNumberFormat="1"/>
    <xf numFmtId="169" fontId="0" fillId="0" borderId="0" xfId="1" applyNumberFormat="1" applyFont="1" applyFill="1" applyBorder="1"/>
    <xf numFmtId="0" fontId="0" fillId="0" borderId="0" xfId="0"/>
    <xf numFmtId="168" fontId="0" fillId="0" borderId="0" xfId="1" applyNumberFormat="1" applyFont="1"/>
    <xf numFmtId="164" fontId="0" fillId="0" borderId="0" xfId="0" applyNumberFormat="1"/>
    <xf numFmtId="169" fontId="0" fillId="0" borderId="1" xfId="1" applyNumberFormat="1" applyFont="1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172" fontId="0" fillId="0" borderId="1" xfId="1" applyNumberFormat="1" applyFont="1" applyFill="1" applyBorder="1"/>
    <xf numFmtId="0" fontId="0" fillId="0" borderId="0" xfId="0" applyFill="1"/>
    <xf numFmtId="171" fontId="0" fillId="0" borderId="0" xfId="0" applyNumberFormat="1" applyFill="1"/>
    <xf numFmtId="172" fontId="0" fillId="0" borderId="0" xfId="1" applyNumberFormat="1" applyFont="1" applyFill="1" applyBorder="1"/>
    <xf numFmtId="171" fontId="0" fillId="0" borderId="0" xfId="1" applyNumberFormat="1" applyFont="1" applyFill="1" applyBorder="1"/>
    <xf numFmtId="0" fontId="0" fillId="0" borderId="0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169" fontId="0" fillId="0" borderId="0" xfId="1" applyNumberFormat="1" applyFont="1" applyBorder="1" applyAlignment="1">
      <alignment horizontal="center"/>
    </xf>
    <xf numFmtId="174" fontId="0" fillId="0" borderId="0" xfId="0" applyNumberFormat="1" applyAlignment="1">
      <alignment horizontal="center"/>
    </xf>
    <xf numFmtId="176" fontId="0" fillId="35" borderId="1" xfId="1" applyNumberFormat="1" applyFont="1" applyFill="1" applyBorder="1" applyAlignment="1">
      <alignment horizontal="center"/>
    </xf>
    <xf numFmtId="176" fontId="0" fillId="37" borderId="1" xfId="1" applyNumberFormat="1" applyFont="1" applyFill="1" applyBorder="1" applyAlignment="1">
      <alignment horizontal="center"/>
    </xf>
    <xf numFmtId="0" fontId="1" fillId="2" borderId="14" xfId="0" applyFont="1" applyFill="1" applyBorder="1"/>
    <xf numFmtId="0" fontId="0" fillId="0" borderId="0" xfId="0" quotePrefix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167" fontId="0" fillId="0" borderId="0" xfId="0" applyNumberFormat="1" applyFill="1"/>
    <xf numFmtId="0" fontId="0" fillId="38" borderId="0" xfId="0" applyFill="1" applyAlignment="1">
      <alignment horizontal="center"/>
    </xf>
    <xf numFmtId="167" fontId="0" fillId="38" borderId="0" xfId="0" applyNumberFormat="1" applyFill="1"/>
    <xf numFmtId="0" fontId="0" fillId="38" borderId="0" xfId="0" applyFill="1"/>
    <xf numFmtId="3" fontId="0" fillId="38" borderId="0" xfId="1" applyNumberFormat="1" applyFont="1" applyFill="1" applyBorder="1" applyAlignment="1">
      <alignment horizontal="center"/>
    </xf>
    <xf numFmtId="3" fontId="0" fillId="38" borderId="0" xfId="0" applyNumberFormat="1" applyFill="1" applyAlignment="1">
      <alignment horizontal="center"/>
    </xf>
    <xf numFmtId="171" fontId="0" fillId="38" borderId="0" xfId="1" applyNumberFormat="1" applyFont="1" applyFill="1" applyBorder="1"/>
    <xf numFmtId="172" fontId="0" fillId="38" borderId="0" xfId="1" applyNumberFormat="1" applyFont="1" applyFill="1" applyBorder="1"/>
    <xf numFmtId="14" fontId="0" fillId="38" borderId="1" xfId="0" applyNumberFormat="1" applyFill="1" applyBorder="1"/>
    <xf numFmtId="172" fontId="0" fillId="38" borderId="0" xfId="0" applyNumberFormat="1" applyFill="1" applyAlignment="1">
      <alignment horizontal="center"/>
    </xf>
    <xf numFmtId="177" fontId="0" fillId="0" borderId="0" xfId="2" applyNumberFormat="1" applyFont="1" applyFill="1" applyBorder="1"/>
    <xf numFmtId="177" fontId="19" fillId="3" borderId="1" xfId="2" applyNumberFormat="1" applyFont="1" applyFill="1" applyBorder="1"/>
    <xf numFmtId="165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167" fontId="0" fillId="38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18" fillId="0" borderId="0" xfId="0" applyFont="1"/>
    <xf numFmtId="173" fontId="0" fillId="0" borderId="0" xfId="0" applyNumberFormat="1"/>
    <xf numFmtId="173" fontId="0" fillId="37" borderId="1" xfId="1" applyNumberFormat="1" applyFont="1" applyFill="1" applyBorder="1" applyAlignment="1">
      <alignment horizontal="center"/>
    </xf>
    <xf numFmtId="175" fontId="19" fillId="3" borderId="1" xfId="1" applyNumberFormat="1" applyFont="1" applyFill="1" applyBorder="1"/>
    <xf numFmtId="175" fontId="19" fillId="0" borderId="1" xfId="1" applyNumberFormat="1" applyFont="1" applyFill="1" applyBorder="1"/>
    <xf numFmtId="170" fontId="1" fillId="2" borderId="13" xfId="0" applyNumberFormat="1" applyFont="1" applyFill="1" applyBorder="1"/>
    <xf numFmtId="169" fontId="0" fillId="39" borderId="15" xfId="0" applyNumberFormat="1" applyFill="1" applyBorder="1" applyAlignment="1">
      <alignment horizontal="center"/>
    </xf>
    <xf numFmtId="0" fontId="0" fillId="3" borderId="0" xfId="0" applyFill="1"/>
    <xf numFmtId="0" fontId="0" fillId="40" borderId="0" xfId="0" applyFill="1"/>
    <xf numFmtId="0" fontId="0" fillId="40" borderId="1" xfId="0" applyFill="1" applyBorder="1"/>
    <xf numFmtId="14" fontId="0" fillId="0" borderId="0" xfId="0" applyNumberFormat="1"/>
    <xf numFmtId="9" fontId="0" fillId="0" borderId="0" xfId="0" applyNumberFormat="1"/>
    <xf numFmtId="0" fontId="0" fillId="0" borderId="0" xfId="0" applyBorder="1"/>
    <xf numFmtId="0" fontId="20" fillId="0" borderId="0" xfId="0" applyFont="1"/>
    <xf numFmtId="0" fontId="0" fillId="36" borderId="1" xfId="0" applyFill="1" applyBorder="1" applyAlignment="1">
      <alignment horizontal="center"/>
    </xf>
    <xf numFmtId="0" fontId="0" fillId="41" borderId="1" xfId="0" applyFill="1" applyBorder="1" applyAlignment="1">
      <alignment horizontal="center"/>
    </xf>
    <xf numFmtId="0" fontId="0" fillId="42" borderId="0" xfId="0" applyFill="1"/>
    <xf numFmtId="164" fontId="0" fillId="42" borderId="0" xfId="0" applyNumberFormat="1" applyFill="1"/>
    <xf numFmtId="169" fontId="0" fillId="42" borderId="0" xfId="0" applyNumberFormat="1" applyFill="1"/>
    <xf numFmtId="173" fontId="0" fillId="42" borderId="0" xfId="0" applyNumberFormat="1" applyFill="1"/>
    <xf numFmtId="4" fontId="0" fillId="42" borderId="0" xfId="0" applyNumberFormat="1" applyFill="1" applyAlignment="1">
      <alignment horizontal="center"/>
    </xf>
    <xf numFmtId="0" fontId="0" fillId="42" borderId="0" xfId="0" applyFill="1" applyAlignment="1">
      <alignment horizontal="center"/>
    </xf>
    <xf numFmtId="0" fontId="0" fillId="4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6" borderId="0" xfId="0" applyFill="1" applyBorder="1" applyAlignment="1">
      <alignment horizontal="left"/>
    </xf>
    <xf numFmtId="0" fontId="16" fillId="0" borderId="0" xfId="0" applyFont="1"/>
    <xf numFmtId="168" fontId="0" fillId="0" borderId="1" xfId="1" applyNumberFormat="1" applyFont="1" applyBorder="1"/>
    <xf numFmtId="178" fontId="0" fillId="0" borderId="1" xfId="2" applyNumberFormat="1" applyFont="1" applyBorder="1"/>
    <xf numFmtId="2" fontId="0" fillId="0" borderId="1" xfId="0" applyNumberFormat="1" applyBorder="1"/>
    <xf numFmtId="169" fontId="0" fillId="43" borderId="1" xfId="1" applyNumberFormat="1" applyFont="1" applyFill="1" applyBorder="1"/>
    <xf numFmtId="0" fontId="0" fillId="45" borderId="1" xfId="0" applyFill="1" applyBorder="1"/>
    <xf numFmtId="169" fontId="0" fillId="46" borderId="1" xfId="1" applyNumberFormat="1" applyFont="1" applyFill="1" applyBorder="1"/>
    <xf numFmtId="175" fontId="19" fillId="47" borderId="1" xfId="1" applyNumberFormat="1" applyFont="1" applyFill="1" applyBorder="1"/>
    <xf numFmtId="172" fontId="0" fillId="48" borderId="1" xfId="1" applyNumberFormat="1" applyFont="1" applyFill="1" applyBorder="1"/>
    <xf numFmtId="177" fontId="19" fillId="44" borderId="1" xfId="2" applyNumberFormat="1" applyFont="1" applyFill="1" applyBorder="1"/>
    <xf numFmtId="4" fontId="1" fillId="2" borderId="1" xfId="0" applyNumberFormat="1" applyFont="1" applyFill="1" applyBorder="1"/>
    <xf numFmtId="179" fontId="19" fillId="43" borderId="1" xfId="1" applyNumberFormat="1" applyFont="1" applyFill="1" applyBorder="1"/>
    <xf numFmtId="167" fontId="19" fillId="0" borderId="1" xfId="1" applyNumberFormat="1" applyFont="1" applyFill="1" applyBorder="1"/>
    <xf numFmtId="0" fontId="0" fillId="49" borderId="1" xfId="0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0" fillId="3" borderId="13" xfId="0" applyFill="1" applyBorder="1"/>
    <xf numFmtId="0" fontId="0" fillId="50" borderId="1" xfId="0" applyFill="1" applyBorder="1"/>
    <xf numFmtId="171" fontId="0" fillId="0" borderId="1" xfId="1" applyNumberFormat="1" applyFont="1" applyBorder="1"/>
    <xf numFmtId="43" fontId="0" fillId="45" borderId="1" xfId="0" applyNumberFormat="1" applyFill="1" applyBorder="1"/>
    <xf numFmtId="0" fontId="1" fillId="2" borderId="17" xfId="0" applyFont="1" applyFill="1" applyBorder="1" applyAlignment="1">
      <alignment horizontal="center"/>
    </xf>
    <xf numFmtId="0" fontId="0" fillId="51" borderId="1" xfId="0" applyFill="1" applyBorder="1"/>
    <xf numFmtId="180" fontId="0" fillId="0" borderId="0" xfId="0" applyNumberFormat="1"/>
    <xf numFmtId="176" fontId="0" fillId="0" borderId="0" xfId="0" applyNumberFormat="1"/>
    <xf numFmtId="180" fontId="0" fillId="44" borderId="0" xfId="0" applyNumberFormat="1" applyFill="1"/>
    <xf numFmtId="43" fontId="0" fillId="44" borderId="0" xfId="0" applyNumberFormat="1" applyFill="1"/>
    <xf numFmtId="181" fontId="21" fillId="37" borderId="0" xfId="0" applyNumberFormat="1" applyFont="1" applyFill="1" applyAlignment="1">
      <alignment horizontal="center"/>
    </xf>
    <xf numFmtId="181" fontId="21" fillId="37" borderId="1" xfId="0" applyNumberFormat="1" applyFont="1" applyFill="1" applyBorder="1" applyAlignment="1">
      <alignment horizontal="center"/>
    </xf>
    <xf numFmtId="170" fontId="0" fillId="0" borderId="1" xfId="2" applyNumberFormat="1" applyFont="1" applyBorder="1"/>
    <xf numFmtId="11" fontId="0" fillId="49" borderId="1" xfId="0" applyNumberFormat="1" applyFill="1" applyBorder="1" applyAlignment="1">
      <alignment horizontal="center"/>
    </xf>
    <xf numFmtId="176" fontId="0" fillId="52" borderId="1" xfId="0" applyNumberFormat="1" applyFill="1" applyBorder="1"/>
    <xf numFmtId="0" fontId="1" fillId="2" borderId="16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44" borderId="0" xfId="0" applyFill="1"/>
    <xf numFmtId="10" fontId="0" fillId="0" borderId="0" xfId="2" applyNumberFormat="1" applyFont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/>
    <xf numFmtId="0" fontId="0" fillId="40" borderId="0" xfId="0" applyFill="1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0" fontId="0" fillId="0" borderId="0" xfId="0"/>
    <xf numFmtId="0" fontId="0" fillId="0" borderId="1" xfId="0" applyBorder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4" xr:uid="{348E6185-9F63-478A-BDE3-BA6447BDE808}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Red</a:t>
            </a:r>
            <a:r>
              <a:rPr lang="en-MY" baseline="0"/>
              <a:t> (LV) vs Blue (IV)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'LV 1M'!$C$16:$C$22</c:f>
              <c:numCache>
                <c:formatCode>General</c:formatCode>
                <c:ptCount val="7"/>
                <c:pt idx="0">
                  <c:v>5.6484620072641638</c:v>
                </c:pt>
                <c:pt idx="1">
                  <c:v>5.6855456932611528</c:v>
                </c:pt>
                <c:pt idx="2">
                  <c:v>5.7226293792581417</c:v>
                </c:pt>
                <c:pt idx="3">
                  <c:v>5.7597130652551307</c:v>
                </c:pt>
                <c:pt idx="4">
                  <c:v>5.7967967512521206</c:v>
                </c:pt>
                <c:pt idx="5">
                  <c:v>5.8338804372491095</c:v>
                </c:pt>
                <c:pt idx="6">
                  <c:v>5.8709641232460985</c:v>
                </c:pt>
              </c:numCache>
            </c:numRef>
          </c:xVal>
          <c:yVal>
            <c:numRef>
              <c:f>'LV 1M'!$D$16:$D$22</c:f>
              <c:numCache>
                <c:formatCode>General</c:formatCode>
                <c:ptCount val="7"/>
                <c:pt idx="0">
                  <c:v>39.64</c:v>
                </c:pt>
                <c:pt idx="1">
                  <c:v>38.483130361039962</c:v>
                </c:pt>
                <c:pt idx="2">
                  <c:v>37.780549558627897</c:v>
                </c:pt>
                <c:pt idx="3">
                  <c:v>38.002038043301305</c:v>
                </c:pt>
                <c:pt idx="4">
                  <c:v>40.409825826997114</c:v>
                </c:pt>
                <c:pt idx="5">
                  <c:v>43.720977468671897</c:v>
                </c:pt>
                <c:pt idx="6">
                  <c:v>45.62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02-4F03-AC6B-9B4432072FE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'LV 1M'!$C$16:$C$22</c:f>
              <c:numCache>
                <c:formatCode>General</c:formatCode>
                <c:ptCount val="7"/>
                <c:pt idx="0">
                  <c:v>5.6484620072641638</c:v>
                </c:pt>
                <c:pt idx="1">
                  <c:v>5.6855456932611528</c:v>
                </c:pt>
                <c:pt idx="2">
                  <c:v>5.7226293792581417</c:v>
                </c:pt>
                <c:pt idx="3">
                  <c:v>5.7597130652551307</c:v>
                </c:pt>
                <c:pt idx="4">
                  <c:v>5.7967967512521206</c:v>
                </c:pt>
                <c:pt idx="5">
                  <c:v>5.8338804372491095</c:v>
                </c:pt>
                <c:pt idx="6">
                  <c:v>5.8709641232460985</c:v>
                </c:pt>
              </c:numCache>
            </c:numRef>
          </c:xVal>
          <c:yVal>
            <c:numRef>
              <c:f>'LV 1M'!$E$16:$E$22</c:f>
              <c:numCache>
                <c:formatCode>General</c:formatCode>
                <c:ptCount val="7"/>
                <c:pt idx="0">
                  <c:v>17.889211989170928</c:v>
                </c:pt>
                <c:pt idx="1">
                  <c:v>35.573097623883179</c:v>
                </c:pt>
                <c:pt idx="2">
                  <c:v>36.49373457533715</c:v>
                </c:pt>
                <c:pt idx="3">
                  <c:v>33.111638263059518</c:v>
                </c:pt>
                <c:pt idx="4">
                  <c:v>42.970812497515794</c:v>
                </c:pt>
                <c:pt idx="5">
                  <c:v>59.118020616869579</c:v>
                </c:pt>
                <c:pt idx="6">
                  <c:v>53.39731380867071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02-4F03-AC6B-9B4432072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70015"/>
        <c:axId val="290670847"/>
      </c:scatterChart>
      <c:valAx>
        <c:axId val="290670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70847"/>
        <c:crosses val="autoZero"/>
        <c:crossBetween val="midCat"/>
      </c:valAx>
      <c:valAx>
        <c:axId val="29067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70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'LV 1M'!$D$47</c:f>
              <c:strCache>
                <c:ptCount val="1"/>
                <c:pt idx="0">
                  <c:v>IV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'LV 1M'!$C$48:$C$52</c:f>
              <c:numCache>
                <c:formatCode>General</c:formatCode>
                <c:ptCount val="5"/>
                <c:pt idx="0">
                  <c:v>-10</c:v>
                </c:pt>
                <c:pt idx="1">
                  <c:v>-4.9999999999999902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xVal>
          <c:yVal>
            <c:numRef>
              <c:f>'LV 1M'!$D$48:$D$52</c:f>
              <c:numCache>
                <c:formatCode>General</c:formatCode>
                <c:ptCount val="5"/>
                <c:pt idx="0">
                  <c:v>39.64</c:v>
                </c:pt>
                <c:pt idx="1">
                  <c:v>37.74</c:v>
                </c:pt>
                <c:pt idx="2">
                  <c:v>37.869999999999997</c:v>
                </c:pt>
                <c:pt idx="3">
                  <c:v>41.05</c:v>
                </c:pt>
                <c:pt idx="4">
                  <c:v>45.62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6-41E9-A1B9-B8C2027C5B1F}"/>
            </c:ext>
          </c:extLst>
        </c:ser>
        <c:ser>
          <c:idx val="1"/>
          <c:order val="1"/>
          <c:tx>
            <c:strRef>
              <c:f>'LV 1M'!$E$47</c:f>
              <c:strCache>
                <c:ptCount val="1"/>
                <c:pt idx="0">
                  <c:v>LV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'LV 1M'!$C$48:$C$52</c:f>
              <c:numCache>
                <c:formatCode>General</c:formatCode>
                <c:ptCount val="5"/>
                <c:pt idx="0">
                  <c:v>-10</c:v>
                </c:pt>
                <c:pt idx="1">
                  <c:v>-4.9999999999999902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</c:numCache>
            </c:numRef>
          </c:xVal>
          <c:yVal>
            <c:numRef>
              <c:f>'LV 1M'!$E$48:$E$52</c:f>
              <c:numCache>
                <c:formatCode>General</c:formatCode>
                <c:ptCount val="5"/>
                <c:pt idx="0">
                  <c:v>19.709223937682179</c:v>
                </c:pt>
                <c:pt idx="1">
                  <c:v>36.089480911885708</c:v>
                </c:pt>
                <c:pt idx="2">
                  <c:v>33.300783154743527</c:v>
                </c:pt>
                <c:pt idx="3">
                  <c:v>47.165081560628387</c:v>
                </c:pt>
                <c:pt idx="4">
                  <c:v>56.17636242062607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6-41E9-A1B9-B8C2027C5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898496"/>
        <c:axId val="1459898912"/>
      </c:scatterChart>
      <c:valAx>
        <c:axId val="145989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98912"/>
        <c:crosses val="autoZero"/>
        <c:crossBetween val="midCat"/>
      </c:valAx>
      <c:valAx>
        <c:axId val="145989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9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Red</a:t>
            </a:r>
            <a:r>
              <a:rPr lang="en-MY" baseline="0"/>
              <a:t> (LV) vs Blue (IV)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076186534780685E-2"/>
          <c:y val="0.170091817507035"/>
          <c:w val="0.87574116693113646"/>
          <c:h val="0.6286318864448836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'LV 3M'!$D$16:$D$22</c:f>
              <c:numCache>
                <c:formatCode>General</c:formatCode>
                <c:ptCount val="7"/>
                <c:pt idx="0">
                  <c:v>48.39</c:v>
                </c:pt>
                <c:pt idx="1">
                  <c:v>48.39</c:v>
                </c:pt>
                <c:pt idx="2">
                  <c:v>46.183651131051754</c:v>
                </c:pt>
                <c:pt idx="3">
                  <c:v>43.874000000000002</c:v>
                </c:pt>
                <c:pt idx="4">
                  <c:v>42.940747748555879</c:v>
                </c:pt>
                <c:pt idx="5">
                  <c:v>42.707000000000001</c:v>
                </c:pt>
                <c:pt idx="6">
                  <c:v>42.707000000000001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42-4EBD-977C-FA6F32A206D8}"/>
            </c:ext>
          </c:extLst>
        </c:ser>
        <c:ser>
          <c:idx val="1"/>
          <c:order val="1"/>
          <c:tx>
            <c:strRef>
              <c:f>'LV 3M'!$E$14</c:f>
              <c:strCache>
                <c:ptCount val="1"/>
                <c:pt idx="0">
                  <c:v>LV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'LV 3M'!$E$16:$E$22</c:f>
              <c:numCache>
                <c:formatCode>General</c:formatCode>
                <c:ptCount val="7"/>
                <c:pt idx="0">
                  <c:v>48.187055913316961</c:v>
                </c:pt>
                <c:pt idx="1">
                  <c:v>60.943828110016405</c:v>
                </c:pt>
                <c:pt idx="2">
                  <c:v>49.012511929360002</c:v>
                </c:pt>
                <c:pt idx="3">
                  <c:v>41.614943920123814</c:v>
                </c:pt>
                <c:pt idx="4">
                  <c:v>42.100235481250301</c:v>
                </c:pt>
                <c:pt idx="5">
                  <c:v>42.712308216266514</c:v>
                </c:pt>
                <c:pt idx="6">
                  <c:v>43.011958969378327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42-4EBD-977C-FA6F32A2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70015"/>
        <c:axId val="290670847"/>
      </c:scatterChart>
      <c:valAx>
        <c:axId val="29067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70847"/>
        <c:crosses val="autoZero"/>
        <c:crossBetween val="midCat"/>
      </c:valAx>
      <c:valAx>
        <c:axId val="29067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70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Red</a:t>
            </a:r>
            <a:r>
              <a:rPr lang="en-MY" baseline="0"/>
              <a:t> (LV) vs Blue (IV)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930847704458828E-2"/>
          <c:y val="0.17524018708221392"/>
          <c:w val="0.87574116693113646"/>
          <c:h val="0.6286318864448836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'LV 3M'!$D$45:$D$51</c:f>
              <c:numCache>
                <c:formatCode>General</c:formatCode>
                <c:ptCount val="7"/>
                <c:pt idx="0">
                  <c:v>42.698999999999998</c:v>
                </c:pt>
                <c:pt idx="1">
                  <c:v>42.698999999999998</c:v>
                </c:pt>
                <c:pt idx="2">
                  <c:v>41.425231580813382</c:v>
                </c:pt>
                <c:pt idx="3">
                  <c:v>39.959000000000003</c:v>
                </c:pt>
                <c:pt idx="4">
                  <c:v>39.252455027426436</c:v>
                </c:pt>
                <c:pt idx="5">
                  <c:v>38.841000000000001</c:v>
                </c:pt>
                <c:pt idx="6">
                  <c:v>38.841000000000001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F-4141-A5B3-66E943B29253}"/>
            </c:ext>
          </c:extLst>
        </c:ser>
        <c:ser>
          <c:idx val="1"/>
          <c:order val="1"/>
          <c:tx>
            <c:strRef>
              <c:f>'LV 3M'!$E$14</c:f>
              <c:strCache>
                <c:ptCount val="1"/>
                <c:pt idx="0">
                  <c:v>LV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'LV 3M'!$E$16:$E$22</c:f>
              <c:numCache>
                <c:formatCode>General</c:formatCode>
                <c:ptCount val="7"/>
                <c:pt idx="0">
                  <c:v>48.187055913316961</c:v>
                </c:pt>
                <c:pt idx="1">
                  <c:v>60.943828110016405</c:v>
                </c:pt>
                <c:pt idx="2">
                  <c:v>49.012511929360002</c:v>
                </c:pt>
                <c:pt idx="3">
                  <c:v>41.614943920123814</c:v>
                </c:pt>
                <c:pt idx="4">
                  <c:v>42.100235481250301</c:v>
                </c:pt>
                <c:pt idx="5">
                  <c:v>42.712308216266514</c:v>
                </c:pt>
                <c:pt idx="6">
                  <c:v>43.011958969378327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F-4141-A5B3-66E943B29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70015"/>
        <c:axId val="290670847"/>
      </c:scatterChart>
      <c:valAx>
        <c:axId val="29067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70847"/>
        <c:crosses val="autoZero"/>
        <c:crossBetween val="midCat"/>
      </c:valAx>
      <c:valAx>
        <c:axId val="29067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70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24</xdr:row>
      <xdr:rowOff>1118</xdr:rowOff>
    </xdr:from>
    <xdr:to>
      <xdr:col>3</xdr:col>
      <xdr:colOff>1085850</xdr:colOff>
      <xdr:row>38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655180-3F8D-4EF5-9358-EA59C4883C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129267</xdr:colOff>
      <xdr:row>46</xdr:row>
      <xdr:rowOff>29936</xdr:rowOff>
    </xdr:from>
    <xdr:to>
      <xdr:col>8</xdr:col>
      <xdr:colOff>1149802</xdr:colOff>
      <xdr:row>60</xdr:row>
      <xdr:rowOff>106136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8701B11-4E2F-408B-8DAD-7A22E36A0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603663</xdr:colOff>
      <xdr:row>38</xdr:row>
      <xdr:rowOff>131004</xdr:rowOff>
    </xdr:from>
    <xdr:to>
      <xdr:col>22</xdr:col>
      <xdr:colOff>831273</xdr:colOff>
      <xdr:row>54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81B318-5A9C-412A-B5F2-7741B79421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381864</xdr:colOff>
      <xdr:row>38</xdr:row>
      <xdr:rowOff>165389</xdr:rowOff>
    </xdr:from>
    <xdr:to>
      <xdr:col>17</xdr:col>
      <xdr:colOff>845994</xdr:colOff>
      <xdr:row>54</xdr:row>
      <xdr:rowOff>96116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064155-06F6-4EFB-B14E-1A873FFF88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039014B/AppData/Roaming/Microsoft/AddIns/cyLibrary%20v4.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erp_Lin_Rang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92742-CEC2-4DD6-872C-88F14C4AB5D9}">
  <sheetPr codeName="Sheet1"/>
  <dimension ref="A1:H10"/>
  <sheetViews>
    <sheetView workbookViewId="0">
      <selection activeCell="B19" sqref="B19"/>
    </sheetView>
  </sheetViews>
  <sheetFormatPr defaultRowHeight="15" x14ac:dyDescent="0.25"/>
  <sheetData>
    <row r="1" spans="1:8" x14ac:dyDescent="0.25">
      <c r="A1" s="79"/>
      <c r="B1" t="s">
        <v>48</v>
      </c>
      <c r="H1" s="85" t="s">
        <v>84</v>
      </c>
    </row>
    <row r="2" spans="1:8" x14ac:dyDescent="0.25">
      <c r="A2" s="80"/>
      <c r="B2" t="s">
        <v>47</v>
      </c>
      <c r="H2" t="s">
        <v>85</v>
      </c>
    </row>
    <row r="3" spans="1:8" x14ac:dyDescent="0.25">
      <c r="A3" s="86"/>
      <c r="B3" t="s">
        <v>49</v>
      </c>
      <c r="H3" t="s">
        <v>86</v>
      </c>
    </row>
    <row r="4" spans="1:8" x14ac:dyDescent="0.25">
      <c r="A4" s="87"/>
      <c r="B4" t="s">
        <v>50</v>
      </c>
      <c r="H4" t="s">
        <v>87</v>
      </c>
    </row>
    <row r="5" spans="1:8" x14ac:dyDescent="0.25">
      <c r="A5" s="101"/>
      <c r="B5" t="s">
        <v>57</v>
      </c>
    </row>
    <row r="6" spans="1:8" x14ac:dyDescent="0.25">
      <c r="A6" s="102"/>
      <c r="B6" t="s">
        <v>59</v>
      </c>
    </row>
    <row r="7" spans="1:8" x14ac:dyDescent="0.25">
      <c r="A7" s="104"/>
      <c r="B7" t="s">
        <v>60</v>
      </c>
    </row>
    <row r="8" spans="1:8" x14ac:dyDescent="0.25">
      <c r="A8" s="106"/>
      <c r="B8" t="s">
        <v>61</v>
      </c>
    </row>
    <row r="9" spans="1:8" x14ac:dyDescent="0.25">
      <c r="A9" s="110"/>
      <c r="B9" t="s">
        <v>68</v>
      </c>
    </row>
    <row r="10" spans="1:8" x14ac:dyDescent="0.25">
      <c r="A10" s="94"/>
      <c r="B10" t="s">
        <v>69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6" tint="0.39997558519241921"/>
  </sheetPr>
  <dimension ref="A1:DR307"/>
  <sheetViews>
    <sheetView tabSelected="1" topLeftCell="A37" zoomScale="70" zoomScaleNormal="70" workbookViewId="0">
      <selection activeCell="G41" sqref="G41"/>
    </sheetView>
  </sheetViews>
  <sheetFormatPr defaultColWidth="10.140625" defaultRowHeight="15" x14ac:dyDescent="0.25"/>
  <cols>
    <col min="1" max="1" width="13.28515625" style="8" bestFit="1" customWidth="1"/>
    <col min="2" max="2" width="15" style="8" bestFit="1" customWidth="1"/>
    <col min="3" max="3" width="17.7109375" style="8" customWidth="1"/>
    <col min="4" max="4" width="16.42578125" style="29" customWidth="1"/>
    <col min="5" max="9" width="17.7109375" style="29" customWidth="1"/>
    <col min="10" max="10" width="4.28515625" style="88" customWidth="1"/>
    <col min="11" max="11" width="16.5703125" style="1" bestFit="1" customWidth="1"/>
    <col min="12" max="12" width="14.85546875" style="8" customWidth="1"/>
    <col min="13" max="13" width="12.140625" style="1" customWidth="1"/>
    <col min="14" max="14" width="12.140625" style="29" customWidth="1"/>
    <col min="15" max="15" width="13.85546875" style="8" bestFit="1" customWidth="1"/>
    <col min="16" max="17" width="15.7109375" style="8" customWidth="1"/>
    <col min="18" max="20" width="15.7109375" style="29" customWidth="1"/>
    <col min="21" max="36" width="15.7109375" style="8" customWidth="1"/>
    <col min="37" max="37" width="12.7109375" style="8" customWidth="1"/>
    <col min="38" max="38" width="11.28515625" style="8" customWidth="1"/>
    <col min="39" max="39" width="10.85546875" style="8" customWidth="1"/>
    <col min="40" max="40" width="13" style="8" bestFit="1" customWidth="1"/>
    <col min="41" max="44" width="13" style="29" bestFit="1" customWidth="1"/>
    <col min="45" max="60" width="13.28515625" style="8" bestFit="1" customWidth="1"/>
    <col min="61" max="61" width="15.42578125" style="1" bestFit="1" customWidth="1"/>
    <col min="62" max="62" width="16.7109375" style="1" bestFit="1" customWidth="1"/>
    <col min="63" max="63" width="16.7109375" style="8" bestFit="1" customWidth="1"/>
    <col min="64" max="64" width="12.85546875" style="8" bestFit="1" customWidth="1"/>
    <col min="65" max="66" width="16.7109375" style="8" bestFit="1" customWidth="1"/>
    <col min="67" max="70" width="10.140625" style="8"/>
    <col min="71" max="71" width="11.5703125" style="8" bestFit="1" customWidth="1"/>
    <col min="72" max="16384" width="10.140625" style="8"/>
  </cols>
  <sheetData>
    <row r="1" spans="1:122" x14ac:dyDescent="0.25">
      <c r="A1" s="79" t="s">
        <v>29</v>
      </c>
      <c r="B1" s="135">
        <v>44910</v>
      </c>
      <c r="C1" s="80" t="s">
        <v>44</v>
      </c>
      <c r="D1" s="29">
        <f>MAX($D$48:$D$52)</f>
        <v>45.62</v>
      </c>
      <c r="O1" s="131" t="s">
        <v>16</v>
      </c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S1" s="11"/>
      <c r="BT1" s="107">
        <f>P2</f>
        <v>5.4896025345317847</v>
      </c>
      <c r="BU1" s="107">
        <f t="shared" ref="BU1:DR1" si="0">Q2</f>
        <v>5.5003239990483896</v>
      </c>
      <c r="BV1" s="107">
        <f t="shared" si="0"/>
        <v>5.5110454635649946</v>
      </c>
      <c r="BW1" s="107">
        <f t="shared" si="0"/>
        <v>5.5217669280815995</v>
      </c>
      <c r="BX1" s="107">
        <f t="shared" si="0"/>
        <v>5.5324883925982054</v>
      </c>
      <c r="BY1" s="107">
        <f t="shared" si="0"/>
        <v>5.5432098571148103</v>
      </c>
      <c r="BZ1" s="107">
        <f t="shared" si="0"/>
        <v>5.5539313216314152</v>
      </c>
      <c r="CA1" s="107">
        <f t="shared" si="0"/>
        <v>5.5646527861480202</v>
      </c>
      <c r="CB1" s="107">
        <f t="shared" si="0"/>
        <v>5.5753742506646251</v>
      </c>
      <c r="CC1" s="107">
        <f t="shared" si="0"/>
        <v>5.58609571518123</v>
      </c>
      <c r="CD1" s="107">
        <f t="shared" si="0"/>
        <v>5.5968171796978359</v>
      </c>
      <c r="CE1" s="107">
        <f t="shared" si="0"/>
        <v>5.6075386442144408</v>
      </c>
      <c r="CF1" s="107">
        <f t="shared" si="0"/>
        <v>5.6182601087310458</v>
      </c>
      <c r="CG1" s="107">
        <f t="shared" si="0"/>
        <v>5.6289815732476507</v>
      </c>
      <c r="CH1" s="107">
        <f t="shared" si="0"/>
        <v>5.6397030377642556</v>
      </c>
      <c r="CI1" s="107">
        <f t="shared" si="0"/>
        <v>5.6504245022808606</v>
      </c>
      <c r="CJ1" s="107">
        <f t="shared" si="0"/>
        <v>5.6611459667974664</v>
      </c>
      <c r="CK1" s="107">
        <f t="shared" si="0"/>
        <v>5.6718674313140713</v>
      </c>
      <c r="CL1" s="107">
        <f t="shared" si="0"/>
        <v>5.6825888958306763</v>
      </c>
      <c r="CM1" s="107">
        <f t="shared" si="0"/>
        <v>5.6933103603472812</v>
      </c>
      <c r="CN1" s="107">
        <f t="shared" si="0"/>
        <v>5.7040318248638862</v>
      </c>
      <c r="CO1" s="107">
        <f t="shared" si="0"/>
        <v>5.7147532893804911</v>
      </c>
      <c r="CP1" s="107">
        <f t="shared" si="0"/>
        <v>5.7254747538970969</v>
      </c>
      <c r="CQ1" s="107">
        <f t="shared" si="0"/>
        <v>5.7361962184137019</v>
      </c>
      <c r="CR1" s="107">
        <f t="shared" si="0"/>
        <v>5.7469176829303068</v>
      </c>
      <c r="CS1" s="107">
        <f t="shared" si="0"/>
        <v>5.7576391474469117</v>
      </c>
      <c r="CT1" s="107">
        <f t="shared" si="0"/>
        <v>5.7683606119635167</v>
      </c>
      <c r="CU1" s="107">
        <f t="shared" si="0"/>
        <v>5.7790820764801216</v>
      </c>
      <c r="CV1" s="107">
        <f t="shared" si="0"/>
        <v>5.7898035409967266</v>
      </c>
      <c r="CW1" s="107">
        <f t="shared" si="0"/>
        <v>5.8005250055133324</v>
      </c>
      <c r="CX1" s="107">
        <f t="shared" si="0"/>
        <v>5.8112464700299373</v>
      </c>
      <c r="CY1" s="107">
        <f t="shared" si="0"/>
        <v>5.8219679345465423</v>
      </c>
      <c r="CZ1" s="107">
        <f t="shared" si="0"/>
        <v>5.8326893990631472</v>
      </c>
      <c r="DA1" s="107">
        <f t="shared" si="0"/>
        <v>5.8434108635797521</v>
      </c>
      <c r="DB1" s="107">
        <f t="shared" si="0"/>
        <v>5.8541323280963571</v>
      </c>
      <c r="DC1" s="107">
        <f t="shared" si="0"/>
        <v>5.8648537926129629</v>
      </c>
      <c r="DD1" s="107">
        <f t="shared" si="0"/>
        <v>5.8755752571295679</v>
      </c>
      <c r="DE1" s="107">
        <f t="shared" si="0"/>
        <v>5.8862967216461728</v>
      </c>
      <c r="DF1" s="107">
        <f t="shared" si="0"/>
        <v>5.8970181861627777</v>
      </c>
      <c r="DG1" s="107">
        <f t="shared" si="0"/>
        <v>5.9077396506793827</v>
      </c>
      <c r="DH1" s="107">
        <f t="shared" si="0"/>
        <v>5.9184611151959876</v>
      </c>
      <c r="DI1" s="107">
        <f t="shared" si="0"/>
        <v>5.9291825797125934</v>
      </c>
      <c r="DJ1" s="107">
        <f t="shared" si="0"/>
        <v>5.9399040442291984</v>
      </c>
      <c r="DK1" s="107">
        <f t="shared" si="0"/>
        <v>5.9506255087458033</v>
      </c>
      <c r="DL1" s="107">
        <f t="shared" si="0"/>
        <v>5.9613469732624083</v>
      </c>
      <c r="DM1" s="107">
        <f t="shared" si="0"/>
        <v>5.9720684377790132</v>
      </c>
      <c r="DN1" s="107">
        <f t="shared" si="0"/>
        <v>5.9827899022956181</v>
      </c>
      <c r="DO1" s="107">
        <f t="shared" si="0"/>
        <v>5.993511366812224</v>
      </c>
      <c r="DP1" s="107">
        <f t="shared" si="0"/>
        <v>6.0042328313288289</v>
      </c>
      <c r="DQ1" s="107">
        <f t="shared" si="0"/>
        <v>6.0149542958454338</v>
      </c>
      <c r="DR1" s="107">
        <f t="shared" si="0"/>
        <v>6.0256757603620388</v>
      </c>
    </row>
    <row r="2" spans="1:122" x14ac:dyDescent="0.25">
      <c r="A2" s="79" t="s">
        <v>30</v>
      </c>
      <c r="B2" s="136">
        <v>44924</v>
      </c>
      <c r="C2" s="80" t="s">
        <v>45</v>
      </c>
      <c r="D2" s="29">
        <f>B5*EXP(-3*D1%*SQRT(B7))</f>
        <v>242.16093711701797</v>
      </c>
      <c r="K2" s="2"/>
      <c r="O2" s="11" t="s">
        <v>55</v>
      </c>
      <c r="P2" s="99" cm="1">
        <f t="array" ref="P2:BN2">TRANSPOSE(linspace(D4,D5,B11))</f>
        <v>5.4896025345317847</v>
      </c>
      <c r="Q2" s="99">
        <v>5.5003239990483896</v>
      </c>
      <c r="R2" s="99">
        <v>5.5110454635649946</v>
      </c>
      <c r="S2" s="99">
        <v>5.5217669280815995</v>
      </c>
      <c r="T2" s="99">
        <v>5.5324883925982054</v>
      </c>
      <c r="U2" s="99">
        <v>5.5432098571148103</v>
      </c>
      <c r="V2" s="99">
        <v>5.5539313216314152</v>
      </c>
      <c r="W2" s="99">
        <v>5.5646527861480202</v>
      </c>
      <c r="X2" s="99">
        <v>5.5753742506646251</v>
      </c>
      <c r="Y2" s="99">
        <v>5.58609571518123</v>
      </c>
      <c r="Z2" s="99">
        <v>5.5968171796978359</v>
      </c>
      <c r="AA2" s="99">
        <v>5.6075386442144408</v>
      </c>
      <c r="AB2" s="99">
        <v>5.6182601087310458</v>
      </c>
      <c r="AC2" s="99">
        <v>5.6289815732476507</v>
      </c>
      <c r="AD2" s="99">
        <v>5.6397030377642556</v>
      </c>
      <c r="AE2" s="99">
        <v>5.6504245022808606</v>
      </c>
      <c r="AF2" s="99">
        <v>5.6611459667974664</v>
      </c>
      <c r="AG2" s="99">
        <v>5.6718674313140713</v>
      </c>
      <c r="AH2" s="99">
        <v>5.6825888958306763</v>
      </c>
      <c r="AI2" s="99">
        <v>5.6933103603472812</v>
      </c>
      <c r="AJ2" s="99">
        <v>5.7040318248638862</v>
      </c>
      <c r="AK2">
        <v>5.7147532893804911</v>
      </c>
      <c r="AL2">
        <v>5.7254747538970969</v>
      </c>
      <c r="AM2">
        <v>5.7361962184137019</v>
      </c>
      <c r="AN2">
        <v>5.7469176829303068</v>
      </c>
      <c r="AO2">
        <v>5.7576391474469117</v>
      </c>
      <c r="AP2">
        <v>5.7683606119635167</v>
      </c>
      <c r="AQ2">
        <v>5.7790820764801216</v>
      </c>
      <c r="AR2">
        <v>5.7898035409967266</v>
      </c>
      <c r="AS2">
        <v>5.8005250055133324</v>
      </c>
      <c r="AT2">
        <v>5.8112464700299373</v>
      </c>
      <c r="AU2">
        <v>5.8219679345465423</v>
      </c>
      <c r="AV2">
        <v>5.8326893990631472</v>
      </c>
      <c r="AW2">
        <v>5.8434108635797521</v>
      </c>
      <c r="AX2">
        <v>5.8541323280963571</v>
      </c>
      <c r="AY2">
        <v>5.8648537926129629</v>
      </c>
      <c r="AZ2">
        <v>5.8755752571295679</v>
      </c>
      <c r="BA2">
        <v>5.8862967216461728</v>
      </c>
      <c r="BB2">
        <v>5.8970181861627777</v>
      </c>
      <c r="BC2">
        <v>5.9077396506793827</v>
      </c>
      <c r="BD2">
        <v>5.9184611151959876</v>
      </c>
      <c r="BE2">
        <v>5.9291825797125934</v>
      </c>
      <c r="BF2">
        <v>5.9399040442291984</v>
      </c>
      <c r="BG2">
        <v>5.9506255087458033</v>
      </c>
      <c r="BH2">
        <v>5.9613469732624083</v>
      </c>
      <c r="BI2">
        <v>5.9720684377790132</v>
      </c>
      <c r="BJ2">
        <v>5.9827899022956181</v>
      </c>
      <c r="BK2">
        <v>5.993511366812224</v>
      </c>
      <c r="BL2">
        <v>6.0042328313288289</v>
      </c>
      <c r="BM2">
        <v>6.0149542958454338</v>
      </c>
      <c r="BN2" s="8">
        <v>6.0256757603620388</v>
      </c>
      <c r="BR2" s="4"/>
      <c r="BS2" s="105">
        <f t="shared" ref="BS2:BS20" si="1">K7</f>
        <v>0</v>
      </c>
      <c r="BT2" s="108">
        <f>MAX($B$5-EXP(BT1),0)</f>
        <v>74.439062882982057</v>
      </c>
      <c r="BU2" s="108">
        <f t="shared" ref="BU2:DR2" si="2">MAX($B$5-EXP(BU1),0)</f>
        <v>71.828774937875522</v>
      </c>
      <c r="BV2" s="108">
        <f t="shared" si="2"/>
        <v>69.190350319540499</v>
      </c>
      <c r="BW2" s="108">
        <f t="shared" si="2"/>
        <v>66.523485738685878</v>
      </c>
      <c r="BX2" s="108">
        <f t="shared" si="2"/>
        <v>63.827874636821065</v>
      </c>
      <c r="BY2" s="108">
        <f t="shared" si="2"/>
        <v>61.103207151017472</v>
      </c>
      <c r="BZ2" s="108">
        <f t="shared" si="2"/>
        <v>58.34917007828841</v>
      </c>
      <c r="CA2" s="108">
        <f t="shared" si="2"/>
        <v>55.565446839586798</v>
      </c>
      <c r="CB2" s="108">
        <f t="shared" si="2"/>
        <v>52.751717443414066</v>
      </c>
      <c r="CC2" s="108">
        <f t="shared" si="2"/>
        <v>49.907658449036603</v>
      </c>
      <c r="CD2" s="108">
        <f t="shared" si="2"/>
        <v>47.032942929306159</v>
      </c>
      <c r="CE2" s="108">
        <f t="shared" si="2"/>
        <v>44.127240433079578</v>
      </c>
      <c r="CF2" s="108">
        <f t="shared" si="2"/>
        <v>41.190216947232443</v>
      </c>
      <c r="CG2" s="108">
        <f t="shared" si="2"/>
        <v>38.221534858264249</v>
      </c>
      <c r="CH2" s="108">
        <f t="shared" si="2"/>
        <v>35.220852913489637</v>
      </c>
      <c r="CI2" s="108">
        <f t="shared" si="2"/>
        <v>32.187826181810919</v>
      </c>
      <c r="CJ2" s="108">
        <f t="shared" si="2"/>
        <v>29.122106014067811</v>
      </c>
      <c r="CK2" s="108">
        <f t="shared" si="2"/>
        <v>26.023340002960538</v>
      </c>
      <c r="CL2" s="108">
        <f t="shared" si="2"/>
        <v>22.891171942539358</v>
      </c>
      <c r="CM2" s="108">
        <f t="shared" si="2"/>
        <v>19.725241787258824</v>
      </c>
      <c r="CN2" s="108">
        <f t="shared" si="2"/>
        <v>16.52518561059037</v>
      </c>
      <c r="CO2" s="108">
        <f t="shared" si="2"/>
        <v>13.290635563188403</v>
      </c>
      <c r="CP2" s="108">
        <f t="shared" si="2"/>
        <v>10.021219830605503</v>
      </c>
      <c r="CQ2" s="108">
        <f t="shared" si="2"/>
        <v>6.7165625905530533</v>
      </c>
      <c r="CR2" s="108">
        <f t="shared" si="2"/>
        <v>3.3762839696985907</v>
      </c>
      <c r="CS2" s="108">
        <f t="shared" si="2"/>
        <v>5.6843418860808015E-14</v>
      </c>
      <c r="CT2" s="108">
        <f t="shared" si="2"/>
        <v>0</v>
      </c>
      <c r="CU2" s="108">
        <f t="shared" si="2"/>
        <v>0</v>
      </c>
      <c r="CV2" s="108">
        <f t="shared" si="2"/>
        <v>0</v>
      </c>
      <c r="CW2" s="108">
        <f t="shared" si="2"/>
        <v>0</v>
      </c>
      <c r="CX2" s="108">
        <f t="shared" si="2"/>
        <v>0</v>
      </c>
      <c r="CY2" s="108">
        <f t="shared" si="2"/>
        <v>0</v>
      </c>
      <c r="CZ2" s="108">
        <f t="shared" si="2"/>
        <v>0</v>
      </c>
      <c r="DA2" s="108">
        <f t="shared" si="2"/>
        <v>0</v>
      </c>
      <c r="DB2" s="108">
        <f t="shared" si="2"/>
        <v>0</v>
      </c>
      <c r="DC2" s="108">
        <f t="shared" si="2"/>
        <v>0</v>
      </c>
      <c r="DD2" s="108">
        <f t="shared" si="2"/>
        <v>0</v>
      </c>
      <c r="DE2" s="108">
        <f t="shared" si="2"/>
        <v>0</v>
      </c>
      <c r="DF2" s="108">
        <f t="shared" si="2"/>
        <v>0</v>
      </c>
      <c r="DG2" s="108">
        <f t="shared" si="2"/>
        <v>0</v>
      </c>
      <c r="DH2" s="108">
        <f t="shared" si="2"/>
        <v>0</v>
      </c>
      <c r="DI2" s="108">
        <f t="shared" si="2"/>
        <v>0</v>
      </c>
      <c r="DJ2" s="108">
        <f t="shared" si="2"/>
        <v>0</v>
      </c>
      <c r="DK2" s="108">
        <f t="shared" si="2"/>
        <v>0</v>
      </c>
      <c r="DL2" s="108">
        <f t="shared" si="2"/>
        <v>0</v>
      </c>
      <c r="DM2" s="108">
        <f t="shared" si="2"/>
        <v>0</v>
      </c>
      <c r="DN2" s="108">
        <f t="shared" si="2"/>
        <v>0</v>
      </c>
      <c r="DO2" s="108">
        <f t="shared" si="2"/>
        <v>0</v>
      </c>
      <c r="DP2" s="108">
        <f t="shared" si="2"/>
        <v>0</v>
      </c>
      <c r="DQ2" s="108">
        <f t="shared" si="2"/>
        <v>0</v>
      </c>
      <c r="DR2" s="108">
        <f t="shared" si="2"/>
        <v>0</v>
      </c>
    </row>
    <row r="3" spans="1:122" x14ac:dyDescent="0.25">
      <c r="A3" s="79" t="s">
        <v>31</v>
      </c>
      <c r="B3" s="137">
        <v>5.407E-2</v>
      </c>
      <c r="C3" s="80" t="s">
        <v>46</v>
      </c>
      <c r="D3" s="29">
        <f>B5*EXP(3*D1%*SQRT(B7))</f>
        <v>413.92125911522959</v>
      </c>
      <c r="L3" s="29"/>
      <c r="O3" s="47" t="s">
        <v>5</v>
      </c>
      <c r="P3" s="9">
        <f t="shared" ref="P3:BL3" si="3">Q3+1</f>
        <v>50</v>
      </c>
      <c r="Q3" s="9">
        <f t="shared" si="3"/>
        <v>49</v>
      </c>
      <c r="R3" s="9">
        <f t="shared" si="3"/>
        <v>48</v>
      </c>
      <c r="S3" s="9">
        <f t="shared" si="3"/>
        <v>47</v>
      </c>
      <c r="T3" s="9">
        <f t="shared" si="3"/>
        <v>46</v>
      </c>
      <c r="U3" s="9">
        <f t="shared" si="3"/>
        <v>45</v>
      </c>
      <c r="V3" s="9">
        <f t="shared" si="3"/>
        <v>44</v>
      </c>
      <c r="W3" s="9">
        <f t="shared" si="3"/>
        <v>43</v>
      </c>
      <c r="X3" s="9">
        <f t="shared" si="3"/>
        <v>42</v>
      </c>
      <c r="Y3" s="9">
        <f t="shared" si="3"/>
        <v>41</v>
      </c>
      <c r="Z3" s="9">
        <f t="shared" si="3"/>
        <v>40</v>
      </c>
      <c r="AA3" s="9">
        <f t="shared" si="3"/>
        <v>39</v>
      </c>
      <c r="AB3" s="9">
        <f t="shared" si="3"/>
        <v>38</v>
      </c>
      <c r="AC3" s="9">
        <f t="shared" si="3"/>
        <v>37</v>
      </c>
      <c r="AD3" s="9">
        <f t="shared" si="3"/>
        <v>36</v>
      </c>
      <c r="AE3" s="9">
        <f t="shared" si="3"/>
        <v>35</v>
      </c>
      <c r="AF3" s="9">
        <f t="shared" si="3"/>
        <v>34</v>
      </c>
      <c r="AG3" s="9">
        <f t="shared" si="3"/>
        <v>33</v>
      </c>
      <c r="AH3" s="9">
        <f t="shared" si="3"/>
        <v>32</v>
      </c>
      <c r="AI3" s="9">
        <f t="shared" si="3"/>
        <v>31</v>
      </c>
      <c r="AJ3" s="9">
        <f t="shared" si="3"/>
        <v>30</v>
      </c>
      <c r="AK3" s="9">
        <f t="shared" si="3"/>
        <v>29</v>
      </c>
      <c r="AL3" s="9">
        <f t="shared" si="3"/>
        <v>28</v>
      </c>
      <c r="AM3" s="9">
        <f t="shared" si="3"/>
        <v>27</v>
      </c>
      <c r="AN3" s="9">
        <f t="shared" si="3"/>
        <v>26</v>
      </c>
      <c r="AO3" s="9">
        <f t="shared" si="3"/>
        <v>25</v>
      </c>
      <c r="AP3" s="9">
        <f t="shared" si="3"/>
        <v>24</v>
      </c>
      <c r="AQ3" s="9">
        <f t="shared" si="3"/>
        <v>23</v>
      </c>
      <c r="AR3" s="9">
        <f t="shared" si="3"/>
        <v>22</v>
      </c>
      <c r="AS3" s="9">
        <f t="shared" si="3"/>
        <v>21</v>
      </c>
      <c r="AT3" s="9">
        <f t="shared" si="3"/>
        <v>20</v>
      </c>
      <c r="AU3" s="9">
        <f t="shared" si="3"/>
        <v>19</v>
      </c>
      <c r="AV3" s="9">
        <f t="shared" si="3"/>
        <v>18</v>
      </c>
      <c r="AW3" s="9">
        <f t="shared" si="3"/>
        <v>17</v>
      </c>
      <c r="AX3" s="9">
        <f t="shared" si="3"/>
        <v>16</v>
      </c>
      <c r="AY3" s="9">
        <f t="shared" si="3"/>
        <v>15</v>
      </c>
      <c r="AZ3" s="9">
        <f t="shared" si="3"/>
        <v>14</v>
      </c>
      <c r="BA3" s="9">
        <f t="shared" si="3"/>
        <v>13</v>
      </c>
      <c r="BB3" s="9">
        <f t="shared" si="3"/>
        <v>12</v>
      </c>
      <c r="BC3" s="9">
        <f t="shared" si="3"/>
        <v>11</v>
      </c>
      <c r="BD3" s="9">
        <f t="shared" si="3"/>
        <v>10</v>
      </c>
      <c r="BE3" s="9">
        <f t="shared" si="3"/>
        <v>9</v>
      </c>
      <c r="BF3" s="9">
        <f t="shared" si="3"/>
        <v>8</v>
      </c>
      <c r="BG3" s="9">
        <f t="shared" si="3"/>
        <v>7</v>
      </c>
      <c r="BH3" s="9">
        <f t="shared" si="3"/>
        <v>6</v>
      </c>
      <c r="BI3" s="9">
        <f t="shared" si="3"/>
        <v>5</v>
      </c>
      <c r="BJ3" s="9">
        <f t="shared" si="3"/>
        <v>4</v>
      </c>
      <c r="BK3" s="9">
        <f t="shared" si="3"/>
        <v>3</v>
      </c>
      <c r="BL3" s="9">
        <f t="shared" si="3"/>
        <v>2</v>
      </c>
      <c r="BM3" s="9">
        <f>BN3+1</f>
        <v>1</v>
      </c>
      <c r="BN3" s="8">
        <v>0</v>
      </c>
      <c r="BR3" s="4"/>
      <c r="BS3" s="105">
        <f t="shared" si="1"/>
        <v>2.1308980213089802E-3</v>
      </c>
      <c r="BT3" s="109" cm="1">
        <f t="array" aca="1" ref="BT3:DR3" ca="1">TRANSPOSE(MMULT(OFFSET(_xlfn.ANCHORARRAY($P$222),0,0),TRANSPOSE(BT2:DR2)))</f>
        <v>29.436732749983079</v>
      </c>
      <c r="BU3" s="109">
        <f ca="1"/>
        <v>58.696049198620472</v>
      </c>
      <c r="BV3" s="109">
        <f ca="1"/>
        <v>65.372540240166359</v>
      </c>
      <c r="BW3" s="109">
        <f ca="1"/>
        <v>65.428941690274883</v>
      </c>
      <c r="BX3" s="109">
        <f ca="1"/>
        <v>63.531490303721093</v>
      </c>
      <c r="BY3" s="109">
        <f ca="1"/>
        <v>61.047339395077934</v>
      </c>
      <c r="BZ3" s="109">
        <f ca="1"/>
        <v>58.360766672839219</v>
      </c>
      <c r="CA3" s="109">
        <f ca="1"/>
        <v>55.592599298130011</v>
      </c>
      <c r="CB3" s="109">
        <f ca="1"/>
        <v>52.781798855340476</v>
      </c>
      <c r="CC3" s="109">
        <f ca="1"/>
        <v>49.938365812365305</v>
      </c>
      <c r="CD3" s="109">
        <f ca="1"/>
        <v>47.06400019404709</v>
      </c>
      <c r="CE3" s="109">
        <f ca="1"/>
        <v>44.158632897764072</v>
      </c>
      <c r="CF3" s="109">
        <f ca="1"/>
        <v>41.221947800245708</v>
      </c>
      <c r="CG3" s="109">
        <f ca="1"/>
        <v>38.253607764001934</v>
      </c>
      <c r="CH3" s="109">
        <f ca="1"/>
        <v>35.253271680999852</v>
      </c>
      <c r="CI3" s="109">
        <f ca="1"/>
        <v>32.220595908845162</v>
      </c>
      <c r="CJ3" s="109">
        <f ca="1"/>
        <v>29.155240369261154</v>
      </c>
      <c r="CK3" s="109">
        <f ca="1"/>
        <v>26.056892613611868</v>
      </c>
      <c r="CL3" s="109">
        <f ca="1"/>
        <v>22.925339943481404</v>
      </c>
      <c r="CM3" s="109">
        <f ca="1"/>
        <v>19.760648068188829</v>
      </c>
      <c r="CN3" s="109">
        <f ca="1"/>
        <v>16.563899362714359</v>
      </c>
      <c r="CO3" s="110">
        <f ca="1"/>
        <v>13.339669284823254</v>
      </c>
      <c r="CP3" s="34">
        <f ca="1"/>
        <v>10.104073125001895</v>
      </c>
      <c r="CQ3" s="9">
        <f ca="1"/>
        <v>6.9127877942232416</v>
      </c>
      <c r="CR3" s="9">
        <f ca="1"/>
        <v>3.9696484112375634</v>
      </c>
      <c r="CS3" s="9">
        <f ca="1"/>
        <v>2.032769991839892</v>
      </c>
      <c r="CT3" s="9">
        <f ca="1"/>
        <v>0.60356705714237724</v>
      </c>
      <c r="CU3" s="9">
        <f ca="1"/>
        <v>0.1946453054315552</v>
      </c>
      <c r="CV3" s="9">
        <f ca="1"/>
        <v>6.7630316943104854E-2</v>
      </c>
      <c r="CW3" s="9">
        <f ca="1"/>
        <v>2.5469485320828478E-2</v>
      </c>
      <c r="CX3" s="9">
        <f ca="1"/>
        <v>1.0471228614068946E-2</v>
      </c>
      <c r="CY3" s="9">
        <f ca="1"/>
        <v>4.6218173917302093E-3</v>
      </c>
      <c r="CZ3" s="9">
        <f ca="1"/>
        <v>2.1399323619647301E-3</v>
      </c>
      <c r="DA3" s="9">
        <f ca="1"/>
        <v>9.7703595949962083E-4</v>
      </c>
      <c r="DB3" s="9">
        <f ca="1"/>
        <v>4.3641727828109156E-4</v>
      </c>
      <c r="DC3" s="9">
        <f ca="1"/>
        <v>1.9047700013565143E-4</v>
      </c>
      <c r="DD3" s="9">
        <f ca="1"/>
        <v>8.112522385934799E-5</v>
      </c>
      <c r="DE3" s="9">
        <f ca="1"/>
        <v>3.3667876587211972E-5</v>
      </c>
      <c r="DF3" s="9">
        <f ca="1"/>
        <v>1.359377461551645E-5</v>
      </c>
      <c r="DG3" s="9">
        <f ca="1"/>
        <v>5.3307061813454445E-6</v>
      </c>
      <c r="DH3" s="9">
        <f ca="1"/>
        <v>2.0264492802700475E-6</v>
      </c>
      <c r="DI3" s="9">
        <f ca="1"/>
        <v>7.4524729602749322E-7</v>
      </c>
      <c r="DJ3" s="9">
        <f ca="1"/>
        <v>2.6454379761993375E-7</v>
      </c>
      <c r="DK3" s="9">
        <f ca="1"/>
        <v>9.0416512806498065E-8</v>
      </c>
      <c r="DL3" s="9">
        <f ca="1"/>
        <v>2.9674157858936446E-8</v>
      </c>
      <c r="DM3" s="9">
        <f ca="1"/>
        <v>9.3283380184597061E-9</v>
      </c>
      <c r="DN3" s="9">
        <f ca="1"/>
        <v>2.8164703518689972E-9</v>
      </c>
      <c r="DO3" s="9">
        <f ca="1"/>
        <v>8.5032136968426735E-10</v>
      </c>
      <c r="DP3" s="9">
        <f ca="1"/>
        <v>2.5656867098634613E-10</v>
      </c>
      <c r="DQ3" s="9">
        <f ca="1"/>
        <v>7.6901099198415357E-11</v>
      </c>
      <c r="DR3" s="9">
        <f ca="1"/>
        <v>2.1313275927879101E-11</v>
      </c>
    </row>
    <row r="4" spans="1:122" x14ac:dyDescent="0.25">
      <c r="A4" s="79" t="s">
        <v>32</v>
      </c>
      <c r="B4" s="83">
        <v>0</v>
      </c>
      <c r="C4" s="80" t="s">
        <v>51</v>
      </c>
      <c r="D4" s="29">
        <f>LN(D2)</f>
        <v>5.4896025345317847</v>
      </c>
      <c r="L4" s="33"/>
      <c r="M4" s="40"/>
      <c r="N4" s="33"/>
      <c r="O4" s="81" t="s">
        <v>56</v>
      </c>
      <c r="P4" s="100" cm="1">
        <f t="array" ref="P4">[1]!Interp_Lin_Range($C$15:$C$23,$E$15:$E$23,P2,1)</f>
        <v>-35.162444914965818</v>
      </c>
      <c r="Q4" s="100" cm="1">
        <f t="array" ref="Q4">[1]!Interp_Lin_Range($C$15:$C$23,$E$15:$E$23,Q2,1)</f>
        <v>-35.162444914965818</v>
      </c>
      <c r="R4" s="100" cm="1">
        <f t="array" ref="R4">[1]!Interp_Lin_Range($C$15:$C$23,$E$15:$E$23,R2,1)</f>
        <v>-35.162444914965818</v>
      </c>
      <c r="S4" s="100" cm="1">
        <f t="array" ref="S4">[1]!Interp_Lin_Range($C$15:$C$23,$E$15:$E$23,S2,1)</f>
        <v>-35.162444914965818</v>
      </c>
      <c r="T4" s="100" cm="1">
        <f t="array" ref="T4">[1]!Interp_Lin_Range($C$15:$C$23,$E$15:$E$23,T2,1)</f>
        <v>-35.162444914965818</v>
      </c>
      <c r="U4" s="100" cm="1">
        <f t="array" ref="U4">[1]!Interp_Lin_Range($C$15:$C$23,$E$15:$E$23,U2,1)</f>
        <v>-32.301779979638241</v>
      </c>
      <c r="V4" s="100" cm="1">
        <f t="array" ref="V4">[1]!Interp_Lin_Range($C$15:$C$23,$E$15:$E$23,V2,1)</f>
        <v>-27.189096403262901</v>
      </c>
      <c r="W4" s="100" cm="1">
        <f t="array" ref="W4">[1]!Interp_Lin_Range($C$15:$C$23,$E$15:$E$23,W2,1)</f>
        <v>-22.076412826887562</v>
      </c>
      <c r="X4" s="100" cm="1">
        <f t="array" ref="X4">[1]!Interp_Lin_Range($C$15:$C$23,$E$15:$E$23,X2,1)</f>
        <v>-16.963729250512223</v>
      </c>
      <c r="Y4" s="100" cm="1">
        <f t="array" ref="Y4">[1]!Interp_Lin_Range($C$15:$C$23,$E$15:$E$23,Y2,1)</f>
        <v>-11.851045674136881</v>
      </c>
      <c r="Z4" s="100" cm="1">
        <f t="array" ref="Z4">[1]!Interp_Lin_Range($C$15:$C$23,$E$15:$E$23,Z2,1)</f>
        <v>-6.7383620977611187</v>
      </c>
      <c r="AA4" s="100" cm="1">
        <f t="array" ref="AA4">[1]!Interp_Lin_Range($C$15:$C$23,$E$15:$E$23,AA2,1)</f>
        <v>-1.6256785213857796</v>
      </c>
      <c r="AB4" s="100" cm="1">
        <f t="array" ref="AB4">[1]!Interp_Lin_Range($C$15:$C$23,$E$15:$E$23,AB2,1)</f>
        <v>3.4870050549895595</v>
      </c>
      <c r="AC4" s="100" cm="1">
        <f t="array" ref="AC4">[1]!Interp_Lin_Range($C$15:$C$23,$E$15:$E$23,AC2,1)</f>
        <v>8.5996886313648986</v>
      </c>
      <c r="AD4" s="100" cm="1">
        <f t="array" ref="AD4">[1]!Interp_Lin_Range($C$15:$C$23,$E$15:$E$23,AD2,1)</f>
        <v>13.712372207740245</v>
      </c>
      <c r="AE4" s="100" cm="1">
        <f t="array" ref="AE4">[1]!Interp_Lin_Range($C$15:$C$23,$E$15:$E$23,AE2,1)</f>
        <v>18.825055784115587</v>
      </c>
      <c r="AF4" s="100" cm="1">
        <f t="array" ref="AF4">[1]!Interp_Lin_Range($C$15:$C$23,$E$15:$E$23,AF2,1)</f>
        <v>23.937739360491392</v>
      </c>
      <c r="AG4" s="100" cm="1">
        <f t="array" ref="AG4">[1]!Interp_Lin_Range($C$15:$C$23,$E$15:$E$23,AG2,1)</f>
        <v>29.050422936866774</v>
      </c>
      <c r="AH4" s="100" cm="1">
        <f t="array" ref="AH4">[1]!Interp_Lin_Range($C$15:$C$23,$E$15:$E$23,AH2,1)</f>
        <v>34.163106513242155</v>
      </c>
      <c r="AI4" s="100" cm="1">
        <f t="array" ref="AI4">[1]!Interp_Lin_Range($C$15:$C$23,$E$15:$E$23,AI2,1)</f>
        <v>35.765862696799843</v>
      </c>
      <c r="AJ4" s="100" cm="1">
        <f t="array" ref="AJ4">[1]!Interp_Lin_Range($C$15:$C$23,$E$15:$E$23,AJ2,1)</f>
        <v>36.032033012460765</v>
      </c>
      <c r="AK4" s="100" cm="1">
        <f t="array" ref="AK4">[1]!Interp_Lin_Range($C$15:$C$23,$E$15:$E$23,AK2,1)</f>
        <v>36.298203328121687</v>
      </c>
      <c r="AL4" s="100" cm="1">
        <f t="array" ref="AL4">[1]!Interp_Lin_Range($C$15:$C$23,$E$15:$E$23,AL2,1)</f>
        <v>36.23423148618253</v>
      </c>
      <c r="AM4" s="100" cm="1">
        <f t="array" ref="AM4">[1]!Interp_Lin_Range($C$15:$C$23,$E$15:$E$23,AM2,1)</f>
        <v>35.256415375702865</v>
      </c>
      <c r="AN4" s="100" cm="1">
        <f t="array" ref="AN4">[1]!Interp_Lin_Range($C$15:$C$23,$E$15:$E$23,AN2,1)</f>
        <v>34.278599265223193</v>
      </c>
      <c r="AO4" s="100" cm="1">
        <f t="array" ref="AO4">[1]!Interp_Lin_Range($C$15:$C$23,$E$15:$E$23,AO2,1)</f>
        <v>33.300783154743527</v>
      </c>
      <c r="AP4" s="100" cm="1">
        <f t="array" ref="AP4">[1]!Interp_Lin_Range($C$15:$C$23,$E$15:$E$23,AP2,1)</f>
        <v>35.410699626741021</v>
      </c>
      <c r="AQ4" s="100" cm="1">
        <f t="array" ref="AQ4">[1]!Interp_Lin_Range($C$15:$C$23,$E$15:$E$23,AQ2,1)</f>
        <v>38.261138677657613</v>
      </c>
      <c r="AR4" s="100" cm="1">
        <f t="array" ref="AR4">[1]!Interp_Lin_Range($C$15:$C$23,$E$15:$E$23,AR2,1)</f>
        <v>41.111577728574204</v>
      </c>
      <c r="AS4" s="100" cm="1">
        <f t="array" ref="AS4">[1]!Interp_Lin_Range($C$15:$C$23,$E$15:$E$23,AS2,1)</f>
        <v>44.594192047287166</v>
      </c>
      <c r="AT4" s="100" cm="1">
        <f t="array" ref="AT4">[1]!Interp_Lin_Range($C$15:$C$23,$E$15:$E$23,AT2,1)</f>
        <v>49.262598497173066</v>
      </c>
      <c r="AU4" s="100" cm="1">
        <f t="array" ref="AU4">[1]!Interp_Lin_Range($C$15:$C$23,$E$15:$E$23,AU2,1)</f>
        <v>53.931004947058966</v>
      </c>
      <c r="AV4" s="100" cm="1">
        <f t="array" ref="AV4">[1]!Interp_Lin_Range($C$15:$C$23,$E$15:$E$23,AV2,1)</f>
        <v>58.599411396944866</v>
      </c>
      <c r="AW4" s="100" cm="1">
        <f t="array" ref="AW4">[1]!Interp_Lin_Range($C$15:$C$23,$E$15:$E$23,AW2,1)</f>
        <v>57.647811458072049</v>
      </c>
      <c r="AX4" s="100" cm="1">
        <f t="array" ref="AX4">[1]!Interp_Lin_Range($C$15:$C$23,$E$15:$E$23,AX2,1)</f>
        <v>55.993867050847143</v>
      </c>
      <c r="AY4" s="100" cm="1">
        <f t="array" ref="AY4">[1]!Interp_Lin_Range($C$15:$C$23,$E$15:$E$23,AY2,1)</f>
        <v>54.339922643622096</v>
      </c>
      <c r="AZ4" s="100" cm="1">
        <f t="array" ref="AZ4">[1]!Interp_Lin_Range($C$15:$C$23,$E$15:$E$23,AZ2,1)</f>
        <v>52.68597823639719</v>
      </c>
      <c r="BA4" s="100" cm="1">
        <f t="array" ref="BA4">[1]!Interp_Lin_Range($C$15:$C$23,$E$15:$E$23,BA2,1)</f>
        <v>51.032033829172278</v>
      </c>
      <c r="BB4" s="100" cm="1">
        <f t="array" ref="BB4">[1]!Interp_Lin_Range($C$15:$C$23,$E$15:$E$23,BB2,1)</f>
        <v>49.378089421947365</v>
      </c>
      <c r="BC4" s="100" cm="1">
        <f t="array" ref="BC4">[1]!Interp_Lin_Range($C$15:$C$23,$E$15:$E$23,BC2,1)</f>
        <v>47.724145014722453</v>
      </c>
      <c r="BD4" s="100" cm="1">
        <f t="array" ref="BD4">[1]!Interp_Lin_Range($C$15:$C$23,$E$15:$E$23,BD2,1)</f>
        <v>46.07020060749754</v>
      </c>
      <c r="BE4" s="100" cm="1">
        <f t="array" ref="BE4">[1]!Interp_Lin_Range($C$15:$C$23,$E$15:$E$23,BE2,1)</f>
        <v>44.4162562002725</v>
      </c>
      <c r="BF4" s="100" cm="1">
        <f t="array" ref="BF4">[1]!Interp_Lin_Range($C$15:$C$23,$E$15:$E$23,BF2,1)</f>
        <v>42.762311793047587</v>
      </c>
      <c r="BG4" s="100" cm="1">
        <f t="array" ref="BG4">[1]!Interp_Lin_Range($C$15:$C$23,$E$15:$E$23,BG2,1)</f>
        <v>41.108367385822675</v>
      </c>
      <c r="BH4" s="100" cm="1">
        <f t="array" ref="BH4">[1]!Interp_Lin_Range($C$15:$C$23,$E$15:$E$23,BH2,1)</f>
        <v>39.454422978597762</v>
      </c>
      <c r="BI4" s="100" cm="1">
        <f t="array" ref="BI4">[1]!Interp_Lin_Range($C$15:$C$23,$E$15:$E$23,BI2,1)</f>
        <v>37.80047857137285</v>
      </c>
      <c r="BJ4" s="100" cm="1">
        <f t="array" ref="BJ4">[1]!Interp_Lin_Range($C$15:$C$23,$E$15:$E$23,BJ2,1)</f>
        <v>36.235193384073909</v>
      </c>
      <c r="BK4" s="100" cm="1">
        <f t="array" ref="BK4">[1]!Interp_Lin_Range($C$15:$C$23,$E$15:$E$23,BK2,1)</f>
        <v>36.235193384073909</v>
      </c>
      <c r="BL4" s="100" cm="1">
        <f t="array" ref="BL4">[1]!Interp_Lin_Range($C$15:$C$23,$E$15:$E$23,BL2,1)</f>
        <v>36.235193384073909</v>
      </c>
      <c r="BM4" s="100" cm="1">
        <f t="array" ref="BM4">[1]!Interp_Lin_Range($C$15:$C$23,$E$15:$E$23,BM2,1)</f>
        <v>36.235193384073909</v>
      </c>
      <c r="BN4" s="100" cm="1">
        <f t="array" ref="BN4">[1]!Interp_Lin_Range($C$15:$C$23,$E$15:$E$23,BN2,1)</f>
        <v>36.235193384073909</v>
      </c>
      <c r="BR4" s="4"/>
      <c r="BS4" s="105">
        <f t="shared" si="1"/>
        <v>4.2617960426179604E-3</v>
      </c>
      <c r="BT4" s="109" cm="1">
        <f t="array" aca="1" ref="BT4:DR4" ca="1">TRANSPOSE(MMULT(OFFSET(_xlfn.ANCHORARRAY($P$222),0,0),TRANSPOSE(BT3:DR3)))</f>
        <v>24.842992660363379</v>
      </c>
      <c r="BU4" s="109">
        <f ca="1"/>
        <v>42.867016548840454</v>
      </c>
      <c r="BV4" s="109">
        <f ca="1"/>
        <v>56.528452353185607</v>
      </c>
      <c r="BW4" s="109">
        <f ca="1"/>
        <v>61.631430221217187</v>
      </c>
      <c r="BX4" s="109">
        <f ca="1"/>
        <v>62.098282203728914</v>
      </c>
      <c r="BY4" s="109">
        <f ca="1"/>
        <v>60.596149574166873</v>
      </c>
      <c r="BZ4" s="109">
        <f ca="1"/>
        <v>58.26508078062313</v>
      </c>
      <c r="CA4" s="109">
        <f ca="1"/>
        <v>55.598309655664991</v>
      </c>
      <c r="CB4" s="109">
        <f ca="1"/>
        <v>52.809039782983454</v>
      </c>
      <c r="CC4" s="109">
        <f ca="1"/>
        <v>49.968864418788058</v>
      </c>
      <c r="CD4" s="109">
        <f ca="1"/>
        <v>47.095048344229475</v>
      </c>
      <c r="CE4" s="109">
        <f ca="1"/>
        <v>44.190021720651458</v>
      </c>
      <c r="CF4" s="109">
        <f ca="1"/>
        <v>41.253674997432583</v>
      </c>
      <c r="CG4" s="109">
        <f ca="1"/>
        <v>38.285677024157579</v>
      </c>
      <c r="CH4" s="109">
        <f ca="1"/>
        <v>35.285688165865295</v>
      </c>
      <c r="CI4" s="109">
        <f ca="1"/>
        <v>32.25337939361534</v>
      </c>
      <c r="CJ4" s="109">
        <f ca="1"/>
        <v>29.188494692552084</v>
      </c>
      <c r="CK4" s="109">
        <f ca="1"/>
        <v>26.091049275852846</v>
      </c>
      <c r="CL4" s="109">
        <f ca="1"/>
        <v>22.961798086596644</v>
      </c>
      <c r="CM4" s="109">
        <f ca="1"/>
        <v>19.803123888618856</v>
      </c>
      <c r="CN4" s="109">
        <f ca="1"/>
        <v>16.62251283531759</v>
      </c>
      <c r="CO4" s="110">
        <f ca="1"/>
        <v>13.441195136024401</v>
      </c>
      <c r="CP4" s="34">
        <f ca="1"/>
        <v>10.31287505794341</v>
      </c>
      <c r="CQ4" s="9">
        <f ca="1"/>
        <v>7.3611385605791142</v>
      </c>
      <c r="CR4" s="9">
        <f ca="1"/>
        <v>4.8230291863826569</v>
      </c>
      <c r="CS4" s="9">
        <f ca="1"/>
        <v>2.7480537170061186</v>
      </c>
      <c r="CT4" s="9">
        <f ca="1"/>
        <v>1.4862245680183415</v>
      </c>
      <c r="CU4" s="9">
        <f ca="1"/>
        <v>0.68405425558356814</v>
      </c>
      <c r="CV4" s="9">
        <f ca="1"/>
        <v>0.30535123861836988</v>
      </c>
      <c r="CW4" s="9">
        <f ca="1"/>
        <v>0.13900577477054421</v>
      </c>
      <c r="CX4" s="9">
        <f ca="1"/>
        <v>6.6238160189599313E-2</v>
      </c>
      <c r="CY4" s="9">
        <f ca="1"/>
        <v>3.2922746756357521E-2</v>
      </c>
      <c r="CZ4" s="9">
        <f ca="1"/>
        <v>1.681070282920984E-2</v>
      </c>
      <c r="DA4" s="9">
        <f ca="1"/>
        <v>8.3998667919641338E-3</v>
      </c>
      <c r="DB4" s="9">
        <f ca="1"/>
        <v>4.0838061305357781E-3</v>
      </c>
      <c r="DC4" s="9">
        <f ca="1"/>
        <v>1.9309478068280169E-3</v>
      </c>
      <c r="DD4" s="9">
        <f ca="1"/>
        <v>8.8733318747977251E-4</v>
      </c>
      <c r="DE4" s="9">
        <f ca="1"/>
        <v>3.9592551141075856E-4</v>
      </c>
      <c r="DF4" s="9">
        <f ca="1"/>
        <v>1.7133950243191712E-4</v>
      </c>
      <c r="DG4" s="9">
        <f ca="1"/>
        <v>7.1818069506951582E-5</v>
      </c>
      <c r="DH4" s="9">
        <f ca="1"/>
        <v>2.9111445192611738E-5</v>
      </c>
      <c r="DI4" s="9">
        <f ca="1"/>
        <v>1.1391257194630605E-5</v>
      </c>
      <c r="DJ4" s="9">
        <f ca="1"/>
        <v>4.2941530716845551E-6</v>
      </c>
      <c r="DK4" s="9">
        <f ca="1"/>
        <v>1.5559338176401885E-6</v>
      </c>
      <c r="DL4" s="9">
        <f ca="1"/>
        <v>5.4053436399876554E-7</v>
      </c>
      <c r="DM4" s="9">
        <f ca="1"/>
        <v>1.7963355443013657E-7</v>
      </c>
      <c r="DN4" s="9">
        <f ca="1"/>
        <v>5.7275614912630837E-8</v>
      </c>
      <c r="DO4" s="9">
        <f ca="1"/>
        <v>1.8209391387070691E-8</v>
      </c>
      <c r="DP4" s="9">
        <f ca="1"/>
        <v>5.7702012840561725E-9</v>
      </c>
      <c r="DQ4" s="9">
        <f ca="1"/>
        <v>1.8101745074890682E-9</v>
      </c>
      <c r="DR4" s="9">
        <f ca="1"/>
        <v>5.2092032554791203E-10</v>
      </c>
    </row>
    <row r="5" spans="1:122" x14ac:dyDescent="0.25">
      <c r="A5" s="79" t="s">
        <v>33</v>
      </c>
      <c r="B5" s="138">
        <v>316.60000000000002</v>
      </c>
      <c r="C5" s="80" t="s">
        <v>52</v>
      </c>
      <c r="D5" s="29">
        <f>LN(D3)</f>
        <v>6.0256757603620388</v>
      </c>
      <c r="O5" s="81" t="s">
        <v>2</v>
      </c>
      <c r="P5" s="115">
        <f>(P4%^2)/(2*$D$10)</f>
        <v>537.79889897413875</v>
      </c>
      <c r="Q5" s="115">
        <f t="shared" ref="Q5:BN5" si="4">(Q4%^2)/(2*$D$10)</f>
        <v>537.79889897413875</v>
      </c>
      <c r="R5" s="115">
        <f t="shared" si="4"/>
        <v>537.79889897413875</v>
      </c>
      <c r="S5" s="115">
        <f t="shared" si="4"/>
        <v>537.79889897413875</v>
      </c>
      <c r="T5" s="115">
        <f t="shared" si="4"/>
        <v>537.79889897413875</v>
      </c>
      <c r="U5" s="115">
        <f t="shared" si="4"/>
        <v>453.85245442758401</v>
      </c>
      <c r="V5" s="115">
        <f t="shared" si="4"/>
        <v>321.55208375561352</v>
      </c>
      <c r="W5" s="115">
        <f t="shared" si="4"/>
        <v>211.99166829725851</v>
      </c>
      <c r="X5" s="115">
        <f t="shared" si="4"/>
        <v>125.17120805251898</v>
      </c>
      <c r="Y5" s="115">
        <f t="shared" si="4"/>
        <v>61.090703021394837</v>
      </c>
      <c r="Z5" s="115">
        <f t="shared" si="4"/>
        <v>19.750153203883773</v>
      </c>
      <c r="AA5" s="115">
        <f t="shared" si="4"/>
        <v>1.1495585999925237</v>
      </c>
      <c r="AB5" s="115">
        <f t="shared" si="4"/>
        <v>5.2889192097167452</v>
      </c>
      <c r="AC5" s="115">
        <f t="shared" si="4"/>
        <v>32.16823503305644</v>
      </c>
      <c r="AD5" s="115">
        <f t="shared" si="4"/>
        <v>81.787506070011688</v>
      </c>
      <c r="AE5" s="115">
        <f t="shared" si="4"/>
        <v>154.14673232058243</v>
      </c>
      <c r="AF5" s="115">
        <f t="shared" si="4"/>
        <v>249.24591378477825</v>
      </c>
      <c r="AG5" s="115">
        <f t="shared" si="4"/>
        <v>367.08505046258296</v>
      </c>
      <c r="AH5" s="115">
        <f t="shared" si="4"/>
        <v>507.6641423540035</v>
      </c>
      <c r="AI5" s="115">
        <f t="shared" si="4"/>
        <v>556.4154609578095</v>
      </c>
      <c r="AJ5" s="115">
        <f t="shared" si="4"/>
        <v>564.72798883309144</v>
      </c>
      <c r="AK5" s="115">
        <f t="shared" si="4"/>
        <v>573.10214938288721</v>
      </c>
      <c r="AL5" s="115">
        <f t="shared" si="4"/>
        <v>571.08386253085905</v>
      </c>
      <c r="AM5" s="115">
        <f t="shared" si="4"/>
        <v>540.67723920030812</v>
      </c>
      <c r="AN5" s="115">
        <f t="shared" si="4"/>
        <v>511.10239142258803</v>
      </c>
      <c r="AO5" s="115">
        <f t="shared" si="4"/>
        <v>482.35931919769939</v>
      </c>
      <c r="AP5" s="115">
        <f t="shared" si="4"/>
        <v>545.41966710371059</v>
      </c>
      <c r="AQ5" s="115">
        <f t="shared" si="4"/>
        <v>636.76261956344047</v>
      </c>
      <c r="AR5" s="115">
        <f t="shared" si="4"/>
        <v>735.17387721847297</v>
      </c>
      <c r="AS5" s="115">
        <f t="shared" si="4"/>
        <v>865.00452391480462</v>
      </c>
      <c r="AT5" s="115">
        <f t="shared" si="4"/>
        <v>1055.5927811714466</v>
      </c>
      <c r="AU5" s="115">
        <f t="shared" si="4"/>
        <v>1265.1406351559983</v>
      </c>
      <c r="AV5" s="115">
        <f t="shared" si="4"/>
        <v>1493.6480858684597</v>
      </c>
      <c r="AW5" s="115">
        <f t="shared" si="4"/>
        <v>1445.5310605086281</v>
      </c>
      <c r="AX5" s="115">
        <f t="shared" si="4"/>
        <v>1363.7749302936693</v>
      </c>
      <c r="AY5" s="115">
        <f t="shared" si="4"/>
        <v>1284.3985624352545</v>
      </c>
      <c r="AZ5" s="115">
        <f t="shared" si="4"/>
        <v>1207.4019569333971</v>
      </c>
      <c r="BA5" s="115">
        <f t="shared" si="4"/>
        <v>1132.78511378809</v>
      </c>
      <c r="BB5" s="115">
        <f t="shared" si="4"/>
        <v>1060.5480329993341</v>
      </c>
      <c r="BC5" s="115">
        <f t="shared" si="4"/>
        <v>990.69071456712891</v>
      </c>
      <c r="BD5" s="115">
        <f t="shared" si="4"/>
        <v>923.21315849147425</v>
      </c>
      <c r="BE5" s="115">
        <f t="shared" si="4"/>
        <v>858.11536477236518</v>
      </c>
      <c r="BF5" s="115">
        <f t="shared" si="4"/>
        <v>795.39733340981229</v>
      </c>
      <c r="BG5" s="115">
        <f t="shared" si="4"/>
        <v>735.05906440381023</v>
      </c>
      <c r="BH5" s="115">
        <f t="shared" si="4"/>
        <v>677.10055775435876</v>
      </c>
      <c r="BI5" s="115">
        <f t="shared" si="4"/>
        <v>621.5218134614579</v>
      </c>
      <c r="BJ5" s="115">
        <f t="shared" si="4"/>
        <v>571.11418367371232</v>
      </c>
      <c r="BK5" s="115">
        <f t="shared" si="4"/>
        <v>571.11418367371232</v>
      </c>
      <c r="BL5" s="115">
        <f t="shared" si="4"/>
        <v>571.11418367371232</v>
      </c>
      <c r="BM5" s="115">
        <f t="shared" si="4"/>
        <v>571.11418367371232</v>
      </c>
      <c r="BN5" s="115">
        <f t="shared" si="4"/>
        <v>571.11418367371232</v>
      </c>
      <c r="BR5" s="4"/>
      <c r="BS5" s="105">
        <f t="shared" si="1"/>
        <v>6.392694063926941E-3</v>
      </c>
      <c r="BT5" s="109" cm="1">
        <f t="array" aca="1" ref="BT5:DR5" ca="1">TRANSPOSE(MMULT(OFFSET(_xlfn.ANCHORARRAY($P$222),0,0),TRANSPOSE(BT4:DR4)))</f>
        <v>19.383853343529406</v>
      </c>
      <c r="BU5" s="109">
        <f ca="1"/>
        <v>36.860553634929303</v>
      </c>
      <c r="BV5" s="109">
        <f ca="1"/>
        <v>48.831664032397192</v>
      </c>
      <c r="BW5" s="109">
        <f ca="1"/>
        <v>56.312784375429182</v>
      </c>
      <c r="BX5" s="109">
        <f ca="1"/>
        <v>59.309148887543522</v>
      </c>
      <c r="BY5" s="109">
        <f ca="1"/>
        <v>59.427777634916438</v>
      </c>
      <c r="BZ5" s="109">
        <f ca="1"/>
        <v>57.901929699351825</v>
      </c>
      <c r="CA5" s="109">
        <f ca="1"/>
        <v>55.534402872869848</v>
      </c>
      <c r="CB5" s="109">
        <f ca="1"/>
        <v>52.824677530084493</v>
      </c>
      <c r="CC5" s="109">
        <f ca="1"/>
        <v>49.998329199218709</v>
      </c>
      <c r="CD5" s="109">
        <f ca="1"/>
        <v>47.126059556451416</v>
      </c>
      <c r="CE5" s="109">
        <f ca="1"/>
        <v>44.221406750258559</v>
      </c>
      <c r="CF5" s="109">
        <f ca="1"/>
        <v>41.285398538686415</v>
      </c>
      <c r="CG5" s="109">
        <f ca="1"/>
        <v>38.317742934524517</v>
      </c>
      <c r="CH5" s="109">
        <f ca="1"/>
        <v>35.318109731419085</v>
      </c>
      <c r="CI5" s="109">
        <f ca="1"/>
        <v>32.286250120245413</v>
      </c>
      <c r="CJ5" s="109">
        <f ca="1"/>
        <v>29.222289974272961</v>
      </c>
      <c r="CK5" s="109">
        <f ca="1"/>
        <v>26.127450567154227</v>
      </c>
      <c r="CL5" s="109">
        <f ca="1"/>
        <v>23.005303298491206</v>
      </c>
      <c r="CM5" s="109">
        <f ca="1"/>
        <v>19.863377734087848</v>
      </c>
      <c r="CN5" s="109">
        <f ca="1"/>
        <v>16.720138185571905</v>
      </c>
      <c r="CO5" s="110">
        <f ca="1"/>
        <v>13.615959941358263</v>
      </c>
      <c r="CP5" s="34">
        <f ca="1"/>
        <v>10.623908231008052</v>
      </c>
      <c r="CQ5" s="9">
        <f ca="1"/>
        <v>7.8506511536155088</v>
      </c>
      <c r="CR5" s="9">
        <f ca="1"/>
        <v>5.4061830128309891</v>
      </c>
      <c r="CS5" s="9">
        <f ca="1"/>
        <v>3.476952274388609</v>
      </c>
      <c r="CT5" s="9">
        <f ca="1"/>
        <v>2.0823358563787364</v>
      </c>
      <c r="CU5" s="9">
        <f ca="1"/>
        <v>1.2106298204495756</v>
      </c>
      <c r="CV5" s="9">
        <f ca="1"/>
        <v>0.66742044370247111</v>
      </c>
      <c r="CW5" s="9">
        <f ca="1"/>
        <v>0.36184221727346605</v>
      </c>
      <c r="CX5" s="9">
        <f ca="1"/>
        <v>0.1986157672062461</v>
      </c>
      <c r="CY5" s="9">
        <f ca="1"/>
        <v>0.11087256654663473</v>
      </c>
      <c r="CZ5" s="9">
        <f ca="1"/>
        <v>6.2389454009067181E-2</v>
      </c>
      <c r="DA5" s="9">
        <f ca="1"/>
        <v>3.4131890919078256E-2</v>
      </c>
      <c r="DB5" s="9">
        <f ca="1"/>
        <v>1.8081907101603876E-2</v>
      </c>
      <c r="DC5" s="9">
        <f ca="1"/>
        <v>9.2765967271294433E-3</v>
      </c>
      <c r="DD5" s="9">
        <f ca="1"/>
        <v>4.6077644081880358E-3</v>
      </c>
      <c r="DE5" s="9">
        <f ca="1"/>
        <v>2.2147552532023637E-3</v>
      </c>
      <c r="DF5" s="9">
        <f ca="1"/>
        <v>1.0293389440400454E-3</v>
      </c>
      <c r="DG5" s="9">
        <f ca="1"/>
        <v>4.6210590812584181E-4</v>
      </c>
      <c r="DH5" s="9">
        <f ca="1"/>
        <v>2.0013307368069784E-4</v>
      </c>
      <c r="DI5" s="9">
        <f ca="1"/>
        <v>8.3487722206516333E-5</v>
      </c>
      <c r="DJ5" s="9">
        <f ca="1"/>
        <v>3.3486441733597581E-5</v>
      </c>
      <c r="DK5" s="9">
        <f ca="1"/>
        <v>1.288707686183495E-5</v>
      </c>
      <c r="DL5" s="9">
        <f ca="1"/>
        <v>4.7475888300800146E-6</v>
      </c>
      <c r="DM5" s="9">
        <f ca="1"/>
        <v>1.6708628185549084E-6</v>
      </c>
      <c r="DN5" s="9">
        <f ca="1"/>
        <v>5.6357081514430583E-7</v>
      </c>
      <c r="DO5" s="9">
        <f ca="1"/>
        <v>1.8896979723691986E-7</v>
      </c>
      <c r="DP5" s="9">
        <f ca="1"/>
        <v>6.297278837597216E-8</v>
      </c>
      <c r="DQ5" s="9">
        <f ca="1"/>
        <v>2.069825931937738E-8</v>
      </c>
      <c r="DR5" s="9">
        <f ca="1"/>
        <v>6.1872675837426298E-9</v>
      </c>
    </row>
    <row r="6" spans="1:122" x14ac:dyDescent="0.25">
      <c r="A6"/>
      <c r="B6"/>
      <c r="C6" s="80"/>
      <c r="O6" s="81" t="s">
        <v>3</v>
      </c>
      <c r="P6" s="115">
        <f>-($B$3-$B$4+(P4%^2)/2)/$D$9</f>
        <v>-5.4045730618431396</v>
      </c>
      <c r="Q6" s="115">
        <f t="shared" ref="Q6:BN6" si="5">-($B$3-$B$4+(Q4%^2)/2)/$D$9</f>
        <v>-5.4045730618431396</v>
      </c>
      <c r="R6" s="115">
        <f t="shared" si="5"/>
        <v>-5.4045730618431396</v>
      </c>
      <c r="S6" s="115">
        <f t="shared" si="5"/>
        <v>-5.4045730618431396</v>
      </c>
      <c r="T6" s="115">
        <f t="shared" si="5"/>
        <v>-5.4045730618431396</v>
      </c>
      <c r="U6" s="115">
        <f t="shared" si="5"/>
        <v>-4.9545586485926245</v>
      </c>
      <c r="V6" s="115">
        <f t="shared" si="5"/>
        <v>-4.2453317837460185</v>
      </c>
      <c r="W6" s="115">
        <f t="shared" si="5"/>
        <v>-3.658007730365394</v>
      </c>
      <c r="X6" s="115">
        <f t="shared" si="5"/>
        <v>-3.1925864884507518</v>
      </c>
      <c r="Y6" s="115">
        <f t="shared" si="5"/>
        <v>-2.8490680580020911</v>
      </c>
      <c r="Z6" s="115">
        <f t="shared" si="5"/>
        <v>-2.627452439019399</v>
      </c>
      <c r="AA6" s="115">
        <f t="shared" si="5"/>
        <v>-2.5277396315027123</v>
      </c>
      <c r="AB6" s="115">
        <f t="shared" si="5"/>
        <v>-2.5499296354520076</v>
      </c>
      <c r="AC6" s="115">
        <f t="shared" si="5"/>
        <v>-2.6940224508672848</v>
      </c>
      <c r="AD6" s="115">
        <f t="shared" si="5"/>
        <v>-2.9600180777485443</v>
      </c>
      <c r="AE6" s="115">
        <f t="shared" si="5"/>
        <v>-3.3479165160957858</v>
      </c>
      <c r="AF6" s="115">
        <f t="shared" si="5"/>
        <v>-3.8577177659090607</v>
      </c>
      <c r="AG6" s="115">
        <f t="shared" si="5"/>
        <v>-4.4894218271882824</v>
      </c>
      <c r="AH6" s="115">
        <f t="shared" si="5"/>
        <v>-5.2430286999334879</v>
      </c>
      <c r="AI6" s="115">
        <f t="shared" si="5"/>
        <v>-5.504371466207691</v>
      </c>
      <c r="AJ6" s="115">
        <f t="shared" si="5"/>
        <v>-5.548932702536753</v>
      </c>
      <c r="AK6" s="115">
        <f t="shared" si="5"/>
        <v>-5.593824335132247</v>
      </c>
      <c r="AL6" s="115">
        <f t="shared" si="5"/>
        <v>-5.5830048396980718</v>
      </c>
      <c r="AM6" s="115">
        <f t="shared" si="5"/>
        <v>-5.4200030731439357</v>
      </c>
      <c r="AN6" s="115">
        <f t="shared" si="5"/>
        <v>-5.2614602326275266</v>
      </c>
      <c r="AO6" s="115">
        <f t="shared" si="5"/>
        <v>-5.1073763181488481</v>
      </c>
      <c r="AP6" s="115">
        <f t="shared" si="5"/>
        <v>-5.4454259593883796</v>
      </c>
      <c r="AQ6" s="115">
        <f t="shared" si="5"/>
        <v>-5.9350910712078422</v>
      </c>
      <c r="AR6" s="115">
        <f t="shared" si="5"/>
        <v>-6.4626474746992901</v>
      </c>
      <c r="AS6" s="115">
        <f t="shared" si="5"/>
        <v>-7.1586348105605868</v>
      </c>
      <c r="AT6" s="115">
        <f t="shared" si="5"/>
        <v>-8.1803274292899175</v>
      </c>
      <c r="AU6" s="115">
        <f t="shared" si="5"/>
        <v>-9.303657369802961</v>
      </c>
      <c r="AV6" s="115">
        <f t="shared" si="5"/>
        <v>-10.528624632099714</v>
      </c>
      <c r="AW6" s="115">
        <f t="shared" si="5"/>
        <v>-10.270682142079707</v>
      </c>
      <c r="AX6" s="115">
        <f t="shared" si="5"/>
        <v>-9.8324094175223991</v>
      </c>
      <c r="AY6" s="115">
        <f t="shared" si="5"/>
        <v>-9.4068939617969107</v>
      </c>
      <c r="AZ6" s="115">
        <f t="shared" si="5"/>
        <v>-8.9941357749033148</v>
      </c>
      <c r="BA6" s="115">
        <f t="shared" si="5"/>
        <v>-8.5941348568415723</v>
      </c>
      <c r="BB6" s="115">
        <f t="shared" si="5"/>
        <v>-8.2068912076116867</v>
      </c>
      <c r="BC6" s="115">
        <f t="shared" si="5"/>
        <v>-7.8324048272136562</v>
      </c>
      <c r="BD6" s="115">
        <f t="shared" si="5"/>
        <v>-7.4706757156474799</v>
      </c>
      <c r="BE6" s="115">
        <f t="shared" si="5"/>
        <v>-7.1217038729131321</v>
      </c>
      <c r="BF6" s="115">
        <f t="shared" si="5"/>
        <v>-6.7854892990106697</v>
      </c>
      <c r="BG6" s="115">
        <f t="shared" si="5"/>
        <v>-6.4620319939400623</v>
      </c>
      <c r="BH6" s="115">
        <f t="shared" si="5"/>
        <v>-6.1513319577013092</v>
      </c>
      <c r="BI6" s="115">
        <f t="shared" si="5"/>
        <v>-5.8533891902944113</v>
      </c>
      <c r="BJ6" s="115">
        <f t="shared" si="5"/>
        <v>-5.5831673832266748</v>
      </c>
      <c r="BK6" s="115">
        <f t="shared" si="5"/>
        <v>-5.5831673832266748</v>
      </c>
      <c r="BL6" s="115">
        <f t="shared" si="5"/>
        <v>-5.5831673832266748</v>
      </c>
      <c r="BM6" s="115">
        <f t="shared" si="5"/>
        <v>-5.5831673832266748</v>
      </c>
      <c r="BN6" s="115">
        <f t="shared" si="5"/>
        <v>-5.5831673832266748</v>
      </c>
      <c r="BR6" s="4"/>
      <c r="BS6" s="105">
        <f t="shared" si="1"/>
        <v>8.5235920852359207E-3</v>
      </c>
      <c r="BT6" s="109" cm="1">
        <f t="array" aca="1" ref="BT6:DR6" ca="1">TRANSPOSE(MMULT(OFFSET(_xlfn.ANCHORARRAY($P$222),0,0),TRANSPOSE(BT5:DR5)))</f>
        <v>16.806109014706141</v>
      </c>
      <c r="BU6" s="109">
        <f ca="1"/>
        <v>31.70976138598542</v>
      </c>
      <c r="BV6" s="109">
        <f ca="1"/>
        <v>43.695956564407794</v>
      </c>
      <c r="BW6" s="109">
        <f ca="1"/>
        <v>51.604675811523123</v>
      </c>
      <c r="BX6" s="109">
        <f ca="1"/>
        <v>56.010565468810604</v>
      </c>
      <c r="BY6" s="109">
        <f ca="1"/>
        <v>57.62932190589607</v>
      </c>
      <c r="BZ6" s="109">
        <f ca="1"/>
        <v>57.170632457477176</v>
      </c>
      <c r="CA6" s="109">
        <f ca="1"/>
        <v>55.337391920906413</v>
      </c>
      <c r="CB6" s="109">
        <f ca="1"/>
        <v>52.811271224361839</v>
      </c>
      <c r="CC6" s="109">
        <f ca="1"/>
        <v>50.024538902442465</v>
      </c>
      <c r="CD6" s="109">
        <f ca="1"/>
        <v>47.156938543238653</v>
      </c>
      <c r="CE6" s="109">
        <f ca="1"/>
        <v>44.252787354679334</v>
      </c>
      <c r="CF6" s="109">
        <f ca="1"/>
        <v>41.317118421791697</v>
      </c>
      <c r="CG6" s="109">
        <f ca="1"/>
        <v>38.349806709698036</v>
      </c>
      <c r="CH6" s="109">
        <f ca="1"/>
        <v>35.350561572120952</v>
      </c>
      <c r="CI6" s="109">
        <f ca="1"/>
        <v>32.319412850515512</v>
      </c>
      <c r="CJ6" s="109">
        <f ca="1"/>
        <v>29.257557139036926</v>
      </c>
      <c r="CK6" s="109">
        <f ca="1"/>
        <v>26.168865670853101</v>
      </c>
      <c r="CL6" s="109">
        <f ca="1"/>
        <v>23.061563353111268</v>
      </c>
      <c r="CM6" s="109">
        <f ca="1"/>
        <v>19.949123407482823</v>
      </c>
      <c r="CN6" s="109">
        <f ca="1"/>
        <v>16.859100192469263</v>
      </c>
      <c r="CO6" s="110">
        <f ca="1"/>
        <v>13.839550995471312</v>
      </c>
      <c r="CP6" s="34">
        <f ca="1"/>
        <v>10.956939564940793</v>
      </c>
      <c r="CQ6" s="9">
        <f ca="1"/>
        <v>8.2922740403836954</v>
      </c>
      <c r="CR6" s="9">
        <f ca="1"/>
        <v>5.9630749788619868</v>
      </c>
      <c r="CS6" s="9">
        <f ca="1"/>
        <v>4.0526277173127658</v>
      </c>
      <c r="CT6" s="9">
        <f ca="1"/>
        <v>2.6575171504332005</v>
      </c>
      <c r="CU6" s="9">
        <f ca="1"/>
        <v>1.6829971808573247</v>
      </c>
      <c r="CV6" s="9">
        <f ca="1"/>
        <v>1.0480482096955923</v>
      </c>
      <c r="CW6" s="9">
        <f ca="1"/>
        <v>0.64481491310077932</v>
      </c>
      <c r="CX6" s="9">
        <f ca="1"/>
        <v>0.39700108895250807</v>
      </c>
      <c r="CY6" s="9">
        <f ca="1"/>
        <v>0.24505380805792204</v>
      </c>
      <c r="CZ6" s="9">
        <f ca="1"/>
        <v>0.15057769114736919</v>
      </c>
      <c r="DA6" s="9">
        <f ca="1"/>
        <v>8.9654991129882122E-2</v>
      </c>
      <c r="DB6" s="9">
        <f ca="1"/>
        <v>5.1557039053807041E-2</v>
      </c>
      <c r="DC6" s="9">
        <f ca="1"/>
        <v>2.8633380810178664E-2</v>
      </c>
      <c r="DD6" s="9">
        <f ca="1"/>
        <v>1.5354340370097089E-2</v>
      </c>
      <c r="DE6" s="9">
        <f ca="1"/>
        <v>7.946601452254896E-3</v>
      </c>
      <c r="DF6" s="9">
        <f ca="1"/>
        <v>3.966860323802523E-3</v>
      </c>
      <c r="DG6" s="9">
        <f ca="1"/>
        <v>1.9083157500079757E-3</v>
      </c>
      <c r="DH6" s="9">
        <f ca="1"/>
        <v>8.8370597143390579E-4</v>
      </c>
      <c r="DI6" s="9">
        <f ca="1"/>
        <v>3.9339067776341427E-4</v>
      </c>
      <c r="DJ6" s="9">
        <f ca="1"/>
        <v>1.6806818035432414E-4</v>
      </c>
      <c r="DK6" s="9">
        <f ca="1"/>
        <v>6.8779121878895621E-5</v>
      </c>
      <c r="DL6" s="9">
        <f ca="1"/>
        <v>2.6903145988384999E-5</v>
      </c>
      <c r="DM6" s="9">
        <f ca="1"/>
        <v>1.0040081040375289E-5</v>
      </c>
      <c r="DN6" s="9">
        <f ca="1"/>
        <v>3.587100162970302E-6</v>
      </c>
      <c r="DO6" s="9">
        <f ca="1"/>
        <v>1.2700873869926766E-6</v>
      </c>
      <c r="DP6" s="9">
        <f ca="1"/>
        <v>4.45578678489158E-7</v>
      </c>
      <c r="DQ6" s="9">
        <f ca="1"/>
        <v>1.5356354515863929E-7</v>
      </c>
      <c r="DR6" s="9">
        <f ca="1"/>
        <v>4.7691393113367773E-8</v>
      </c>
    </row>
    <row r="7" spans="1:122" x14ac:dyDescent="0.25">
      <c r="A7" s="80" t="s">
        <v>34</v>
      </c>
      <c r="B7" s="29">
        <f>YEARFRAC(B1,B2,3)</f>
        <v>3.8356164383561646E-2</v>
      </c>
      <c r="C7" s="80"/>
      <c r="K7" s="45" cm="1">
        <f t="array" ref="K7:K25">linspace(0,B7,B10)</f>
        <v>0</v>
      </c>
      <c r="L7" s="64" t="s">
        <v>19</v>
      </c>
      <c r="M7"/>
      <c r="O7" s="81" t="s">
        <v>58</v>
      </c>
      <c r="P7" s="102">
        <f>-$B$4</f>
        <v>0</v>
      </c>
      <c r="Q7" s="102">
        <f t="shared" ref="Q7:BN7" si="6">-$B$4</f>
        <v>0</v>
      </c>
      <c r="R7" s="102">
        <f t="shared" si="6"/>
        <v>0</v>
      </c>
      <c r="S7" s="102">
        <f t="shared" si="6"/>
        <v>0</v>
      </c>
      <c r="T7" s="102">
        <f t="shared" si="6"/>
        <v>0</v>
      </c>
      <c r="U7" s="102">
        <f t="shared" si="6"/>
        <v>0</v>
      </c>
      <c r="V7" s="102">
        <f t="shared" si="6"/>
        <v>0</v>
      </c>
      <c r="W7" s="102">
        <f t="shared" si="6"/>
        <v>0</v>
      </c>
      <c r="X7" s="102">
        <f t="shared" si="6"/>
        <v>0</v>
      </c>
      <c r="Y7" s="102">
        <f t="shared" si="6"/>
        <v>0</v>
      </c>
      <c r="Z7" s="102">
        <f t="shared" si="6"/>
        <v>0</v>
      </c>
      <c r="AA7" s="102">
        <f t="shared" si="6"/>
        <v>0</v>
      </c>
      <c r="AB7" s="102">
        <f t="shared" si="6"/>
        <v>0</v>
      </c>
      <c r="AC7" s="102">
        <f t="shared" si="6"/>
        <v>0</v>
      </c>
      <c r="AD7" s="102">
        <f t="shared" si="6"/>
        <v>0</v>
      </c>
      <c r="AE7" s="102">
        <f t="shared" si="6"/>
        <v>0</v>
      </c>
      <c r="AF7" s="102">
        <f t="shared" si="6"/>
        <v>0</v>
      </c>
      <c r="AG7" s="102">
        <f t="shared" si="6"/>
        <v>0</v>
      </c>
      <c r="AH7" s="102">
        <f t="shared" si="6"/>
        <v>0</v>
      </c>
      <c r="AI7" s="102">
        <f t="shared" si="6"/>
        <v>0</v>
      </c>
      <c r="AJ7" s="102">
        <f t="shared" si="6"/>
        <v>0</v>
      </c>
      <c r="AK7" s="102">
        <f t="shared" si="6"/>
        <v>0</v>
      </c>
      <c r="AL7" s="102">
        <f t="shared" si="6"/>
        <v>0</v>
      </c>
      <c r="AM7" s="102">
        <f t="shared" si="6"/>
        <v>0</v>
      </c>
      <c r="AN7" s="102">
        <f t="shared" si="6"/>
        <v>0</v>
      </c>
      <c r="AO7" s="102">
        <f t="shared" si="6"/>
        <v>0</v>
      </c>
      <c r="AP7" s="102">
        <f t="shared" si="6"/>
        <v>0</v>
      </c>
      <c r="AQ7" s="102">
        <f t="shared" si="6"/>
        <v>0</v>
      </c>
      <c r="AR7" s="102">
        <f t="shared" si="6"/>
        <v>0</v>
      </c>
      <c r="AS7" s="102">
        <f t="shared" si="6"/>
        <v>0</v>
      </c>
      <c r="AT7" s="102">
        <f t="shared" si="6"/>
        <v>0</v>
      </c>
      <c r="AU7" s="102">
        <f t="shared" si="6"/>
        <v>0</v>
      </c>
      <c r="AV7" s="102">
        <f t="shared" si="6"/>
        <v>0</v>
      </c>
      <c r="AW7" s="102">
        <f t="shared" si="6"/>
        <v>0</v>
      </c>
      <c r="AX7" s="102">
        <f t="shared" si="6"/>
        <v>0</v>
      </c>
      <c r="AY7" s="102">
        <f t="shared" si="6"/>
        <v>0</v>
      </c>
      <c r="AZ7" s="102">
        <f t="shared" si="6"/>
        <v>0</v>
      </c>
      <c r="BA7" s="102">
        <f t="shared" si="6"/>
        <v>0</v>
      </c>
      <c r="BB7" s="102">
        <f t="shared" si="6"/>
        <v>0</v>
      </c>
      <c r="BC7" s="102">
        <f t="shared" si="6"/>
        <v>0</v>
      </c>
      <c r="BD7" s="102">
        <f t="shared" si="6"/>
        <v>0</v>
      </c>
      <c r="BE7" s="102">
        <f t="shared" si="6"/>
        <v>0</v>
      </c>
      <c r="BF7" s="102">
        <f t="shared" si="6"/>
        <v>0</v>
      </c>
      <c r="BG7" s="102">
        <f t="shared" si="6"/>
        <v>0</v>
      </c>
      <c r="BH7" s="102">
        <f t="shared" si="6"/>
        <v>0</v>
      </c>
      <c r="BI7" s="102">
        <f t="shared" si="6"/>
        <v>0</v>
      </c>
      <c r="BJ7" s="102">
        <f t="shared" si="6"/>
        <v>0</v>
      </c>
      <c r="BK7" s="102">
        <f t="shared" si="6"/>
        <v>0</v>
      </c>
      <c r="BL7" s="102">
        <f t="shared" si="6"/>
        <v>0</v>
      </c>
      <c r="BM7" s="102">
        <f t="shared" si="6"/>
        <v>0</v>
      </c>
      <c r="BN7" s="102">
        <f t="shared" si="6"/>
        <v>0</v>
      </c>
      <c r="BR7" s="4"/>
      <c r="BS7" s="105">
        <f t="shared" si="1"/>
        <v>1.06544901065449E-2</v>
      </c>
      <c r="BT7" s="109" cm="1">
        <f t="array" aca="1" ref="BT7:DR7" ca="1">TRANSPOSE(MMULT(OFFSET(_xlfn.ANCHORARRAY($P$222),0,0),TRANSPOSE(BT6:DR6)))</f>
        <v>14.726480470325733</v>
      </c>
      <c r="BU7" s="109">
        <f ca="1"/>
        <v>28.329390656322317</v>
      </c>
      <c r="BV7" s="109">
        <f ca="1"/>
        <v>39.469182688572232</v>
      </c>
      <c r="BW7" s="109">
        <f ca="1"/>
        <v>47.704488525641267</v>
      </c>
      <c r="BX7" s="109">
        <f ca="1"/>
        <v>52.894655544961424</v>
      </c>
      <c r="BY7" s="109">
        <f ca="1"/>
        <v>55.573667068004902</v>
      </c>
      <c r="BZ7" s="109">
        <f ca="1"/>
        <v>56.126959728493411</v>
      </c>
      <c r="CA7" s="109">
        <f ca="1"/>
        <v>54.970223164629118</v>
      </c>
      <c r="CB7" s="109">
        <f ca="1"/>
        <v>52.747223174422516</v>
      </c>
      <c r="CC7" s="109">
        <f ca="1"/>
        <v>50.043412864972744</v>
      </c>
      <c r="CD7" s="109">
        <f ca="1"/>
        <v>47.18745348575041</v>
      </c>
      <c r="CE7" s="109">
        <f ca="1"/>
        <v>44.284161626650722</v>
      </c>
      <c r="CF7" s="109">
        <f ca="1"/>
        <v>41.348834637431665</v>
      </c>
      <c r="CG7" s="109">
        <f ca="1"/>
        <v>38.381871924152691</v>
      </c>
      <c r="CH7" s="109">
        <f ca="1"/>
        <v>35.383104108322875</v>
      </c>
      <c r="CI7" s="109">
        <f ca="1"/>
        <v>32.353254755729246</v>
      </c>
      <c r="CJ7" s="109">
        <f ca="1"/>
        <v>29.295621311734884</v>
      </c>
      <c r="CK7" s="109">
        <f ca="1"/>
        <v>26.218005646618838</v>
      </c>
      <c r="CL7" s="109">
        <f ca="1"/>
        <v>23.133504300793348</v>
      </c>
      <c r="CM7" s="109">
        <f ca="1"/>
        <v>20.05930380021012</v>
      </c>
      <c r="CN7" s="109">
        <f ca="1"/>
        <v>17.026771382312091</v>
      </c>
      <c r="CO7" s="110">
        <f ca="1"/>
        <v>14.083685259671137</v>
      </c>
      <c r="CP7" s="34">
        <f ca="1"/>
        <v>11.289876689068553</v>
      </c>
      <c r="CQ7" s="9">
        <f ca="1"/>
        <v>8.7186207690413724</v>
      </c>
      <c r="CR7" s="9">
        <f ca="1"/>
        <v>6.4534580219154991</v>
      </c>
      <c r="CS7" s="9">
        <f ca="1"/>
        <v>4.5838575881411252</v>
      </c>
      <c r="CT7" s="9">
        <f ca="1"/>
        <v>3.1627403738218689</v>
      </c>
      <c r="CU7" s="9">
        <f ca="1"/>
        <v>2.1423994515691893</v>
      </c>
      <c r="CV7" s="9">
        <f ca="1"/>
        <v>1.4284683497011204</v>
      </c>
      <c r="CW7" s="9">
        <f ca="1"/>
        <v>0.94887285339594207</v>
      </c>
      <c r="CX7" s="9">
        <f ca="1"/>
        <v>0.63179424244255777</v>
      </c>
      <c r="CY7" s="9">
        <f ca="1"/>
        <v>0.42042024062413424</v>
      </c>
      <c r="CZ7" s="9">
        <f ca="1"/>
        <v>0.27725499384774194</v>
      </c>
      <c r="DA7" s="9">
        <f ca="1"/>
        <v>0.17732827210147911</v>
      </c>
      <c r="DB7" s="9">
        <f ca="1"/>
        <v>0.10960763249329179</v>
      </c>
      <c r="DC7" s="9">
        <f ca="1"/>
        <v>6.5417240915450439E-2</v>
      </c>
      <c r="DD7" s="9">
        <f ca="1"/>
        <v>3.7669939751925244E-2</v>
      </c>
      <c r="DE7" s="9">
        <f ca="1"/>
        <v>2.0912701504049232E-2</v>
      </c>
      <c r="DF7" s="9">
        <f ca="1"/>
        <v>1.1183212865359681E-2</v>
      </c>
      <c r="DG7" s="9">
        <f ca="1"/>
        <v>5.7548844149763302E-3</v>
      </c>
      <c r="DH7" s="9">
        <f ca="1"/>
        <v>2.846540357450742E-3</v>
      </c>
      <c r="DI7" s="9">
        <f ca="1"/>
        <v>1.3514980681718382E-3</v>
      </c>
      <c r="DJ7" s="9">
        <f ca="1"/>
        <v>6.1494177522875698E-4</v>
      </c>
      <c r="DK7" s="9">
        <f ca="1"/>
        <v>2.6764883338765863E-4</v>
      </c>
      <c r="DL7" s="9">
        <f ca="1"/>
        <v>1.112031872453225E-4</v>
      </c>
      <c r="DM7" s="9">
        <f ca="1"/>
        <v>4.4033048627736505E-5</v>
      </c>
      <c r="DN7" s="9">
        <f ca="1"/>
        <v>1.6676402202537223E-5</v>
      </c>
      <c r="DO7" s="9">
        <f ca="1"/>
        <v>6.2396006277733692E-6</v>
      </c>
      <c r="DP7" s="9">
        <f ca="1"/>
        <v>2.3060187404849397E-6</v>
      </c>
      <c r="DQ7" s="9">
        <f ca="1"/>
        <v>8.3363488033793867E-7</v>
      </c>
      <c r="DR7" s="9">
        <f ca="1"/>
        <v>2.6893602879123393E-7</v>
      </c>
    </row>
    <row r="8" spans="1:122" x14ac:dyDescent="0.25">
      <c r="A8" s="80" t="s">
        <v>42</v>
      </c>
      <c r="B8" s="29">
        <f>B5*EXP(B3*B7)</f>
        <v>317.25728371869803</v>
      </c>
      <c r="C8" s="80"/>
      <c r="D8" s="31"/>
      <c r="E8" s="31"/>
      <c r="F8" s="31"/>
      <c r="G8" s="31"/>
      <c r="H8" s="31"/>
      <c r="I8" s="31"/>
      <c r="J8" s="89"/>
      <c r="K8" s="46">
        <v>2.1308980213089802E-3</v>
      </c>
      <c r="L8" s="98">
        <f>K8-K7</f>
        <v>2.1308980213089802E-3</v>
      </c>
      <c r="M8"/>
      <c r="N8" s="30"/>
      <c r="P8" s="118">
        <f>((P4%*SQRT(B7))^2)/2</f>
        <v>2.3711733498043941E-3</v>
      </c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R8" s="4"/>
      <c r="BS8" s="105">
        <f t="shared" si="1"/>
        <v>1.2785388127853882E-2</v>
      </c>
      <c r="BT8" s="109" cm="1">
        <f t="array" aca="1" ref="BT8:DR8" ca="1">TRANSPOSE(MMULT(OFFSET(_xlfn.ANCHORARRAY($P$222),0,0),TRANSPOSE(BT7:DR7)))</f>
        <v>13.259021360081439</v>
      </c>
      <c r="BU8" s="109">
        <f ca="1"/>
        <v>25.622778913800307</v>
      </c>
      <c r="BV8" s="109">
        <f ca="1"/>
        <v>36.205298823613106</v>
      </c>
      <c r="BW8" s="109">
        <f ca="1"/>
        <v>44.379347295084145</v>
      </c>
      <c r="BX8" s="109">
        <f ca="1"/>
        <v>50.069716369711955</v>
      </c>
      <c r="BY8" s="109">
        <f ca="1"/>
        <v>53.511990570214905</v>
      </c>
      <c r="BZ8" s="109">
        <f ca="1"/>
        <v>54.904481508706198</v>
      </c>
      <c r="CA8" s="109">
        <f ca="1"/>
        <v>54.443061956427819</v>
      </c>
      <c r="CB8" s="109">
        <f ca="1"/>
        <v>52.61614851362814</v>
      </c>
      <c r="CC8" s="109">
        <f ca="1"/>
        <v>50.049484544790019</v>
      </c>
      <c r="CD8" s="109">
        <f ca="1"/>
        <v>47.217172744092899</v>
      </c>
      <c r="CE8" s="109">
        <f ca="1"/>
        <v>44.315525075223967</v>
      </c>
      <c r="CF8" s="109">
        <f ca="1"/>
        <v>41.380547157326653</v>
      </c>
      <c r="CG8" s="109">
        <f ca="1"/>
        <v>38.413946671528763</v>
      </c>
      <c r="CH8" s="109">
        <f ca="1"/>
        <v>35.415846340850777</v>
      </c>
      <c r="CI8" s="109">
        <f ca="1"/>
        <v>32.388306117036464</v>
      </c>
      <c r="CJ8" s="109">
        <f ca="1"/>
        <v>29.337746780909079</v>
      </c>
      <c r="CK8" s="109">
        <f ca="1"/>
        <v>26.27624068907399</v>
      </c>
      <c r="CL8" s="109">
        <f ca="1"/>
        <v>23.220339326375555</v>
      </c>
      <c r="CM8" s="109">
        <f ca="1"/>
        <v>20.188196711644192</v>
      </c>
      <c r="CN8" s="109">
        <f ca="1"/>
        <v>17.211955374200752</v>
      </c>
      <c r="CO8" s="110">
        <f ca="1"/>
        <v>14.337841156589274</v>
      </c>
      <c r="CP8" s="34">
        <f ca="1"/>
        <v>11.620105994856884</v>
      </c>
      <c r="CQ8" s="9">
        <f ca="1"/>
        <v>9.1190780656205721</v>
      </c>
      <c r="CR8" s="9">
        <f ca="1"/>
        <v>6.9114335649617713</v>
      </c>
      <c r="CS8" s="9">
        <f ca="1"/>
        <v>5.0649384782179743</v>
      </c>
      <c r="CT8" s="9">
        <f ca="1"/>
        <v>3.6365250711530095</v>
      </c>
      <c r="CU8" s="9">
        <f ca="1"/>
        <v>2.5733848104118002</v>
      </c>
      <c r="CV8" s="9">
        <f ca="1"/>
        <v>1.8058681308998492</v>
      </c>
      <c r="CW8" s="9">
        <f ca="1"/>
        <v>1.2638255599878863</v>
      </c>
      <c r="CX8" s="9">
        <f ca="1"/>
        <v>0.88680575585009225</v>
      </c>
      <c r="CY8" s="9">
        <f ca="1"/>
        <v>0.62175167389650277</v>
      </c>
      <c r="CZ8" s="9">
        <f ca="1"/>
        <v>0.43189828161617327</v>
      </c>
      <c r="DA8" s="9">
        <f ca="1"/>
        <v>0.29194202777574074</v>
      </c>
      <c r="DB8" s="9">
        <f ca="1"/>
        <v>0.19129680071850982</v>
      </c>
      <c r="DC8" s="9">
        <f ca="1"/>
        <v>0.12130400615307352</v>
      </c>
      <c r="DD8" s="9">
        <f ca="1"/>
        <v>7.4323675340982984E-2</v>
      </c>
      <c r="DE8" s="9">
        <f ca="1"/>
        <v>4.3938155021439954E-2</v>
      </c>
      <c r="DF8" s="9">
        <f ca="1"/>
        <v>2.5027729130645698E-2</v>
      </c>
      <c r="DG8" s="9">
        <f ca="1"/>
        <v>1.3717205916187145E-2</v>
      </c>
      <c r="DH8" s="9">
        <f ca="1"/>
        <v>7.2234593348636566E-3</v>
      </c>
      <c r="DI8" s="9">
        <f ca="1"/>
        <v>3.6490385870197668E-3</v>
      </c>
      <c r="DJ8" s="9">
        <f ca="1"/>
        <v>1.7652681333299594E-3</v>
      </c>
      <c r="DK8" s="9">
        <f ca="1"/>
        <v>8.162102018974052E-4</v>
      </c>
      <c r="DL8" s="9">
        <f ca="1"/>
        <v>3.5996121203737535E-4</v>
      </c>
      <c r="DM8" s="9">
        <f ca="1"/>
        <v>1.511826110949164E-4</v>
      </c>
      <c r="DN8" s="9">
        <f ca="1"/>
        <v>6.0690305670348743E-5</v>
      </c>
      <c r="DO8" s="9">
        <f ca="1"/>
        <v>2.3997974918056943E-5</v>
      </c>
      <c r="DP8" s="9">
        <f ca="1"/>
        <v>9.3441712489570847E-6</v>
      </c>
      <c r="DQ8" s="9">
        <f ca="1"/>
        <v>3.5428830370670018E-6</v>
      </c>
      <c r="DR8" s="9">
        <f ca="1"/>
        <v>1.186637756459467E-6</v>
      </c>
    </row>
    <row r="9" spans="1:122" x14ac:dyDescent="0.25">
      <c r="A9" s="80" t="s">
        <v>43</v>
      </c>
      <c r="B9" s="29">
        <f>D50</f>
        <v>37.869999999999997</v>
      </c>
      <c r="C9" s="80" t="s">
        <v>72</v>
      </c>
      <c r="D9" s="27">
        <f>D12*2</f>
        <v>2.1442929033209879E-2</v>
      </c>
      <c r="E9" s="31"/>
      <c r="F9" s="31"/>
      <c r="G9" s="31"/>
      <c r="H9" s="31"/>
      <c r="I9" s="31"/>
      <c r="J9" s="89"/>
      <c r="K9" s="46">
        <v>4.2617960426179604E-3</v>
      </c>
      <c r="L9" s="98">
        <f t="shared" ref="L9:L25" si="7">K9-K8</f>
        <v>2.1308980213089802E-3</v>
      </c>
      <c r="M9"/>
      <c r="N9" s="30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R9" s="4"/>
      <c r="BS9" s="105">
        <f t="shared" si="1"/>
        <v>1.4916286149162862E-2</v>
      </c>
      <c r="BT9" s="109" cm="1">
        <f t="array" aca="1" ref="BT9:DR9" ca="1">TRANSPOSE(MMULT(OFFSET(_xlfn.ANCHORARRAY($P$222),0,0),TRANSPOSE(BT8:DR8)))</f>
        <v>12.087862387799154</v>
      </c>
      <c r="BU9" s="109">
        <f ca="1"/>
        <v>23.520937915898291</v>
      </c>
      <c r="BV9" s="109">
        <f ca="1"/>
        <v>33.513007013403069</v>
      </c>
      <c r="BW9" s="109">
        <f ca="1"/>
        <v>41.584961914013647</v>
      </c>
      <c r="BX9" s="109">
        <f ca="1"/>
        <v>47.544144416977716</v>
      </c>
      <c r="BY9" s="109">
        <f ca="1"/>
        <v>51.535546715920425</v>
      </c>
      <c r="BZ9" s="109">
        <f ca="1"/>
        <v>53.6084076841681</v>
      </c>
      <c r="CA9" s="109">
        <f ca="1"/>
        <v>53.794210139308333</v>
      </c>
      <c r="CB9" s="109">
        <f ca="1"/>
        <v>52.412662151479516</v>
      </c>
      <c r="CC9" s="109">
        <f ca="1"/>
        <v>50.037175096141368</v>
      </c>
      <c r="CD9" s="109">
        <f ca="1"/>
        <v>47.24544660101558</v>
      </c>
      <c r="CE9" s="109">
        <f ca="1"/>
        <v>44.346869005166972</v>
      </c>
      <c r="CF9" s="109">
        <f ca="1"/>
        <v>41.412255911084173</v>
      </c>
      <c r="CG9" s="109">
        <f ca="1"/>
        <v>38.44604578447823</v>
      </c>
      <c r="CH9" s="109">
        <f ca="1"/>
        <v>35.448944025079697</v>
      </c>
      <c r="CI9" s="109">
        <f ca="1"/>
        <v>32.425118091226537</v>
      </c>
      <c r="CJ9" s="109">
        <f ca="1"/>
        <v>29.384733570269908</v>
      </c>
      <c r="CK9" s="109">
        <f ca="1"/>
        <v>26.343502953164943</v>
      </c>
      <c r="CL9" s="109">
        <f ca="1"/>
        <v>23.319654427130626</v>
      </c>
      <c r="CM9" s="109">
        <f ca="1"/>
        <v>20.330686626836947</v>
      </c>
      <c r="CN9" s="109">
        <f ca="1"/>
        <v>17.40825492221693</v>
      </c>
      <c r="CO9" s="110">
        <f ca="1"/>
        <v>14.596111899855369</v>
      </c>
      <c r="CP9" s="34">
        <f ca="1"/>
        <v>11.942633115826926</v>
      </c>
      <c r="CQ9" s="9">
        <f ca="1"/>
        <v>9.5016943948139847</v>
      </c>
      <c r="CR9" s="9">
        <f ca="1"/>
        <v>7.3382039597709108</v>
      </c>
      <c r="CS9" s="9">
        <f ca="1"/>
        <v>5.5144907697580567</v>
      </c>
      <c r="CT9" s="9">
        <f ca="1"/>
        <v>4.078238281932796</v>
      </c>
      <c r="CU9" s="9">
        <f ca="1"/>
        <v>2.98671086249486</v>
      </c>
      <c r="CV9" s="9">
        <f ca="1"/>
        <v>2.1739795074245767</v>
      </c>
      <c r="CW9" s="9">
        <f ca="1"/>
        <v>1.5818679631691663</v>
      </c>
      <c r="CX9" s="9">
        <f ca="1"/>
        <v>1.1537758799179709</v>
      </c>
      <c r="CY9" s="9">
        <f ca="1"/>
        <v>0.84037030892183173</v>
      </c>
      <c r="CZ9" s="9">
        <f ca="1"/>
        <v>0.60658161390828425</v>
      </c>
      <c r="DA9" s="9">
        <f ca="1"/>
        <v>0.42742683931966774</v>
      </c>
      <c r="DB9" s="9">
        <f ca="1"/>
        <v>0.29299261790111353</v>
      </c>
      <c r="DC9" s="9">
        <f ca="1"/>
        <v>0.19498857070875333</v>
      </c>
      <c r="DD9" s="9">
        <f ca="1"/>
        <v>0.1257351980626428</v>
      </c>
      <c r="DE9" s="9">
        <f ca="1"/>
        <v>7.8406909478936457E-2</v>
      </c>
      <c r="DF9" s="9">
        <f ca="1"/>
        <v>4.7192808701987131E-2</v>
      </c>
      <c r="DG9" s="9">
        <f ca="1"/>
        <v>2.7365782503305534E-2</v>
      </c>
      <c r="DH9" s="9">
        <f ca="1"/>
        <v>1.5259290613019078E-2</v>
      </c>
      <c r="DI9" s="9">
        <f ca="1"/>
        <v>8.1661494652783603E-3</v>
      </c>
      <c r="DJ9" s="9">
        <f ca="1"/>
        <v>4.1857883708782779E-3</v>
      </c>
      <c r="DK9" s="9">
        <f ca="1"/>
        <v>2.0505983558659789E-3</v>
      </c>
      <c r="DL9" s="9">
        <f ca="1"/>
        <v>9.5801662650679285E-4</v>
      </c>
      <c r="DM9" s="9">
        <f ca="1"/>
        <v>4.2616721578838019E-4</v>
      </c>
      <c r="DN9" s="9">
        <f ca="1"/>
        <v>1.8115594899785934E-4</v>
      </c>
      <c r="DO9" s="9">
        <f ca="1"/>
        <v>7.564845675477161E-5</v>
      </c>
      <c r="DP9" s="9">
        <f ca="1"/>
        <v>3.1015335829993663E-5</v>
      </c>
      <c r="DQ9" s="9">
        <f ca="1"/>
        <v>1.2325170758166116E-5</v>
      </c>
      <c r="DR9" s="9">
        <f ca="1"/>
        <v>4.2817178253754708E-6</v>
      </c>
    </row>
    <row r="10" spans="1:122" x14ac:dyDescent="0.25">
      <c r="A10" s="96" t="s">
        <v>53</v>
      </c>
      <c r="B10" s="29">
        <v>19</v>
      </c>
      <c r="C10" s="80" t="s">
        <v>73</v>
      </c>
      <c r="D10" s="27">
        <f>D12^2</f>
        <v>1.1494980138081879E-4</v>
      </c>
      <c r="E10" s="31"/>
      <c r="F10" s="31"/>
      <c r="G10" s="31"/>
      <c r="H10" s="31"/>
      <c r="I10" s="31"/>
      <c r="J10" s="90"/>
      <c r="K10" s="46">
        <v>6.392694063926941E-3</v>
      </c>
      <c r="L10" s="98">
        <f t="shared" si="7"/>
        <v>2.1308980213089806E-3</v>
      </c>
      <c r="M10"/>
      <c r="N10" s="3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R10" s="4"/>
      <c r="BS10" s="105">
        <f t="shared" si="1"/>
        <v>1.7047184170471841E-2</v>
      </c>
      <c r="BT10" s="109" cm="1">
        <f t="array" aca="1" ref="BT10:DR10" ca="1">TRANSPOSE(MMULT(OFFSET(_xlfn.ANCHORARRAY($P$222),0,0),TRANSPOSE(BT9:DR9)))</f>
        <v>11.15672135368732</v>
      </c>
      <c r="BU10" s="109">
        <f ca="1"/>
        <v>21.798629821106662</v>
      </c>
      <c r="BV10" s="109">
        <f ca="1"/>
        <v>31.293430281720976</v>
      </c>
      <c r="BW10" s="109">
        <f ca="1"/>
        <v>39.191036823439561</v>
      </c>
      <c r="BX10" s="109">
        <f ca="1"/>
        <v>45.305332975976647</v>
      </c>
      <c r="BY10" s="109">
        <f ca="1"/>
        <v>49.685678563528882</v>
      </c>
      <c r="BZ10" s="109">
        <f ca="1"/>
        <v>52.301597086925028</v>
      </c>
      <c r="CA10" s="109">
        <f ca="1"/>
        <v>53.064583617250456</v>
      </c>
      <c r="CB10" s="109">
        <f ca="1"/>
        <v>52.141172490500544</v>
      </c>
      <c r="CC10" s="109">
        <f ca="1"/>
        <v>50.002050919381212</v>
      </c>
      <c r="CD10" s="109">
        <f ca="1"/>
        <v>47.271448335544449</v>
      </c>
      <c r="CE10" s="109">
        <f ca="1"/>
        <v>44.378178993556396</v>
      </c>
      <c r="CF10" s="109">
        <f ca="1"/>
        <v>41.443960747866299</v>
      </c>
      <c r="CG10" s="109">
        <f ca="1"/>
        <v>38.478192172649166</v>
      </c>
      <c r="CH10" s="109">
        <f ca="1"/>
        <v>35.482581253785604</v>
      </c>
      <c r="CI10" s="109">
        <f ca="1"/>
        <v>32.464141567571403</v>
      </c>
      <c r="CJ10" s="109">
        <f ca="1"/>
        <v>29.436851238508471</v>
      </c>
      <c r="CK10" s="109">
        <f ca="1"/>
        <v>26.418970580505807</v>
      </c>
      <c r="CL10" s="109">
        <f ca="1"/>
        <v>23.429014351101188</v>
      </c>
      <c r="CM10" s="109">
        <f ca="1"/>
        <v>20.482957919179825</v>
      </c>
      <c r="CN10" s="109">
        <f ca="1"/>
        <v>17.611187258841376</v>
      </c>
      <c r="CO10" s="110">
        <f ca="1"/>
        <v>14.854750127465858</v>
      </c>
      <c r="CP10" s="34">
        <f ca="1"/>
        <v>12.257619656957988</v>
      </c>
      <c r="CQ10" s="9">
        <f ca="1"/>
        <v>9.8670625711116635</v>
      </c>
      <c r="CR10" s="9">
        <f ca="1"/>
        <v>7.7418815972286996</v>
      </c>
      <c r="CS10" s="9">
        <f ca="1"/>
        <v>5.9367176499024819</v>
      </c>
      <c r="CT10" s="9">
        <f ca="1"/>
        <v>4.4967814056062032</v>
      </c>
      <c r="CU10" s="9">
        <f ca="1"/>
        <v>3.3816121619642461</v>
      </c>
      <c r="CV10" s="9">
        <f ca="1"/>
        <v>2.5336743652890936</v>
      </c>
      <c r="CW10" s="9">
        <f ca="1"/>
        <v>1.8989438556841598</v>
      </c>
      <c r="CX10" s="9">
        <f ca="1"/>
        <v>1.426631708572794</v>
      </c>
      <c r="CY10" s="9">
        <f ca="1"/>
        <v>1.0700709069825478</v>
      </c>
      <c r="CZ10" s="9">
        <f ca="1"/>
        <v>0.79563726697098613</v>
      </c>
      <c r="DA10" s="9">
        <f ca="1"/>
        <v>0.57899522203902909</v>
      </c>
      <c r="DB10" s="9">
        <f ca="1"/>
        <v>0.41108434103627051</v>
      </c>
      <c r="DC10" s="9">
        <f ca="1"/>
        <v>0.28421478404549322</v>
      </c>
      <c r="DD10" s="9">
        <f ca="1"/>
        <v>0.19095923471377835</v>
      </c>
      <c r="DE10" s="9">
        <f ca="1"/>
        <v>0.124421610493861</v>
      </c>
      <c r="DF10" s="9">
        <f ca="1"/>
        <v>7.8445885021091566E-2</v>
      </c>
      <c r="DG10" s="9">
        <f ca="1"/>
        <v>4.7753397818943014E-2</v>
      </c>
      <c r="DH10" s="9">
        <f ca="1"/>
        <v>2.8004159774358384E-2</v>
      </c>
      <c r="DI10" s="9">
        <f ca="1"/>
        <v>1.5784401112177708E-2</v>
      </c>
      <c r="DJ10" s="9">
        <f ca="1"/>
        <v>8.5308788930111082E-3</v>
      </c>
      <c r="DK10" s="9">
        <f ca="1"/>
        <v>4.4102024197502192E-3</v>
      </c>
      <c r="DL10" s="9">
        <f ca="1"/>
        <v>2.1755677148325068E-3</v>
      </c>
      <c r="DM10" s="9">
        <f ca="1"/>
        <v>1.0223890960010496E-3</v>
      </c>
      <c r="DN10" s="9">
        <f ca="1"/>
        <v>4.5925760275805383E-4</v>
      </c>
      <c r="DO10" s="9">
        <f ca="1"/>
        <v>2.0221111188932302E-4</v>
      </c>
      <c r="DP10" s="9">
        <f ca="1"/>
        <v>8.7178667104583188E-5</v>
      </c>
      <c r="DQ10" s="9">
        <f ca="1"/>
        <v>3.6260959932415879E-5</v>
      </c>
      <c r="DR10" s="9">
        <f ca="1"/>
        <v>1.3046661853577479E-5</v>
      </c>
    </row>
    <row r="11" spans="1:122" x14ac:dyDescent="0.25">
      <c r="A11" s="96" t="s">
        <v>54</v>
      </c>
      <c r="B11" s="97">
        <v>51</v>
      </c>
      <c r="C11" s="80" t="s">
        <v>70</v>
      </c>
      <c r="D11" s="27">
        <f>L8</f>
        <v>2.1308980213089802E-3</v>
      </c>
      <c r="E11" s="31"/>
      <c r="F11" s="31"/>
      <c r="G11" s="31"/>
      <c r="H11" s="31"/>
      <c r="I11" s="31"/>
      <c r="J11" s="91"/>
      <c r="K11" s="46">
        <v>8.5235920852359207E-3</v>
      </c>
      <c r="L11" s="98">
        <f t="shared" si="7"/>
        <v>2.1308980213089797E-3</v>
      </c>
      <c r="M11"/>
      <c r="N11" s="30"/>
      <c r="O11" s="11" t="s">
        <v>18</v>
      </c>
      <c r="P11" s="11">
        <f t="shared" ref="P11:AJ11" si="8">P3</f>
        <v>50</v>
      </c>
      <c r="Q11" s="11">
        <f t="shared" si="8"/>
        <v>49</v>
      </c>
      <c r="R11" s="11">
        <f t="shared" si="8"/>
        <v>48</v>
      </c>
      <c r="S11" s="11">
        <f t="shared" si="8"/>
        <v>47</v>
      </c>
      <c r="T11" s="11">
        <f t="shared" si="8"/>
        <v>46</v>
      </c>
      <c r="U11" s="11">
        <f t="shared" si="8"/>
        <v>45</v>
      </c>
      <c r="V11" s="11">
        <f t="shared" si="8"/>
        <v>44</v>
      </c>
      <c r="W11" s="11">
        <f t="shared" si="8"/>
        <v>43</v>
      </c>
      <c r="X11" s="11">
        <f t="shared" si="8"/>
        <v>42</v>
      </c>
      <c r="Y11" s="11">
        <f t="shared" si="8"/>
        <v>41</v>
      </c>
      <c r="Z11" s="11">
        <f t="shared" si="8"/>
        <v>40</v>
      </c>
      <c r="AA11" s="11">
        <f t="shared" si="8"/>
        <v>39</v>
      </c>
      <c r="AB11" s="11">
        <f t="shared" si="8"/>
        <v>38</v>
      </c>
      <c r="AC11" s="11">
        <f t="shared" si="8"/>
        <v>37</v>
      </c>
      <c r="AD11" s="11">
        <f t="shared" si="8"/>
        <v>36</v>
      </c>
      <c r="AE11" s="11">
        <f t="shared" si="8"/>
        <v>35</v>
      </c>
      <c r="AF11" s="11">
        <f t="shared" si="8"/>
        <v>34</v>
      </c>
      <c r="AG11" s="11">
        <f t="shared" si="8"/>
        <v>33</v>
      </c>
      <c r="AH11" s="11">
        <f t="shared" si="8"/>
        <v>32</v>
      </c>
      <c r="AI11" s="11">
        <f t="shared" si="8"/>
        <v>31</v>
      </c>
      <c r="AJ11" s="11">
        <f t="shared" si="8"/>
        <v>30</v>
      </c>
      <c r="AK11" s="11">
        <f t="shared" ref="AK11:BN11" si="9">AK3</f>
        <v>29</v>
      </c>
      <c r="AL11" s="11">
        <f t="shared" si="9"/>
        <v>28</v>
      </c>
      <c r="AM11" s="11">
        <f t="shared" si="9"/>
        <v>27</v>
      </c>
      <c r="AN11" s="11">
        <f t="shared" si="9"/>
        <v>26</v>
      </c>
      <c r="AO11" s="11">
        <f t="shared" si="9"/>
        <v>25</v>
      </c>
      <c r="AP11" s="11">
        <f t="shared" si="9"/>
        <v>24</v>
      </c>
      <c r="AQ11" s="11">
        <f t="shared" si="9"/>
        <v>23</v>
      </c>
      <c r="AR11" s="11">
        <f t="shared" si="9"/>
        <v>22</v>
      </c>
      <c r="AS11" s="11">
        <f t="shared" si="9"/>
        <v>21</v>
      </c>
      <c r="AT11" s="11">
        <f t="shared" si="9"/>
        <v>20</v>
      </c>
      <c r="AU11" s="11">
        <f t="shared" si="9"/>
        <v>19</v>
      </c>
      <c r="AV11" s="11">
        <f t="shared" si="9"/>
        <v>18</v>
      </c>
      <c r="AW11" s="11">
        <f t="shared" si="9"/>
        <v>17</v>
      </c>
      <c r="AX11" s="11">
        <f t="shared" si="9"/>
        <v>16</v>
      </c>
      <c r="AY11" s="11">
        <f t="shared" si="9"/>
        <v>15</v>
      </c>
      <c r="AZ11" s="11">
        <f t="shared" si="9"/>
        <v>14</v>
      </c>
      <c r="BA11" s="11">
        <f t="shared" si="9"/>
        <v>13</v>
      </c>
      <c r="BB11" s="11">
        <f t="shared" si="9"/>
        <v>12</v>
      </c>
      <c r="BC11" s="11">
        <f t="shared" si="9"/>
        <v>11</v>
      </c>
      <c r="BD11" s="11">
        <f t="shared" si="9"/>
        <v>10</v>
      </c>
      <c r="BE11" s="11">
        <f t="shared" si="9"/>
        <v>9</v>
      </c>
      <c r="BF11" s="11">
        <f t="shared" si="9"/>
        <v>8</v>
      </c>
      <c r="BG11" s="11">
        <f t="shared" si="9"/>
        <v>7</v>
      </c>
      <c r="BH11" s="11">
        <f t="shared" si="9"/>
        <v>6</v>
      </c>
      <c r="BI11" s="11">
        <f t="shared" si="9"/>
        <v>5</v>
      </c>
      <c r="BJ11" s="11">
        <f t="shared" si="9"/>
        <v>4</v>
      </c>
      <c r="BK11" s="11">
        <f t="shared" si="9"/>
        <v>3</v>
      </c>
      <c r="BL11" s="11">
        <f t="shared" si="9"/>
        <v>2</v>
      </c>
      <c r="BM11" s="11">
        <f t="shared" si="9"/>
        <v>1</v>
      </c>
      <c r="BN11" s="11">
        <f t="shared" si="9"/>
        <v>0</v>
      </c>
      <c r="BR11" s="4"/>
      <c r="BS11" s="105">
        <f t="shared" si="1"/>
        <v>1.9178082191780823E-2</v>
      </c>
      <c r="BT11" s="109" cm="1">
        <f t="array" aca="1" ref="BT11:DR11" ca="1">TRANSPOSE(MMULT(OFFSET(_xlfn.ANCHORARRAY($P$222),0,0),TRANSPOSE(BT10:DR10)))</f>
        <v>10.388629461372723</v>
      </c>
      <c r="BU11" s="109">
        <f ca="1"/>
        <v>20.375416173058806</v>
      </c>
      <c r="BV11" s="109">
        <f ca="1"/>
        <v>29.419113772390499</v>
      </c>
      <c r="BW11" s="109">
        <f ca="1"/>
        <v>37.132110470096357</v>
      </c>
      <c r="BX11" s="109">
        <f ca="1"/>
        <v>43.315624629928017</v>
      </c>
      <c r="BY11" s="109">
        <f ca="1"/>
        <v>47.975063317086594</v>
      </c>
      <c r="BZ11" s="109">
        <f ca="1"/>
        <v>51.021861973356529</v>
      </c>
      <c r="CA11" s="109">
        <f ca="1"/>
        <v>52.287750669700181</v>
      </c>
      <c r="CB11" s="109">
        <f ca="1"/>
        <v>51.811546759597569</v>
      </c>
      <c r="CC11" s="109">
        <f ca="1"/>
        <v>49.941464226720392</v>
      </c>
      <c r="CD11" s="109">
        <f ca="1"/>
        <v>47.294255361752896</v>
      </c>
      <c r="CE11" s="109">
        <f ca="1"/>
        <v>44.409433851606536</v>
      </c>
      <c r="CF11" s="109">
        <f ca="1"/>
        <v>41.475661381245629</v>
      </c>
      <c r="CG11" s="109">
        <f ca="1"/>
        <v>38.510416694062222</v>
      </c>
      <c r="CH11" s="109">
        <f ca="1"/>
        <v>35.516944922270689</v>
      </c>
      <c r="CI11" s="109">
        <f ca="1"/>
        <v>32.505671057612069</v>
      </c>
      <c r="CJ11" s="109">
        <f ca="1"/>
        <v>29.493993370733431</v>
      </c>
      <c r="CK11" s="109">
        <f ca="1"/>
        <v>26.501589969001397</v>
      </c>
      <c r="CL11" s="109">
        <f ca="1"/>
        <v>23.546289940263961</v>
      </c>
      <c r="CM11" s="109">
        <f ca="1"/>
        <v>20.642088547787669</v>
      </c>
      <c r="CN11" s="109">
        <f ca="1"/>
        <v>17.81780317520662</v>
      </c>
      <c r="CO11" s="110">
        <f ca="1"/>
        <v>15.111937185475739</v>
      </c>
      <c r="CP11" s="34">
        <f ca="1"/>
        <v>12.56443052890792</v>
      </c>
      <c r="CQ11" s="9">
        <f ca="1"/>
        <v>10.217987093873178</v>
      </c>
      <c r="CR11" s="9">
        <f ca="1"/>
        <v>8.1255787703445499</v>
      </c>
      <c r="CS11" s="9">
        <f ca="1"/>
        <v>6.3373532975518563</v>
      </c>
      <c r="CT11" s="9">
        <f ca="1"/>
        <v>4.8948864113841033</v>
      </c>
      <c r="CU11" s="9">
        <f ca="1"/>
        <v>3.7614941641279733</v>
      </c>
      <c r="CV11" s="9">
        <f ca="1"/>
        <v>2.8837638822968628</v>
      </c>
      <c r="CW11" s="9">
        <f ca="1"/>
        <v>2.2131289472853677</v>
      </c>
      <c r="CX11" s="9">
        <f ca="1"/>
        <v>1.7020401013716313</v>
      </c>
      <c r="CY11" s="9">
        <f ca="1"/>
        <v>1.3066286690366429</v>
      </c>
      <c r="CZ11" s="9">
        <f ca="1"/>
        <v>0.99474387917435803</v>
      </c>
      <c r="DA11" s="9">
        <f ca="1"/>
        <v>0.74274481469739995</v>
      </c>
      <c r="DB11" s="9">
        <f ca="1"/>
        <v>0.54238951723332984</v>
      </c>
      <c r="DC11" s="9">
        <f ca="1"/>
        <v>0.38666669455666147</v>
      </c>
      <c r="DD11" s="9">
        <f ca="1"/>
        <v>0.26857880266867518</v>
      </c>
      <c r="DE11" s="9">
        <f ca="1"/>
        <v>0.18139093871499529</v>
      </c>
      <c r="DF11" s="9">
        <f ca="1"/>
        <v>0.11885369735016886</v>
      </c>
      <c r="DG11" s="9">
        <f ca="1"/>
        <v>7.5379978932006653E-2</v>
      </c>
      <c r="DH11" s="9">
        <f ca="1"/>
        <v>4.6162696766228813E-2</v>
      </c>
      <c r="DI11" s="9">
        <f ca="1"/>
        <v>2.7228211403981472E-2</v>
      </c>
      <c r="DJ11" s="9">
        <f ca="1"/>
        <v>1.5427568889959817E-2</v>
      </c>
      <c r="DK11" s="9">
        <f ca="1"/>
        <v>8.3743230680093476E-3</v>
      </c>
      <c r="DL11" s="9">
        <f ca="1"/>
        <v>4.343369898594014E-3</v>
      </c>
      <c r="DM11" s="9">
        <f ca="1"/>
        <v>2.148549180881758E-3</v>
      </c>
      <c r="DN11" s="9">
        <f ca="1"/>
        <v>1.016823440199349E-3</v>
      </c>
      <c r="DO11" s="9">
        <f ca="1"/>
        <v>4.7090015651318805E-4</v>
      </c>
      <c r="DP11" s="9">
        <f ca="1"/>
        <v>2.1303230858938735E-4</v>
      </c>
      <c r="DQ11" s="9">
        <f ca="1"/>
        <v>9.2557154641667989E-5</v>
      </c>
      <c r="DR11" s="9">
        <f ca="1"/>
        <v>3.4425235127941053E-5</v>
      </c>
    </row>
    <row r="12" spans="1:122" x14ac:dyDescent="0.25">
      <c r="A12" s="80"/>
      <c r="B12" s="29"/>
      <c r="C12" s="80" t="s">
        <v>71</v>
      </c>
      <c r="D12" s="27">
        <f>Q2-P2</f>
        <v>1.0721464516604939E-2</v>
      </c>
      <c r="E12" s="31"/>
      <c r="F12" s="31"/>
      <c r="G12" s="31"/>
      <c r="H12" s="31"/>
      <c r="I12" s="31"/>
      <c r="J12" s="89"/>
      <c r="K12" s="46">
        <v>1.06544901065449E-2</v>
      </c>
      <c r="L12" s="98">
        <f t="shared" si="7"/>
        <v>2.1308980213089797E-3</v>
      </c>
      <c r="M12"/>
      <c r="N12" s="30"/>
      <c r="O12" s="7">
        <v>2</v>
      </c>
      <c r="P12" s="101">
        <v>0</v>
      </c>
      <c r="Q12" s="103">
        <f>(Q$5-Q$6)*0.5*$D$11</f>
        <v>0.57875560186482089</v>
      </c>
      <c r="R12" s="103">
        <f t="shared" ref="R12:BN12" si="10">(R$5-R$6)*0.5*$D$11</f>
        <v>0.57875560186482089</v>
      </c>
      <c r="S12" s="103">
        <f t="shared" si="10"/>
        <v>0.57875560186482089</v>
      </c>
      <c r="T12" s="103">
        <f t="shared" si="10"/>
        <v>0.57875560186482089</v>
      </c>
      <c r="U12" s="103">
        <f t="shared" si="10"/>
        <v>0.4888354781633541</v>
      </c>
      <c r="V12" s="103">
        <f t="shared" si="10"/>
        <v>0.34712053406020038</v>
      </c>
      <c r="W12" s="103">
        <f t="shared" si="10"/>
        <v>0.22976373397159319</v>
      </c>
      <c r="X12" s="103">
        <f t="shared" si="10"/>
        <v>0.13676507789753245</v>
      </c>
      <c r="Y12" s="103">
        <f t="shared" si="10"/>
        <v>6.8124565838018028E-2</v>
      </c>
      <c r="Z12" s="103">
        <f t="shared" si="10"/>
        <v>2.3842197793047519E-2</v>
      </c>
      <c r="AA12" s="103">
        <f t="shared" si="10"/>
        <v>3.9179737626281047E-3</v>
      </c>
      <c r="AB12" s="103">
        <f t="shared" si="10"/>
        <v>8.3518937467551395E-3</v>
      </c>
      <c r="AC12" s="103">
        <f t="shared" si="10"/>
        <v>3.7143957745428627E-2</v>
      </c>
      <c r="AD12" s="103">
        <f t="shared" si="10"/>
        <v>9.0294165758648653E-2</v>
      </c>
      <c r="AE12" s="103">
        <f t="shared" si="10"/>
        <v>0.16780251778641514</v>
      </c>
      <c r="AF12" s="103">
        <f t="shared" si="10"/>
        <v>0.26966901382873837</v>
      </c>
      <c r="AG12" s="103">
        <f t="shared" si="10"/>
        <v>0.39589365388560099</v>
      </c>
      <c r="AH12" s="103">
        <f t="shared" si="10"/>
        <v>0.54647643795701051</v>
      </c>
      <c r="AI12" s="103">
        <f t="shared" si="10"/>
        <v>0.598696929523306</v>
      </c>
      <c r="AJ12" s="103">
        <f t="shared" si="10"/>
        <v>0.60760098184922329</v>
      </c>
      <c r="AK12" s="103">
        <f t="shared" si="10"/>
        <v>0.61657105266760059</v>
      </c>
      <c r="AL12" s="103">
        <f t="shared" si="10"/>
        <v>0.61440914331718421</v>
      </c>
      <c r="AM12" s="103">
        <f t="shared" si="10"/>
        <v>0.58183876650139488</v>
      </c>
      <c r="AN12" s="103">
        <f t="shared" si="10"/>
        <v>0.55015935488379131</v>
      </c>
      <c r="AO12" s="103">
        <f t="shared" si="10"/>
        <v>0.51937090846437406</v>
      </c>
      <c r="AP12" s="103">
        <f t="shared" si="10"/>
        <v>0.58691866840817242</v>
      </c>
      <c r="AQ12" s="103">
        <f t="shared" si="10"/>
        <v>0.6847616399455918</v>
      </c>
      <c r="AR12" s="103">
        <f t="shared" si="10"/>
        <v>0.79017590149957473</v>
      </c>
      <c r="AS12" s="103">
        <f t="shared" si="10"/>
        <v>0.92924537459323531</v>
      </c>
      <c r="AT12" s="103">
        <f t="shared" si="10"/>
        <v>1.1333960061195063</v>
      </c>
      <c r="AU12" s="103">
        <f t="shared" si="10"/>
        <v>1.3578554106058767</v>
      </c>
      <c r="AV12" s="103">
        <f t="shared" si="10"/>
        <v>1.6026235880523465</v>
      </c>
      <c r="AW12" s="103">
        <f t="shared" si="10"/>
        <v>1.5510825264162793</v>
      </c>
      <c r="AX12" s="103">
        <f t="shared" si="10"/>
        <v>1.4635085811230353</v>
      </c>
      <c r="AY12" s="103">
        <f t="shared" si="10"/>
        <v>1.3784837434976194</v>
      </c>
      <c r="AZ12" s="103">
        <f t="shared" si="10"/>
        <v>1.296008013540046</v>
      </c>
      <c r="BA12" s="103">
        <f t="shared" si="10"/>
        <v>1.2160813912503075</v>
      </c>
      <c r="BB12" s="103">
        <f t="shared" si="10"/>
        <v>1.138703876628405</v>
      </c>
      <c r="BC12" s="103">
        <f t="shared" si="10"/>
        <v>1.0638754696743375</v>
      </c>
      <c r="BD12" s="103">
        <f t="shared" si="10"/>
        <v>0.99159617038810532</v>
      </c>
      <c r="BE12" s="103">
        <f t="shared" si="10"/>
        <v>0.92186597876970289</v>
      </c>
      <c r="BF12" s="103">
        <f t="shared" si="10"/>
        <v>0.85468489481914167</v>
      </c>
      <c r="BG12" s="103">
        <f t="shared" si="10"/>
        <v>0.79005291853641579</v>
      </c>
      <c r="BH12" s="103">
        <f t="shared" si="10"/>
        <v>0.72797004992152525</v>
      </c>
      <c r="BI12" s="103">
        <f t="shared" si="10"/>
        <v>0.66843628897446972</v>
      </c>
      <c r="BJ12" s="103">
        <f t="shared" si="10"/>
        <v>0.61444162213068076</v>
      </c>
      <c r="BK12" s="103">
        <f t="shared" si="10"/>
        <v>0.61444162213068076</v>
      </c>
      <c r="BL12" s="103">
        <f t="shared" si="10"/>
        <v>0.61444162213068076</v>
      </c>
      <c r="BM12" s="103">
        <f t="shared" si="10"/>
        <v>0.61444162213068076</v>
      </c>
      <c r="BN12" s="103">
        <f t="shared" si="10"/>
        <v>0.61444162213068076</v>
      </c>
      <c r="BR12" s="4"/>
      <c r="BS12" s="105">
        <f t="shared" si="1"/>
        <v>2.1308980213089801E-2</v>
      </c>
      <c r="BT12" s="109" cm="1">
        <f t="array" aca="1" ref="BT12:DR12" ca="1">TRANSPOSE(MMULT(OFFSET(_xlfn.ANCHORARRAY($P$222),0,0),TRANSPOSE(BT11:DR11)))</f>
        <v>9.7472301761594125</v>
      </c>
      <c r="BU12" s="109">
        <f ca="1"/>
        <v>19.174380317421658</v>
      </c>
      <c r="BV12" s="109">
        <f ca="1"/>
        <v>27.821442193181621</v>
      </c>
      <c r="BW12" s="109">
        <f ca="1"/>
        <v>35.34180294991495</v>
      </c>
      <c r="BX12" s="109">
        <f ca="1"/>
        <v>41.544749073854419</v>
      </c>
      <c r="BY12" s="109">
        <f ca="1"/>
        <v>46.401330346549194</v>
      </c>
      <c r="BZ12" s="109">
        <f ca="1"/>
        <v>49.790195387907005</v>
      </c>
      <c r="CA12" s="109">
        <f ca="1"/>
        <v>51.488994733946861</v>
      </c>
      <c r="CB12" s="109">
        <f ca="1"/>
        <v>51.435493153651819</v>
      </c>
      <c r="CC12" s="109">
        <f ca="1"/>
        <v>49.854576064701931</v>
      </c>
      <c r="CD12" s="109">
        <f ca="1"/>
        <v>47.312938971683018</v>
      </c>
      <c r="CE12" s="109">
        <f ca="1"/>
        <v>44.440605259629805</v>
      </c>
      <c r="CF12" s="109">
        <f ca="1"/>
        <v>41.507357318980418</v>
      </c>
      <c r="CG12" s="109">
        <f ca="1"/>
        <v>38.542756647713595</v>
      </c>
      <c r="CH12" s="109">
        <f ca="1"/>
        <v>35.552202934996501</v>
      </c>
      <c r="CI12" s="109">
        <f ca="1"/>
        <v>32.54984890220026</v>
      </c>
      <c r="CJ12" s="109">
        <f ca="1"/>
        <v>29.555841820228007</v>
      </c>
      <c r="CK12" s="109">
        <f ca="1"/>
        <v>26.590291819689089</v>
      </c>
      <c r="CL12" s="109">
        <f ca="1"/>
        <v>23.66970642565607</v>
      </c>
      <c r="CM12" s="109">
        <f ca="1"/>
        <v>20.805940461924017</v>
      </c>
      <c r="CN12" s="109">
        <f ca="1"/>
        <v>18.026148182062496</v>
      </c>
      <c r="CO12" s="110">
        <f ca="1"/>
        <v>15.366417145103926</v>
      </c>
      <c r="CP12" s="34">
        <f ca="1"/>
        <v>12.863422073003115</v>
      </c>
      <c r="CQ12" s="9">
        <f ca="1"/>
        <v>10.555881249562947</v>
      </c>
      <c r="CR12" s="9">
        <f ca="1"/>
        <v>8.4925490831170372</v>
      </c>
      <c r="CS12" s="9">
        <f ca="1"/>
        <v>6.7194844267325209</v>
      </c>
      <c r="CT12" s="9">
        <f ca="1"/>
        <v>5.2759432163881748</v>
      </c>
      <c r="CU12" s="9">
        <f ca="1"/>
        <v>4.1274634872787983</v>
      </c>
      <c r="CV12" s="9">
        <f ca="1"/>
        <v>3.2248885446173103</v>
      </c>
      <c r="CW12" s="9">
        <f ca="1"/>
        <v>2.5230051525784316</v>
      </c>
      <c r="CX12" s="9">
        <f ca="1"/>
        <v>1.9777049916126592</v>
      </c>
      <c r="CY12" s="9">
        <f ca="1"/>
        <v>1.547245942067452</v>
      </c>
      <c r="CZ12" s="9">
        <f ca="1"/>
        <v>1.200853074134089</v>
      </c>
      <c r="DA12" s="9">
        <f ca="1"/>
        <v>0.91566161474060359</v>
      </c>
      <c r="DB12" s="9">
        <f ca="1"/>
        <v>0.68421503006060191</v>
      </c>
      <c r="DC12" s="9">
        <f ca="1"/>
        <v>0.50017981032468817</v>
      </c>
      <c r="DD12" s="9">
        <f ca="1"/>
        <v>0.35705764873919832</v>
      </c>
      <c r="DE12" s="9">
        <f ca="1"/>
        <v>0.24840969843757227</v>
      </c>
      <c r="DF12" s="9">
        <f ca="1"/>
        <v>0.16806993359186589</v>
      </c>
      <c r="DG12" s="9">
        <f ca="1"/>
        <v>0.1103335533495933</v>
      </c>
      <c r="DH12" s="9">
        <f ca="1"/>
        <v>7.0106240625700852E-2</v>
      </c>
      <c r="DI12" s="9">
        <f ca="1"/>
        <v>4.3003508686595165E-2</v>
      </c>
      <c r="DJ12" s="9">
        <f ca="1"/>
        <v>2.5395161698539087E-2</v>
      </c>
      <c r="DK12" s="9">
        <f ca="1"/>
        <v>1.4396322079043766E-2</v>
      </c>
      <c r="DL12" s="9">
        <f ca="1"/>
        <v>7.8124557664415823E-3</v>
      </c>
      <c r="DM12" s="9">
        <f ca="1"/>
        <v>4.0506251645658206E-3</v>
      </c>
      <c r="DN12" s="9">
        <f ca="1"/>
        <v>2.0121036121452944E-3</v>
      </c>
      <c r="DO12" s="9">
        <f ca="1"/>
        <v>9.7697889393636664E-4</v>
      </c>
      <c r="DP12" s="9">
        <f ca="1"/>
        <v>4.6248388562116269E-4</v>
      </c>
      <c r="DQ12" s="9">
        <f ca="1"/>
        <v>2.0934294399267331E-4</v>
      </c>
      <c r="DR12" s="9">
        <f ca="1"/>
        <v>8.0302799669233139E-5</v>
      </c>
    </row>
    <row r="13" spans="1:122" x14ac:dyDescent="0.25">
      <c r="A13" s="85" t="s">
        <v>36</v>
      </c>
      <c r="C13" s="15"/>
      <c r="D13" s="31"/>
      <c r="E13" s="31"/>
      <c r="F13" s="31"/>
      <c r="G13" s="31"/>
      <c r="H13" s="31"/>
      <c r="I13" s="31"/>
      <c r="J13" s="90"/>
      <c r="K13" s="46">
        <v>1.2785388127853882E-2</v>
      </c>
      <c r="L13" s="98">
        <f t="shared" si="7"/>
        <v>2.1308980213089815E-3</v>
      </c>
      <c r="M13"/>
      <c r="N13" s="30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R13" s="4"/>
      <c r="BS13" s="105">
        <f t="shared" si="1"/>
        <v>2.3439878234398782E-2</v>
      </c>
      <c r="BT13" s="109" cm="1">
        <f t="array" aca="1" ref="BT13:DR13" ca="1">TRANSPOSE(MMULT(OFFSET(_xlfn.ANCHORARRAY($P$222),0,0),TRANSPOSE(BT12:DR12)))</f>
        <v>9.2024537863701816</v>
      </c>
      <c r="BU13" s="109">
        <f ca="1"/>
        <v>18.149320970051502</v>
      </c>
      <c r="BV13" s="109">
        <f ca="1"/>
        <v>26.442219103581071</v>
      </c>
      <c r="BW13" s="109">
        <f ca="1"/>
        <v>33.774281302561768</v>
      </c>
      <c r="BX13" s="109">
        <f ca="1"/>
        <v>39.961881742983273</v>
      </c>
      <c r="BY13" s="109">
        <f ca="1"/>
        <v>44.956934131526396</v>
      </c>
      <c r="BZ13" s="109">
        <f ca="1"/>
        <v>48.617176748793156</v>
      </c>
      <c r="CA13" s="109">
        <f ca="1"/>
        <v>50.686400836716096</v>
      </c>
      <c r="CB13" s="109">
        <f ca="1"/>
        <v>51.024452364200087</v>
      </c>
      <c r="CC13" s="109">
        <f ca="1"/>
        <v>49.742037948655195</v>
      </c>
      <c r="CD13" s="109">
        <f ca="1"/>
        <v>47.326640070900702</v>
      </c>
      <c r="CE13" s="109">
        <f ca="1"/>
        <v>44.471658050757846</v>
      </c>
      <c r="CF13" s="109">
        <f ca="1"/>
        <v>41.539047782566158</v>
      </c>
      <c r="CG13" s="109">
        <f ca="1"/>
        <v>38.575253428490704</v>
      </c>
      <c r="CH13" s="109">
        <f ca="1"/>
        <v>35.58849109279199</v>
      </c>
      <c r="CI13" s="109">
        <f ca="1"/>
        <v>32.596696129035728</v>
      </c>
      <c r="CJ13" s="109">
        <f ca="1"/>
        <v>29.621976481494819</v>
      </c>
      <c r="CK13" s="109">
        <f ca="1"/>
        <v>26.684087233640732</v>
      </c>
      <c r="CL13" s="109">
        <f ca="1"/>
        <v>23.797835861123765</v>
      </c>
      <c r="CM13" s="109">
        <f ca="1"/>
        <v>20.972928491389851</v>
      </c>
      <c r="CN13" s="109">
        <f ca="1"/>
        <v>18.234864567464733</v>
      </c>
      <c r="CO13" s="110">
        <f ca="1"/>
        <v>15.617554590445234</v>
      </c>
      <c r="CP13" s="34">
        <f ca="1"/>
        <v>13.154821702775509</v>
      </c>
      <c r="CQ13" s="9">
        <f ca="1"/>
        <v>10.882225494152797</v>
      </c>
      <c r="CR13" s="9">
        <f ca="1"/>
        <v>8.8449072247924718</v>
      </c>
      <c r="CS13" s="9">
        <f ca="1"/>
        <v>7.0858054257651562</v>
      </c>
      <c r="CT13" s="9">
        <f ca="1"/>
        <v>5.6419930963009888</v>
      </c>
      <c r="CU13" s="9">
        <f ca="1"/>
        <v>4.4811435599033747</v>
      </c>
      <c r="CV13" s="9">
        <f ca="1"/>
        <v>3.5571548714936712</v>
      </c>
      <c r="CW13" s="9">
        <f ca="1"/>
        <v>2.8280316043340692</v>
      </c>
      <c r="CX13" s="9">
        <f ca="1"/>
        <v>2.25217214014677</v>
      </c>
      <c r="CY13" s="9">
        <f ca="1"/>
        <v>1.7899050886699679</v>
      </c>
      <c r="CZ13" s="9">
        <f ca="1"/>
        <v>1.4117001318460241</v>
      </c>
      <c r="DA13" s="9">
        <f ca="1"/>
        <v>1.0954375805363394</v>
      </c>
      <c r="DB13" s="9">
        <f ca="1"/>
        <v>0.83438453064084017</v>
      </c>
      <c r="DC13" s="9">
        <f ca="1"/>
        <v>0.62286654046354917</v>
      </c>
      <c r="DD13" s="9">
        <f ca="1"/>
        <v>0.45491322484003599</v>
      </c>
      <c r="DE13" s="9">
        <f ca="1"/>
        <v>0.32445513619512445</v>
      </c>
      <c r="DF13" s="9">
        <f ca="1"/>
        <v>0.22552233996903001</v>
      </c>
      <c r="DG13" s="9">
        <f ca="1"/>
        <v>0.15243113985272261</v>
      </c>
      <c r="DH13" s="9">
        <f ca="1"/>
        <v>9.9946440238921325E-2</v>
      </c>
      <c r="DI13" s="9">
        <f ca="1"/>
        <v>6.3408559848881274E-2</v>
      </c>
      <c r="DJ13" s="9">
        <f ca="1"/>
        <v>3.8816100310314031E-2</v>
      </c>
      <c r="DK13" s="9">
        <f ca="1"/>
        <v>2.286092860823196E-2</v>
      </c>
      <c r="DL13" s="9">
        <f ca="1"/>
        <v>1.2916687270892679E-2</v>
      </c>
      <c r="DM13" s="9">
        <f ca="1"/>
        <v>6.9875089554029043E-3</v>
      </c>
      <c r="DN13" s="9">
        <f ca="1"/>
        <v>3.6279569063516234E-3</v>
      </c>
      <c r="DO13" s="9">
        <f ca="1"/>
        <v>1.8401400597532985E-3</v>
      </c>
      <c r="DP13" s="9">
        <f ca="1"/>
        <v>9.0848182347862691E-4</v>
      </c>
      <c r="DQ13" s="9">
        <f ca="1"/>
        <v>4.2710633411224922E-4</v>
      </c>
      <c r="DR13" s="9">
        <f ca="1"/>
        <v>1.6853346059397047E-4</v>
      </c>
    </row>
    <row r="14" spans="1:122" x14ac:dyDescent="0.25">
      <c r="A14" s="64" t="s">
        <v>41</v>
      </c>
      <c r="B14" s="64" t="s">
        <v>38</v>
      </c>
      <c r="C14" s="64" t="s">
        <v>39</v>
      </c>
      <c r="D14" s="116" t="s">
        <v>75</v>
      </c>
      <c r="E14" s="64" t="s">
        <v>74</v>
      </c>
      <c r="F14" s="111" t="s">
        <v>65</v>
      </c>
      <c r="G14" s="111" t="s">
        <v>64</v>
      </c>
      <c r="H14" s="111" t="s">
        <v>66</v>
      </c>
      <c r="J14" s="89"/>
      <c r="K14" s="46">
        <v>1.4916286149162862E-2</v>
      </c>
      <c r="L14" s="98">
        <f t="shared" si="7"/>
        <v>2.1308980213089797E-3</v>
      </c>
      <c r="M14"/>
      <c r="N14" s="30"/>
      <c r="O14" s="11" t="s">
        <v>17</v>
      </c>
      <c r="P14" s="11">
        <f t="shared" ref="P14:AJ14" si="11">P11</f>
        <v>50</v>
      </c>
      <c r="Q14" s="11">
        <f t="shared" si="11"/>
        <v>49</v>
      </c>
      <c r="R14" s="11">
        <f t="shared" si="11"/>
        <v>48</v>
      </c>
      <c r="S14" s="11">
        <f t="shared" si="11"/>
        <v>47</v>
      </c>
      <c r="T14" s="11">
        <f t="shared" si="11"/>
        <v>46</v>
      </c>
      <c r="U14" s="11">
        <f t="shared" si="11"/>
        <v>45</v>
      </c>
      <c r="V14" s="11">
        <f t="shared" si="11"/>
        <v>44</v>
      </c>
      <c r="W14" s="11">
        <f t="shared" si="11"/>
        <v>43</v>
      </c>
      <c r="X14" s="11">
        <f t="shared" si="11"/>
        <v>42</v>
      </c>
      <c r="Y14" s="11">
        <f t="shared" si="11"/>
        <v>41</v>
      </c>
      <c r="Z14" s="11">
        <f t="shared" si="11"/>
        <v>40</v>
      </c>
      <c r="AA14" s="11">
        <f t="shared" si="11"/>
        <v>39</v>
      </c>
      <c r="AB14" s="11">
        <f t="shared" si="11"/>
        <v>38</v>
      </c>
      <c r="AC14" s="11">
        <f t="shared" si="11"/>
        <v>37</v>
      </c>
      <c r="AD14" s="11">
        <f t="shared" si="11"/>
        <v>36</v>
      </c>
      <c r="AE14" s="11">
        <f t="shared" si="11"/>
        <v>35</v>
      </c>
      <c r="AF14" s="11">
        <f t="shared" si="11"/>
        <v>34</v>
      </c>
      <c r="AG14" s="11">
        <f t="shared" si="11"/>
        <v>33</v>
      </c>
      <c r="AH14" s="11">
        <f t="shared" si="11"/>
        <v>32</v>
      </c>
      <c r="AI14" s="11">
        <f t="shared" si="11"/>
        <v>31</v>
      </c>
      <c r="AJ14" s="11">
        <f t="shared" si="11"/>
        <v>30</v>
      </c>
      <c r="AK14" s="11">
        <f t="shared" ref="AK14:BN14" si="12">AK11</f>
        <v>29</v>
      </c>
      <c r="AL14" s="11">
        <f t="shared" si="12"/>
        <v>28</v>
      </c>
      <c r="AM14" s="11">
        <f t="shared" si="12"/>
        <v>27</v>
      </c>
      <c r="AN14" s="11">
        <f t="shared" si="12"/>
        <v>26</v>
      </c>
      <c r="AO14" s="11">
        <f t="shared" si="12"/>
        <v>25</v>
      </c>
      <c r="AP14" s="11">
        <f t="shared" si="12"/>
        <v>24</v>
      </c>
      <c r="AQ14" s="11">
        <f t="shared" si="12"/>
        <v>23</v>
      </c>
      <c r="AR14" s="11">
        <f t="shared" si="12"/>
        <v>22</v>
      </c>
      <c r="AS14" s="11">
        <f t="shared" si="12"/>
        <v>21</v>
      </c>
      <c r="AT14" s="11">
        <f t="shared" si="12"/>
        <v>20</v>
      </c>
      <c r="AU14" s="11">
        <f t="shared" si="12"/>
        <v>19</v>
      </c>
      <c r="AV14" s="11">
        <f t="shared" si="12"/>
        <v>18</v>
      </c>
      <c r="AW14" s="11">
        <f t="shared" si="12"/>
        <v>17</v>
      </c>
      <c r="AX14" s="11">
        <f t="shared" si="12"/>
        <v>16</v>
      </c>
      <c r="AY14" s="11">
        <f t="shared" si="12"/>
        <v>15</v>
      </c>
      <c r="AZ14" s="11">
        <f t="shared" si="12"/>
        <v>14</v>
      </c>
      <c r="BA14" s="11">
        <f t="shared" si="12"/>
        <v>13</v>
      </c>
      <c r="BB14" s="11">
        <f t="shared" si="12"/>
        <v>12</v>
      </c>
      <c r="BC14" s="11">
        <f t="shared" si="12"/>
        <v>11</v>
      </c>
      <c r="BD14" s="11">
        <f t="shared" si="12"/>
        <v>10</v>
      </c>
      <c r="BE14" s="11">
        <f t="shared" si="12"/>
        <v>9</v>
      </c>
      <c r="BF14" s="11">
        <f t="shared" si="12"/>
        <v>8</v>
      </c>
      <c r="BG14" s="11">
        <f t="shared" si="12"/>
        <v>7</v>
      </c>
      <c r="BH14" s="11">
        <f t="shared" si="12"/>
        <v>6</v>
      </c>
      <c r="BI14" s="11">
        <f t="shared" si="12"/>
        <v>5</v>
      </c>
      <c r="BJ14" s="11">
        <f t="shared" si="12"/>
        <v>4</v>
      </c>
      <c r="BK14" s="11">
        <f t="shared" si="12"/>
        <v>3</v>
      </c>
      <c r="BL14" s="11">
        <f t="shared" si="12"/>
        <v>2</v>
      </c>
      <c r="BM14" s="11">
        <f t="shared" si="12"/>
        <v>1</v>
      </c>
      <c r="BN14" s="11">
        <f t="shared" si="12"/>
        <v>0</v>
      </c>
      <c r="BR14" s="4"/>
      <c r="BS14" s="105">
        <f t="shared" si="1"/>
        <v>2.5570776255707764E-2</v>
      </c>
      <c r="BT14" s="109" cm="1">
        <f t="array" aca="1" ref="BT14:DR14" ca="1">TRANSPOSE(MMULT(OFFSET(_xlfn.ANCHORARRAY($P$222),0,0),TRANSPOSE(BT13:DR13)))</f>
        <v>8.7345090670241152</v>
      </c>
      <c r="BU14" s="109">
        <f ca="1"/>
        <v>17.263825424690044</v>
      </c>
      <c r="BV14" s="109">
        <f ca="1"/>
        <v>25.240865449782603</v>
      </c>
      <c r="BW14" s="109">
        <f ca="1"/>
        <v>32.39117150162226</v>
      </c>
      <c r="BX14" s="109">
        <f ca="1"/>
        <v>38.541654049133378</v>
      </c>
      <c r="BY14" s="109">
        <f ca="1"/>
        <v>43.631428114364645</v>
      </c>
      <c r="BZ14" s="109">
        <f ca="1"/>
        <v>47.507213307319219</v>
      </c>
      <c r="CA14" s="109">
        <f ca="1"/>
        <v>49.892474988428695</v>
      </c>
      <c r="CB14" s="109">
        <f ca="1"/>
        <v>50.588592854255246</v>
      </c>
      <c r="CC14" s="109">
        <f ca="1"/>
        <v>49.605566229078377</v>
      </c>
      <c r="CD14" s="109">
        <f ca="1"/>
        <v>47.33462179326289</v>
      </c>
      <c r="CE14" s="109">
        <f ca="1"/>
        <v>44.502550995161442</v>
      </c>
      <c r="CF14" s="109">
        <f ca="1"/>
        <v>41.570731623189481</v>
      </c>
      <c r="CG14" s="109">
        <f ca="1"/>
        <v>38.607949947753625</v>
      </c>
      <c r="CH14" s="109">
        <f ca="1"/>
        <v>35.625908188876565</v>
      </c>
      <c r="CI14" s="109">
        <f ca="1"/>
        <v>32.646147242346728</v>
      </c>
      <c r="CJ14" s="109">
        <f ca="1"/>
        <v>29.691943016947437</v>
      </c>
      <c r="CK14" s="109">
        <f ca="1"/>
        <v>26.78210366343702</v>
      </c>
      <c r="CL14" s="109">
        <f ca="1"/>
        <v>23.92953447587259</v>
      </c>
      <c r="CM14" s="109">
        <f ca="1"/>
        <v>21.141871861906711</v>
      </c>
      <c r="CN14" s="109">
        <f ca="1"/>
        <v>18.443034947877972</v>
      </c>
      <c r="CO14" s="110">
        <f ca="1"/>
        <v>15.864949515535415</v>
      </c>
      <c r="CP14" s="34">
        <f ca="1"/>
        <v>13.439020026711844</v>
      </c>
      <c r="CQ14" s="9">
        <f ca="1"/>
        <v>11.198114342850948</v>
      </c>
      <c r="CR14" s="9">
        <f ca="1"/>
        <v>9.1844333129252718</v>
      </c>
      <c r="CS14" s="9">
        <f ca="1"/>
        <v>7.4382432181458098</v>
      </c>
      <c r="CT14" s="9">
        <f ca="1"/>
        <v>5.9948488330571923</v>
      </c>
      <c r="CU14" s="9">
        <f ca="1"/>
        <v>4.8235851191839316</v>
      </c>
      <c r="CV14" s="9">
        <f ca="1"/>
        <v>3.8810763416255885</v>
      </c>
      <c r="CW14" s="9">
        <f ca="1"/>
        <v>3.1278027237772363</v>
      </c>
      <c r="CX14" s="9">
        <f ca="1"/>
        <v>2.5245047719988474</v>
      </c>
      <c r="CY14" s="9">
        <f ca="1"/>
        <v>2.0332292920506063</v>
      </c>
      <c r="CZ14" s="9">
        <f ca="1"/>
        <v>1.6256159387448945</v>
      </c>
      <c r="DA14" s="9">
        <f ca="1"/>
        <v>1.2802768039106498</v>
      </c>
      <c r="DB14" s="9">
        <f ca="1"/>
        <v>0.99113277068925831</v>
      </c>
      <c r="DC14" s="9">
        <f ca="1"/>
        <v>0.75312256990989312</v>
      </c>
      <c r="DD14" s="9">
        <f ca="1"/>
        <v>0.56080103042278773</v>
      </c>
      <c r="DE14" s="9">
        <f ca="1"/>
        <v>0.40850591008418274</v>
      </c>
      <c r="DF14" s="9">
        <f ca="1"/>
        <v>0.2905351775773054</v>
      </c>
      <c r="DG14" s="9">
        <f ca="1"/>
        <v>0.20132394955615124</v>
      </c>
      <c r="DH14" s="9">
        <f ca="1"/>
        <v>0.13560917786506227</v>
      </c>
      <c r="DI14" s="9">
        <f ca="1"/>
        <v>8.8570821491725737E-2</v>
      </c>
      <c r="DJ14" s="9">
        <f ca="1"/>
        <v>5.5939966114097933E-2</v>
      </c>
      <c r="DK14" s="9">
        <f ca="1"/>
        <v>3.4067162853740861E-2</v>
      </c>
      <c r="DL14" s="9">
        <f ca="1"/>
        <v>1.9948184874976224E-2</v>
      </c>
      <c r="DM14" s="9">
        <f ca="1"/>
        <v>1.1209073936034134E-2</v>
      </c>
      <c r="DN14" s="9">
        <f ca="1"/>
        <v>6.0570953262262025E-3</v>
      </c>
      <c r="DO14" s="9">
        <f ca="1"/>
        <v>3.1967899801517347E-3</v>
      </c>
      <c r="DP14" s="9">
        <f ca="1"/>
        <v>1.6400844282219733E-3</v>
      </c>
      <c r="DQ14" s="9">
        <f ca="1"/>
        <v>7.9815229751864242E-4</v>
      </c>
      <c r="DR14" s="9">
        <f ca="1"/>
        <v>3.230874973526331E-4</v>
      </c>
    </row>
    <row r="15" spans="1:122" x14ac:dyDescent="0.25">
      <c r="A15" s="94">
        <v>-3</v>
      </c>
      <c r="B15" s="94">
        <f>$B$8*EXP(A15*$B$9%*SQRT($B$7))</f>
        <v>253.96867922392701</v>
      </c>
      <c r="C15" s="94">
        <f>LN(B15)</f>
        <v>5.537210949273196</v>
      </c>
      <c r="D15" s="94"/>
      <c r="E15" s="94">
        <f>_xlfn.FORECAST.LINEAR(C15,E16:E17,C16:C17)</f>
        <v>-35.162444914965818</v>
      </c>
      <c r="F15" s="94"/>
      <c r="G15" s="94"/>
      <c r="H15" s="94"/>
      <c r="J15" s="89"/>
      <c r="K15" s="46">
        <v>1.7047184170471841E-2</v>
      </c>
      <c r="L15" s="98">
        <f t="shared" si="7"/>
        <v>2.1308980213089797E-3</v>
      </c>
      <c r="M15"/>
      <c r="N15" s="30"/>
      <c r="O15" s="7">
        <v>2</v>
      </c>
      <c r="P15" s="103">
        <f>(P$7-2*P$5)*$D$11*0.5</f>
        <v>-1.1459946096861404</v>
      </c>
      <c r="Q15" s="103">
        <f t="shared" ref="Q15:BN15" si="13">(Q$7-2*Q$5)*$D$11*0.5</f>
        <v>-1.1459946096861404</v>
      </c>
      <c r="R15" s="103">
        <f t="shared" si="13"/>
        <v>-1.1459946096861404</v>
      </c>
      <c r="S15" s="103">
        <f t="shared" si="13"/>
        <v>-1.1459946096861404</v>
      </c>
      <c r="T15" s="103">
        <f t="shared" si="13"/>
        <v>-1.1459946096861404</v>
      </c>
      <c r="U15" s="103">
        <f t="shared" si="13"/>
        <v>-0.96711329710596283</v>
      </c>
      <c r="V15" s="103">
        <f t="shared" si="13"/>
        <v>-0.68519469902261632</v>
      </c>
      <c r="W15" s="103">
        <f t="shared" si="13"/>
        <v>-0.45173262650861784</v>
      </c>
      <c r="X15" s="103">
        <f t="shared" si="13"/>
        <v>-0.26672707956396735</v>
      </c>
      <c r="Y15" s="103">
        <f t="shared" si="13"/>
        <v>-0.13017805818866479</v>
      </c>
      <c r="Z15" s="103">
        <f t="shared" si="13"/>
        <v>-4.2085562382705145E-2</v>
      </c>
      <c r="AA15" s="103">
        <f t="shared" si="13"/>
        <v>-2.4495921461027905E-3</v>
      </c>
      <c r="AB15" s="103">
        <f t="shared" si="13"/>
        <v>-1.1270147478848467E-2</v>
      </c>
      <c r="AC15" s="103">
        <f t="shared" si="13"/>
        <v>-6.8547228380942182E-2</v>
      </c>
      <c r="AD15" s="103">
        <f t="shared" si="13"/>
        <v>-0.1742808348523841</v>
      </c>
      <c r="AE15" s="103">
        <f t="shared" si="13"/>
        <v>-0.32847096689317412</v>
      </c>
      <c r="AF15" s="103">
        <f t="shared" si="13"/>
        <v>-0.53111762450333266</v>
      </c>
      <c r="AG15" s="103">
        <f t="shared" si="13"/>
        <v>-0.7822208076828252</v>
      </c>
      <c r="AH15" s="103">
        <f t="shared" si="13"/>
        <v>-1.0817805164316665</v>
      </c>
      <c r="AI15" s="103">
        <f t="shared" si="13"/>
        <v>-1.1856646047807204</v>
      </c>
      <c r="AJ15" s="103">
        <f t="shared" si="13"/>
        <v>-1.2033777539822343</v>
      </c>
      <c r="AK15" s="103">
        <f t="shared" si="13"/>
        <v>-1.2212222361279179</v>
      </c>
      <c r="AL15" s="103">
        <f t="shared" si="13"/>
        <v>-1.2169214726684972</v>
      </c>
      <c r="AM15" s="103">
        <f t="shared" si="13"/>
        <v>-1.1521280591787388</v>
      </c>
      <c r="AN15" s="103">
        <f t="shared" si="13"/>
        <v>-1.0891070745686806</v>
      </c>
      <c r="AO15" s="103">
        <f t="shared" si="13"/>
        <v>-1.0278585188383245</v>
      </c>
      <c r="AP15" s="103">
        <f t="shared" si="13"/>
        <v>-1.1622336894142995</v>
      </c>
      <c r="AQ15" s="103">
        <f t="shared" si="13"/>
        <v>-1.3568762060712583</v>
      </c>
      <c r="AR15" s="103">
        <f t="shared" si="13"/>
        <v>-1.5665805602828953</v>
      </c>
      <c r="AS15" s="103">
        <f t="shared" si="13"/>
        <v>-1.8432364284333735</v>
      </c>
      <c r="AT15" s="103">
        <f t="shared" si="13"/>
        <v>-2.2493605687062788</v>
      </c>
      <c r="AU15" s="103">
        <f t="shared" si="13"/>
        <v>-2.6958856761315033</v>
      </c>
      <c r="AV15" s="103">
        <f t="shared" si="13"/>
        <v>-3.1828117507090465</v>
      </c>
      <c r="AW15" s="103">
        <f t="shared" si="13"/>
        <v>-3.0802792765785072</v>
      </c>
      <c r="AX15" s="103">
        <f t="shared" si="13"/>
        <v>-2.9060653004735721</v>
      </c>
      <c r="AY15" s="103">
        <f t="shared" si="13"/>
        <v>-2.7369223552653823</v>
      </c>
      <c r="AZ15" s="103">
        <f t="shared" si="13"/>
        <v>-2.5728504409539661</v>
      </c>
      <c r="BA15" s="103">
        <f t="shared" si="13"/>
        <v>-2.4138495575393089</v>
      </c>
      <c r="BB15" s="103">
        <f t="shared" si="13"/>
        <v>-2.2599197050214119</v>
      </c>
      <c r="BC15" s="103">
        <f t="shared" si="13"/>
        <v>-2.1110608834002749</v>
      </c>
      <c r="BD15" s="103">
        <f t="shared" si="13"/>
        <v>-1.9672730926758963</v>
      </c>
      <c r="BE15" s="103">
        <f t="shared" si="13"/>
        <v>-1.8285563328482668</v>
      </c>
      <c r="BF15" s="103">
        <f t="shared" si="13"/>
        <v>-1.6949106039174082</v>
      </c>
      <c r="BG15" s="103">
        <f t="shared" si="13"/>
        <v>-1.5663359058833095</v>
      </c>
      <c r="BH15" s="103">
        <f t="shared" si="13"/>
        <v>-1.44283223874597</v>
      </c>
      <c r="BI15" s="103">
        <f t="shared" si="13"/>
        <v>-1.3243996025053897</v>
      </c>
      <c r="BJ15" s="103">
        <f t="shared" si="13"/>
        <v>-1.216986083931807</v>
      </c>
      <c r="BK15" s="103">
        <f t="shared" si="13"/>
        <v>-1.216986083931807</v>
      </c>
      <c r="BL15" s="103">
        <f t="shared" si="13"/>
        <v>-1.216986083931807</v>
      </c>
      <c r="BM15" s="103">
        <f t="shared" si="13"/>
        <v>-1.216986083931807</v>
      </c>
      <c r="BN15" s="103">
        <f t="shared" si="13"/>
        <v>-1.216986083931807</v>
      </c>
      <c r="BR15" s="4"/>
      <c r="BS15" s="105">
        <f t="shared" si="1"/>
        <v>2.7701674277016742E-2</v>
      </c>
      <c r="BT15" s="109" cm="1">
        <f t="array" aca="1" ref="BT15:DR15" ca="1">TRANSPOSE(MMULT(OFFSET(_xlfn.ANCHORARRAY($P$222),0,0),TRANSPOSE(BT14:DR14)))</f>
        <v>8.3282027019440878</v>
      </c>
      <c r="BU15" s="109">
        <f ca="1"/>
        <v>16.491732787585203</v>
      </c>
      <c r="BV15" s="109">
        <f ca="1"/>
        <v>24.185310668637076</v>
      </c>
      <c r="BW15" s="109">
        <f ca="1"/>
        <v>31.162917200769641</v>
      </c>
      <c r="BX15" s="109">
        <f ca="1"/>
        <v>37.26186417762321</v>
      </c>
      <c r="BY15" s="109">
        <f ca="1"/>
        <v>42.414044571197927</v>
      </c>
      <c r="BZ15" s="109">
        <f ca="1"/>
        <v>46.460949939993363</v>
      </c>
      <c r="CA15" s="109">
        <f ca="1"/>
        <v>49.115603721965655</v>
      </c>
      <c r="CB15" s="109">
        <f ca="1"/>
        <v>50.136476578937007</v>
      </c>
      <c r="CC15" s="109">
        <f ca="1"/>
        <v>49.447538302225354</v>
      </c>
      <c r="CD15" s="109">
        <f ca="1"/>
        <v>47.336298922277727</v>
      </c>
      <c r="CE15" s="109">
        <f ca="1"/>
        <v>44.533237901309263</v>
      </c>
      <c r="CF15" s="109">
        <f ca="1"/>
        <v>41.60240724083048</v>
      </c>
      <c r="CG15" s="109">
        <f ca="1"/>
        <v>38.640888258544535</v>
      </c>
      <c r="CH15" s="109">
        <f ca="1"/>
        <v>35.664516810005466</v>
      </c>
      <c r="CI15" s="109">
        <f ca="1"/>
        <v>32.698080174599113</v>
      </c>
      <c r="CJ15" s="109">
        <f ca="1"/>
        <v>29.765291661159591</v>
      </c>
      <c r="CK15" s="109">
        <f ca="1"/>
        <v>26.883587972308717</v>
      </c>
      <c r="CL15" s="109">
        <f ca="1"/>
        <v>24.063889999085774</v>
      </c>
      <c r="CM15" s="109">
        <f ca="1"/>
        <v>21.311888431145306</v>
      </c>
      <c r="CN15" s="109">
        <f ca="1"/>
        <v>18.650015548541642</v>
      </c>
      <c r="CO15" s="110">
        <f ca="1"/>
        <v>16.108411731740489</v>
      </c>
      <c r="CP15" s="34">
        <f ca="1"/>
        <v>13.716373352215998</v>
      </c>
      <c r="CQ15" s="9">
        <f ca="1"/>
        <v>11.504506778443988</v>
      </c>
      <c r="CR15" s="9">
        <f ca="1"/>
        <v>9.5124961153429428</v>
      </c>
      <c r="CS15" s="9">
        <f ca="1"/>
        <v>7.7783746942336984</v>
      </c>
      <c r="CT15" s="9">
        <f ca="1"/>
        <v>6.3358756028243004</v>
      </c>
      <c r="CU15" s="9">
        <f ca="1"/>
        <v>5.155804939470281</v>
      </c>
      <c r="CV15" s="9">
        <f ca="1"/>
        <v>4.1970251148629609</v>
      </c>
      <c r="CW15" s="9">
        <f ca="1"/>
        <v>3.4222248751317794</v>
      </c>
      <c r="CX15" s="9">
        <f ca="1"/>
        <v>2.7940737792316961</v>
      </c>
      <c r="CY15" s="9">
        <f ca="1"/>
        <v>2.2762218523604791</v>
      </c>
      <c r="CZ15" s="9">
        <f ca="1"/>
        <v>1.8413605785412366</v>
      </c>
      <c r="DA15" s="9">
        <f ca="1"/>
        <v>1.4687946582822584</v>
      </c>
      <c r="DB15" s="9">
        <f ca="1"/>
        <v>1.1530380257709549</v>
      </c>
      <c r="DC15" s="9">
        <f ca="1"/>
        <v>0.88959684495694091</v>
      </c>
      <c r="DD15" s="9">
        <f ca="1"/>
        <v>0.67353165439378992</v>
      </c>
      <c r="DE15" s="9">
        <f ca="1"/>
        <v>0.49959869689416259</v>
      </c>
      <c r="DF15" s="9">
        <f ca="1"/>
        <v>0.36240560341678102</v>
      </c>
      <c r="DG15" s="9">
        <f ca="1"/>
        <v>0.25657355212785909</v>
      </c>
      <c r="DH15" s="9">
        <f ca="1"/>
        <v>0.17689653759323892</v>
      </c>
      <c r="DI15" s="9">
        <f ca="1"/>
        <v>0.11848751036147687</v>
      </c>
      <c r="DJ15" s="9">
        <f ca="1"/>
        <v>7.6901554759072316E-2</v>
      </c>
      <c r="DK15" s="9">
        <f ca="1"/>
        <v>4.8227941525120881E-2</v>
      </c>
      <c r="DL15" s="9">
        <f ca="1"/>
        <v>2.9145669931751907E-2</v>
      </c>
      <c r="DM15" s="9">
        <f ca="1"/>
        <v>1.694084162510567E-2</v>
      </c>
      <c r="DN15" s="9">
        <f ca="1"/>
        <v>9.4885767258494919E-3</v>
      </c>
      <c r="DO15" s="9">
        <f ca="1"/>
        <v>5.1907539979831954E-3</v>
      </c>
      <c r="DP15" s="9">
        <f ca="1"/>
        <v>2.7572348283165229E-3</v>
      </c>
      <c r="DQ15" s="9">
        <f ca="1"/>
        <v>1.3842104950276518E-3</v>
      </c>
      <c r="DR15" s="9">
        <f ca="1"/>
        <v>5.7322373501691374E-4</v>
      </c>
    </row>
    <row r="16" spans="1:122" x14ac:dyDescent="0.25">
      <c r="A16" s="86">
        <v>-1.5</v>
      </c>
      <c r="B16" s="81">
        <f>$B$8*EXP(A16*$B$9%*SQRT($B$7))</f>
        <v>283.85456367690904</v>
      </c>
      <c r="C16" s="81">
        <f t="shared" ref="C16:C23" si="14">LN(B16)</f>
        <v>5.6484620072641638</v>
      </c>
      <c r="D16" s="117" cm="1">
        <f t="array" ref="D16">[1]!Interp_Lin_Range($A$48:$A$52,$D$48:$D$52,B16,1)</f>
        <v>39.64</v>
      </c>
      <c r="E16" s="95">
        <v>17.889211989170928</v>
      </c>
      <c r="F16" s="94" cm="1">
        <f t="array" aca="1" ref="F16" ca="1">[1]!Interp_Lin_Range($BT$1:$DR$1,$BT$20:$DR$20,C16,1)</f>
        <v>33.517487931104974</v>
      </c>
      <c r="G16" s="112" cm="1">
        <f t="array" ref="G16">Black76(1,B16,$B$5,D16,$B$7,$B$7,$B$3)</f>
        <v>33.516998835940029</v>
      </c>
      <c r="H16" s="113">
        <f t="shared" ref="H16:H22" ca="1" si="15">(F16-G16)^2</f>
        <v>2.3921408037192228E-7</v>
      </c>
      <c r="J16" s="89"/>
      <c r="K16" s="46">
        <v>1.9178082191780823E-2</v>
      </c>
      <c r="L16" s="98">
        <f t="shared" si="7"/>
        <v>2.1308980213089815E-3</v>
      </c>
      <c r="M16"/>
      <c r="N16" s="30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 s="29"/>
      <c r="AL16" s="29"/>
      <c r="AM16" s="29"/>
      <c r="AN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R16" s="4"/>
      <c r="BS16" s="105">
        <f t="shared" si="1"/>
        <v>2.9832572298325723E-2</v>
      </c>
      <c r="BT16" s="109" cm="1">
        <f t="array" aca="1" ref="BT16:DR16" ca="1">TRANSPOSE(MMULT(OFFSET(_xlfn.ANCHORARRAY($P$222),0,0),TRANSPOSE(BT15:DR15)))</f>
        <v>7.9722854086079273</v>
      </c>
      <c r="BU16" s="109">
        <f ca="1"/>
        <v>15.812734930512292</v>
      </c>
      <c r="BV16" s="109">
        <f ca="1"/>
        <v>23.251041272112772</v>
      </c>
      <c r="BW16" s="109">
        <f ca="1"/>
        <v>30.065492860514151</v>
      </c>
      <c r="BX16" s="109">
        <f ca="1"/>
        <v>36.103945574651974</v>
      </c>
      <c r="BY16" s="109">
        <f ca="1"/>
        <v>41.294265219633083</v>
      </c>
      <c r="BZ16" s="109">
        <f ca="1"/>
        <v>45.476889727194759</v>
      </c>
      <c r="CA16" s="109">
        <f ca="1"/>
        <v>48.361193922549788</v>
      </c>
      <c r="CB16" s="109">
        <f ca="1"/>
        <v>49.675071047178548</v>
      </c>
      <c r="CC16" s="109">
        <f ca="1"/>
        <v>49.270664601343043</v>
      </c>
      <c r="CD16" s="109">
        <f ca="1"/>
        <v>47.331248234200963</v>
      </c>
      <c r="CE16" s="109">
        <f ca="1"/>
        <v>44.563668867484246</v>
      </c>
      <c r="CF16" s="109">
        <f ca="1"/>
        <v>41.634072512165602</v>
      </c>
      <c r="CG16" s="109">
        <f ca="1"/>
        <v>38.674107621612031</v>
      </c>
      <c r="CH16" s="109">
        <f ca="1"/>
        <v>35.704347348307223</v>
      </c>
      <c r="CI16" s="109">
        <f ca="1"/>
        <v>32.752339183165404</v>
      </c>
      <c r="CJ16" s="109">
        <f ca="1"/>
        <v>29.841597522726477</v>
      </c>
      <c r="CK16" s="109">
        <f ca="1"/>
        <v>26.987898166855381</v>
      </c>
      <c r="CL16" s="109">
        <f ca="1"/>
        <v>24.200173902106435</v>
      </c>
      <c r="CM16" s="109">
        <f ca="1"/>
        <v>21.482311993477538</v>
      </c>
      <c r="CN16" s="109">
        <f ca="1"/>
        <v>18.855363980381775</v>
      </c>
      <c r="CO16" s="110">
        <f ca="1"/>
        <v>16.347854642868938</v>
      </c>
      <c r="CP16" s="34">
        <f ca="1"/>
        <v>13.987245247821829</v>
      </c>
      <c r="CQ16" s="9">
        <f ca="1"/>
        <v>11.802192085678632</v>
      </c>
      <c r="CR16" s="9">
        <f ca="1"/>
        <v>9.830226785452405</v>
      </c>
      <c r="CS16" s="9">
        <f ca="1"/>
        <v>8.1074492892810781</v>
      </c>
      <c r="CT16" s="9">
        <f ca="1"/>
        <v>6.6662239670085732</v>
      </c>
      <c r="CU16" s="9">
        <f ca="1"/>
        <v>5.4786120929453297</v>
      </c>
      <c r="CV16" s="9">
        <f ca="1"/>
        <v>4.5054429773558162</v>
      </c>
      <c r="CW16" s="9">
        <f ca="1"/>
        <v>3.7112654692109497</v>
      </c>
      <c r="CX16" s="9">
        <f ca="1"/>
        <v>3.0604929738317583</v>
      </c>
      <c r="CY16" s="9">
        <f ca="1"/>
        <v>2.5181788922542143</v>
      </c>
      <c r="CZ16" s="9">
        <f ca="1"/>
        <v>2.0579968014539061</v>
      </c>
      <c r="DA16" s="9">
        <f ca="1"/>
        <v>1.6599067869734663</v>
      </c>
      <c r="DB16" s="9">
        <f ca="1"/>
        <v>1.3189534013294388</v>
      </c>
      <c r="DC16" s="9">
        <f ca="1"/>
        <v>1.031161233288157</v>
      </c>
      <c r="DD16" s="9">
        <f ca="1"/>
        <v>0.79207017565327331</v>
      </c>
      <c r="DE16" s="9">
        <f ca="1"/>
        <v>0.59685216064594404</v>
      </c>
      <c r="DF16" s="9">
        <f ca="1"/>
        <v>0.44044572929588766</v>
      </c>
      <c r="DG16" s="9">
        <f ca="1"/>
        <v>0.31770199282994482</v>
      </c>
      <c r="DH16" s="9">
        <f ca="1"/>
        <v>0.2235342130562985</v>
      </c>
      <c r="DI16" s="9">
        <f ca="1"/>
        <v>0.15306230240539268</v>
      </c>
      <c r="DJ16" s="9">
        <f ca="1"/>
        <v>0.10174315592622377</v>
      </c>
      <c r="DK16" s="9">
        <f ca="1"/>
        <v>6.5478282224138665E-2</v>
      </c>
      <c r="DL16" s="9">
        <f ca="1"/>
        <v>4.0691886095540641E-2</v>
      </c>
      <c r="DM16" s="9">
        <f ca="1"/>
        <v>2.4375328900890645E-2</v>
      </c>
      <c r="DN16" s="9">
        <f ca="1"/>
        <v>1.4097575115857229E-2</v>
      </c>
      <c r="DO16" s="9">
        <f ca="1"/>
        <v>7.964527676919346E-3</v>
      </c>
      <c r="DP16" s="9">
        <f ca="1"/>
        <v>4.3646545625998139E-3</v>
      </c>
      <c r="DQ16" s="9">
        <f ca="1"/>
        <v>2.2528777886585889E-3</v>
      </c>
      <c r="DR16" s="9">
        <f ca="1"/>
        <v>9.519215599404267E-4</v>
      </c>
    </row>
    <row r="17" spans="1:122" x14ac:dyDescent="0.25">
      <c r="A17" s="86">
        <v>-1</v>
      </c>
      <c r="B17" s="81">
        <f>$B$8*EXP(A17*$B$9%*SQRT($B$7))</f>
        <v>294.57855072880915</v>
      </c>
      <c r="C17" s="81">
        <f t="shared" si="14"/>
        <v>5.6855456932611528</v>
      </c>
      <c r="D17" s="117" cm="1">
        <f t="array" ref="D17">[1]!Interp_Lin_Range($A$48:$A$52,$D$48:$D$52,B17,1)</f>
        <v>38.483130361039962</v>
      </c>
      <c r="E17" s="95">
        <v>35.573097623883179</v>
      </c>
      <c r="F17" s="94" cm="1">
        <f t="array" aca="1" ref="F17" ca="1">[1]!Interp_Lin_Range($BT$1:$DR$1,$BT$20:$DR$20,C17,1)</f>
        <v>24.038875738713752</v>
      </c>
      <c r="G17" s="112" cm="1">
        <f t="array" ref="G17">Black76(1,B17,$B$5,D17,$B$7,$B$7,$B$3)</f>
        <v>24.052241485033019</v>
      </c>
      <c r="H17" s="113">
        <f t="shared" ca="1" si="15"/>
        <v>1.7864317467097894E-4</v>
      </c>
      <c r="J17" s="89"/>
      <c r="K17" s="46">
        <v>2.1308980213089801E-2</v>
      </c>
      <c r="L17" s="98">
        <f t="shared" si="7"/>
        <v>2.130898021308978E-3</v>
      </c>
      <c r="M17"/>
      <c r="N17" s="30"/>
      <c r="O17" s="11" t="s">
        <v>4</v>
      </c>
      <c r="P17" s="11">
        <f t="shared" ref="P17:AJ17" si="16">P14</f>
        <v>50</v>
      </c>
      <c r="Q17" s="11">
        <f t="shared" si="16"/>
        <v>49</v>
      </c>
      <c r="R17" s="11">
        <f t="shared" si="16"/>
        <v>48</v>
      </c>
      <c r="S17" s="11">
        <f t="shared" si="16"/>
        <v>47</v>
      </c>
      <c r="T17" s="11">
        <f t="shared" si="16"/>
        <v>46</v>
      </c>
      <c r="U17" s="11">
        <f t="shared" si="16"/>
        <v>45</v>
      </c>
      <c r="V17" s="11">
        <f t="shared" si="16"/>
        <v>44</v>
      </c>
      <c r="W17" s="11">
        <f t="shared" si="16"/>
        <v>43</v>
      </c>
      <c r="X17" s="11">
        <f t="shared" si="16"/>
        <v>42</v>
      </c>
      <c r="Y17" s="11">
        <f t="shared" si="16"/>
        <v>41</v>
      </c>
      <c r="Z17" s="11">
        <f t="shared" si="16"/>
        <v>40</v>
      </c>
      <c r="AA17" s="11">
        <f t="shared" si="16"/>
        <v>39</v>
      </c>
      <c r="AB17" s="11">
        <f t="shared" si="16"/>
        <v>38</v>
      </c>
      <c r="AC17" s="11">
        <f t="shared" si="16"/>
        <v>37</v>
      </c>
      <c r="AD17" s="11">
        <f t="shared" si="16"/>
        <v>36</v>
      </c>
      <c r="AE17" s="11">
        <f t="shared" si="16"/>
        <v>35</v>
      </c>
      <c r="AF17" s="11">
        <f t="shared" si="16"/>
        <v>34</v>
      </c>
      <c r="AG17" s="11">
        <f t="shared" si="16"/>
        <v>33</v>
      </c>
      <c r="AH17" s="11">
        <f t="shared" si="16"/>
        <v>32</v>
      </c>
      <c r="AI17" s="11">
        <f t="shared" si="16"/>
        <v>31</v>
      </c>
      <c r="AJ17" s="11">
        <f t="shared" si="16"/>
        <v>30</v>
      </c>
      <c r="AK17" s="11">
        <f t="shared" ref="AK17:BN17" si="17">AK14</f>
        <v>29</v>
      </c>
      <c r="AL17" s="11">
        <f t="shared" si="17"/>
        <v>28</v>
      </c>
      <c r="AM17" s="11">
        <f t="shared" si="17"/>
        <v>27</v>
      </c>
      <c r="AN17" s="11">
        <f t="shared" si="17"/>
        <v>26</v>
      </c>
      <c r="AO17" s="11">
        <f t="shared" si="17"/>
        <v>25</v>
      </c>
      <c r="AP17" s="11">
        <f t="shared" si="17"/>
        <v>24</v>
      </c>
      <c r="AQ17" s="11">
        <f t="shared" si="17"/>
        <v>23</v>
      </c>
      <c r="AR17" s="11">
        <f t="shared" si="17"/>
        <v>22</v>
      </c>
      <c r="AS17" s="11">
        <f t="shared" si="17"/>
        <v>21</v>
      </c>
      <c r="AT17" s="11">
        <f t="shared" si="17"/>
        <v>20</v>
      </c>
      <c r="AU17" s="11">
        <f t="shared" si="17"/>
        <v>19</v>
      </c>
      <c r="AV17" s="11">
        <f t="shared" si="17"/>
        <v>18</v>
      </c>
      <c r="AW17" s="11">
        <f t="shared" si="17"/>
        <v>17</v>
      </c>
      <c r="AX17" s="11">
        <f t="shared" si="17"/>
        <v>16</v>
      </c>
      <c r="AY17" s="11">
        <f t="shared" si="17"/>
        <v>15</v>
      </c>
      <c r="AZ17" s="11">
        <f t="shared" si="17"/>
        <v>14</v>
      </c>
      <c r="BA17" s="11">
        <f t="shared" si="17"/>
        <v>13</v>
      </c>
      <c r="BB17" s="11">
        <f t="shared" si="17"/>
        <v>12</v>
      </c>
      <c r="BC17" s="11">
        <f t="shared" si="17"/>
        <v>11</v>
      </c>
      <c r="BD17" s="11">
        <f t="shared" si="17"/>
        <v>10</v>
      </c>
      <c r="BE17" s="11">
        <f t="shared" si="17"/>
        <v>9</v>
      </c>
      <c r="BF17" s="11">
        <f t="shared" si="17"/>
        <v>8</v>
      </c>
      <c r="BG17" s="11">
        <f t="shared" si="17"/>
        <v>7</v>
      </c>
      <c r="BH17" s="11">
        <f t="shared" si="17"/>
        <v>6</v>
      </c>
      <c r="BI17" s="11">
        <f t="shared" si="17"/>
        <v>5</v>
      </c>
      <c r="BJ17" s="11">
        <f t="shared" si="17"/>
        <v>4</v>
      </c>
      <c r="BK17" s="11">
        <f t="shared" si="17"/>
        <v>3</v>
      </c>
      <c r="BL17" s="11">
        <f t="shared" si="17"/>
        <v>2</v>
      </c>
      <c r="BM17" s="11">
        <f t="shared" si="17"/>
        <v>1</v>
      </c>
      <c r="BN17" s="11">
        <f t="shared" si="17"/>
        <v>0</v>
      </c>
      <c r="BR17" s="4"/>
      <c r="BS17" s="105">
        <f t="shared" si="1"/>
        <v>3.1963470319634701E-2</v>
      </c>
      <c r="BT17" s="109" cm="1">
        <f t="array" aca="1" ref="BT17:DR17" ca="1">TRANSPOSE(MMULT(OFFSET(_xlfn.ANCHORARRAY($P$222),0,0),TRANSPOSE(BT16:DR16)))</f>
        <v>7.6580213343791259</v>
      </c>
      <c r="BU17" s="109">
        <f ca="1"/>
        <v>15.211194944420898</v>
      </c>
      <c r="BV17" s="109">
        <f ca="1"/>
        <v>22.418576787112602</v>
      </c>
      <c r="BW17" s="109">
        <f ca="1"/>
        <v>29.079590548287772</v>
      </c>
      <c r="BX17" s="109">
        <f ca="1"/>
        <v>35.052122009488059</v>
      </c>
      <c r="BY17" s="109">
        <f ca="1"/>
        <v>40.262357913185134</v>
      </c>
      <c r="BZ17" s="109">
        <f ca="1"/>
        <v>44.55232627500115</v>
      </c>
      <c r="CA17" s="109">
        <f ca="1"/>
        <v>47.632534362693811</v>
      </c>
      <c r="CB17" s="109">
        <f ca="1"/>
        <v>49.209913964542793</v>
      </c>
      <c r="CC17" s="109">
        <f ca="1"/>
        <v>49.077747178794461</v>
      </c>
      <c r="CD17" s="109">
        <f ca="1"/>
        <v>47.319205021799377</v>
      </c>
      <c r="CE17" s="109">
        <f ca="1"/>
        <v>44.593791554214128</v>
      </c>
      <c r="CF17" s="109">
        <f ca="1"/>
        <v>41.665724731258862</v>
      </c>
      <c r="CG17" s="109">
        <f ca="1"/>
        <v>38.707643090752029</v>
      </c>
      <c r="CH17" s="109">
        <f ca="1"/>
        <v>35.745403372485114</v>
      </c>
      <c r="CI17" s="109">
        <f ca="1"/>
        <v>32.808751210005191</v>
      </c>
      <c r="CJ17" s="109">
        <f ca="1"/>
        <v>29.920470052311028</v>
      </c>
      <c r="CK17" s="109">
        <f ca="1"/>
        <v>27.094490211875559</v>
      </c>
      <c r="CL17" s="109">
        <f ca="1"/>
        <v>24.337802483187623</v>
      </c>
      <c r="CM17" s="109">
        <f ca="1"/>
        <v>21.652638239092646</v>
      </c>
      <c r="CN17" s="109">
        <f ca="1"/>
        <v>19.058772481121895</v>
      </c>
      <c r="CO17" s="110">
        <f ca="1"/>
        <v>16.583269369218456</v>
      </c>
      <c r="CP17" s="34">
        <f ca="1"/>
        <v>14.251972781699976</v>
      </c>
      <c r="CQ17" s="9">
        <f ca="1"/>
        <v>12.091849465523785</v>
      </c>
      <c r="CR17" s="9">
        <f ca="1"/>
        <v>10.138553023552809</v>
      </c>
      <c r="CS17" s="9">
        <f ca="1"/>
        <v>8.4265015704167912</v>
      </c>
      <c r="CT17" s="9">
        <f ca="1"/>
        <v>6.986834771033732</v>
      </c>
      <c r="CU17" s="9">
        <f ca="1"/>
        <v>5.7927279104666738</v>
      </c>
      <c r="CV17" s="9">
        <f ca="1"/>
        <v>4.8067164406929512</v>
      </c>
      <c r="CW17" s="9">
        <f ca="1"/>
        <v>3.9949996412784308</v>
      </c>
      <c r="CX17" s="9">
        <f ca="1"/>
        <v>3.3235100857983526</v>
      </c>
      <c r="CY17" s="9">
        <f ca="1"/>
        <v>2.758594191670809</v>
      </c>
      <c r="CZ17" s="9">
        <f ca="1"/>
        <v>2.2748193732577038</v>
      </c>
      <c r="DA17" s="9">
        <f ca="1"/>
        <v>1.8527633648570927</v>
      </c>
      <c r="DB17" s="9">
        <f ca="1"/>
        <v>1.4879491066694917</v>
      </c>
      <c r="DC17" s="9">
        <f ca="1"/>
        <v>1.1768731081436632</v>
      </c>
      <c r="DD17" s="9">
        <f ca="1"/>
        <v>0.9155233277705509</v>
      </c>
      <c r="DE17" s="9">
        <f ca="1"/>
        <v>0.69947510273967095</v>
      </c>
      <c r="DF17" s="9">
        <f ca="1"/>
        <v>0.52400572501908627</v>
      </c>
      <c r="DG17" s="9">
        <f ca="1"/>
        <v>0.384223489971938</v>
      </c>
      <c r="DH17" s="9">
        <f ca="1"/>
        <v>0.27520524240573641</v>
      </c>
      <c r="DI17" s="9">
        <f ca="1"/>
        <v>0.19213508004557225</v>
      </c>
      <c r="DJ17" s="9">
        <f ca="1"/>
        <v>0.13043611034257593</v>
      </c>
      <c r="DK17" s="9">
        <f ca="1"/>
        <v>8.5887077031113576E-2</v>
      </c>
      <c r="DL17" s="9">
        <f ca="1"/>
        <v>5.4716471659693344E-2</v>
      </c>
      <c r="DM17" s="9">
        <f ca="1"/>
        <v>3.3668574517769098E-2</v>
      </c>
      <c r="DN17" s="9">
        <f ca="1"/>
        <v>2.0038723630520693E-2</v>
      </c>
      <c r="DO17" s="9">
        <f ca="1"/>
        <v>1.1652213698902262E-2</v>
      </c>
      <c r="DP17" s="9">
        <f ca="1"/>
        <v>6.5660317696545484E-3</v>
      </c>
      <c r="DQ17" s="9">
        <f ca="1"/>
        <v>3.4737169908199269E-3</v>
      </c>
      <c r="DR17" s="9">
        <f ca="1"/>
        <v>1.4939671827854449E-3</v>
      </c>
    </row>
    <row r="18" spans="1:122" x14ac:dyDescent="0.25">
      <c r="A18" s="86">
        <v>-0.5</v>
      </c>
      <c r="B18" s="81">
        <f>$B$8*EXP(A18*$B$9%*SQRT($B$7))</f>
        <v>305.70768856215028</v>
      </c>
      <c r="C18" s="81">
        <f t="shared" si="14"/>
        <v>5.7226293792581417</v>
      </c>
      <c r="D18" s="117" cm="1">
        <f t="array" ref="D18">[1]!Interp_Lin_Range($A$48:$A$52,$D$48:$D$52,B18,1)</f>
        <v>37.780549558627897</v>
      </c>
      <c r="E18" s="95">
        <v>36.49373457533715</v>
      </c>
      <c r="F18" s="94" cm="1">
        <f t="array" aca="1" ref="F18" ca="1">[1]!Interp_Lin_Range($BT$1:$DR$1,$BT$20:$DR$20,C18,1)</f>
        <v>15.610395972796258</v>
      </c>
      <c r="G18" s="112" cm="1">
        <f t="array" ref="G18">Black76(1,B18,$B$5,D18,$B$7,$B$7,$B$3)</f>
        <v>15.605043599959524</v>
      </c>
      <c r="H18" s="113">
        <f t="shared" ca="1" si="15"/>
        <v>2.864789498340985E-5</v>
      </c>
      <c r="J18" s="89"/>
      <c r="K18" s="46">
        <v>2.3439878234398782E-2</v>
      </c>
      <c r="L18" s="98">
        <f t="shared" si="7"/>
        <v>2.1308980213089815E-3</v>
      </c>
      <c r="M18"/>
      <c r="N18" s="30"/>
      <c r="O18" s="7">
        <v>2</v>
      </c>
      <c r="P18" s="103">
        <f>(P$5+P$6)*$D$11*0.5</f>
        <v>0.56723900782131953</v>
      </c>
      <c r="Q18" s="103">
        <f t="shared" ref="Q18:BM18" si="18">(Q$5+Q$6)*$D$11*0.5</f>
        <v>0.56723900782131953</v>
      </c>
      <c r="R18" s="103">
        <f t="shared" si="18"/>
        <v>0.56723900782131953</v>
      </c>
      <c r="S18" s="103">
        <f t="shared" si="18"/>
        <v>0.56723900782131953</v>
      </c>
      <c r="T18" s="103">
        <f t="shared" si="18"/>
        <v>0.56723900782131953</v>
      </c>
      <c r="U18" s="103">
        <f t="shared" si="18"/>
        <v>0.47827781894260873</v>
      </c>
      <c r="V18" s="103">
        <f t="shared" si="18"/>
        <v>0.33807416496241594</v>
      </c>
      <c r="W18" s="103">
        <f t="shared" si="18"/>
        <v>0.22196889253702462</v>
      </c>
      <c r="X18" s="103">
        <f t="shared" si="18"/>
        <v>0.12996200166643493</v>
      </c>
      <c r="Y18" s="103">
        <f t="shared" si="18"/>
        <v>6.2053492350646763E-2</v>
      </c>
      <c r="Z18" s="103">
        <f t="shared" si="18"/>
        <v>1.8243364589657626E-2</v>
      </c>
      <c r="AA18" s="103">
        <f t="shared" si="18"/>
        <v>-1.4683816165253151E-3</v>
      </c>
      <c r="AB18" s="103">
        <f t="shared" si="18"/>
        <v>2.9182537320933278E-3</v>
      </c>
      <c r="AC18" s="103">
        <f t="shared" si="18"/>
        <v>3.1403270635513562E-2</v>
      </c>
      <c r="AD18" s="103">
        <f t="shared" si="18"/>
        <v>8.3986669093735464E-2</v>
      </c>
      <c r="AE18" s="103">
        <f t="shared" si="18"/>
        <v>0.16066844910675898</v>
      </c>
      <c r="AF18" s="103">
        <f t="shared" si="18"/>
        <v>0.2614486106745943</v>
      </c>
      <c r="AG18" s="103">
        <f t="shared" si="18"/>
        <v>0.38632715379722415</v>
      </c>
      <c r="AH18" s="103">
        <f t="shared" si="18"/>
        <v>0.535304078474656</v>
      </c>
      <c r="AI18" s="103">
        <f t="shared" si="18"/>
        <v>0.58696767525741445</v>
      </c>
      <c r="AJ18" s="103">
        <f t="shared" si="18"/>
        <v>0.59577677213301117</v>
      </c>
      <c r="AK18" s="103">
        <f t="shared" si="18"/>
        <v>0.60465118346031732</v>
      </c>
      <c r="AL18" s="103">
        <f t="shared" si="18"/>
        <v>0.60251232935131305</v>
      </c>
      <c r="AM18" s="103">
        <f t="shared" si="18"/>
        <v>0.57028929267734396</v>
      </c>
      <c r="AN18" s="103">
        <f t="shared" si="18"/>
        <v>0.53894771968488941</v>
      </c>
      <c r="AO18" s="103">
        <f t="shared" si="18"/>
        <v>0.50848761037395029</v>
      </c>
      <c r="AP18" s="103">
        <f t="shared" si="18"/>
        <v>0.57531502100612719</v>
      </c>
      <c r="AQ18" s="103">
        <f t="shared" si="18"/>
        <v>0.67211456612566645</v>
      </c>
      <c r="AR18" s="103">
        <f t="shared" si="18"/>
        <v>0.77640465878332043</v>
      </c>
      <c r="AS18" s="103">
        <f t="shared" si="18"/>
        <v>0.91399105384013823</v>
      </c>
      <c r="AT18" s="103">
        <f t="shared" si="18"/>
        <v>1.1159645625867727</v>
      </c>
      <c r="AU18" s="103">
        <f t="shared" si="18"/>
        <v>1.3380302655256266</v>
      </c>
      <c r="AV18" s="103">
        <f t="shared" si="18"/>
        <v>1.5801881626567</v>
      </c>
      <c r="AW18" s="103">
        <f t="shared" si="18"/>
        <v>1.5291967501622281</v>
      </c>
      <c r="AX18" s="103">
        <f t="shared" si="18"/>
        <v>1.4425567193505369</v>
      </c>
      <c r="AY18" s="103">
        <f t="shared" si="18"/>
        <v>1.3584386117677629</v>
      </c>
      <c r="AZ18" s="103">
        <f t="shared" si="18"/>
        <v>1.2768424274139203</v>
      </c>
      <c r="BA18" s="103">
        <f t="shared" si="18"/>
        <v>1.1977681662890014</v>
      </c>
      <c r="BB18" s="103">
        <f t="shared" si="18"/>
        <v>1.1212158283930069</v>
      </c>
      <c r="BC18" s="103">
        <f t="shared" si="18"/>
        <v>1.0471854137259371</v>
      </c>
      <c r="BD18" s="103">
        <f t="shared" si="18"/>
        <v>0.97567692228779102</v>
      </c>
      <c r="BE18" s="103">
        <f t="shared" si="18"/>
        <v>0.9066903540785638</v>
      </c>
      <c r="BF18" s="103">
        <f t="shared" si="18"/>
        <v>0.84022570909826655</v>
      </c>
      <c r="BG18" s="103">
        <f t="shared" si="18"/>
        <v>0.7762829873468936</v>
      </c>
      <c r="BH18" s="103">
        <f t="shared" si="18"/>
        <v>0.71486218882444474</v>
      </c>
      <c r="BI18" s="103">
        <f t="shared" si="18"/>
        <v>0.65596331353092008</v>
      </c>
      <c r="BJ18" s="103">
        <f t="shared" si="18"/>
        <v>0.60254446180112631</v>
      </c>
      <c r="BK18" s="103">
        <f t="shared" si="18"/>
        <v>0.60254446180112631</v>
      </c>
      <c r="BL18" s="103">
        <f t="shared" si="18"/>
        <v>0.60254446180112631</v>
      </c>
      <c r="BM18" s="103">
        <f t="shared" si="18"/>
        <v>0.60254446180112631</v>
      </c>
      <c r="BN18" s="101"/>
      <c r="BR18" s="4"/>
      <c r="BS18" s="105">
        <f t="shared" si="1"/>
        <v>3.4094368340943683E-2</v>
      </c>
      <c r="BT18" s="109" cm="1">
        <f t="array" aca="1" ref="BT18:DR18" ca="1">TRANSPOSE(MMULT(OFFSET(_xlfn.ANCHORARRAY($P$222),0,0),TRANSPOSE(BT17:DR17)))</f>
        <v>7.3785995500104562</v>
      </c>
      <c r="BU18" s="109">
        <f ca="1"/>
        <v>14.674734026063211</v>
      </c>
      <c r="BV18" s="109">
        <f ca="1"/>
        <v>21.67240368579618</v>
      </c>
      <c r="BW18" s="109">
        <f ca="1"/>
        <v>28.189397655790319</v>
      </c>
      <c r="BX18" s="109">
        <f ca="1"/>
        <v>34.093082058532808</v>
      </c>
      <c r="BY18" s="109">
        <f ca="1"/>
        <v>39.309467786471714</v>
      </c>
      <c r="BZ18" s="109">
        <f ca="1"/>
        <v>43.683945652535236</v>
      </c>
      <c r="CA18" s="109">
        <f ca="1"/>
        <v>46.931421845980481</v>
      </c>
      <c r="CB18" s="109">
        <f ca="1"/>
        <v>48.745327583759511</v>
      </c>
      <c r="CC18" s="109">
        <f ca="1"/>
        <v>48.871515874822101</v>
      </c>
      <c r="CD18" s="109">
        <f ca="1"/>
        <v>47.300050670433968</v>
      </c>
      <c r="CE18" s="109">
        <f ca="1"/>
        <v>44.623552388491198</v>
      </c>
      <c r="CF18" s="109">
        <f ca="1"/>
        <v>41.697360565305758</v>
      </c>
      <c r="CG18" s="109">
        <f ca="1"/>
        <v>38.741524597512957</v>
      </c>
      <c r="CH18" s="109">
        <f ca="1"/>
        <v>35.787667194940845</v>
      </c>
      <c r="CI18" s="109">
        <f ca="1"/>
        <v>32.867137057828423</v>
      </c>
      <c r="CJ18" s="109">
        <f ca="1"/>
        <v>30.001556182734245</v>
      </c>
      <c r="CK18" s="109">
        <f ca="1"/>
        <v>27.202904223172442</v>
      </c>
      <c r="CL18" s="109">
        <f ca="1"/>
        <v>24.476306599164044</v>
      </c>
      <c r="CM18" s="109">
        <f ca="1"/>
        <v>21.822482692803078</v>
      </c>
      <c r="CN18" s="109">
        <f ca="1"/>
        <v>19.26003152514151</v>
      </c>
      <c r="CO18" s="110">
        <f ca="1"/>
        <v>16.814691261053405</v>
      </c>
      <c r="CP18" s="34">
        <f ca="1"/>
        <v>14.510872983711165</v>
      </c>
      <c r="CQ18" s="9">
        <f ca="1"/>
        <v>12.374060577307221</v>
      </c>
      <c r="CR18" s="9">
        <f ca="1"/>
        <v>10.43825600115122</v>
      </c>
      <c r="CS18" s="9">
        <f ca="1"/>
        <v>8.7363912943153803</v>
      </c>
      <c r="CT18" s="9">
        <f ca="1"/>
        <v>7.2985071294750679</v>
      </c>
      <c r="CU18" s="9">
        <f ca="1"/>
        <v>6.098767190511702</v>
      </c>
      <c r="CV18" s="9">
        <f ca="1"/>
        <v>5.1012251898333885</v>
      </c>
      <c r="CW18" s="9">
        <f ca="1"/>
        <v>4.2735296182025699</v>
      </c>
      <c r="CX18" s="9">
        <f ca="1"/>
        <v>3.5829857263198108</v>
      </c>
      <c r="CY18" s="9">
        <f ca="1"/>
        <v>2.9971055539988676</v>
      </c>
      <c r="CZ18" s="9">
        <f ca="1"/>
        <v>2.4912889280937653</v>
      </c>
      <c r="DA18" s="9">
        <f ca="1"/>
        <v>2.0466930600111004</v>
      </c>
      <c r="DB18" s="9">
        <f ca="1"/>
        <v>1.6592699839099316</v>
      </c>
      <c r="DC18" s="9">
        <f ca="1"/>
        <v>1.3259450351019131</v>
      </c>
      <c r="DD18" s="9">
        <f ca="1"/>
        <v>1.043122780881607</v>
      </c>
      <c r="DE18" s="9">
        <f ca="1"/>
        <v>0.80676446610446551</v>
      </c>
      <c r="DF18" s="9">
        <f ca="1"/>
        <v>0.61248465242032268</v>
      </c>
      <c r="DG18" s="9">
        <f ca="1"/>
        <v>0.45566394822054213</v>
      </c>
      <c r="DH18" s="9">
        <f ca="1"/>
        <v>0.33157339781278999</v>
      </c>
      <c r="DI18" s="9">
        <f ca="1"/>
        <v>0.23550471620208185</v>
      </c>
      <c r="DJ18" s="9">
        <f ca="1"/>
        <v>0.16289943415187147</v>
      </c>
      <c r="DK18" s="9">
        <f ca="1"/>
        <v>0.10946944756104052</v>
      </c>
      <c r="DL18" s="9">
        <f ca="1"/>
        <v>7.130162741423611E-2</v>
      </c>
      <c r="DM18" s="9">
        <f ca="1"/>
        <v>4.4940189076868177E-2</v>
      </c>
      <c r="DN18" s="9">
        <f ca="1"/>
        <v>2.7442528272165517E-2</v>
      </c>
      <c r="DO18" s="9">
        <f ca="1"/>
        <v>1.6374483596794099E-2</v>
      </c>
      <c r="DP18" s="9">
        <f ca="1"/>
        <v>9.4591973339008418E-3</v>
      </c>
      <c r="DQ18" s="9">
        <f ca="1"/>
        <v>5.1146567373033048E-3</v>
      </c>
      <c r="DR18" s="9">
        <f ca="1"/>
        <v>2.2340619241386552E-3</v>
      </c>
    </row>
    <row r="19" spans="1:122" x14ac:dyDescent="0.25">
      <c r="A19" s="86">
        <v>0</v>
      </c>
      <c r="B19" s="81">
        <f>$B$8*EXP(A19*$B$9%*SQRT($B$7))</f>
        <v>317.25728371869803</v>
      </c>
      <c r="C19" s="81">
        <f t="shared" si="14"/>
        <v>5.7597130652551307</v>
      </c>
      <c r="D19" s="117" cm="1">
        <f t="array" ref="D19">[1]!Interp_Lin_Range($A$48:$A$52,$D$48:$D$52,B19,1)</f>
        <v>38.002038043301305</v>
      </c>
      <c r="E19" s="95">
        <v>33.111638263059518</v>
      </c>
      <c r="F19" s="94" cm="1">
        <f t="array" aca="1" ref="F19" ca="1">[1]!Interp_Lin_Range($BT$1:$DR$1,$BT$20:$DR$20,C19,1)</f>
        <v>9.054138482786005</v>
      </c>
      <c r="G19" s="112" cm="1">
        <f t="array" ref="G19">Black76(1,B19,$B$5,D19,$B$7,$B$7,$B$3)</f>
        <v>9.0641583549584315</v>
      </c>
      <c r="H19" s="113">
        <f t="shared" ca="1" si="15"/>
        <v>1.00397838351767E-4</v>
      </c>
      <c r="J19" s="89"/>
      <c r="K19" s="46">
        <v>2.5570776255707764E-2</v>
      </c>
      <c r="L19" s="98">
        <f t="shared" si="7"/>
        <v>2.1308980213089815E-3</v>
      </c>
      <c r="M19"/>
      <c r="N19" s="30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R19" s="4"/>
      <c r="BS19" s="105">
        <f t="shared" si="1"/>
        <v>3.6225266362252664E-2</v>
      </c>
      <c r="BT19" s="109" cm="1">
        <f t="array" aca="1" ref="BT19:DR19" ca="1">TRANSPOSE(MMULT(OFFSET(_xlfn.ANCHORARRAY($P$222),0,0),TRANSPOSE(BT18:DR18)))</f>
        <v>7.1286004403353402</v>
      </c>
      <c r="BU19" s="109">
        <f ca="1"/>
        <v>14.193474357197667</v>
      </c>
      <c r="BV19" s="109">
        <f ca="1"/>
        <v>20.999958288799345</v>
      </c>
      <c r="BW19" s="109">
        <f ca="1"/>
        <v>27.381911186181586</v>
      </c>
      <c r="BX19" s="109">
        <f ca="1"/>
        <v>33.215521285828558</v>
      </c>
      <c r="BY19" s="109">
        <f ca="1"/>
        <v>38.427657027192737</v>
      </c>
      <c r="BZ19" s="109">
        <f ca="1"/>
        <v>42.868182392986192</v>
      </c>
      <c r="CA19" s="109">
        <f ca="1"/>
        <v>46.258614690078936</v>
      </c>
      <c r="CB19" s="109">
        <f ca="1"/>
        <v>48.284632082537719</v>
      </c>
      <c r="CC19" s="109">
        <f ca="1"/>
        <v>48.654526369298125</v>
      </c>
      <c r="CD19" s="109">
        <f ca="1"/>
        <v>47.273795196811882</v>
      </c>
      <c r="CE19" s="109">
        <f ca="1"/>
        <v>44.652897645409908</v>
      </c>
      <c r="CF19" s="109">
        <f ca="1"/>
        <v>41.728976026198218</v>
      </c>
      <c r="CG19" s="109">
        <f ca="1"/>
        <v>38.775776465218875</v>
      </c>
      <c r="CH19" s="109">
        <f ca="1"/>
        <v>35.831105003044257</v>
      </c>
      <c r="CI19" s="109">
        <f ca="1"/>
        <v>32.92731873112924</v>
      </c>
      <c r="CJ19" s="109">
        <f ca="1"/>
        <v>30.084540002221381</v>
      </c>
      <c r="CK19" s="109">
        <f ca="1"/>
        <v>27.312751630330972</v>
      </c>
      <c r="CL19" s="109">
        <f ca="1"/>
        <v>24.615307612907976</v>
      </c>
      <c r="CM19" s="109">
        <f ca="1"/>
        <v>21.991551811962946</v>
      </c>
      <c r="CN19" s="109">
        <f ca="1"/>
        <v>19.459000694179725</v>
      </c>
      <c r="CO19" s="110">
        <f ca="1"/>
        <v>17.042185604760114</v>
      </c>
      <c r="CP19" s="34">
        <f ca="1"/>
        <v>14.764238433493475</v>
      </c>
      <c r="CQ19" s="9">
        <f ca="1"/>
        <v>12.649331813440666</v>
      </c>
      <c r="CR19" s="9">
        <f ca="1"/>
        <v>10.729998749875003</v>
      </c>
      <c r="CS19" s="9">
        <f ca="1"/>
        <v>9.0378472630748501</v>
      </c>
      <c r="CT19" s="9">
        <f ca="1"/>
        <v>7.601920394451863</v>
      </c>
      <c r="CU19" s="9">
        <f ca="1"/>
        <v>6.3972731202653224</v>
      </c>
      <c r="CV19" s="9">
        <f ca="1"/>
        <v>5.3893144677483074</v>
      </c>
      <c r="CW19" s="9">
        <f ca="1"/>
        <v>4.5469930012104411</v>
      </c>
      <c r="CX19" s="9">
        <f ca="1"/>
        <v>3.8388446194313319</v>
      </c>
      <c r="CY19" s="9">
        <f ca="1"/>
        <v>3.2334563696031702</v>
      </c>
      <c r="CZ19" s="9">
        <f ca="1"/>
        <v>2.7069948083237763</v>
      </c>
      <c r="DA19" s="9">
        <f ca="1"/>
        <v>2.2411627122043511</v>
      </c>
      <c r="DB19" s="9">
        <f ca="1"/>
        <v>1.8322989439134061</v>
      </c>
      <c r="DC19" s="9">
        <f ca="1"/>
        <v>1.4777177213463821</v>
      </c>
      <c r="DD19" s="9">
        <f ca="1"/>
        <v>1.1742088884289199</v>
      </c>
      <c r="DE19" s="9">
        <f ca="1"/>
        <v>0.91809948246745521</v>
      </c>
      <c r="DF19" s="9">
        <f ca="1"/>
        <v>0.70533406958723999</v>
      </c>
      <c r="DG19" s="9">
        <f ca="1"/>
        <v>0.53157206981623473</v>
      </c>
      <c r="DH19" s="9">
        <f ca="1"/>
        <v>0.39229884123840791</v>
      </c>
      <c r="DI19" s="9">
        <f ca="1"/>
        <v>0.28294596715067893</v>
      </c>
      <c r="DJ19" s="9">
        <f ca="1"/>
        <v>0.19901501616687195</v>
      </c>
      <c r="DK19" s="9">
        <f ca="1"/>
        <v>0.13619817670439521</v>
      </c>
      <c r="DL19" s="9">
        <f ca="1"/>
        <v>9.0488833352884254E-2</v>
      </c>
      <c r="DM19" s="9">
        <f ca="1"/>
        <v>5.8275545519108178E-2</v>
      </c>
      <c r="DN19" s="9">
        <f ca="1"/>
        <v>3.6414120815931643E-2</v>
      </c>
      <c r="DO19" s="9">
        <f ca="1"/>
        <v>2.2235451322189584E-2</v>
      </c>
      <c r="DP19" s="9">
        <f ca="1"/>
        <v>1.3132559850458098E-2</v>
      </c>
      <c r="DQ19" s="9">
        <f ca="1"/>
        <v>7.2390632807307932E-3</v>
      </c>
      <c r="DR19" s="9">
        <f ca="1"/>
        <v>3.2051980256217532E-3</v>
      </c>
    </row>
    <row r="20" spans="1:122" x14ac:dyDescent="0.25">
      <c r="A20" s="86">
        <v>0.5</v>
      </c>
      <c r="B20" s="81">
        <f t="shared" ref="B20:B23" si="19">$B$8*EXP(A20*$B$9%*SQRT($B$7))</f>
        <v>329.24322101929698</v>
      </c>
      <c r="C20" s="81">
        <f t="shared" si="14"/>
        <v>5.7967967512521206</v>
      </c>
      <c r="D20" s="117" cm="1">
        <f t="array" ref="D20">[1]!Interp_Lin_Range($A$48:$A$52,$D$48:$D$52,B20,1)</f>
        <v>40.409825826997114</v>
      </c>
      <c r="E20" s="95">
        <v>42.970812497515794</v>
      </c>
      <c r="F20" s="94" cm="1">
        <f t="array" aca="1" ref="F20" ca="1">[1]!Interp_Lin_Range($BT$1:$DR$1,$BT$20:$DR$20,C20,1)</f>
        <v>5.1131200834437074</v>
      </c>
      <c r="G20" s="112" cm="1">
        <f t="array" ref="G20">Black76(1,B20,$B$5,D20,$B$7,$B$7,$B$3)</f>
        <v>5.0827232328536036</v>
      </c>
      <c r="H20" s="113">
        <f t="shared" ca="1" si="15"/>
        <v>9.2396852579709223E-4</v>
      </c>
      <c r="J20" s="89"/>
      <c r="K20" s="46">
        <v>2.7701674277016742E-2</v>
      </c>
      <c r="L20" s="98">
        <f t="shared" si="7"/>
        <v>2.130898021308978E-3</v>
      </c>
      <c r="M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R20" s="4"/>
      <c r="BS20" s="105">
        <f t="shared" si="1"/>
        <v>3.8356164383561646E-2</v>
      </c>
      <c r="BT20" s="109" cm="1">
        <f t="array" aca="1" ref="BT20:DR20" ca="1">TRANSPOSE(MMULT(OFFSET(_xlfn.ANCHORARRAY($P$222),0,0),TRANSPOSE(BT19:DR19)))</f>
        <v>6.9036680507257673</v>
      </c>
      <c r="BU20" s="109">
        <f ca="1"/>
        <v>13.759419298186778</v>
      </c>
      <c r="BV20" s="109">
        <f ca="1"/>
        <v>20.390982876009488</v>
      </c>
      <c r="BW20" s="109">
        <f ca="1"/>
        <v>26.646330591904448</v>
      </c>
      <c r="BX20" s="109">
        <f ca="1"/>
        <v>32.409821251200647</v>
      </c>
      <c r="BY20" s="109">
        <f ca="1"/>
        <v>37.609852010313929</v>
      </c>
      <c r="BZ20" s="109">
        <f ca="1"/>
        <v>42.101439328615434</v>
      </c>
      <c r="CA20" s="109">
        <f ca="1"/>
        <v>45.614156998860871</v>
      </c>
      <c r="CB20" s="109">
        <f ca="1"/>
        <v>47.8303368380992</v>
      </c>
      <c r="CC20" s="109">
        <f ca="1"/>
        <v>48.4291040739148</v>
      </c>
      <c r="CD20" s="109">
        <f ca="1"/>
        <v>47.240557617143203</v>
      </c>
      <c r="CE20" s="109">
        <f ca="1"/>
        <v>44.681774379604398</v>
      </c>
      <c r="CF20" s="109">
        <f ca="1"/>
        <v>41.760566457529727</v>
      </c>
      <c r="CG20" s="109">
        <f ca="1"/>
        <v>38.810417264461798</v>
      </c>
      <c r="CH20" s="109">
        <f ca="1"/>
        <v>35.875671274330088</v>
      </c>
      <c r="CI20" s="109">
        <f ca="1"/>
        <v>32.98912405684041</v>
      </c>
      <c r="CJ20" s="109">
        <f ca="1"/>
        <v>30.169140633675731</v>
      </c>
      <c r="CK20" s="109">
        <f ca="1"/>
        <v>27.423703842579513</v>
      </c>
      <c r="CL20" s="109">
        <f ca="1"/>
        <v>24.754498903392982</v>
      </c>
      <c r="CM20" s="109">
        <f ca="1"/>
        <v>22.159620983016666</v>
      </c>
      <c r="CN20" s="109">
        <f ca="1"/>
        <v>19.655590123927549</v>
      </c>
      <c r="CO20" s="110">
        <f ca="1"/>
        <v>17.265835272207173</v>
      </c>
      <c r="CP20" s="34">
        <f ca="1"/>
        <v>15.012339694611862</v>
      </c>
      <c r="CQ20" s="9">
        <f ca="1"/>
        <v>12.918106563232252</v>
      </c>
      <c r="CR20" s="9">
        <f ca="1"/>
        <v>11.014352012829022</v>
      </c>
      <c r="CS20" s="9">
        <f ca="1"/>
        <v>9.3314931118408584</v>
      </c>
      <c r="CT20" s="9">
        <f ca="1"/>
        <v>7.8976620303278269</v>
      </c>
      <c r="CU20" s="9">
        <f ca="1"/>
        <v>6.6887222640730144</v>
      </c>
      <c r="CV20" s="9">
        <f ca="1"/>
        <v>5.671307944831173</v>
      </c>
      <c r="CW20" s="9">
        <f ca="1"/>
        <v>4.8155362561636164</v>
      </c>
      <c r="CX20" s="9">
        <f ca="1"/>
        <v>4.0910645377257255</v>
      </c>
      <c r="CY20" s="9">
        <f ca="1"/>
        <v>3.4674657501886754</v>
      </c>
      <c r="CZ20" s="9">
        <f ca="1"/>
        <v>2.9216217331621088</v>
      </c>
      <c r="DA20" s="9">
        <f ca="1"/>
        <v>2.4357473653965527</v>
      </c>
      <c r="DB20" s="9">
        <f ca="1"/>
        <v>2.0065302176240398</v>
      </c>
      <c r="DC20" s="9">
        <f ca="1"/>
        <v>1.6316376354470417</v>
      </c>
      <c r="DD20" s="9">
        <f ca="1"/>
        <v>1.3082150342395096</v>
      </c>
      <c r="DE20" s="9">
        <f ca="1"/>
        <v>1.032933876895699</v>
      </c>
      <c r="DF20" s="9">
        <f ca="1"/>
        <v>0.80205769363993362</v>
      </c>
      <c r="DG20" s="9">
        <f ca="1"/>
        <v>0.61152517405298445</v>
      </c>
      <c r="DH20" s="9">
        <f ca="1"/>
        <v>0.45704822753002777</v>
      </c>
      <c r="DI20" s="9">
        <f ca="1"/>
        <v>0.3342216196454102</v>
      </c>
      <c r="DJ20" s="9">
        <f ca="1"/>
        <v>0.23863956249827931</v>
      </c>
      <c r="DK20" s="9">
        <f ca="1"/>
        <v>0.1660136168741341</v>
      </c>
      <c r="DL20" s="9">
        <f ca="1"/>
        <v>0.11228560459523854</v>
      </c>
      <c r="DM20" s="9">
        <f ca="1"/>
        <v>7.372910450223806E-2</v>
      </c>
      <c r="DN20" s="9">
        <f ca="1"/>
        <v>4.7033643823053181E-2</v>
      </c>
      <c r="DO20" s="9">
        <f ca="1"/>
        <v>2.9321142405705714E-2</v>
      </c>
      <c r="DP20" s="9">
        <f ca="1"/>
        <v>1.7662791353778625E-2</v>
      </c>
      <c r="DQ20" s="9">
        <f ca="1"/>
        <v>9.9036190303680716E-3</v>
      </c>
      <c r="DR20" s="9">
        <f ca="1"/>
        <v>4.4374180922461268E-3</v>
      </c>
    </row>
    <row r="21" spans="1:122" x14ac:dyDescent="0.25">
      <c r="A21" s="86">
        <v>1</v>
      </c>
      <c r="B21" s="81">
        <f t="shared" si="19"/>
        <v>341.68198541117641</v>
      </c>
      <c r="C21" s="81">
        <f t="shared" si="14"/>
        <v>5.8338804372491095</v>
      </c>
      <c r="D21" s="117" cm="1">
        <f t="array" ref="D21">[1]!Interp_Lin_Range($A$48:$A$52,$D$48:$D$52,B21,1)</f>
        <v>43.720977468671897</v>
      </c>
      <c r="E21" s="95">
        <v>59.118020616869579</v>
      </c>
      <c r="F21" s="94" cm="1">
        <f t="array" aca="1" ref="F21" ca="1">[1]!Interp_Lin_Range($BT$1:$DR$1,$BT$20:$DR$20,C21,1)</f>
        <v>2.8676463714293132</v>
      </c>
      <c r="G21" s="112" cm="1">
        <f t="array" ref="G21">Black76(1,B21,$B$5,D21,$B$7,$B$7,$B$3)</f>
        <v>2.8709726471545953</v>
      </c>
      <c r="H21" s="113">
        <f t="shared" ca="1" si="15"/>
        <v>1.1064110200600972E-5</v>
      </c>
      <c r="J21" s="89"/>
      <c r="K21" s="46">
        <v>2.9832572298325723E-2</v>
      </c>
      <c r="L21" s="98">
        <f t="shared" si="7"/>
        <v>2.1308980213089815E-3</v>
      </c>
      <c r="M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 s="1"/>
      <c r="CR21"/>
    </row>
    <row r="22" spans="1:122" x14ac:dyDescent="0.25">
      <c r="A22" s="86">
        <v>1.5</v>
      </c>
      <c r="B22" s="81">
        <f t="shared" si="19"/>
        <v>354.59068464064399</v>
      </c>
      <c r="C22" s="81">
        <f t="shared" si="14"/>
        <v>5.8709641232460985</v>
      </c>
      <c r="D22" s="117" cm="1">
        <f t="array" ref="D22">[1]!Interp_Lin_Range($A$48:$A$52,$D$48:$D$52,B22,1)</f>
        <v>45.62</v>
      </c>
      <c r="E22" s="95">
        <v>53.39731380867071</v>
      </c>
      <c r="F22" s="94" cm="1">
        <f t="array" aca="1" ref="F22" ca="1">[1]!Interp_Lin_Range($BT$1:$DR$1,$BT$20:$DR$20,C22,1)</f>
        <v>1.4473140269935418</v>
      </c>
      <c r="G22" s="112" cm="1">
        <f t="array" ref="G22">Black76(1,B22,$B$5,D22,$B$7,$B$7,$B$3)</f>
        <v>1.4531040753217201</v>
      </c>
      <c r="H22" s="113">
        <f t="shared" ca="1" si="15"/>
        <v>3.3524659642640443E-5</v>
      </c>
      <c r="J22" s="92"/>
      <c r="K22" s="46">
        <v>3.1963470319634701E-2</v>
      </c>
      <c r="L22" s="98">
        <f t="shared" si="7"/>
        <v>2.130898021308978E-3</v>
      </c>
      <c r="M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</row>
    <row r="23" spans="1:122" x14ac:dyDescent="0.25">
      <c r="A23" s="94">
        <v>3</v>
      </c>
      <c r="B23" s="94">
        <f t="shared" si="19"/>
        <v>396.31731117450244</v>
      </c>
      <c r="C23" s="94">
        <f t="shared" si="14"/>
        <v>5.9822151812370663</v>
      </c>
      <c r="D23" s="94"/>
      <c r="E23" s="94">
        <f>_xlfn.FORECAST.LINEAR(C23,E21:E22,C21:C22)</f>
        <v>36.235193384073909</v>
      </c>
      <c r="F23" s="94"/>
      <c r="G23" s="94"/>
      <c r="H23" s="94"/>
      <c r="I23" s="66"/>
      <c r="J23" s="92"/>
      <c r="K23" s="46">
        <v>3.4094368340943683E-2</v>
      </c>
      <c r="L23" s="98">
        <f t="shared" si="7"/>
        <v>2.1308980213089815E-3</v>
      </c>
      <c r="M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122" x14ac:dyDescent="0.25">
      <c r="A24" s="29"/>
      <c r="B24" s="29"/>
      <c r="C24" s="66"/>
      <c r="E24" s="66"/>
      <c r="F24" s="66"/>
      <c r="G24" s="66"/>
      <c r="H24" s="66"/>
      <c r="I24" s="66"/>
      <c r="K24" s="46">
        <v>3.6225266362252664E-2</v>
      </c>
      <c r="L24" s="98">
        <f t="shared" si="7"/>
        <v>2.1308980213089815E-3</v>
      </c>
      <c r="M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</row>
    <row r="25" spans="1:122" x14ac:dyDescent="0.25">
      <c r="A25" s="29"/>
      <c r="B25" s="29"/>
      <c r="G25" s="111" t="s">
        <v>67</v>
      </c>
      <c r="H25" s="110">
        <f ca="1">SUM(H16:H22)</f>
        <v>1.2764854177268613E-3</v>
      </c>
      <c r="K25" s="46">
        <v>3.8356164383561646E-2</v>
      </c>
      <c r="L25" s="98">
        <f t="shared" si="7"/>
        <v>2.1308980213089815E-3</v>
      </c>
      <c r="M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</row>
    <row r="26" spans="1:122" x14ac:dyDescent="0.25">
      <c r="M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</row>
    <row r="27" spans="1:122" x14ac:dyDescent="0.25"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</row>
    <row r="28" spans="1:122" x14ac:dyDescent="0.25">
      <c r="M28" s="71"/>
      <c r="N28" s="31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122" x14ac:dyDescent="0.25">
      <c r="F29" s="29">
        <v>48.153192695036061</v>
      </c>
      <c r="G29" s="29">
        <v>48.175475283985534</v>
      </c>
      <c r="H29" s="29">
        <v>46.631694322753923</v>
      </c>
      <c r="M29" s="71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R29" s="1" t="s">
        <v>62</v>
      </c>
      <c r="BS29" s="29"/>
      <c r="BW29" s="29"/>
      <c r="CP29" s="29"/>
      <c r="CQ29"/>
      <c r="CR29"/>
      <c r="CS29"/>
    </row>
    <row r="30" spans="1:122" x14ac:dyDescent="0.25">
      <c r="F30" s="29">
        <v>60.895924854911343</v>
      </c>
      <c r="G30" s="29">
        <v>60.931597050365639</v>
      </c>
      <c r="H30" s="29">
        <v>58.772967253914096</v>
      </c>
      <c r="K30" s="42"/>
      <c r="M30" s="71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R30" s="1"/>
      <c r="BS30" s="29"/>
      <c r="CP30" s="29"/>
      <c r="CQ30"/>
      <c r="CR30"/>
      <c r="CS30"/>
    </row>
    <row r="31" spans="1:122" x14ac:dyDescent="0.25">
      <c r="F31" s="29">
        <v>49.173026030324451</v>
      </c>
      <c r="G31" s="29">
        <v>49.029801710514249</v>
      </c>
      <c r="H31" s="29">
        <v>50.994838886718064</v>
      </c>
      <c r="K31" s="42"/>
      <c r="M31" s="7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R31" s="1"/>
      <c r="BS31" s="29"/>
      <c r="CP31" s="29"/>
      <c r="CQ31"/>
      <c r="CR31"/>
      <c r="CS31"/>
    </row>
    <row r="32" spans="1:122" x14ac:dyDescent="0.25">
      <c r="F32" s="29">
        <v>41.445191343853629</v>
      </c>
      <c r="G32" s="29">
        <v>41.612050241726315</v>
      </c>
      <c r="H32" s="29">
        <v>41.297664296217739</v>
      </c>
      <c r="K32" s="4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R32" s="1"/>
      <c r="BS32" s="29"/>
      <c r="CP32" s="29"/>
      <c r="CQ32"/>
      <c r="CR32"/>
      <c r="CS32"/>
    </row>
    <row r="33" spans="1:97" x14ac:dyDescent="0.25">
      <c r="F33" s="29">
        <v>42.39718448966704</v>
      </c>
      <c r="G33" s="29">
        <v>42.083686903740599</v>
      </c>
      <c r="H33" s="29">
        <v>41.246619969392668</v>
      </c>
      <c r="K33" s="4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R33" s="1"/>
      <c r="BS33" s="29"/>
      <c r="CP33" s="29"/>
      <c r="CQ33"/>
      <c r="CR33"/>
      <c r="CS33"/>
    </row>
    <row r="34" spans="1:97" x14ac:dyDescent="0.25">
      <c r="D34" s="72"/>
      <c r="E34" s="72"/>
      <c r="F34" s="72">
        <v>42.257745877575665</v>
      </c>
      <c r="G34" s="72">
        <v>42.759848730417808</v>
      </c>
      <c r="H34" s="72">
        <v>44.182559515894468</v>
      </c>
      <c r="I34" s="72"/>
      <c r="L34" s="15"/>
      <c r="M34" s="49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R34" s="1"/>
      <c r="BS34" s="29"/>
      <c r="CP34" s="29"/>
      <c r="CQ34"/>
      <c r="CR34"/>
      <c r="CS34"/>
    </row>
    <row r="35" spans="1:97" x14ac:dyDescent="0.25">
      <c r="A35" s="29"/>
      <c r="F35" s="29">
        <v>43.370357802667868</v>
      </c>
      <c r="G35" s="29">
        <v>42.976117534262059</v>
      </c>
      <c r="H35" s="29">
        <v>43.791961696105034</v>
      </c>
      <c r="K35" s="44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29"/>
      <c r="BR35" s="1"/>
      <c r="BS35" s="29"/>
      <c r="CP35" s="29"/>
      <c r="CQ35"/>
      <c r="CR35"/>
      <c r="CS35"/>
    </row>
    <row r="36" spans="1:97" x14ac:dyDescent="0.25"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29"/>
      <c r="BR36" s="1"/>
      <c r="BS36" s="29"/>
      <c r="CP36" s="29"/>
      <c r="CQ36"/>
      <c r="CR36"/>
      <c r="CS36"/>
    </row>
    <row r="37" spans="1:97" x14ac:dyDescent="0.25"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 s="29"/>
      <c r="BR37" s="1"/>
      <c r="BS37" s="29"/>
      <c r="CP37" s="29"/>
      <c r="CQ37"/>
      <c r="CR37"/>
      <c r="CS37"/>
    </row>
    <row r="38" spans="1:97" x14ac:dyDescent="0.25">
      <c r="A38"/>
      <c r="B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 s="29"/>
      <c r="BM38"/>
      <c r="BN38"/>
      <c r="BO38"/>
      <c r="BP38"/>
      <c r="BQ38"/>
      <c r="BR38" s="1"/>
      <c r="BS38" s="29"/>
      <c r="CP38" s="29"/>
      <c r="CQ38"/>
      <c r="CR38"/>
      <c r="CS38"/>
    </row>
    <row r="39" spans="1:97" x14ac:dyDescent="0.25">
      <c r="A39"/>
      <c r="B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 s="29"/>
      <c r="BM39"/>
      <c r="BN39"/>
      <c r="BO39"/>
      <c r="BP39"/>
      <c r="BQ39"/>
      <c r="BR39" s="1"/>
      <c r="BS39" s="29"/>
      <c r="CP39" s="29"/>
      <c r="CQ39"/>
      <c r="CR39"/>
      <c r="CS39"/>
    </row>
    <row r="40" spans="1:97" ht="39" customHeight="1" x14ac:dyDescent="0.25">
      <c r="A40"/>
      <c r="B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 s="29"/>
      <c r="BM40"/>
      <c r="BN40"/>
      <c r="BO40"/>
      <c r="BP40"/>
      <c r="BQ40"/>
      <c r="BR40" s="1"/>
      <c r="BS40" s="29"/>
      <c r="CP40" s="29"/>
      <c r="CQ40"/>
      <c r="CR40"/>
      <c r="CS40"/>
    </row>
    <row r="41" spans="1:97" x14ac:dyDescent="0.25">
      <c r="A41"/>
      <c r="B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 s="29"/>
      <c r="BM41"/>
      <c r="BN41"/>
      <c r="BO41"/>
      <c r="BP41"/>
      <c r="BQ41"/>
      <c r="BR41" s="1"/>
      <c r="BS41" s="29"/>
      <c r="CP41" s="29"/>
      <c r="CQ41"/>
      <c r="CR41"/>
      <c r="CS41"/>
    </row>
    <row r="42" spans="1:97" x14ac:dyDescent="0.25">
      <c r="A42"/>
      <c r="B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 s="29"/>
      <c r="BM42"/>
      <c r="BN42"/>
      <c r="BO42"/>
      <c r="BP42"/>
      <c r="BQ42"/>
      <c r="BR42" s="1"/>
      <c r="BS42" s="29"/>
      <c r="CP42" s="29"/>
      <c r="CQ42"/>
      <c r="CR42"/>
      <c r="CS42"/>
    </row>
    <row r="43" spans="1:97" x14ac:dyDescent="0.25">
      <c r="A43"/>
      <c r="B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 s="29"/>
      <c r="BM43"/>
      <c r="BN43"/>
      <c r="BO43"/>
      <c r="BP43"/>
      <c r="BQ43"/>
      <c r="BR43" s="1"/>
      <c r="BS43" s="29"/>
      <c r="CP43" s="29"/>
      <c r="CQ43"/>
      <c r="CR43"/>
      <c r="CS43"/>
    </row>
    <row r="44" spans="1:97" x14ac:dyDescent="0.25">
      <c r="A44"/>
      <c r="B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BM44"/>
      <c r="BN44"/>
      <c r="BO44"/>
      <c r="BP44"/>
      <c r="BQ44"/>
      <c r="BR44" s="1"/>
      <c r="BS44" s="29"/>
      <c r="CP44" s="29"/>
      <c r="CQ44"/>
      <c r="CR44"/>
      <c r="CS44"/>
    </row>
    <row r="45" spans="1:97" x14ac:dyDescent="0.25">
      <c r="A45" s="84"/>
      <c r="B45" s="84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BM45"/>
      <c r="BN45"/>
      <c r="BO45"/>
      <c r="BP45"/>
      <c r="BQ45"/>
      <c r="BR45" s="1"/>
      <c r="BS45" s="29"/>
      <c r="CP45" s="29"/>
      <c r="CQ45"/>
      <c r="CR45"/>
      <c r="CS45"/>
    </row>
    <row r="46" spans="1:97" x14ac:dyDescent="0.25">
      <c r="A46" s="84" t="s">
        <v>35</v>
      </c>
      <c r="B46"/>
      <c r="K46" s="42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 s="29"/>
      <c r="BM46"/>
      <c r="BN46"/>
      <c r="BO46"/>
      <c r="BP46"/>
      <c r="BQ46"/>
      <c r="BR46" s="1"/>
      <c r="BS46" s="29"/>
      <c r="CP46" s="29"/>
      <c r="CQ46"/>
      <c r="CR46"/>
      <c r="CS46"/>
    </row>
    <row r="47" spans="1:97" x14ac:dyDescent="0.25">
      <c r="A47" s="64" t="s">
        <v>38</v>
      </c>
      <c r="B47" s="64" t="s">
        <v>39</v>
      </c>
      <c r="C47" s="64" t="s">
        <v>40</v>
      </c>
      <c r="D47" s="64" t="s">
        <v>75</v>
      </c>
      <c r="E47" s="116" t="s">
        <v>74</v>
      </c>
      <c r="K47" s="42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 s="29"/>
      <c r="BM47"/>
      <c r="BN47"/>
      <c r="BO47"/>
      <c r="BP47"/>
      <c r="BQ47"/>
      <c r="BR47" s="1"/>
      <c r="BS47" s="29"/>
      <c r="CP47" s="29"/>
      <c r="CQ47"/>
      <c r="CR47"/>
      <c r="CS47"/>
    </row>
    <row r="48" spans="1:97" x14ac:dyDescent="0.25">
      <c r="A48" s="134">
        <v>284.94</v>
      </c>
      <c r="B48" s="80">
        <f>LN(A48)</f>
        <v>5.6522786317890858</v>
      </c>
      <c r="C48" s="95">
        <v>-10</v>
      </c>
      <c r="D48" s="133">
        <v>39.64</v>
      </c>
      <c r="E48" s="139" cm="1">
        <f t="array" ref="E48">[1]!Interp_Lin_Range($C$16:$C$22,$E$16:E22,B48,1)</f>
        <v>19.709223937682179</v>
      </c>
      <c r="K48" s="43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 s="29"/>
      <c r="BM48"/>
      <c r="BN48"/>
      <c r="BO48"/>
      <c r="BP48"/>
      <c r="BQ48"/>
      <c r="BR48" s="1"/>
      <c r="BS48" s="29"/>
      <c r="CP48" s="29"/>
      <c r="CQ48"/>
      <c r="CR48"/>
      <c r="CS48"/>
    </row>
    <row r="49" spans="1:97" x14ac:dyDescent="0.25">
      <c r="A49" s="134">
        <v>300.77</v>
      </c>
      <c r="B49" s="134">
        <f t="shared" ref="B49:B52" si="20">LN(A49)</f>
        <v>5.7063458530593616</v>
      </c>
      <c r="C49" s="95">
        <v>-4.9999999999999902</v>
      </c>
      <c r="D49" s="133">
        <v>37.74</v>
      </c>
      <c r="E49" s="139" cm="1">
        <f t="array" ref="E49">[1]!Interp_Lin_Range($C$16:$C$22,$E$16:E23,B49,1)</f>
        <v>36.089480911885708</v>
      </c>
      <c r="AK49" s="29"/>
      <c r="BM49"/>
      <c r="BN49"/>
      <c r="BO49"/>
      <c r="BP49"/>
      <c r="BQ49"/>
      <c r="BR49" s="1"/>
      <c r="BS49" s="29"/>
      <c r="CP49" s="29"/>
      <c r="CQ49"/>
      <c r="CR49"/>
      <c r="CS49"/>
    </row>
    <row r="50" spans="1:97" x14ac:dyDescent="0.25">
      <c r="A50" s="134">
        <v>316.60000000000002</v>
      </c>
      <c r="B50" s="134">
        <f t="shared" si="20"/>
        <v>5.7576391474469117</v>
      </c>
      <c r="C50" s="95">
        <v>0</v>
      </c>
      <c r="D50" s="133">
        <v>37.869999999999997</v>
      </c>
      <c r="E50" s="139" cm="1">
        <f t="array" ref="E50">[1]!Interp_Lin_Range($C$16:$C$22,$E$16:E24,B50,1)</f>
        <v>33.300783154743527</v>
      </c>
      <c r="K50" s="42"/>
      <c r="AK50" s="29"/>
      <c r="BM50"/>
      <c r="BN50"/>
      <c r="BO50"/>
      <c r="BP50"/>
      <c r="BQ50"/>
      <c r="BR50" s="1"/>
      <c r="BS50" s="29"/>
      <c r="CP50" s="29"/>
      <c r="CQ50"/>
      <c r="CR50"/>
      <c r="CS50"/>
    </row>
    <row r="51" spans="1:97" x14ac:dyDescent="0.25">
      <c r="A51" s="134">
        <v>332.43</v>
      </c>
      <c r="B51" s="134">
        <f t="shared" si="20"/>
        <v>5.8064293116163439</v>
      </c>
      <c r="C51" s="95">
        <v>5</v>
      </c>
      <c r="D51" s="133">
        <v>41.05</v>
      </c>
      <c r="E51" s="139" cm="1">
        <f t="array" ref="E51">[1]!Interp_Lin_Range($C$16:$C$22,$E$16:E25,B51,1)</f>
        <v>47.165081560628387</v>
      </c>
      <c r="AK51" s="29"/>
      <c r="BM51"/>
      <c r="BN51"/>
      <c r="BO51"/>
      <c r="BP51"/>
      <c r="BQ51"/>
      <c r="BR51" s="1"/>
      <c r="BS51" s="29"/>
      <c r="CP51" s="29"/>
      <c r="CQ51"/>
      <c r="CR51"/>
      <c r="CS51"/>
    </row>
    <row r="52" spans="1:97" x14ac:dyDescent="0.25">
      <c r="A52" s="134">
        <v>348.26</v>
      </c>
      <c r="B52" s="134">
        <f t="shared" si="20"/>
        <v>5.8529493272512365</v>
      </c>
      <c r="C52" s="95">
        <v>10</v>
      </c>
      <c r="D52" s="133">
        <v>45.62</v>
      </c>
      <c r="E52" s="139" cm="1">
        <f t="array" ref="E52">[1]!Interp_Lin_Range($C$16:$C$22,$E$16:E26,B52,1)</f>
        <v>56.17636242062607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 s="29"/>
      <c r="BM52"/>
      <c r="BN52"/>
      <c r="BO52"/>
      <c r="BP52"/>
      <c r="BQ52"/>
      <c r="BR52" s="1"/>
      <c r="BS52" s="29"/>
      <c r="CP52" s="29"/>
      <c r="CQ52"/>
      <c r="CR52"/>
      <c r="CS52"/>
    </row>
    <row r="53" spans="1:97" x14ac:dyDescent="0.25">
      <c r="A53"/>
      <c r="B53"/>
      <c r="C53"/>
      <c r="D53"/>
      <c r="E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 s="29"/>
      <c r="BM53"/>
      <c r="BN53"/>
      <c r="BO53"/>
      <c r="BP53"/>
      <c r="BQ53"/>
      <c r="BR53" s="1"/>
      <c r="BS53" s="29"/>
      <c r="CP53" s="29"/>
      <c r="CQ53"/>
      <c r="CR53"/>
      <c r="CS53"/>
    </row>
    <row r="54" spans="1:97" x14ac:dyDescent="0.25">
      <c r="A54"/>
      <c r="B54"/>
      <c r="C54"/>
      <c r="D54"/>
      <c r="E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 s="29"/>
      <c r="BM54"/>
      <c r="BN54"/>
      <c r="BO54"/>
      <c r="BP54"/>
      <c r="BQ54"/>
      <c r="BR54" s="1"/>
      <c r="BS54" s="29"/>
      <c r="CP54" s="29"/>
      <c r="CQ54"/>
      <c r="CR54"/>
      <c r="CS54"/>
    </row>
    <row r="55" spans="1:97" x14ac:dyDescent="0.25">
      <c r="A55"/>
      <c r="B55"/>
      <c r="C55"/>
      <c r="D55"/>
      <c r="E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 s="29"/>
      <c r="BM55"/>
      <c r="BN55"/>
      <c r="BO55"/>
      <c r="BP55"/>
      <c r="BQ55"/>
      <c r="BR55" s="1"/>
      <c r="BS55" s="29"/>
      <c r="CP55" s="29"/>
      <c r="CQ55"/>
      <c r="CR55"/>
      <c r="CS55"/>
    </row>
    <row r="56" spans="1:97" x14ac:dyDescent="0.25">
      <c r="A56"/>
      <c r="B56"/>
      <c r="C56"/>
      <c r="D56"/>
      <c r="E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 s="29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L56"/>
      <c r="BM56"/>
      <c r="BN56"/>
      <c r="BO56"/>
      <c r="BP56"/>
      <c r="BQ56"/>
      <c r="BR56" s="1"/>
      <c r="BS56" s="29"/>
      <c r="CP56" s="29"/>
      <c r="CQ56"/>
      <c r="CR56"/>
      <c r="CS56"/>
    </row>
    <row r="57" spans="1:97" x14ac:dyDescent="0.25">
      <c r="A57"/>
      <c r="B57"/>
      <c r="C57"/>
      <c r="D57"/>
      <c r="E57" s="1"/>
      <c r="F57" s="1"/>
      <c r="G57" s="1"/>
      <c r="H57" s="1"/>
      <c r="I57" s="1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 s="29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L57"/>
      <c r="BM57"/>
      <c r="BN57"/>
      <c r="BO57"/>
      <c r="BP57"/>
      <c r="BQ57"/>
      <c r="BR57" s="1"/>
      <c r="BS57" s="29"/>
      <c r="CP57" s="29"/>
      <c r="CQ57"/>
      <c r="CR57"/>
      <c r="CS57"/>
    </row>
    <row r="58" spans="1:97" x14ac:dyDescent="0.25"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 s="29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L58"/>
      <c r="BM58"/>
      <c r="BN58"/>
      <c r="BO58"/>
      <c r="BP58"/>
      <c r="BQ58"/>
      <c r="BR58" s="1"/>
      <c r="BS58" s="29"/>
      <c r="CP58" s="29"/>
      <c r="CQ58"/>
      <c r="CR58"/>
      <c r="CS58"/>
    </row>
    <row r="59" spans="1:97" x14ac:dyDescent="0.25">
      <c r="N59" s="21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 s="2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L59"/>
      <c r="BM59"/>
      <c r="BN59"/>
      <c r="BO59"/>
      <c r="BP59"/>
      <c r="BQ59"/>
      <c r="BR59" s="1"/>
      <c r="BS59" s="29"/>
      <c r="CP59" s="29"/>
      <c r="CQ59"/>
      <c r="CR59"/>
      <c r="CS59"/>
    </row>
    <row r="60" spans="1:97" x14ac:dyDescent="0.25">
      <c r="N60" s="21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 s="1"/>
      <c r="BS60" s="29"/>
      <c r="CP60" s="29"/>
      <c r="CQ60"/>
      <c r="CR60"/>
      <c r="CS60"/>
    </row>
    <row r="61" spans="1:97" x14ac:dyDescent="0.25">
      <c r="N61" s="2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R61" s="1"/>
      <c r="BS61" s="29"/>
      <c r="CP61" s="29"/>
      <c r="CQ61"/>
      <c r="CR61"/>
      <c r="CS61"/>
    </row>
    <row r="62" spans="1:97" x14ac:dyDescent="0.25">
      <c r="N62" s="21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R62" s="1"/>
      <c r="BS62" s="29"/>
      <c r="CP62" s="29"/>
      <c r="CQ62"/>
      <c r="CR62"/>
      <c r="CS62"/>
    </row>
    <row r="63" spans="1:97" x14ac:dyDescent="0.25">
      <c r="N63" s="21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R63" s="1"/>
      <c r="BS63" s="29"/>
      <c r="CP63" s="29"/>
      <c r="CQ63"/>
      <c r="CR63"/>
      <c r="CS63"/>
    </row>
    <row r="64" spans="1:97" x14ac:dyDescent="0.25">
      <c r="N64" s="21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R64" s="1"/>
      <c r="BS64" s="29"/>
      <c r="CP64" s="29"/>
      <c r="CQ64"/>
      <c r="CR64"/>
      <c r="CS64"/>
    </row>
    <row r="65" spans="1:97" x14ac:dyDescent="0.25">
      <c r="L65" s="21"/>
      <c r="M65" s="68"/>
      <c r="N65" s="21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R65" s="1"/>
      <c r="BS65" s="29"/>
      <c r="CP65" s="29"/>
      <c r="CQ65"/>
      <c r="CR65"/>
      <c r="CS65"/>
    </row>
    <row r="66" spans="1:97" x14ac:dyDescent="0.25">
      <c r="L66" s="21"/>
      <c r="M66" s="68"/>
      <c r="N66" s="51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R66" s="1"/>
      <c r="BS66" s="29"/>
      <c r="CP66" s="29"/>
      <c r="CQ66"/>
      <c r="CR66"/>
      <c r="CS66"/>
    </row>
    <row r="67" spans="1:97" x14ac:dyDescent="0.25">
      <c r="L67" s="21"/>
      <c r="M67" s="68"/>
      <c r="N67" s="51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R67" s="1"/>
      <c r="BS67" s="29"/>
      <c r="CP67" s="29"/>
      <c r="CQ67"/>
      <c r="CR67"/>
      <c r="CS67"/>
    </row>
    <row r="68" spans="1:97" x14ac:dyDescent="0.25">
      <c r="L68" s="21"/>
      <c r="M68" s="68"/>
      <c r="N68" s="51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R68" s="1"/>
      <c r="BS68" s="29"/>
      <c r="CP68" s="29"/>
      <c r="CQ68"/>
      <c r="CR68"/>
      <c r="CS68"/>
    </row>
    <row r="69" spans="1:97" x14ac:dyDescent="0.25">
      <c r="A69" s="41"/>
      <c r="L69" s="21"/>
      <c r="M69" s="68"/>
      <c r="N69" s="51"/>
      <c r="O69" s="36"/>
      <c r="P69" s="28"/>
      <c r="Q69" s="37"/>
      <c r="R69" s="37"/>
      <c r="S69" s="37"/>
      <c r="T69" s="37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R69" s="1"/>
      <c r="BS69" s="29"/>
      <c r="CP69" s="29"/>
      <c r="CQ69"/>
      <c r="CR69"/>
      <c r="CS69"/>
    </row>
    <row r="70" spans="1:97" s="29" customFormat="1" x14ac:dyDescent="0.25">
      <c r="A70" s="1">
        <v>2</v>
      </c>
      <c r="B70" s="42" t="s">
        <v>24</v>
      </c>
      <c r="C70" s="8"/>
      <c r="J70" s="88"/>
      <c r="K70" s="1"/>
      <c r="L70" s="21"/>
      <c r="M70" s="68"/>
      <c r="N70" s="51"/>
      <c r="O70" s="36"/>
      <c r="P70" s="28"/>
      <c r="Q70" s="37"/>
      <c r="R70" s="37"/>
      <c r="S70" s="37"/>
      <c r="T70" s="37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R70" s="1"/>
      <c r="CQ70"/>
      <c r="CR70"/>
      <c r="CS70"/>
    </row>
    <row r="71" spans="1:97" x14ac:dyDescent="0.25">
      <c r="A71" s="1">
        <v>3</v>
      </c>
      <c r="B71" s="42" t="s">
        <v>24</v>
      </c>
      <c r="C71" s="29"/>
      <c r="L71" s="21"/>
      <c r="M71" s="68"/>
      <c r="N71" s="51"/>
      <c r="O71" s="36"/>
      <c r="P71" s="28"/>
      <c r="Q71" s="37"/>
      <c r="R71" s="37"/>
      <c r="S71" s="37"/>
      <c r="T71" s="37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R71" s="1"/>
      <c r="BS71" s="29"/>
      <c r="CP71" s="29"/>
      <c r="CQ71"/>
      <c r="CR71"/>
      <c r="CS71"/>
    </row>
    <row r="72" spans="1:97" s="36" customFormat="1" x14ac:dyDescent="0.25">
      <c r="A72" s="1">
        <v>4</v>
      </c>
      <c r="B72" s="42" t="s">
        <v>24</v>
      </c>
      <c r="C72" s="8"/>
      <c r="D72" s="29"/>
      <c r="E72" s="29"/>
      <c r="F72" s="29"/>
      <c r="G72" s="29"/>
      <c r="H72" s="29"/>
      <c r="I72" s="29"/>
      <c r="J72" s="88"/>
      <c r="K72" s="1"/>
      <c r="L72" s="51"/>
      <c r="M72" s="69"/>
      <c r="N72" s="51"/>
      <c r="P72" s="28"/>
      <c r="Q72" s="37"/>
      <c r="R72" s="37"/>
      <c r="S72" s="37"/>
      <c r="T72" s="37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R72" s="1"/>
      <c r="BS72" s="29"/>
      <c r="CP72" s="29"/>
      <c r="CQ72"/>
      <c r="CR72"/>
      <c r="CS72"/>
    </row>
    <row r="73" spans="1:97" s="36" customFormat="1" x14ac:dyDescent="0.25">
      <c r="A73" s="1">
        <v>5</v>
      </c>
      <c r="B73" s="42" t="s">
        <v>24</v>
      </c>
      <c r="J73" s="88"/>
      <c r="K73" s="50"/>
      <c r="L73" s="51"/>
      <c r="M73" s="69"/>
      <c r="N73" s="5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R73" s="1"/>
      <c r="BS73" s="29"/>
      <c r="CP73" s="29"/>
      <c r="CQ73"/>
      <c r="CR73"/>
      <c r="CS73"/>
    </row>
    <row r="74" spans="1:97" s="36" customFormat="1" x14ac:dyDescent="0.25">
      <c r="A74" s="1">
        <v>6</v>
      </c>
      <c r="B74" s="42" t="s">
        <v>24</v>
      </c>
      <c r="J74" s="88"/>
      <c r="K74" s="50"/>
      <c r="L74" s="51"/>
      <c r="M74" s="69"/>
      <c r="N74" s="5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R74" s="1"/>
      <c r="BS74" s="29"/>
      <c r="CP74" s="29"/>
      <c r="CQ74"/>
      <c r="CR74"/>
      <c r="CS74"/>
    </row>
    <row r="75" spans="1:97" s="36" customFormat="1" x14ac:dyDescent="0.25">
      <c r="A75" s="1">
        <v>7</v>
      </c>
      <c r="B75" s="42" t="s">
        <v>24</v>
      </c>
      <c r="J75" s="88"/>
      <c r="K75" s="50"/>
      <c r="L75" s="51"/>
      <c r="M75" s="69"/>
      <c r="N75" s="5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R75" s="1"/>
      <c r="BS75" s="29"/>
      <c r="CP75" s="29"/>
      <c r="CQ75"/>
      <c r="CR75"/>
      <c r="CS75"/>
    </row>
    <row r="76" spans="1:97" s="36" customFormat="1" x14ac:dyDescent="0.25">
      <c r="A76" s="1">
        <v>8</v>
      </c>
      <c r="B76" s="42" t="s">
        <v>24</v>
      </c>
      <c r="J76" s="88"/>
      <c r="K76" s="50"/>
      <c r="L76" s="51"/>
      <c r="M76" s="69"/>
      <c r="N76" s="5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R76" s="1"/>
      <c r="BS76" s="29"/>
      <c r="CP76" s="29"/>
      <c r="CQ76"/>
      <c r="CR76"/>
      <c r="CS76"/>
    </row>
    <row r="77" spans="1:97" s="36" customFormat="1" x14ac:dyDescent="0.25">
      <c r="A77" s="1">
        <v>9</v>
      </c>
      <c r="B77" s="42" t="s">
        <v>24</v>
      </c>
      <c r="J77" s="88"/>
      <c r="K77" s="50"/>
      <c r="L77" s="51"/>
      <c r="M77" s="69"/>
      <c r="N77" s="5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R77" s="1"/>
      <c r="BS77" s="29"/>
      <c r="CP77" s="29"/>
      <c r="CQ77"/>
      <c r="CR77"/>
      <c r="CS77"/>
    </row>
    <row r="78" spans="1:97" s="36" customFormat="1" x14ac:dyDescent="0.25">
      <c r="A78" s="1">
        <v>10</v>
      </c>
      <c r="B78" s="42" t="s">
        <v>24</v>
      </c>
      <c r="J78" s="88"/>
      <c r="K78" s="50"/>
      <c r="L78" s="51"/>
      <c r="M78" s="69"/>
      <c r="N78" s="5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R78" s="1"/>
      <c r="BS78" s="29"/>
      <c r="CP78" s="29"/>
      <c r="CQ78"/>
      <c r="CR78"/>
      <c r="CS78"/>
    </row>
    <row r="79" spans="1:97" s="36" customFormat="1" x14ac:dyDescent="0.25">
      <c r="A79" s="1">
        <v>11</v>
      </c>
      <c r="B79" s="42" t="s">
        <v>24</v>
      </c>
      <c r="J79" s="88"/>
      <c r="K79" s="50"/>
      <c r="L79" s="51"/>
      <c r="M79" s="69"/>
      <c r="N79" s="5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R79" s="1"/>
      <c r="BS79" s="29"/>
      <c r="CP79" s="29"/>
      <c r="CQ79"/>
      <c r="CR79"/>
      <c r="CS79"/>
    </row>
    <row r="80" spans="1:97" s="36" customFormat="1" x14ac:dyDescent="0.25">
      <c r="A80" s="1">
        <v>12</v>
      </c>
      <c r="B80" s="42" t="s">
        <v>24</v>
      </c>
      <c r="J80" s="88"/>
      <c r="K80" s="50"/>
      <c r="L80" s="51"/>
      <c r="M80" s="69"/>
      <c r="N80" s="5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R80" s="1"/>
      <c r="BS80" s="29"/>
      <c r="CP80" s="29"/>
      <c r="CQ80"/>
      <c r="CR80"/>
      <c r="CS80"/>
    </row>
    <row r="81" spans="1:97" s="36" customFormat="1" x14ac:dyDescent="0.25">
      <c r="A81" s="1">
        <v>13</v>
      </c>
      <c r="B81" s="42" t="s">
        <v>24</v>
      </c>
      <c r="J81" s="88"/>
      <c r="K81" s="50"/>
      <c r="L81" s="51"/>
      <c r="M81" s="69"/>
      <c r="N81" s="5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R81" s="1"/>
      <c r="BS81" s="29"/>
      <c r="CP81" s="29"/>
      <c r="CQ81"/>
      <c r="CR81"/>
      <c r="CS81"/>
    </row>
    <row r="82" spans="1:97" s="36" customFormat="1" x14ac:dyDescent="0.25">
      <c r="A82" s="1">
        <v>14</v>
      </c>
      <c r="B82" s="42" t="s">
        <v>24</v>
      </c>
      <c r="J82" s="88"/>
      <c r="K82" s="50"/>
      <c r="L82" s="51"/>
      <c r="M82" s="69"/>
      <c r="N82" s="5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R82" s="1"/>
      <c r="BS82" s="29"/>
      <c r="CP82" s="29"/>
      <c r="CQ82"/>
      <c r="CR82"/>
      <c r="CS82"/>
    </row>
    <row r="83" spans="1:97" s="36" customFormat="1" x14ac:dyDescent="0.25">
      <c r="A83" s="1">
        <v>15</v>
      </c>
      <c r="B83" s="42" t="s">
        <v>24</v>
      </c>
      <c r="J83" s="88"/>
      <c r="K83" s="50"/>
      <c r="L83" s="51"/>
      <c r="M83" s="69"/>
      <c r="N83" s="5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R83" s="1"/>
      <c r="BS83" s="29"/>
      <c r="CP83" s="29"/>
      <c r="CQ83"/>
      <c r="CR83"/>
      <c r="CS83"/>
    </row>
    <row r="84" spans="1:97" s="36" customFormat="1" x14ac:dyDescent="0.25">
      <c r="A84" s="1">
        <v>16</v>
      </c>
      <c r="B84" s="42" t="s">
        <v>24</v>
      </c>
      <c r="J84" s="88"/>
      <c r="K84" s="50"/>
      <c r="L84" s="51"/>
      <c r="M84" s="69"/>
      <c r="N84" s="51"/>
      <c r="P84" s="28"/>
      <c r="Q84" s="37"/>
      <c r="R84" s="37"/>
      <c r="S84" s="37"/>
      <c r="T84" s="37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R84" s="1"/>
      <c r="BS84" s="29"/>
      <c r="CP84" s="29"/>
      <c r="CQ84"/>
      <c r="CR84"/>
      <c r="CS84"/>
    </row>
    <row r="85" spans="1:97" s="36" customFormat="1" x14ac:dyDescent="0.25">
      <c r="A85" s="1">
        <v>17</v>
      </c>
      <c r="B85" s="42" t="s">
        <v>24</v>
      </c>
      <c r="J85" s="88"/>
      <c r="K85" s="50"/>
      <c r="L85" s="51"/>
      <c r="M85" s="69"/>
      <c r="N85" s="51"/>
      <c r="P85" s="28"/>
      <c r="Q85" s="37"/>
      <c r="R85" s="37"/>
      <c r="S85" s="37"/>
      <c r="T85" s="37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R85" s="1"/>
      <c r="BS85" s="29"/>
      <c r="CP85" s="29"/>
      <c r="CQ85"/>
      <c r="CR85"/>
      <c r="CS85"/>
    </row>
    <row r="86" spans="1:97" s="36" customFormat="1" x14ac:dyDescent="0.25">
      <c r="A86" s="1">
        <v>18</v>
      </c>
      <c r="B86" s="42" t="s">
        <v>24</v>
      </c>
      <c r="J86" s="88"/>
      <c r="K86" s="50"/>
      <c r="L86" s="51"/>
      <c r="M86" s="69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R86" s="1"/>
      <c r="BS86" s="29"/>
      <c r="CP86" s="29"/>
      <c r="CQ86"/>
      <c r="CR86"/>
      <c r="CS86"/>
    </row>
    <row r="87" spans="1:97" s="36" customFormat="1" x14ac:dyDescent="0.25">
      <c r="A87" s="1">
        <v>19</v>
      </c>
      <c r="B87" s="42" t="s">
        <v>24</v>
      </c>
      <c r="J87" s="88"/>
      <c r="K87" s="50"/>
      <c r="L87" s="51"/>
      <c r="M87" s="69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R87" s="1"/>
      <c r="BS87" s="29"/>
      <c r="CP87" s="29"/>
      <c r="CQ87"/>
      <c r="CR87"/>
      <c r="CS87"/>
    </row>
    <row r="88" spans="1:97" s="36" customFormat="1" x14ac:dyDescent="0.25">
      <c r="A88" s="8"/>
      <c r="B88" s="8"/>
      <c r="J88" s="88"/>
      <c r="K88" s="50"/>
      <c r="L88" s="51"/>
      <c r="M88" s="69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R88" s="1"/>
      <c r="BS88" s="29"/>
      <c r="CP88" s="29"/>
      <c r="CQ88"/>
      <c r="CR88"/>
      <c r="CS88"/>
    </row>
    <row r="89" spans="1:97" s="36" customFormat="1" x14ac:dyDescent="0.25">
      <c r="A89" s="8"/>
      <c r="B89" s="8"/>
      <c r="J89" s="88"/>
      <c r="K89" s="50"/>
      <c r="L89" s="51"/>
      <c r="M89" s="6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R89" s="1"/>
      <c r="BS89" s="29"/>
      <c r="CP89" s="29"/>
      <c r="CQ89"/>
      <c r="CR89"/>
      <c r="CS89"/>
    </row>
    <row r="90" spans="1:97" s="36" customFormat="1" x14ac:dyDescent="0.25">
      <c r="A90" s="8"/>
      <c r="B90" s="8"/>
      <c r="J90" s="88"/>
      <c r="K90" s="50"/>
      <c r="L90" s="51"/>
      <c r="M90" s="69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R90" s="1"/>
      <c r="BS90" s="29"/>
      <c r="CP90" s="29"/>
      <c r="CQ90"/>
      <c r="CR90"/>
      <c r="CS90"/>
    </row>
    <row r="91" spans="1:97" s="36" customFormat="1" x14ac:dyDescent="0.25">
      <c r="A91" s="8"/>
      <c r="B91" s="8"/>
      <c r="J91" s="88"/>
      <c r="K91" s="50"/>
      <c r="L91" s="51"/>
      <c r="M91" s="69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R91" s="1"/>
      <c r="BS91" s="29"/>
      <c r="CP91" s="29"/>
      <c r="CQ91"/>
      <c r="CR91"/>
      <c r="CS91"/>
    </row>
    <row r="92" spans="1:97" s="36" customFormat="1" x14ac:dyDescent="0.25">
      <c r="A92" s="8"/>
      <c r="B92" s="8"/>
      <c r="J92" s="88"/>
      <c r="K92" s="50"/>
      <c r="L92" s="51"/>
      <c r="M92" s="69"/>
      <c r="N92" s="51"/>
      <c r="P92" s="28"/>
      <c r="Q92" s="37"/>
      <c r="R92" s="37"/>
      <c r="S92" s="37"/>
      <c r="T92" s="37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CP92" s="29"/>
      <c r="CQ92"/>
      <c r="CR92"/>
      <c r="CS92"/>
    </row>
    <row r="93" spans="1:97" s="36" customFormat="1" x14ac:dyDescent="0.25">
      <c r="A93" s="8"/>
      <c r="B93" s="8"/>
      <c r="J93" s="88"/>
      <c r="K93" s="50"/>
      <c r="L93" s="51"/>
      <c r="M93" s="69"/>
      <c r="N93" s="51"/>
      <c r="P93" s="28"/>
      <c r="Q93" s="37"/>
      <c r="R93" s="37"/>
      <c r="S93" s="37"/>
      <c r="T93" s="37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CP93" s="29"/>
      <c r="CQ93"/>
      <c r="CR93"/>
      <c r="CS93"/>
    </row>
    <row r="94" spans="1:97" s="36" customFormat="1" x14ac:dyDescent="0.25">
      <c r="A94" s="8"/>
      <c r="B94" s="8"/>
      <c r="J94" s="88"/>
      <c r="K94" s="50"/>
      <c r="L94" s="51"/>
      <c r="M94" s="69"/>
      <c r="N94" s="51"/>
      <c r="P94" s="28"/>
      <c r="Q94" s="37"/>
      <c r="R94" s="37"/>
      <c r="S94" s="37"/>
      <c r="T94" s="37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CP94" s="29"/>
      <c r="CQ94"/>
      <c r="CR94"/>
      <c r="CS94"/>
    </row>
    <row r="95" spans="1:97" s="36" customFormat="1" x14ac:dyDescent="0.25">
      <c r="A95" s="8"/>
      <c r="B95" s="8"/>
      <c r="J95" s="88"/>
      <c r="K95" s="50"/>
      <c r="L95" s="51"/>
      <c r="M95" s="69"/>
      <c r="N95" s="51"/>
      <c r="P95" s="28"/>
      <c r="Q95" s="37"/>
      <c r="R95" s="37"/>
      <c r="S95" s="37"/>
      <c r="T95" s="37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CP95" s="29"/>
      <c r="CQ95"/>
      <c r="CR95"/>
      <c r="CS95"/>
    </row>
    <row r="96" spans="1:97" s="36" customFormat="1" x14ac:dyDescent="0.25">
      <c r="A96" s="8"/>
      <c r="B96" s="8"/>
      <c r="J96" s="88"/>
      <c r="K96" s="50"/>
      <c r="L96" s="51"/>
      <c r="M96" s="69"/>
      <c r="N96" s="51"/>
      <c r="P96" s="28"/>
      <c r="Q96" s="37"/>
      <c r="R96" s="37"/>
      <c r="S96" s="37"/>
      <c r="T96" s="37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CP96" s="29"/>
      <c r="CQ96"/>
      <c r="CR96"/>
      <c r="CS96"/>
    </row>
    <row r="97" spans="1:97" s="36" customFormat="1" x14ac:dyDescent="0.25">
      <c r="A97" s="8"/>
      <c r="B97" s="8"/>
      <c r="J97" s="88"/>
      <c r="K97" s="50"/>
      <c r="L97" s="51"/>
      <c r="M97" s="69"/>
      <c r="N97" s="51"/>
      <c r="P97" s="28"/>
      <c r="Q97" s="37"/>
      <c r="R97" s="37"/>
      <c r="S97" s="37"/>
      <c r="T97" s="3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CP97" s="29"/>
      <c r="CQ97"/>
      <c r="CR97"/>
      <c r="CS97"/>
    </row>
    <row r="98" spans="1:97" s="36" customFormat="1" x14ac:dyDescent="0.25">
      <c r="A98" s="8"/>
      <c r="B98" s="8"/>
      <c r="J98" s="88"/>
      <c r="K98" s="50"/>
      <c r="L98" s="51"/>
      <c r="M98" s="69"/>
      <c r="N98" s="51"/>
      <c r="P98" s="28"/>
      <c r="Q98" s="37"/>
      <c r="R98" s="37"/>
      <c r="S98" s="37"/>
      <c r="T98" s="37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CP98" s="29"/>
      <c r="CQ98"/>
      <c r="CR98"/>
      <c r="CS98"/>
    </row>
    <row r="99" spans="1:97" s="36" customFormat="1" x14ac:dyDescent="0.25">
      <c r="A99" s="8"/>
      <c r="B99" s="8"/>
      <c r="J99" s="88"/>
      <c r="K99" s="50"/>
      <c r="L99" s="51"/>
      <c r="M99" s="69"/>
      <c r="N99" s="51"/>
      <c r="P99" s="28"/>
      <c r="Q99" s="37"/>
      <c r="R99" s="37"/>
      <c r="S99" s="37"/>
      <c r="T99" s="37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CP99" s="29"/>
      <c r="CQ99"/>
      <c r="CR99"/>
      <c r="CS99"/>
    </row>
    <row r="100" spans="1:97" s="36" customFormat="1" x14ac:dyDescent="0.25">
      <c r="A100" s="8"/>
      <c r="B100" s="8"/>
      <c r="J100" s="88"/>
      <c r="K100" s="50"/>
      <c r="L100" s="51"/>
      <c r="M100" s="69"/>
      <c r="N100" s="51"/>
      <c r="P100" s="28"/>
      <c r="Q100" s="37"/>
      <c r="R100" s="37"/>
      <c r="S100" s="37"/>
      <c r="T100" s="37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CP100" s="29"/>
      <c r="CQ100"/>
      <c r="CR100"/>
      <c r="CS100"/>
    </row>
    <row r="101" spans="1:97" s="36" customFormat="1" x14ac:dyDescent="0.25">
      <c r="A101"/>
      <c r="B101"/>
      <c r="C101"/>
      <c r="D101"/>
      <c r="E101"/>
      <c r="F101" s="29"/>
      <c r="G101" s="29"/>
      <c r="H101" s="29"/>
      <c r="I101" s="29"/>
      <c r="J101" s="88"/>
      <c r="K101"/>
      <c r="L101"/>
      <c r="M101"/>
      <c r="N101"/>
      <c r="P101" s="28"/>
      <c r="Q101" s="37"/>
      <c r="R101" s="37"/>
      <c r="S101" s="37"/>
      <c r="T101" s="37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CP101" s="29"/>
      <c r="CQ101"/>
      <c r="CR101"/>
      <c r="CS101"/>
    </row>
    <row r="102" spans="1:97" s="36" customFormat="1" x14ac:dyDescent="0.25">
      <c r="A102"/>
      <c r="B102"/>
      <c r="C102"/>
      <c r="D102"/>
      <c r="E102"/>
      <c r="F102" s="29"/>
      <c r="G102" s="29"/>
      <c r="H102" s="29"/>
      <c r="I102" s="29"/>
      <c r="J102" s="88"/>
      <c r="K102"/>
      <c r="L102"/>
      <c r="M102"/>
      <c r="N102"/>
      <c r="P102" s="28"/>
      <c r="Q102" s="37"/>
      <c r="R102" s="37"/>
      <c r="S102" s="37"/>
      <c r="T102" s="37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CP102" s="29"/>
      <c r="CQ102"/>
      <c r="CR102"/>
      <c r="CS102"/>
    </row>
    <row r="103" spans="1:97" s="36" customFormat="1" x14ac:dyDescent="0.25">
      <c r="A103"/>
      <c r="B103"/>
      <c r="C103"/>
      <c r="D103"/>
      <c r="E103"/>
      <c r="F103" s="29"/>
      <c r="G103" s="29"/>
      <c r="H103" s="29"/>
      <c r="I103" s="29"/>
      <c r="J103" s="88"/>
      <c r="K103"/>
      <c r="L103"/>
      <c r="M103"/>
      <c r="N103"/>
      <c r="P103" s="28"/>
      <c r="Q103" s="37"/>
      <c r="R103" s="37"/>
      <c r="S103" s="37"/>
      <c r="T103" s="37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CP103" s="29"/>
      <c r="CQ103"/>
      <c r="CR103"/>
      <c r="CS103"/>
    </row>
    <row r="104" spans="1:97" s="36" customFormat="1" x14ac:dyDescent="0.25">
      <c r="A104"/>
      <c r="B104"/>
      <c r="C104"/>
      <c r="D104"/>
      <c r="E104"/>
      <c r="F104" s="29"/>
      <c r="G104" s="29"/>
      <c r="H104" s="29"/>
      <c r="I104" s="29"/>
      <c r="J104" s="88"/>
      <c r="K104"/>
      <c r="L104"/>
      <c r="M104"/>
      <c r="N104"/>
      <c r="P104" s="28"/>
      <c r="Q104" s="37"/>
      <c r="R104" s="37"/>
      <c r="S104" s="37"/>
      <c r="T104" s="37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CP104" s="29"/>
      <c r="CQ104"/>
      <c r="CR104"/>
      <c r="CS104"/>
    </row>
    <row r="105" spans="1:97" customFormat="1" x14ac:dyDescent="0.25">
      <c r="F105" s="29"/>
      <c r="G105" s="29"/>
      <c r="H105" s="29"/>
      <c r="I105" s="29"/>
      <c r="J105" s="88"/>
      <c r="O105" s="36"/>
      <c r="P105" s="28"/>
      <c r="Q105" s="37"/>
      <c r="R105" s="37"/>
      <c r="S105" s="37"/>
      <c r="T105" s="37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29"/>
    </row>
    <row r="106" spans="1:97" customFormat="1" x14ac:dyDescent="0.25">
      <c r="F106" s="29"/>
      <c r="G106" s="29"/>
      <c r="H106" s="29"/>
      <c r="I106" s="29"/>
      <c r="J106" s="88"/>
      <c r="O106" s="36"/>
      <c r="P106" s="28"/>
      <c r="Q106" s="37"/>
      <c r="R106" s="37"/>
      <c r="S106" s="37"/>
      <c r="T106" s="37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29"/>
    </row>
    <row r="107" spans="1:97" customFormat="1" x14ac:dyDescent="0.25">
      <c r="F107" s="29"/>
      <c r="G107" s="29"/>
      <c r="H107" s="29"/>
      <c r="I107" s="29"/>
      <c r="J107" s="88"/>
      <c r="O107" s="54" t="s">
        <v>26</v>
      </c>
      <c r="P107" s="55">
        <f>P109</f>
        <v>2</v>
      </c>
      <c r="Q107" s="56">
        <f>P107</f>
        <v>2</v>
      </c>
      <c r="R107" s="56">
        <f t="shared" ref="R107:AJ107" si="21">Q107</f>
        <v>2</v>
      </c>
      <c r="S107" s="56">
        <f t="shared" si="21"/>
        <v>2</v>
      </c>
      <c r="T107" s="56">
        <f t="shared" si="21"/>
        <v>2</v>
      </c>
      <c r="U107" s="56">
        <f t="shared" ref="U107:U108" si="22">T107</f>
        <v>2</v>
      </c>
      <c r="V107" s="56">
        <f t="shared" ref="V107:V108" si="23">U107</f>
        <v>2</v>
      </c>
      <c r="W107" s="56">
        <f t="shared" ref="W107:W108" si="24">V107</f>
        <v>2</v>
      </c>
      <c r="X107" s="56">
        <f t="shared" ref="X107:X108" si="25">W107</f>
        <v>2</v>
      </c>
      <c r="Y107" s="56">
        <f t="shared" ref="Y107:Y108" si="26">X107</f>
        <v>2</v>
      </c>
      <c r="Z107" s="56">
        <f t="shared" ref="Z107:Z108" si="27">Y107</f>
        <v>2</v>
      </c>
      <c r="AA107" s="56">
        <f t="shared" ref="AA107:AA108" si="28">Z107</f>
        <v>2</v>
      </c>
      <c r="AB107" s="56">
        <f t="shared" ref="AB107:AB108" si="29">AA107</f>
        <v>2</v>
      </c>
      <c r="AC107" s="56">
        <f t="shared" ref="AC107:AC108" si="30">AB107</f>
        <v>2</v>
      </c>
      <c r="AD107" s="56">
        <f t="shared" ref="AD107:AD108" si="31">AC107</f>
        <v>2</v>
      </c>
      <c r="AE107" s="56">
        <f t="shared" ref="AE107:AE108" si="32">AD107</f>
        <v>2</v>
      </c>
      <c r="AF107" s="56">
        <f t="shared" ref="AF107:AF108" si="33">AE107</f>
        <v>2</v>
      </c>
      <c r="AG107" s="56">
        <f t="shared" ref="AG107:AG108" si="34">AF107</f>
        <v>2</v>
      </c>
      <c r="AH107" s="56">
        <f t="shared" ref="AH107:AH108" si="35">AG107</f>
        <v>2</v>
      </c>
      <c r="AI107" s="56">
        <f t="shared" ref="AI107:AI108" si="36">AH107</f>
        <v>2</v>
      </c>
      <c r="AJ107" s="56">
        <f t="shared" si="21"/>
        <v>2</v>
      </c>
      <c r="AK107" s="56">
        <f t="shared" ref="AK107:AK108" si="37">AJ107</f>
        <v>2</v>
      </c>
      <c r="AL107" s="56">
        <f t="shared" ref="AL107:AL108" si="38">AK107</f>
        <v>2</v>
      </c>
      <c r="AM107" s="56">
        <f t="shared" ref="AM107:AM108" si="39">AL107</f>
        <v>2</v>
      </c>
      <c r="AN107" s="56">
        <f t="shared" ref="AN107:AN108" si="40">AM107</f>
        <v>2</v>
      </c>
      <c r="AO107" s="56">
        <f t="shared" ref="AO107:AO108" si="41">AN107</f>
        <v>2</v>
      </c>
      <c r="AP107" s="56">
        <f t="shared" ref="AP107:AP108" si="42">AO107</f>
        <v>2</v>
      </c>
      <c r="AQ107" s="56">
        <f t="shared" ref="AQ107:AQ108" si="43">AP107</f>
        <v>2</v>
      </c>
      <c r="AR107" s="56">
        <f t="shared" ref="AR107:AR108" si="44">AQ107</f>
        <v>2</v>
      </c>
      <c r="AS107" s="56">
        <f t="shared" ref="AS107:AS108" si="45">AR107</f>
        <v>2</v>
      </c>
      <c r="AT107" s="56">
        <f t="shared" ref="AT107:AT108" si="46">AS107</f>
        <v>2</v>
      </c>
      <c r="AU107" s="56">
        <f t="shared" ref="AU107:AU108" si="47">AT107</f>
        <v>2</v>
      </c>
      <c r="AV107" s="56">
        <f t="shared" ref="AV107:AV108" si="48">AU107</f>
        <v>2</v>
      </c>
      <c r="AW107" s="56">
        <f t="shared" ref="AW107:AW108" si="49">AV107</f>
        <v>2</v>
      </c>
      <c r="AX107" s="56">
        <f t="shared" ref="AX107:AX108" si="50">AW107</f>
        <v>2</v>
      </c>
      <c r="AY107" s="56">
        <f t="shared" ref="AY107:AY108" si="51">AX107</f>
        <v>2</v>
      </c>
      <c r="AZ107" s="56">
        <f t="shared" ref="AZ107:AZ108" si="52">AY107</f>
        <v>2</v>
      </c>
      <c r="BA107" s="56">
        <f t="shared" ref="BA107:BA108" si="53">AZ107</f>
        <v>2</v>
      </c>
      <c r="BB107" s="56">
        <f t="shared" ref="BB107:BB108" si="54">BA107</f>
        <v>2</v>
      </c>
      <c r="BC107" s="56">
        <f t="shared" ref="BC107:BC108" si="55">BB107</f>
        <v>2</v>
      </c>
      <c r="BD107" s="56">
        <f t="shared" ref="BD107:BD108" si="56">BC107</f>
        <v>2</v>
      </c>
      <c r="BE107" s="56">
        <f t="shared" ref="BE107:BE108" si="57">BD107</f>
        <v>2</v>
      </c>
      <c r="BF107" s="56">
        <f t="shared" ref="BF107:BF108" si="58">BE107</f>
        <v>2</v>
      </c>
      <c r="BG107" s="56">
        <f t="shared" ref="BG107:BG108" si="59">BF107</f>
        <v>2</v>
      </c>
      <c r="BH107" s="56">
        <f t="shared" ref="BH107:BH108" si="60">BG107</f>
        <v>2</v>
      </c>
      <c r="BI107" s="56">
        <f t="shared" ref="BI107:BI108" si="61">BH107</f>
        <v>2</v>
      </c>
      <c r="BJ107" s="56">
        <f t="shared" ref="BJ107:BJ108" si="62">BI107</f>
        <v>2</v>
      </c>
      <c r="BK107" s="56">
        <f t="shared" ref="BK107:BK108" si="63">BJ107</f>
        <v>2</v>
      </c>
      <c r="BL107" s="56">
        <f t="shared" ref="BL107:BL108" si="64">BK107</f>
        <v>2</v>
      </c>
      <c r="BM107" s="56">
        <f t="shared" ref="BM107:BN108" si="65">BL107</f>
        <v>2</v>
      </c>
      <c r="BN107" s="56">
        <f t="shared" si="65"/>
        <v>2</v>
      </c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29"/>
    </row>
    <row r="108" spans="1:97" customFormat="1" x14ac:dyDescent="0.25">
      <c r="F108" s="29"/>
      <c r="G108" s="29"/>
      <c r="H108" s="29"/>
      <c r="I108" s="29"/>
      <c r="J108" s="93"/>
      <c r="O108" s="54" t="s">
        <v>27</v>
      </c>
      <c r="P108" s="56">
        <f>R109</f>
        <v>1</v>
      </c>
      <c r="Q108" s="56">
        <f>P108</f>
        <v>1</v>
      </c>
      <c r="R108" s="56">
        <f t="shared" ref="R108:AJ108" si="66">Q108</f>
        <v>1</v>
      </c>
      <c r="S108" s="56">
        <f t="shared" si="66"/>
        <v>1</v>
      </c>
      <c r="T108" s="56">
        <f t="shared" si="66"/>
        <v>1</v>
      </c>
      <c r="U108" s="56">
        <f t="shared" si="22"/>
        <v>1</v>
      </c>
      <c r="V108" s="56">
        <f t="shared" si="23"/>
        <v>1</v>
      </c>
      <c r="W108" s="56">
        <f t="shared" si="24"/>
        <v>1</v>
      </c>
      <c r="X108" s="56">
        <f t="shared" si="25"/>
        <v>1</v>
      </c>
      <c r="Y108" s="56">
        <f t="shared" si="26"/>
        <v>1</v>
      </c>
      <c r="Z108" s="56">
        <f t="shared" si="27"/>
        <v>1</v>
      </c>
      <c r="AA108" s="56">
        <f t="shared" si="28"/>
        <v>1</v>
      </c>
      <c r="AB108" s="56">
        <f t="shared" si="29"/>
        <v>1</v>
      </c>
      <c r="AC108" s="56">
        <f t="shared" si="30"/>
        <v>1</v>
      </c>
      <c r="AD108" s="56">
        <f t="shared" si="31"/>
        <v>1</v>
      </c>
      <c r="AE108" s="56">
        <f t="shared" si="32"/>
        <v>1</v>
      </c>
      <c r="AF108" s="56">
        <f t="shared" si="33"/>
        <v>1</v>
      </c>
      <c r="AG108" s="56">
        <f t="shared" si="34"/>
        <v>1</v>
      </c>
      <c r="AH108" s="56">
        <f t="shared" si="35"/>
        <v>1</v>
      </c>
      <c r="AI108" s="56">
        <f t="shared" si="36"/>
        <v>1</v>
      </c>
      <c r="AJ108" s="56">
        <f t="shared" si="66"/>
        <v>1</v>
      </c>
      <c r="AK108" s="56">
        <f t="shared" si="37"/>
        <v>1</v>
      </c>
      <c r="AL108" s="56">
        <f t="shared" si="38"/>
        <v>1</v>
      </c>
      <c r="AM108" s="56">
        <f t="shared" si="39"/>
        <v>1</v>
      </c>
      <c r="AN108" s="56">
        <f t="shared" si="40"/>
        <v>1</v>
      </c>
      <c r="AO108" s="56">
        <f t="shared" si="41"/>
        <v>1</v>
      </c>
      <c r="AP108" s="56">
        <f t="shared" si="42"/>
        <v>1</v>
      </c>
      <c r="AQ108" s="56">
        <f t="shared" si="43"/>
        <v>1</v>
      </c>
      <c r="AR108" s="56">
        <f t="shared" si="44"/>
        <v>1</v>
      </c>
      <c r="AS108" s="56">
        <f t="shared" si="45"/>
        <v>1</v>
      </c>
      <c r="AT108" s="56">
        <f t="shared" si="46"/>
        <v>1</v>
      </c>
      <c r="AU108" s="56">
        <f t="shared" si="47"/>
        <v>1</v>
      </c>
      <c r="AV108" s="56">
        <f t="shared" si="48"/>
        <v>1</v>
      </c>
      <c r="AW108" s="56">
        <f t="shared" si="49"/>
        <v>1</v>
      </c>
      <c r="AX108" s="56">
        <f t="shared" si="50"/>
        <v>1</v>
      </c>
      <c r="AY108" s="56">
        <f t="shared" si="51"/>
        <v>1</v>
      </c>
      <c r="AZ108" s="56">
        <f t="shared" si="52"/>
        <v>1</v>
      </c>
      <c r="BA108" s="56">
        <f t="shared" si="53"/>
        <v>1</v>
      </c>
      <c r="BB108" s="56">
        <f t="shared" si="54"/>
        <v>1</v>
      </c>
      <c r="BC108" s="56">
        <f t="shared" si="55"/>
        <v>1</v>
      </c>
      <c r="BD108" s="56">
        <f t="shared" si="56"/>
        <v>1</v>
      </c>
      <c r="BE108" s="56">
        <f t="shared" si="57"/>
        <v>1</v>
      </c>
      <c r="BF108" s="56">
        <f t="shared" si="58"/>
        <v>1</v>
      </c>
      <c r="BG108" s="56">
        <f t="shared" si="59"/>
        <v>1</v>
      </c>
      <c r="BH108" s="56">
        <f t="shared" si="60"/>
        <v>1</v>
      </c>
      <c r="BI108" s="56">
        <f t="shared" si="61"/>
        <v>1</v>
      </c>
      <c r="BJ108" s="56">
        <f t="shared" si="62"/>
        <v>1</v>
      </c>
      <c r="BK108" s="56">
        <f t="shared" si="63"/>
        <v>1</v>
      </c>
      <c r="BL108" s="56">
        <f t="shared" si="64"/>
        <v>1</v>
      </c>
      <c r="BM108" s="56">
        <f t="shared" si="65"/>
        <v>1</v>
      </c>
      <c r="BN108" s="56">
        <f t="shared" si="65"/>
        <v>1</v>
      </c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29"/>
    </row>
    <row r="109" spans="1:97" customFormat="1" x14ac:dyDescent="0.25">
      <c r="F109" s="29"/>
      <c r="G109" s="29"/>
      <c r="H109" s="29"/>
      <c r="I109" s="29"/>
      <c r="J109" s="93"/>
      <c r="O109" s="59"/>
      <c r="P109" s="52">
        <v>2</v>
      </c>
      <c r="Q109" s="60" t="str">
        <f>VLOOKUP(P109,$A$70:$B$200,2,FALSE)</f>
        <v>Crank Nicolson</v>
      </c>
      <c r="R109" s="52">
        <f>IF(Q109="Implicit",2,1)</f>
        <v>1</v>
      </c>
      <c r="S109" s="60"/>
      <c r="T109" s="60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29"/>
    </row>
    <row r="110" spans="1:97" customFormat="1" x14ac:dyDescent="0.25">
      <c r="F110" s="29"/>
      <c r="G110" s="29"/>
      <c r="H110" s="29"/>
      <c r="I110" s="29"/>
      <c r="J110" s="93"/>
      <c r="O110" s="11" t="s">
        <v>2</v>
      </c>
      <c r="P110" s="11">
        <f t="shared" ref="P110:AJ110" si="67">P17</f>
        <v>50</v>
      </c>
      <c r="Q110" s="11">
        <f t="shared" si="67"/>
        <v>49</v>
      </c>
      <c r="R110" s="11">
        <f t="shared" si="67"/>
        <v>48</v>
      </c>
      <c r="S110" s="11">
        <f t="shared" si="67"/>
        <v>47</v>
      </c>
      <c r="T110" s="11">
        <f t="shared" si="67"/>
        <v>46</v>
      </c>
      <c r="U110" s="11">
        <f t="shared" si="67"/>
        <v>45</v>
      </c>
      <c r="V110" s="11">
        <f t="shared" si="67"/>
        <v>44</v>
      </c>
      <c r="W110" s="11">
        <f t="shared" si="67"/>
        <v>43</v>
      </c>
      <c r="X110" s="11">
        <f t="shared" si="67"/>
        <v>42</v>
      </c>
      <c r="Y110" s="11">
        <f t="shared" si="67"/>
        <v>41</v>
      </c>
      <c r="Z110" s="11">
        <f t="shared" si="67"/>
        <v>40</v>
      </c>
      <c r="AA110" s="11">
        <f t="shared" si="67"/>
        <v>39</v>
      </c>
      <c r="AB110" s="11">
        <f t="shared" si="67"/>
        <v>38</v>
      </c>
      <c r="AC110" s="11">
        <f t="shared" si="67"/>
        <v>37</v>
      </c>
      <c r="AD110" s="11">
        <f t="shared" si="67"/>
        <v>36</v>
      </c>
      <c r="AE110" s="11">
        <f t="shared" si="67"/>
        <v>35</v>
      </c>
      <c r="AF110" s="11">
        <f t="shared" si="67"/>
        <v>34</v>
      </c>
      <c r="AG110" s="11">
        <f t="shared" si="67"/>
        <v>33</v>
      </c>
      <c r="AH110" s="11">
        <f t="shared" si="67"/>
        <v>32</v>
      </c>
      <c r="AI110" s="11">
        <f t="shared" si="67"/>
        <v>31</v>
      </c>
      <c r="AJ110" s="11">
        <f t="shared" si="67"/>
        <v>30</v>
      </c>
      <c r="AK110" s="11">
        <f t="shared" ref="AK110:BH110" si="68">AK17</f>
        <v>29</v>
      </c>
      <c r="AL110" s="11">
        <f t="shared" si="68"/>
        <v>28</v>
      </c>
      <c r="AM110" s="11">
        <f t="shared" si="68"/>
        <v>27</v>
      </c>
      <c r="AN110" s="11">
        <f t="shared" si="68"/>
        <v>26</v>
      </c>
      <c r="AO110" s="11">
        <f t="shared" si="68"/>
        <v>25</v>
      </c>
      <c r="AP110" s="11">
        <f t="shared" si="68"/>
        <v>24</v>
      </c>
      <c r="AQ110" s="11">
        <f t="shared" si="68"/>
        <v>23</v>
      </c>
      <c r="AR110" s="11">
        <f t="shared" si="68"/>
        <v>22</v>
      </c>
      <c r="AS110" s="11">
        <f t="shared" si="68"/>
        <v>21</v>
      </c>
      <c r="AT110" s="11">
        <f t="shared" si="68"/>
        <v>20</v>
      </c>
      <c r="AU110" s="11">
        <f t="shared" si="68"/>
        <v>19</v>
      </c>
      <c r="AV110" s="11">
        <f t="shared" si="68"/>
        <v>18</v>
      </c>
      <c r="AW110" s="11">
        <f t="shared" si="68"/>
        <v>17</v>
      </c>
      <c r="AX110" s="11">
        <f t="shared" si="68"/>
        <v>16</v>
      </c>
      <c r="AY110" s="11">
        <f t="shared" si="68"/>
        <v>15</v>
      </c>
      <c r="AZ110" s="11">
        <f t="shared" si="68"/>
        <v>14</v>
      </c>
      <c r="BA110" s="11">
        <f t="shared" si="68"/>
        <v>13</v>
      </c>
      <c r="BB110" s="11">
        <f t="shared" si="68"/>
        <v>12</v>
      </c>
      <c r="BC110" s="11">
        <f t="shared" si="68"/>
        <v>11</v>
      </c>
      <c r="BD110" s="11">
        <f t="shared" si="68"/>
        <v>10</v>
      </c>
      <c r="BE110" s="11">
        <f t="shared" si="68"/>
        <v>9</v>
      </c>
      <c r="BF110" s="11">
        <f t="shared" si="68"/>
        <v>8</v>
      </c>
      <c r="BG110" s="11">
        <f t="shared" si="68"/>
        <v>7</v>
      </c>
      <c r="BH110" s="11">
        <f t="shared" si="68"/>
        <v>6</v>
      </c>
      <c r="BI110" s="11">
        <f>BI17</f>
        <v>5</v>
      </c>
      <c r="BJ110" s="11">
        <f t="shared" ref="BJ110:BM110" si="69">BJ17</f>
        <v>4</v>
      </c>
      <c r="BK110" s="11">
        <f t="shared" si="69"/>
        <v>3</v>
      </c>
      <c r="BL110" s="11">
        <f t="shared" si="69"/>
        <v>2</v>
      </c>
      <c r="BM110" s="11">
        <f t="shared" si="69"/>
        <v>1</v>
      </c>
      <c r="BN110" s="11">
        <f>BN17</f>
        <v>0</v>
      </c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27"/>
    </row>
    <row r="111" spans="1:97" customFormat="1" x14ac:dyDescent="0.25">
      <c r="F111" s="29"/>
      <c r="G111" s="29"/>
      <c r="H111" s="29"/>
      <c r="I111" s="29"/>
      <c r="J111" s="93"/>
      <c r="M111" t="s">
        <v>63</v>
      </c>
      <c r="O111" s="9">
        <f>P110</f>
        <v>50</v>
      </c>
      <c r="P111" s="16">
        <f>IF(P$110=$O111,P$108*HLOOKUP($O111,$O$14:$BN$48,P$107,0)+1,IF(P$110-$O111=1,P$108*HLOOKUP($O111,$O$11:$BN$28,P$107,0),IF(P$110-$O111=-1,P$108*HLOOKUP($O111,$O$17:$BN$68,P$107,0),0)))</f>
        <v>-0.14599460968614042</v>
      </c>
      <c r="Q111" s="114">
        <f t="shared" ref="Q111:BN116" si="70">IF(Q$110=$O111,Q$108*HLOOKUP($O111,$O$14:$BN$48,Q$107,0)+1,IF(Q$110-$O111=1,Q$108*HLOOKUP($O111,$O$11:$BN$28,Q$107,0),IF(Q$110-$O111=-1,Q$108*HLOOKUP($O111,$O$17:$BN$68,Q$107,0),0)))</f>
        <v>0.56723900782131953</v>
      </c>
      <c r="R111" s="16">
        <f t="shared" si="70"/>
        <v>0</v>
      </c>
      <c r="S111" s="16">
        <f t="shared" si="70"/>
        <v>0</v>
      </c>
      <c r="T111" s="16">
        <f t="shared" si="70"/>
        <v>0</v>
      </c>
      <c r="U111" s="16">
        <f t="shared" si="70"/>
        <v>0</v>
      </c>
      <c r="V111" s="16">
        <f t="shared" si="70"/>
        <v>0</v>
      </c>
      <c r="W111" s="16">
        <f t="shared" si="70"/>
        <v>0</v>
      </c>
      <c r="X111" s="16">
        <f t="shared" si="70"/>
        <v>0</v>
      </c>
      <c r="Y111" s="16">
        <f t="shared" si="70"/>
        <v>0</v>
      </c>
      <c r="Z111" s="16">
        <f t="shared" si="70"/>
        <v>0</v>
      </c>
      <c r="AA111" s="16">
        <f t="shared" si="70"/>
        <v>0</v>
      </c>
      <c r="AB111" s="16">
        <f t="shared" si="70"/>
        <v>0</v>
      </c>
      <c r="AC111" s="16">
        <f t="shared" si="70"/>
        <v>0</v>
      </c>
      <c r="AD111" s="16">
        <f t="shared" si="70"/>
        <v>0</v>
      </c>
      <c r="AE111" s="16">
        <f t="shared" si="70"/>
        <v>0</v>
      </c>
      <c r="AF111" s="16">
        <f t="shared" si="70"/>
        <v>0</v>
      </c>
      <c r="AG111" s="16">
        <f t="shared" si="70"/>
        <v>0</v>
      </c>
      <c r="AH111" s="16">
        <f t="shared" si="70"/>
        <v>0</v>
      </c>
      <c r="AI111" s="16">
        <f t="shared" si="70"/>
        <v>0</v>
      </c>
      <c r="AJ111" s="16">
        <f t="shared" si="70"/>
        <v>0</v>
      </c>
      <c r="AK111" s="16">
        <f t="shared" si="70"/>
        <v>0</v>
      </c>
      <c r="AL111" s="16">
        <f t="shared" si="70"/>
        <v>0</v>
      </c>
      <c r="AM111" s="16">
        <f t="shared" si="70"/>
        <v>0</v>
      </c>
      <c r="AN111" s="16">
        <f t="shared" si="70"/>
        <v>0</v>
      </c>
      <c r="AO111" s="16">
        <f t="shared" si="70"/>
        <v>0</v>
      </c>
      <c r="AP111" s="16">
        <f t="shared" si="70"/>
        <v>0</v>
      </c>
      <c r="AQ111" s="16">
        <f t="shared" si="70"/>
        <v>0</v>
      </c>
      <c r="AR111" s="16">
        <f t="shared" si="70"/>
        <v>0</v>
      </c>
      <c r="AS111" s="16">
        <f t="shared" si="70"/>
        <v>0</v>
      </c>
      <c r="AT111" s="16">
        <f t="shared" si="70"/>
        <v>0</v>
      </c>
      <c r="AU111" s="16">
        <f t="shared" si="70"/>
        <v>0</v>
      </c>
      <c r="AV111" s="16">
        <f t="shared" si="70"/>
        <v>0</v>
      </c>
      <c r="AW111" s="16">
        <f t="shared" si="70"/>
        <v>0</v>
      </c>
      <c r="AX111" s="16">
        <f t="shared" si="70"/>
        <v>0</v>
      </c>
      <c r="AY111" s="16">
        <f t="shared" si="70"/>
        <v>0</v>
      </c>
      <c r="AZ111" s="16">
        <f t="shared" si="70"/>
        <v>0</v>
      </c>
      <c r="BA111" s="16">
        <f t="shared" si="70"/>
        <v>0</v>
      </c>
      <c r="BB111" s="16">
        <f t="shared" si="70"/>
        <v>0</v>
      </c>
      <c r="BC111" s="16">
        <f t="shared" si="70"/>
        <v>0</v>
      </c>
      <c r="BD111" s="16">
        <f t="shared" si="70"/>
        <v>0</v>
      </c>
      <c r="BE111" s="16">
        <f t="shared" si="70"/>
        <v>0</v>
      </c>
      <c r="BF111" s="16">
        <f t="shared" si="70"/>
        <v>0</v>
      </c>
      <c r="BG111" s="16">
        <f t="shared" si="70"/>
        <v>0</v>
      </c>
      <c r="BH111" s="16">
        <f t="shared" si="70"/>
        <v>0</v>
      </c>
      <c r="BI111" s="16">
        <f t="shared" si="70"/>
        <v>0</v>
      </c>
      <c r="BJ111" s="16">
        <f t="shared" si="70"/>
        <v>0</v>
      </c>
      <c r="BK111" s="16">
        <f t="shared" si="70"/>
        <v>0</v>
      </c>
      <c r="BL111" s="16">
        <f t="shared" si="70"/>
        <v>0</v>
      </c>
      <c r="BM111" s="16">
        <f t="shared" si="70"/>
        <v>0</v>
      </c>
      <c r="BN111" s="16">
        <f t="shared" si="70"/>
        <v>0</v>
      </c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27"/>
    </row>
    <row r="112" spans="1:97" customFormat="1" x14ac:dyDescent="0.25">
      <c r="F112" s="29"/>
      <c r="G112" s="29"/>
      <c r="H112" s="29"/>
      <c r="I112" s="29"/>
      <c r="J112" s="93"/>
      <c r="O112" s="9">
        <f>O111-1</f>
        <v>49</v>
      </c>
      <c r="P112" s="16">
        <f t="shared" ref="P112:AE161" si="71">IF(P$110=$O112,P$108*HLOOKUP($O112,$O$14:$BN$48,P$107,0)+1,IF(P$110-$O112=1,P$108*HLOOKUP($O112,$O$11:$BN$28,P$107,0),IF(P$110-$O112=-1,P$108*HLOOKUP($O112,$O$17:$BN$68,P$107,0),0)))</f>
        <v>0.57875560186482089</v>
      </c>
      <c r="Q112" s="16">
        <f t="shared" si="71"/>
        <v>-0.14599460968614042</v>
      </c>
      <c r="R112" s="16">
        <f t="shared" si="71"/>
        <v>0.56723900782131953</v>
      </c>
      <c r="S112" s="16">
        <f t="shared" si="71"/>
        <v>0</v>
      </c>
      <c r="T112" s="16">
        <f t="shared" si="71"/>
        <v>0</v>
      </c>
      <c r="U112" s="16">
        <f t="shared" si="71"/>
        <v>0</v>
      </c>
      <c r="V112" s="16">
        <f t="shared" si="71"/>
        <v>0</v>
      </c>
      <c r="W112" s="16">
        <f t="shared" si="71"/>
        <v>0</v>
      </c>
      <c r="X112" s="16">
        <f t="shared" si="71"/>
        <v>0</v>
      </c>
      <c r="Y112" s="16">
        <f t="shared" si="71"/>
        <v>0</v>
      </c>
      <c r="Z112" s="16">
        <f t="shared" si="71"/>
        <v>0</v>
      </c>
      <c r="AA112" s="16">
        <f t="shared" si="71"/>
        <v>0</v>
      </c>
      <c r="AB112" s="16">
        <f t="shared" si="71"/>
        <v>0</v>
      </c>
      <c r="AC112" s="16">
        <f t="shared" si="71"/>
        <v>0</v>
      </c>
      <c r="AD112" s="16">
        <f t="shared" si="71"/>
        <v>0</v>
      </c>
      <c r="AE112" s="16">
        <f t="shared" si="71"/>
        <v>0</v>
      </c>
      <c r="AF112" s="16">
        <f t="shared" si="70"/>
        <v>0</v>
      </c>
      <c r="AG112" s="16">
        <f t="shared" si="70"/>
        <v>0</v>
      </c>
      <c r="AH112" s="16">
        <f t="shared" si="70"/>
        <v>0</v>
      </c>
      <c r="AI112" s="16">
        <f t="shared" si="70"/>
        <v>0</v>
      </c>
      <c r="AJ112" s="16">
        <f t="shared" si="70"/>
        <v>0</v>
      </c>
      <c r="AK112" s="16">
        <f t="shared" si="70"/>
        <v>0</v>
      </c>
      <c r="AL112" s="16">
        <f t="shared" si="70"/>
        <v>0</v>
      </c>
      <c r="AM112" s="16">
        <f t="shared" si="70"/>
        <v>0</v>
      </c>
      <c r="AN112" s="16">
        <f t="shared" si="70"/>
        <v>0</v>
      </c>
      <c r="AO112" s="16">
        <f t="shared" si="70"/>
        <v>0</v>
      </c>
      <c r="AP112" s="16">
        <f t="shared" si="70"/>
        <v>0</v>
      </c>
      <c r="AQ112" s="16">
        <f t="shared" si="70"/>
        <v>0</v>
      </c>
      <c r="AR112" s="16">
        <f t="shared" si="70"/>
        <v>0</v>
      </c>
      <c r="AS112" s="16">
        <f t="shared" si="70"/>
        <v>0</v>
      </c>
      <c r="AT112" s="16">
        <f t="shared" si="70"/>
        <v>0</v>
      </c>
      <c r="AU112" s="16">
        <f t="shared" si="70"/>
        <v>0</v>
      </c>
      <c r="AV112" s="16">
        <f t="shared" si="70"/>
        <v>0</v>
      </c>
      <c r="AW112" s="16">
        <f t="shared" si="70"/>
        <v>0</v>
      </c>
      <c r="AX112" s="16">
        <f t="shared" si="70"/>
        <v>0</v>
      </c>
      <c r="AY112" s="16">
        <f t="shared" si="70"/>
        <v>0</v>
      </c>
      <c r="AZ112" s="16">
        <f t="shared" si="70"/>
        <v>0</v>
      </c>
      <c r="BA112" s="16">
        <f t="shared" si="70"/>
        <v>0</v>
      </c>
      <c r="BB112" s="16">
        <f t="shared" si="70"/>
        <v>0</v>
      </c>
      <c r="BC112" s="16">
        <f t="shared" si="70"/>
        <v>0</v>
      </c>
      <c r="BD112" s="16">
        <f t="shared" si="70"/>
        <v>0</v>
      </c>
      <c r="BE112" s="16">
        <f t="shared" si="70"/>
        <v>0</v>
      </c>
      <c r="BF112" s="16">
        <f t="shared" si="70"/>
        <v>0</v>
      </c>
      <c r="BG112" s="16">
        <f t="shared" si="70"/>
        <v>0</v>
      </c>
      <c r="BH112" s="16">
        <f t="shared" si="70"/>
        <v>0</v>
      </c>
      <c r="BI112" s="16">
        <f t="shared" si="70"/>
        <v>0</v>
      </c>
      <c r="BJ112" s="16">
        <f t="shared" si="70"/>
        <v>0</v>
      </c>
      <c r="BK112" s="16">
        <f t="shared" si="70"/>
        <v>0</v>
      </c>
      <c r="BL112" s="16">
        <f t="shared" si="70"/>
        <v>0</v>
      </c>
      <c r="BM112" s="16">
        <f t="shared" si="70"/>
        <v>0</v>
      </c>
      <c r="BN112" s="16">
        <f t="shared" si="70"/>
        <v>0</v>
      </c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27"/>
    </row>
    <row r="113" spans="6:94" customFormat="1" x14ac:dyDescent="0.25">
      <c r="F113" s="29"/>
      <c r="G113" s="29"/>
      <c r="H113" s="29"/>
      <c r="I113" s="29"/>
      <c r="J113" s="93"/>
      <c r="O113" s="9">
        <f t="shared" ref="O113:O161" si="72">O112-1</f>
        <v>48</v>
      </c>
      <c r="P113" s="16">
        <f t="shared" si="71"/>
        <v>0</v>
      </c>
      <c r="Q113" s="16">
        <f t="shared" si="70"/>
        <v>0.57875560186482089</v>
      </c>
      <c r="R113" s="16">
        <f t="shared" si="70"/>
        <v>-0.14599460968614042</v>
      </c>
      <c r="S113" s="16">
        <f t="shared" si="70"/>
        <v>0.56723900782131953</v>
      </c>
      <c r="T113" s="16">
        <f t="shared" si="70"/>
        <v>0</v>
      </c>
      <c r="U113" s="16">
        <f t="shared" si="70"/>
        <v>0</v>
      </c>
      <c r="V113" s="16">
        <f t="shared" si="70"/>
        <v>0</v>
      </c>
      <c r="W113" s="16">
        <f t="shared" si="70"/>
        <v>0</v>
      </c>
      <c r="X113" s="16">
        <f t="shared" si="70"/>
        <v>0</v>
      </c>
      <c r="Y113" s="16">
        <f t="shared" si="70"/>
        <v>0</v>
      </c>
      <c r="Z113" s="16">
        <f t="shared" si="70"/>
        <v>0</v>
      </c>
      <c r="AA113" s="16">
        <f t="shared" si="70"/>
        <v>0</v>
      </c>
      <c r="AB113" s="16">
        <f t="shared" si="70"/>
        <v>0</v>
      </c>
      <c r="AC113" s="16">
        <f t="shared" si="70"/>
        <v>0</v>
      </c>
      <c r="AD113" s="16">
        <f t="shared" si="70"/>
        <v>0</v>
      </c>
      <c r="AE113" s="16">
        <f t="shared" si="70"/>
        <v>0</v>
      </c>
      <c r="AF113" s="16">
        <f t="shared" si="70"/>
        <v>0</v>
      </c>
      <c r="AG113" s="16">
        <f t="shared" si="70"/>
        <v>0</v>
      </c>
      <c r="AH113" s="16">
        <f t="shared" si="70"/>
        <v>0</v>
      </c>
      <c r="AI113" s="16">
        <f t="shared" si="70"/>
        <v>0</v>
      </c>
      <c r="AJ113" s="16">
        <f t="shared" si="70"/>
        <v>0</v>
      </c>
      <c r="AK113" s="16">
        <f t="shared" si="70"/>
        <v>0</v>
      </c>
      <c r="AL113" s="16">
        <f t="shared" si="70"/>
        <v>0</v>
      </c>
      <c r="AM113" s="16">
        <f t="shared" si="70"/>
        <v>0</v>
      </c>
      <c r="AN113" s="16">
        <f t="shared" si="70"/>
        <v>0</v>
      </c>
      <c r="AO113" s="16">
        <f t="shared" si="70"/>
        <v>0</v>
      </c>
      <c r="AP113" s="16">
        <f t="shared" si="70"/>
        <v>0</v>
      </c>
      <c r="AQ113" s="16">
        <f t="shared" si="70"/>
        <v>0</v>
      </c>
      <c r="AR113" s="16">
        <f t="shared" si="70"/>
        <v>0</v>
      </c>
      <c r="AS113" s="16">
        <f t="shared" si="70"/>
        <v>0</v>
      </c>
      <c r="AT113" s="16">
        <f t="shared" si="70"/>
        <v>0</v>
      </c>
      <c r="AU113" s="16">
        <f t="shared" si="70"/>
        <v>0</v>
      </c>
      <c r="AV113" s="16">
        <f t="shared" si="70"/>
        <v>0</v>
      </c>
      <c r="AW113" s="16">
        <f t="shared" si="70"/>
        <v>0</v>
      </c>
      <c r="AX113" s="16">
        <f t="shared" si="70"/>
        <v>0</v>
      </c>
      <c r="AY113" s="16">
        <f t="shared" si="70"/>
        <v>0</v>
      </c>
      <c r="AZ113" s="16">
        <f t="shared" si="70"/>
        <v>0</v>
      </c>
      <c r="BA113" s="16">
        <f t="shared" si="70"/>
        <v>0</v>
      </c>
      <c r="BB113" s="16">
        <f t="shared" si="70"/>
        <v>0</v>
      </c>
      <c r="BC113" s="16">
        <f t="shared" si="70"/>
        <v>0</v>
      </c>
      <c r="BD113" s="16">
        <f t="shared" si="70"/>
        <v>0</v>
      </c>
      <c r="BE113" s="16">
        <f t="shared" si="70"/>
        <v>0</v>
      </c>
      <c r="BF113" s="16">
        <f t="shared" si="70"/>
        <v>0</v>
      </c>
      <c r="BG113" s="16">
        <f t="shared" si="70"/>
        <v>0</v>
      </c>
      <c r="BH113" s="16">
        <f t="shared" si="70"/>
        <v>0</v>
      </c>
      <c r="BI113" s="16">
        <f t="shared" si="70"/>
        <v>0</v>
      </c>
      <c r="BJ113" s="16">
        <f t="shared" si="70"/>
        <v>0</v>
      </c>
      <c r="BK113" s="16">
        <f t="shared" si="70"/>
        <v>0</v>
      </c>
      <c r="BL113" s="16">
        <f t="shared" si="70"/>
        <v>0</v>
      </c>
      <c r="BM113" s="16">
        <f t="shared" si="70"/>
        <v>0</v>
      </c>
      <c r="BN113" s="16">
        <f t="shared" si="70"/>
        <v>0</v>
      </c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27"/>
    </row>
    <row r="114" spans="6:94" customFormat="1" x14ac:dyDescent="0.25">
      <c r="F114" s="29"/>
      <c r="G114" s="29"/>
      <c r="H114" s="29"/>
      <c r="I114" s="29"/>
      <c r="J114" s="93"/>
      <c r="O114" s="9">
        <f t="shared" si="72"/>
        <v>47</v>
      </c>
      <c r="P114" s="16">
        <f t="shared" si="71"/>
        <v>0</v>
      </c>
      <c r="Q114" s="16">
        <f t="shared" si="70"/>
        <v>0</v>
      </c>
      <c r="R114" s="16">
        <f t="shared" si="70"/>
        <v>0.57875560186482089</v>
      </c>
      <c r="S114" s="16">
        <f t="shared" si="70"/>
        <v>-0.14599460968614042</v>
      </c>
      <c r="T114" s="16">
        <f t="shared" si="70"/>
        <v>0.56723900782131953</v>
      </c>
      <c r="U114" s="16">
        <f t="shared" si="70"/>
        <v>0</v>
      </c>
      <c r="V114" s="16">
        <f t="shared" si="70"/>
        <v>0</v>
      </c>
      <c r="W114" s="16">
        <f t="shared" si="70"/>
        <v>0</v>
      </c>
      <c r="X114" s="16">
        <f t="shared" si="70"/>
        <v>0</v>
      </c>
      <c r="Y114" s="16">
        <f t="shared" si="70"/>
        <v>0</v>
      </c>
      <c r="Z114" s="16">
        <f t="shared" si="70"/>
        <v>0</v>
      </c>
      <c r="AA114" s="16">
        <f t="shared" si="70"/>
        <v>0</v>
      </c>
      <c r="AB114" s="16">
        <f t="shared" si="70"/>
        <v>0</v>
      </c>
      <c r="AC114" s="16">
        <f t="shared" si="70"/>
        <v>0</v>
      </c>
      <c r="AD114" s="16">
        <f t="shared" si="70"/>
        <v>0</v>
      </c>
      <c r="AE114" s="16">
        <f t="shared" si="70"/>
        <v>0</v>
      </c>
      <c r="AF114" s="16">
        <f t="shared" si="70"/>
        <v>0</v>
      </c>
      <c r="AG114" s="16">
        <f t="shared" si="70"/>
        <v>0</v>
      </c>
      <c r="AH114" s="16">
        <f t="shared" si="70"/>
        <v>0</v>
      </c>
      <c r="AI114" s="16">
        <f t="shared" si="70"/>
        <v>0</v>
      </c>
      <c r="AJ114" s="16">
        <f t="shared" si="70"/>
        <v>0</v>
      </c>
      <c r="AK114" s="16">
        <f t="shared" si="70"/>
        <v>0</v>
      </c>
      <c r="AL114" s="16">
        <f t="shared" si="70"/>
        <v>0</v>
      </c>
      <c r="AM114" s="16">
        <f t="shared" si="70"/>
        <v>0</v>
      </c>
      <c r="AN114" s="16">
        <f t="shared" si="70"/>
        <v>0</v>
      </c>
      <c r="AO114" s="16">
        <f t="shared" si="70"/>
        <v>0</v>
      </c>
      <c r="AP114" s="16">
        <f t="shared" si="70"/>
        <v>0</v>
      </c>
      <c r="AQ114" s="16">
        <f t="shared" si="70"/>
        <v>0</v>
      </c>
      <c r="AR114" s="16">
        <f t="shared" si="70"/>
        <v>0</v>
      </c>
      <c r="AS114" s="16">
        <f t="shared" si="70"/>
        <v>0</v>
      </c>
      <c r="AT114" s="16">
        <f t="shared" si="70"/>
        <v>0</v>
      </c>
      <c r="AU114" s="16">
        <f t="shared" si="70"/>
        <v>0</v>
      </c>
      <c r="AV114" s="16">
        <f t="shared" si="70"/>
        <v>0</v>
      </c>
      <c r="AW114" s="16">
        <f t="shared" si="70"/>
        <v>0</v>
      </c>
      <c r="AX114" s="16">
        <f t="shared" si="70"/>
        <v>0</v>
      </c>
      <c r="AY114" s="16">
        <f t="shared" si="70"/>
        <v>0</v>
      </c>
      <c r="AZ114" s="16">
        <f t="shared" si="70"/>
        <v>0</v>
      </c>
      <c r="BA114" s="16">
        <f t="shared" si="70"/>
        <v>0</v>
      </c>
      <c r="BB114" s="16">
        <f t="shared" si="70"/>
        <v>0</v>
      </c>
      <c r="BC114" s="16">
        <f t="shared" si="70"/>
        <v>0</v>
      </c>
      <c r="BD114" s="16">
        <f t="shared" si="70"/>
        <v>0</v>
      </c>
      <c r="BE114" s="16">
        <f t="shared" si="70"/>
        <v>0</v>
      </c>
      <c r="BF114" s="16">
        <f t="shared" si="70"/>
        <v>0</v>
      </c>
      <c r="BG114" s="16">
        <f t="shared" si="70"/>
        <v>0</v>
      </c>
      <c r="BH114" s="16">
        <f t="shared" si="70"/>
        <v>0</v>
      </c>
      <c r="BI114" s="16">
        <f t="shared" si="70"/>
        <v>0</v>
      </c>
      <c r="BJ114" s="16">
        <f t="shared" si="70"/>
        <v>0</v>
      </c>
      <c r="BK114" s="16">
        <f t="shared" si="70"/>
        <v>0</v>
      </c>
      <c r="BL114" s="16">
        <f t="shared" si="70"/>
        <v>0</v>
      </c>
      <c r="BM114" s="16">
        <f t="shared" si="70"/>
        <v>0</v>
      </c>
      <c r="BN114" s="16">
        <f t="shared" si="70"/>
        <v>0</v>
      </c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27"/>
    </row>
    <row r="115" spans="6:94" customFormat="1" x14ac:dyDescent="0.25">
      <c r="F115" s="29"/>
      <c r="G115" s="29"/>
      <c r="H115" s="29"/>
      <c r="I115" s="29"/>
      <c r="J115" s="93"/>
      <c r="O115" s="9">
        <f t="shared" si="72"/>
        <v>46</v>
      </c>
      <c r="P115" s="16">
        <f t="shared" si="71"/>
        <v>0</v>
      </c>
      <c r="Q115" s="16">
        <f t="shared" si="70"/>
        <v>0</v>
      </c>
      <c r="R115" s="16">
        <f t="shared" si="70"/>
        <v>0</v>
      </c>
      <c r="S115" s="16">
        <f t="shared" si="70"/>
        <v>0.57875560186482089</v>
      </c>
      <c r="T115" s="16">
        <f t="shared" si="70"/>
        <v>-0.14599460968614042</v>
      </c>
      <c r="U115" s="16">
        <f t="shared" si="70"/>
        <v>0.56723900782131953</v>
      </c>
      <c r="V115" s="16">
        <f t="shared" si="70"/>
        <v>0</v>
      </c>
      <c r="W115" s="16">
        <f t="shared" si="70"/>
        <v>0</v>
      </c>
      <c r="X115" s="16">
        <f t="shared" si="70"/>
        <v>0</v>
      </c>
      <c r="Y115" s="16">
        <f t="shared" si="70"/>
        <v>0</v>
      </c>
      <c r="Z115" s="16">
        <f t="shared" si="70"/>
        <v>0</v>
      </c>
      <c r="AA115" s="16">
        <f t="shared" si="70"/>
        <v>0</v>
      </c>
      <c r="AB115" s="16">
        <f t="shared" si="70"/>
        <v>0</v>
      </c>
      <c r="AC115" s="16">
        <f t="shared" si="70"/>
        <v>0</v>
      </c>
      <c r="AD115" s="16">
        <f t="shared" si="70"/>
        <v>0</v>
      </c>
      <c r="AE115" s="16">
        <f t="shared" si="70"/>
        <v>0</v>
      </c>
      <c r="AF115" s="16">
        <f t="shared" si="70"/>
        <v>0</v>
      </c>
      <c r="AG115" s="16">
        <f t="shared" si="70"/>
        <v>0</v>
      </c>
      <c r="AH115" s="16">
        <f t="shared" si="70"/>
        <v>0</v>
      </c>
      <c r="AI115" s="16">
        <f t="shared" si="70"/>
        <v>0</v>
      </c>
      <c r="AJ115" s="16">
        <f t="shared" si="70"/>
        <v>0</v>
      </c>
      <c r="AK115" s="16">
        <f t="shared" si="70"/>
        <v>0</v>
      </c>
      <c r="AL115" s="16">
        <f t="shared" si="70"/>
        <v>0</v>
      </c>
      <c r="AM115" s="16">
        <f t="shared" si="70"/>
        <v>0</v>
      </c>
      <c r="AN115" s="16">
        <f t="shared" si="70"/>
        <v>0</v>
      </c>
      <c r="AO115" s="16">
        <f t="shared" si="70"/>
        <v>0</v>
      </c>
      <c r="AP115" s="16">
        <f t="shared" si="70"/>
        <v>0</v>
      </c>
      <c r="AQ115" s="16">
        <f t="shared" si="70"/>
        <v>0</v>
      </c>
      <c r="AR115" s="16">
        <f t="shared" si="70"/>
        <v>0</v>
      </c>
      <c r="AS115" s="16">
        <f t="shared" si="70"/>
        <v>0</v>
      </c>
      <c r="AT115" s="16">
        <f t="shared" si="70"/>
        <v>0</v>
      </c>
      <c r="AU115" s="16">
        <f t="shared" si="70"/>
        <v>0</v>
      </c>
      <c r="AV115" s="16">
        <f t="shared" si="70"/>
        <v>0</v>
      </c>
      <c r="AW115" s="16">
        <f t="shared" si="70"/>
        <v>0</v>
      </c>
      <c r="AX115" s="16">
        <f t="shared" si="70"/>
        <v>0</v>
      </c>
      <c r="AY115" s="16">
        <f t="shared" si="70"/>
        <v>0</v>
      </c>
      <c r="AZ115" s="16">
        <f t="shared" si="70"/>
        <v>0</v>
      </c>
      <c r="BA115" s="16">
        <f t="shared" si="70"/>
        <v>0</v>
      </c>
      <c r="BB115" s="16">
        <f t="shared" si="70"/>
        <v>0</v>
      </c>
      <c r="BC115" s="16">
        <f t="shared" si="70"/>
        <v>0</v>
      </c>
      <c r="BD115" s="16">
        <f t="shared" si="70"/>
        <v>0</v>
      </c>
      <c r="BE115" s="16">
        <f t="shared" si="70"/>
        <v>0</v>
      </c>
      <c r="BF115" s="16">
        <f t="shared" si="70"/>
        <v>0</v>
      </c>
      <c r="BG115" s="16">
        <f t="shared" si="70"/>
        <v>0</v>
      </c>
      <c r="BH115" s="16">
        <f t="shared" si="70"/>
        <v>0</v>
      </c>
      <c r="BI115" s="16">
        <f t="shared" si="70"/>
        <v>0</v>
      </c>
      <c r="BJ115" s="16">
        <f t="shared" si="70"/>
        <v>0</v>
      </c>
      <c r="BK115" s="16">
        <f t="shared" si="70"/>
        <v>0</v>
      </c>
      <c r="BL115" s="16">
        <f t="shared" si="70"/>
        <v>0</v>
      </c>
      <c r="BM115" s="16">
        <f t="shared" si="70"/>
        <v>0</v>
      </c>
      <c r="BN115" s="16">
        <f t="shared" si="70"/>
        <v>0</v>
      </c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27"/>
    </row>
    <row r="116" spans="6:94" customFormat="1" x14ac:dyDescent="0.25">
      <c r="F116" s="29"/>
      <c r="G116" s="29"/>
      <c r="H116" s="29"/>
      <c r="I116" s="29"/>
      <c r="J116" s="93"/>
      <c r="K116" s="1"/>
      <c r="L116" s="1"/>
      <c r="M116" s="1"/>
      <c r="N116" s="1"/>
      <c r="O116" s="9">
        <f t="shared" si="72"/>
        <v>45</v>
      </c>
      <c r="P116" s="16">
        <f t="shared" si="71"/>
        <v>0</v>
      </c>
      <c r="Q116" s="16">
        <f t="shared" si="70"/>
        <v>0</v>
      </c>
      <c r="R116" s="16">
        <f t="shared" si="70"/>
        <v>0</v>
      </c>
      <c r="S116" s="16">
        <f t="shared" si="70"/>
        <v>0</v>
      </c>
      <c r="T116" s="16">
        <f t="shared" si="70"/>
        <v>0.4888354781633541</v>
      </c>
      <c r="U116" s="16">
        <f t="shared" si="70"/>
        <v>3.2886702894037168E-2</v>
      </c>
      <c r="V116" s="16">
        <f t="shared" si="70"/>
        <v>0.47827781894260873</v>
      </c>
      <c r="W116" s="16">
        <f t="shared" si="70"/>
        <v>0</v>
      </c>
      <c r="X116" s="16">
        <f t="shared" si="70"/>
        <v>0</v>
      </c>
      <c r="Y116" s="16">
        <f t="shared" si="70"/>
        <v>0</v>
      </c>
      <c r="Z116" s="16">
        <f t="shared" si="70"/>
        <v>0</v>
      </c>
      <c r="AA116" s="16">
        <f t="shared" si="70"/>
        <v>0</v>
      </c>
      <c r="AB116" s="16">
        <f t="shared" si="70"/>
        <v>0</v>
      </c>
      <c r="AC116" s="16">
        <f t="shared" si="70"/>
        <v>0</v>
      </c>
      <c r="AD116" s="16">
        <f t="shared" si="70"/>
        <v>0</v>
      </c>
      <c r="AE116" s="16">
        <f t="shared" si="70"/>
        <v>0</v>
      </c>
      <c r="AF116" s="16">
        <f t="shared" si="70"/>
        <v>0</v>
      </c>
      <c r="AG116" s="16">
        <f t="shared" si="70"/>
        <v>0</v>
      </c>
      <c r="AH116" s="16">
        <f t="shared" si="70"/>
        <v>0</v>
      </c>
      <c r="AI116" s="16">
        <f t="shared" si="70"/>
        <v>0</v>
      </c>
      <c r="AJ116" s="16">
        <f t="shared" si="70"/>
        <v>0</v>
      </c>
      <c r="AK116" s="16">
        <f t="shared" ref="Q116:BN121" si="73">IF(AK$110=$O116,AK$108*HLOOKUP($O116,$O$14:$BN$48,AK$107,0)+1,IF(AK$110-$O116=1,AK$108*HLOOKUP($O116,$O$11:$BN$28,AK$107,0),IF(AK$110-$O116=-1,AK$108*HLOOKUP($O116,$O$17:$BN$68,AK$107,0),0)))</f>
        <v>0</v>
      </c>
      <c r="AL116" s="16">
        <f t="shared" si="73"/>
        <v>0</v>
      </c>
      <c r="AM116" s="16">
        <f t="shared" si="73"/>
        <v>0</v>
      </c>
      <c r="AN116" s="16">
        <f t="shared" si="73"/>
        <v>0</v>
      </c>
      <c r="AO116" s="16">
        <f t="shared" si="73"/>
        <v>0</v>
      </c>
      <c r="AP116" s="16">
        <f t="shared" si="73"/>
        <v>0</v>
      </c>
      <c r="AQ116" s="16">
        <f t="shared" si="73"/>
        <v>0</v>
      </c>
      <c r="AR116" s="16">
        <f t="shared" si="73"/>
        <v>0</v>
      </c>
      <c r="AS116" s="16">
        <f t="shared" si="73"/>
        <v>0</v>
      </c>
      <c r="AT116" s="16">
        <f t="shared" si="73"/>
        <v>0</v>
      </c>
      <c r="AU116" s="16">
        <f t="shared" si="73"/>
        <v>0</v>
      </c>
      <c r="AV116" s="16">
        <f t="shared" si="73"/>
        <v>0</v>
      </c>
      <c r="AW116" s="16">
        <f t="shared" si="73"/>
        <v>0</v>
      </c>
      <c r="AX116" s="16">
        <f t="shared" si="73"/>
        <v>0</v>
      </c>
      <c r="AY116" s="16">
        <f t="shared" si="73"/>
        <v>0</v>
      </c>
      <c r="AZ116" s="16">
        <f t="shared" si="73"/>
        <v>0</v>
      </c>
      <c r="BA116" s="16">
        <f t="shared" si="73"/>
        <v>0</v>
      </c>
      <c r="BB116" s="16">
        <f t="shared" si="73"/>
        <v>0</v>
      </c>
      <c r="BC116" s="16">
        <f t="shared" si="73"/>
        <v>0</v>
      </c>
      <c r="BD116" s="16">
        <f t="shared" si="73"/>
        <v>0</v>
      </c>
      <c r="BE116" s="16">
        <f t="shared" si="73"/>
        <v>0</v>
      </c>
      <c r="BF116" s="16">
        <f t="shared" si="73"/>
        <v>0</v>
      </c>
      <c r="BG116" s="16">
        <f t="shared" si="73"/>
        <v>0</v>
      </c>
      <c r="BH116" s="16">
        <f t="shared" si="73"/>
        <v>0</v>
      </c>
      <c r="BI116" s="16">
        <f t="shared" si="73"/>
        <v>0</v>
      </c>
      <c r="BJ116" s="16">
        <f t="shared" si="73"/>
        <v>0</v>
      </c>
      <c r="BK116" s="16">
        <f t="shared" si="73"/>
        <v>0</v>
      </c>
      <c r="BL116" s="16">
        <f t="shared" si="73"/>
        <v>0</v>
      </c>
      <c r="BM116" s="16">
        <f t="shared" si="73"/>
        <v>0</v>
      </c>
      <c r="BN116" s="16">
        <f t="shared" si="73"/>
        <v>0</v>
      </c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</row>
    <row r="117" spans="6:94" customFormat="1" x14ac:dyDescent="0.25">
      <c r="F117" s="29"/>
      <c r="G117" s="29"/>
      <c r="H117" s="29"/>
      <c r="I117" s="29"/>
      <c r="J117" s="93"/>
      <c r="K117" s="1"/>
      <c r="L117" s="1"/>
      <c r="M117" s="1"/>
      <c r="N117" s="1"/>
      <c r="O117" s="9">
        <f t="shared" si="72"/>
        <v>44</v>
      </c>
      <c r="P117" s="16">
        <f t="shared" si="71"/>
        <v>0</v>
      </c>
      <c r="Q117" s="16">
        <f t="shared" si="73"/>
        <v>0</v>
      </c>
      <c r="R117" s="16">
        <f t="shared" si="73"/>
        <v>0</v>
      </c>
      <c r="S117" s="16">
        <f t="shared" si="73"/>
        <v>0</v>
      </c>
      <c r="T117" s="16">
        <f t="shared" si="73"/>
        <v>0</v>
      </c>
      <c r="U117" s="16">
        <f t="shared" si="73"/>
        <v>0.34712053406020038</v>
      </c>
      <c r="V117" s="16">
        <f t="shared" si="73"/>
        <v>0.31480530097738368</v>
      </c>
      <c r="W117" s="16">
        <f t="shared" si="73"/>
        <v>0.33807416496241594</v>
      </c>
      <c r="X117" s="16">
        <f t="shared" si="73"/>
        <v>0</v>
      </c>
      <c r="Y117" s="16">
        <f t="shared" si="73"/>
        <v>0</v>
      </c>
      <c r="Z117" s="16">
        <f t="shared" si="73"/>
        <v>0</v>
      </c>
      <c r="AA117" s="16">
        <f t="shared" si="73"/>
        <v>0</v>
      </c>
      <c r="AB117" s="16">
        <f t="shared" si="73"/>
        <v>0</v>
      </c>
      <c r="AC117" s="16">
        <f t="shared" si="73"/>
        <v>0</v>
      </c>
      <c r="AD117" s="16">
        <f t="shared" si="73"/>
        <v>0</v>
      </c>
      <c r="AE117" s="16">
        <f t="shared" si="73"/>
        <v>0</v>
      </c>
      <c r="AF117" s="16">
        <f t="shared" si="73"/>
        <v>0</v>
      </c>
      <c r="AG117" s="16">
        <f t="shared" si="73"/>
        <v>0</v>
      </c>
      <c r="AH117" s="16">
        <f t="shared" si="73"/>
        <v>0</v>
      </c>
      <c r="AI117" s="16">
        <f t="shared" si="73"/>
        <v>0</v>
      </c>
      <c r="AJ117" s="16">
        <f t="shared" si="73"/>
        <v>0</v>
      </c>
      <c r="AK117" s="16">
        <f t="shared" si="73"/>
        <v>0</v>
      </c>
      <c r="AL117" s="16">
        <f t="shared" si="73"/>
        <v>0</v>
      </c>
      <c r="AM117" s="16">
        <f t="shared" si="73"/>
        <v>0</v>
      </c>
      <c r="AN117" s="16">
        <f t="shared" si="73"/>
        <v>0</v>
      </c>
      <c r="AO117" s="16">
        <f t="shared" si="73"/>
        <v>0</v>
      </c>
      <c r="AP117" s="16">
        <f t="shared" si="73"/>
        <v>0</v>
      </c>
      <c r="AQ117" s="16">
        <f t="shared" si="73"/>
        <v>0</v>
      </c>
      <c r="AR117" s="16">
        <f t="shared" si="73"/>
        <v>0</v>
      </c>
      <c r="AS117" s="16">
        <f t="shared" si="73"/>
        <v>0</v>
      </c>
      <c r="AT117" s="16">
        <f t="shared" si="73"/>
        <v>0</v>
      </c>
      <c r="AU117" s="16">
        <f t="shared" si="73"/>
        <v>0</v>
      </c>
      <c r="AV117" s="16">
        <f t="shared" si="73"/>
        <v>0</v>
      </c>
      <c r="AW117" s="16">
        <f t="shared" si="73"/>
        <v>0</v>
      </c>
      <c r="AX117" s="16">
        <f t="shared" si="73"/>
        <v>0</v>
      </c>
      <c r="AY117" s="16">
        <f t="shared" si="73"/>
        <v>0</v>
      </c>
      <c r="AZ117" s="16">
        <f t="shared" si="73"/>
        <v>0</v>
      </c>
      <c r="BA117" s="16">
        <f t="shared" si="73"/>
        <v>0</v>
      </c>
      <c r="BB117" s="16">
        <f t="shared" si="73"/>
        <v>0</v>
      </c>
      <c r="BC117" s="16">
        <f t="shared" si="73"/>
        <v>0</v>
      </c>
      <c r="BD117" s="16">
        <f t="shared" si="73"/>
        <v>0</v>
      </c>
      <c r="BE117" s="16">
        <f t="shared" si="73"/>
        <v>0</v>
      </c>
      <c r="BF117" s="16">
        <f t="shared" si="73"/>
        <v>0</v>
      </c>
      <c r="BG117" s="16">
        <f t="shared" si="73"/>
        <v>0</v>
      </c>
      <c r="BH117" s="16">
        <f t="shared" si="73"/>
        <v>0</v>
      </c>
      <c r="BI117" s="16">
        <f t="shared" si="73"/>
        <v>0</v>
      </c>
      <c r="BJ117" s="16">
        <f t="shared" si="73"/>
        <v>0</v>
      </c>
      <c r="BK117" s="16">
        <f t="shared" si="73"/>
        <v>0</v>
      </c>
      <c r="BL117" s="16">
        <f t="shared" si="73"/>
        <v>0</v>
      </c>
      <c r="BM117" s="16">
        <f t="shared" si="73"/>
        <v>0</v>
      </c>
      <c r="BN117" s="16">
        <f t="shared" si="73"/>
        <v>0</v>
      </c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</row>
    <row r="118" spans="6:94" customFormat="1" x14ac:dyDescent="0.25">
      <c r="F118" s="29"/>
      <c r="G118" s="29"/>
      <c r="H118" s="29"/>
      <c r="I118" s="29"/>
      <c r="J118" s="93"/>
      <c r="K118" s="1"/>
      <c r="L118" s="1"/>
      <c r="M118" s="1"/>
      <c r="N118" s="1"/>
      <c r="O118" s="9">
        <f t="shared" si="72"/>
        <v>43</v>
      </c>
      <c r="P118" s="16">
        <f t="shared" si="71"/>
        <v>0</v>
      </c>
      <c r="Q118" s="16">
        <f t="shared" si="73"/>
        <v>0</v>
      </c>
      <c r="R118" s="16">
        <f t="shared" si="73"/>
        <v>0</v>
      </c>
      <c r="S118" s="16">
        <f t="shared" si="73"/>
        <v>0</v>
      </c>
      <c r="T118" s="16">
        <f t="shared" si="73"/>
        <v>0</v>
      </c>
      <c r="U118" s="16">
        <f t="shared" si="73"/>
        <v>0</v>
      </c>
      <c r="V118" s="16">
        <f t="shared" si="73"/>
        <v>0.22976373397159319</v>
      </c>
      <c r="W118" s="16">
        <f t="shared" si="73"/>
        <v>0.5482673734913821</v>
      </c>
      <c r="X118" s="16">
        <f t="shared" si="73"/>
        <v>0.22196889253702462</v>
      </c>
      <c r="Y118" s="16">
        <f t="shared" si="73"/>
        <v>0</v>
      </c>
      <c r="Z118" s="16">
        <f t="shared" si="73"/>
        <v>0</v>
      </c>
      <c r="AA118" s="16">
        <f t="shared" si="73"/>
        <v>0</v>
      </c>
      <c r="AB118" s="16">
        <f t="shared" si="73"/>
        <v>0</v>
      </c>
      <c r="AC118" s="16">
        <f t="shared" si="73"/>
        <v>0</v>
      </c>
      <c r="AD118" s="16">
        <f t="shared" si="73"/>
        <v>0</v>
      </c>
      <c r="AE118" s="16">
        <f t="shared" si="73"/>
        <v>0</v>
      </c>
      <c r="AF118" s="16">
        <f t="shared" si="73"/>
        <v>0</v>
      </c>
      <c r="AG118" s="16">
        <f t="shared" si="73"/>
        <v>0</v>
      </c>
      <c r="AH118" s="16">
        <f t="shared" si="73"/>
        <v>0</v>
      </c>
      <c r="AI118" s="16">
        <f t="shared" si="73"/>
        <v>0</v>
      </c>
      <c r="AJ118" s="16">
        <f t="shared" si="73"/>
        <v>0</v>
      </c>
      <c r="AK118" s="16">
        <f t="shared" si="73"/>
        <v>0</v>
      </c>
      <c r="AL118" s="16">
        <f t="shared" si="73"/>
        <v>0</v>
      </c>
      <c r="AM118" s="16">
        <f t="shared" si="73"/>
        <v>0</v>
      </c>
      <c r="AN118" s="16">
        <f t="shared" si="73"/>
        <v>0</v>
      </c>
      <c r="AO118" s="16">
        <f t="shared" si="73"/>
        <v>0</v>
      </c>
      <c r="AP118" s="16">
        <f t="shared" si="73"/>
        <v>0</v>
      </c>
      <c r="AQ118" s="16">
        <f t="shared" si="73"/>
        <v>0</v>
      </c>
      <c r="AR118" s="16">
        <f t="shared" si="73"/>
        <v>0</v>
      </c>
      <c r="AS118" s="16">
        <f t="shared" si="73"/>
        <v>0</v>
      </c>
      <c r="AT118" s="16">
        <f t="shared" si="73"/>
        <v>0</v>
      </c>
      <c r="AU118" s="16">
        <f t="shared" si="73"/>
        <v>0</v>
      </c>
      <c r="AV118" s="16">
        <f t="shared" si="73"/>
        <v>0</v>
      </c>
      <c r="AW118" s="16">
        <f t="shared" si="73"/>
        <v>0</v>
      </c>
      <c r="AX118" s="16">
        <f t="shared" si="73"/>
        <v>0</v>
      </c>
      <c r="AY118" s="16">
        <f t="shared" si="73"/>
        <v>0</v>
      </c>
      <c r="AZ118" s="16">
        <f t="shared" si="73"/>
        <v>0</v>
      </c>
      <c r="BA118" s="16">
        <f t="shared" si="73"/>
        <v>0</v>
      </c>
      <c r="BB118" s="16">
        <f t="shared" si="73"/>
        <v>0</v>
      </c>
      <c r="BC118" s="16">
        <f t="shared" si="73"/>
        <v>0</v>
      </c>
      <c r="BD118" s="16">
        <f t="shared" si="73"/>
        <v>0</v>
      </c>
      <c r="BE118" s="16">
        <f t="shared" si="73"/>
        <v>0</v>
      </c>
      <c r="BF118" s="16">
        <f t="shared" si="73"/>
        <v>0</v>
      </c>
      <c r="BG118" s="16">
        <f t="shared" si="73"/>
        <v>0</v>
      </c>
      <c r="BH118" s="16">
        <f t="shared" si="73"/>
        <v>0</v>
      </c>
      <c r="BI118" s="16">
        <f t="shared" si="73"/>
        <v>0</v>
      </c>
      <c r="BJ118" s="16">
        <f t="shared" si="73"/>
        <v>0</v>
      </c>
      <c r="BK118" s="16">
        <f t="shared" si="73"/>
        <v>0</v>
      </c>
      <c r="BL118" s="16">
        <f t="shared" si="73"/>
        <v>0</v>
      </c>
      <c r="BM118" s="16">
        <f t="shared" si="73"/>
        <v>0</v>
      </c>
      <c r="BN118" s="16">
        <f t="shared" si="73"/>
        <v>0</v>
      </c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</row>
    <row r="119" spans="6:94" customFormat="1" x14ac:dyDescent="0.25">
      <c r="F119" s="29"/>
      <c r="G119" s="29"/>
      <c r="H119" s="29"/>
      <c r="I119" s="29"/>
      <c r="J119" s="93"/>
      <c r="K119" s="1"/>
      <c r="L119" s="1"/>
      <c r="M119" s="1"/>
      <c r="N119" s="1"/>
      <c r="O119" s="9">
        <f t="shared" si="72"/>
        <v>42</v>
      </c>
      <c r="P119" s="16">
        <f t="shared" si="71"/>
        <v>0</v>
      </c>
      <c r="Q119" s="16">
        <f t="shared" si="73"/>
        <v>0</v>
      </c>
      <c r="R119" s="16">
        <f t="shared" si="73"/>
        <v>0</v>
      </c>
      <c r="S119" s="16">
        <f t="shared" si="73"/>
        <v>0</v>
      </c>
      <c r="T119" s="16">
        <f t="shared" si="73"/>
        <v>0</v>
      </c>
      <c r="U119" s="16">
        <f t="shared" si="73"/>
        <v>0</v>
      </c>
      <c r="V119" s="16">
        <f t="shared" si="73"/>
        <v>0</v>
      </c>
      <c r="W119" s="16">
        <f t="shared" si="73"/>
        <v>0.13676507789753245</v>
      </c>
      <c r="X119" s="16">
        <f t="shared" si="73"/>
        <v>0.73327292043603265</v>
      </c>
      <c r="Y119" s="16">
        <f t="shared" si="73"/>
        <v>0.12996200166643493</v>
      </c>
      <c r="Z119" s="16">
        <f t="shared" si="73"/>
        <v>0</v>
      </c>
      <c r="AA119" s="16">
        <f t="shared" si="73"/>
        <v>0</v>
      </c>
      <c r="AB119" s="16">
        <f t="shared" si="73"/>
        <v>0</v>
      </c>
      <c r="AC119" s="16">
        <f t="shared" si="73"/>
        <v>0</v>
      </c>
      <c r="AD119" s="16">
        <f t="shared" si="73"/>
        <v>0</v>
      </c>
      <c r="AE119" s="16">
        <f t="shared" si="73"/>
        <v>0</v>
      </c>
      <c r="AF119" s="16">
        <f t="shared" si="73"/>
        <v>0</v>
      </c>
      <c r="AG119" s="16">
        <f t="shared" si="73"/>
        <v>0</v>
      </c>
      <c r="AH119" s="16">
        <f t="shared" si="73"/>
        <v>0</v>
      </c>
      <c r="AI119" s="16">
        <f t="shared" si="73"/>
        <v>0</v>
      </c>
      <c r="AJ119" s="16">
        <f t="shared" si="73"/>
        <v>0</v>
      </c>
      <c r="AK119" s="16">
        <f t="shared" si="73"/>
        <v>0</v>
      </c>
      <c r="AL119" s="16">
        <f t="shared" si="73"/>
        <v>0</v>
      </c>
      <c r="AM119" s="16">
        <f t="shared" si="73"/>
        <v>0</v>
      </c>
      <c r="AN119" s="16">
        <f t="shared" si="73"/>
        <v>0</v>
      </c>
      <c r="AO119" s="16">
        <f t="shared" si="73"/>
        <v>0</v>
      </c>
      <c r="AP119" s="16">
        <f t="shared" si="73"/>
        <v>0</v>
      </c>
      <c r="AQ119" s="16">
        <f t="shared" si="73"/>
        <v>0</v>
      </c>
      <c r="AR119" s="16">
        <f t="shared" si="73"/>
        <v>0</v>
      </c>
      <c r="AS119" s="16">
        <f t="shared" si="73"/>
        <v>0</v>
      </c>
      <c r="AT119" s="16">
        <f t="shared" si="73"/>
        <v>0</v>
      </c>
      <c r="AU119" s="16">
        <f t="shared" si="73"/>
        <v>0</v>
      </c>
      <c r="AV119" s="16">
        <f t="shared" si="73"/>
        <v>0</v>
      </c>
      <c r="AW119" s="16">
        <f t="shared" si="73"/>
        <v>0</v>
      </c>
      <c r="AX119" s="16">
        <f t="shared" si="73"/>
        <v>0</v>
      </c>
      <c r="AY119" s="16">
        <f t="shared" si="73"/>
        <v>0</v>
      </c>
      <c r="AZ119" s="16">
        <f t="shared" si="73"/>
        <v>0</v>
      </c>
      <c r="BA119" s="16">
        <f t="shared" si="73"/>
        <v>0</v>
      </c>
      <c r="BB119" s="16">
        <f t="shared" si="73"/>
        <v>0</v>
      </c>
      <c r="BC119" s="16">
        <f t="shared" si="73"/>
        <v>0</v>
      </c>
      <c r="BD119" s="16">
        <f t="shared" si="73"/>
        <v>0</v>
      </c>
      <c r="BE119" s="16">
        <f t="shared" si="73"/>
        <v>0</v>
      </c>
      <c r="BF119" s="16">
        <f t="shared" si="73"/>
        <v>0</v>
      </c>
      <c r="BG119" s="16">
        <f t="shared" si="73"/>
        <v>0</v>
      </c>
      <c r="BH119" s="16">
        <f t="shared" si="73"/>
        <v>0</v>
      </c>
      <c r="BI119" s="16">
        <f t="shared" si="73"/>
        <v>0</v>
      </c>
      <c r="BJ119" s="16">
        <f t="shared" si="73"/>
        <v>0</v>
      </c>
      <c r="BK119" s="16">
        <f t="shared" si="73"/>
        <v>0</v>
      </c>
      <c r="BL119" s="16">
        <f t="shared" si="73"/>
        <v>0</v>
      </c>
      <c r="BM119" s="16">
        <f t="shared" si="73"/>
        <v>0</v>
      </c>
      <c r="BN119" s="16">
        <f t="shared" si="73"/>
        <v>0</v>
      </c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</row>
    <row r="120" spans="6:94" customFormat="1" x14ac:dyDescent="0.25">
      <c r="F120" s="29"/>
      <c r="G120" s="29"/>
      <c r="H120" s="29"/>
      <c r="I120" s="29"/>
      <c r="J120" s="93"/>
      <c r="K120" s="1"/>
      <c r="L120" s="1"/>
      <c r="M120" s="1"/>
      <c r="N120" s="1"/>
      <c r="O120" s="9">
        <f t="shared" si="72"/>
        <v>41</v>
      </c>
      <c r="P120" s="16">
        <f t="shared" si="71"/>
        <v>0</v>
      </c>
      <c r="Q120" s="16">
        <f t="shared" si="73"/>
        <v>0</v>
      </c>
      <c r="R120" s="16">
        <f t="shared" si="73"/>
        <v>0</v>
      </c>
      <c r="S120" s="16">
        <f t="shared" si="73"/>
        <v>0</v>
      </c>
      <c r="T120" s="16">
        <f t="shared" si="73"/>
        <v>0</v>
      </c>
      <c r="U120" s="16">
        <f t="shared" si="73"/>
        <v>0</v>
      </c>
      <c r="V120" s="16">
        <f t="shared" si="73"/>
        <v>0</v>
      </c>
      <c r="W120" s="16">
        <f t="shared" si="73"/>
        <v>0</v>
      </c>
      <c r="X120" s="16">
        <f t="shared" si="73"/>
        <v>6.8124565838018028E-2</v>
      </c>
      <c r="Y120" s="16">
        <f t="shared" si="73"/>
        <v>0.86982194181133521</v>
      </c>
      <c r="Z120" s="16">
        <f t="shared" si="73"/>
        <v>6.2053492350646763E-2</v>
      </c>
      <c r="AA120" s="16">
        <f t="shared" si="73"/>
        <v>0</v>
      </c>
      <c r="AB120" s="16">
        <f t="shared" si="73"/>
        <v>0</v>
      </c>
      <c r="AC120" s="16">
        <f t="shared" si="73"/>
        <v>0</v>
      </c>
      <c r="AD120" s="16">
        <f t="shared" si="73"/>
        <v>0</v>
      </c>
      <c r="AE120" s="16">
        <f t="shared" si="73"/>
        <v>0</v>
      </c>
      <c r="AF120" s="16">
        <f t="shared" si="73"/>
        <v>0</v>
      </c>
      <c r="AG120" s="16">
        <f t="shared" si="73"/>
        <v>0</v>
      </c>
      <c r="AH120" s="16">
        <f t="shared" si="73"/>
        <v>0</v>
      </c>
      <c r="AI120" s="16">
        <f t="shared" si="73"/>
        <v>0</v>
      </c>
      <c r="AJ120" s="16">
        <f t="shared" si="73"/>
        <v>0</v>
      </c>
      <c r="AK120" s="16">
        <f t="shared" si="73"/>
        <v>0</v>
      </c>
      <c r="AL120" s="16">
        <f t="shared" si="73"/>
        <v>0</v>
      </c>
      <c r="AM120" s="16">
        <f t="shared" si="73"/>
        <v>0</v>
      </c>
      <c r="AN120" s="16">
        <f t="shared" si="73"/>
        <v>0</v>
      </c>
      <c r="AO120" s="16">
        <f t="shared" si="73"/>
        <v>0</v>
      </c>
      <c r="AP120" s="16">
        <f t="shared" si="73"/>
        <v>0</v>
      </c>
      <c r="AQ120" s="16">
        <f t="shared" si="73"/>
        <v>0</v>
      </c>
      <c r="AR120" s="16">
        <f t="shared" si="73"/>
        <v>0</v>
      </c>
      <c r="AS120" s="16">
        <f t="shared" si="73"/>
        <v>0</v>
      </c>
      <c r="AT120" s="16">
        <f t="shared" si="73"/>
        <v>0</v>
      </c>
      <c r="AU120" s="16">
        <f t="shared" si="73"/>
        <v>0</v>
      </c>
      <c r="AV120" s="16">
        <f t="shared" si="73"/>
        <v>0</v>
      </c>
      <c r="AW120" s="16">
        <f t="shared" si="73"/>
        <v>0</v>
      </c>
      <c r="AX120" s="16">
        <f t="shared" si="73"/>
        <v>0</v>
      </c>
      <c r="AY120" s="16">
        <f t="shared" si="73"/>
        <v>0</v>
      </c>
      <c r="AZ120" s="16">
        <f t="shared" si="73"/>
        <v>0</v>
      </c>
      <c r="BA120" s="16">
        <f t="shared" si="73"/>
        <v>0</v>
      </c>
      <c r="BB120" s="16">
        <f t="shared" si="73"/>
        <v>0</v>
      </c>
      <c r="BC120" s="16">
        <f t="shared" si="73"/>
        <v>0</v>
      </c>
      <c r="BD120" s="16">
        <f t="shared" si="73"/>
        <v>0</v>
      </c>
      <c r="BE120" s="16">
        <f t="shared" si="73"/>
        <v>0</v>
      </c>
      <c r="BF120" s="16">
        <f t="shared" si="73"/>
        <v>0</v>
      </c>
      <c r="BG120" s="16">
        <f t="shared" si="73"/>
        <v>0</v>
      </c>
      <c r="BH120" s="16">
        <f t="shared" si="73"/>
        <v>0</v>
      </c>
      <c r="BI120" s="16">
        <f t="shared" si="73"/>
        <v>0</v>
      </c>
      <c r="BJ120" s="16">
        <f t="shared" si="73"/>
        <v>0</v>
      </c>
      <c r="BK120" s="16">
        <f t="shared" si="73"/>
        <v>0</v>
      </c>
      <c r="BL120" s="16">
        <f t="shared" si="73"/>
        <v>0</v>
      </c>
      <c r="BM120" s="16">
        <f t="shared" si="73"/>
        <v>0</v>
      </c>
      <c r="BN120" s="16">
        <f t="shared" si="73"/>
        <v>0</v>
      </c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</row>
    <row r="121" spans="6:94" customFormat="1" x14ac:dyDescent="0.25">
      <c r="F121" s="29"/>
      <c r="G121" s="29"/>
      <c r="H121" s="29"/>
      <c r="I121" s="29"/>
      <c r="J121" s="93"/>
      <c r="K121" s="1"/>
      <c r="L121" s="1"/>
      <c r="M121" s="1"/>
      <c r="N121" s="1"/>
      <c r="O121" s="9">
        <f t="shared" si="72"/>
        <v>40</v>
      </c>
      <c r="P121" s="16">
        <f t="shared" si="71"/>
        <v>0</v>
      </c>
      <c r="Q121" s="16">
        <f t="shared" si="73"/>
        <v>0</v>
      </c>
      <c r="R121" s="16">
        <f t="shared" si="73"/>
        <v>0</v>
      </c>
      <c r="S121" s="16">
        <f t="shared" si="73"/>
        <v>0</v>
      </c>
      <c r="T121" s="16">
        <f t="shared" si="73"/>
        <v>0</v>
      </c>
      <c r="U121" s="16">
        <f t="shared" si="73"/>
        <v>0</v>
      </c>
      <c r="V121" s="16">
        <f t="shared" si="73"/>
        <v>0</v>
      </c>
      <c r="W121" s="16">
        <f t="shared" si="73"/>
        <v>0</v>
      </c>
      <c r="X121" s="16">
        <f t="shared" si="73"/>
        <v>0</v>
      </c>
      <c r="Y121" s="16">
        <f t="shared" si="73"/>
        <v>2.3842197793047519E-2</v>
      </c>
      <c r="Z121" s="16">
        <f t="shared" si="73"/>
        <v>0.95791443761729489</v>
      </c>
      <c r="AA121" s="16">
        <f t="shared" si="73"/>
        <v>1.8243364589657626E-2</v>
      </c>
      <c r="AB121" s="16">
        <f t="shared" si="73"/>
        <v>0</v>
      </c>
      <c r="AC121" s="16">
        <f t="shared" si="73"/>
        <v>0</v>
      </c>
      <c r="AD121" s="16">
        <f t="shared" si="73"/>
        <v>0</v>
      </c>
      <c r="AE121" s="16">
        <f t="shared" si="73"/>
        <v>0</v>
      </c>
      <c r="AF121" s="16">
        <f t="shared" si="73"/>
        <v>0</v>
      </c>
      <c r="AG121" s="16">
        <f t="shared" si="73"/>
        <v>0</v>
      </c>
      <c r="AH121" s="16">
        <f t="shared" si="73"/>
        <v>0</v>
      </c>
      <c r="AI121" s="16">
        <f t="shared" si="73"/>
        <v>0</v>
      </c>
      <c r="AJ121" s="16">
        <f t="shared" si="73"/>
        <v>0</v>
      </c>
      <c r="AK121" s="16">
        <f t="shared" si="73"/>
        <v>0</v>
      </c>
      <c r="AL121" s="16">
        <f t="shared" si="73"/>
        <v>0</v>
      </c>
      <c r="AM121" s="16">
        <f t="shared" si="73"/>
        <v>0</v>
      </c>
      <c r="AN121" s="16">
        <f t="shared" si="73"/>
        <v>0</v>
      </c>
      <c r="AO121" s="16">
        <f t="shared" si="73"/>
        <v>0</v>
      </c>
      <c r="AP121" s="16">
        <f t="shared" ref="Q121:BN126" si="74">IF(AP$110=$O121,AP$108*HLOOKUP($O121,$O$14:$BN$48,AP$107,0)+1,IF(AP$110-$O121=1,AP$108*HLOOKUP($O121,$O$11:$BN$28,AP$107,0),IF(AP$110-$O121=-1,AP$108*HLOOKUP($O121,$O$17:$BN$68,AP$107,0),0)))</f>
        <v>0</v>
      </c>
      <c r="AQ121" s="16">
        <f t="shared" si="74"/>
        <v>0</v>
      </c>
      <c r="AR121" s="16">
        <f t="shared" si="74"/>
        <v>0</v>
      </c>
      <c r="AS121" s="16">
        <f t="shared" si="74"/>
        <v>0</v>
      </c>
      <c r="AT121" s="16">
        <f t="shared" si="74"/>
        <v>0</v>
      </c>
      <c r="AU121" s="16">
        <f t="shared" si="74"/>
        <v>0</v>
      </c>
      <c r="AV121" s="16">
        <f t="shared" si="74"/>
        <v>0</v>
      </c>
      <c r="AW121" s="16">
        <f t="shared" si="74"/>
        <v>0</v>
      </c>
      <c r="AX121" s="16">
        <f t="shared" si="74"/>
        <v>0</v>
      </c>
      <c r="AY121" s="16">
        <f t="shared" si="74"/>
        <v>0</v>
      </c>
      <c r="AZ121" s="16">
        <f t="shared" si="74"/>
        <v>0</v>
      </c>
      <c r="BA121" s="16">
        <f t="shared" si="74"/>
        <v>0</v>
      </c>
      <c r="BB121" s="16">
        <f t="shared" si="74"/>
        <v>0</v>
      </c>
      <c r="BC121" s="16">
        <f t="shared" si="74"/>
        <v>0</v>
      </c>
      <c r="BD121" s="16">
        <f t="shared" si="74"/>
        <v>0</v>
      </c>
      <c r="BE121" s="16">
        <f t="shared" si="74"/>
        <v>0</v>
      </c>
      <c r="BF121" s="16">
        <f t="shared" si="74"/>
        <v>0</v>
      </c>
      <c r="BG121" s="16">
        <f t="shared" si="74"/>
        <v>0</v>
      </c>
      <c r="BH121" s="16">
        <f t="shared" si="74"/>
        <v>0</v>
      </c>
      <c r="BI121" s="16">
        <f t="shared" si="74"/>
        <v>0</v>
      </c>
      <c r="BJ121" s="16">
        <f t="shared" si="74"/>
        <v>0</v>
      </c>
      <c r="BK121" s="16">
        <f t="shared" si="74"/>
        <v>0</v>
      </c>
      <c r="BL121" s="16">
        <f t="shared" si="74"/>
        <v>0</v>
      </c>
      <c r="BM121" s="16">
        <f t="shared" si="74"/>
        <v>0</v>
      </c>
      <c r="BN121" s="16">
        <f t="shared" si="74"/>
        <v>0</v>
      </c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</row>
    <row r="122" spans="6:94" customFormat="1" x14ac:dyDescent="0.25">
      <c r="F122" s="29"/>
      <c r="G122" s="29"/>
      <c r="H122" s="29"/>
      <c r="I122" s="29"/>
      <c r="J122" s="93"/>
      <c r="K122" s="1"/>
      <c r="L122" s="1"/>
      <c r="M122" s="1"/>
      <c r="N122" s="1"/>
      <c r="O122" s="9">
        <f t="shared" si="72"/>
        <v>39</v>
      </c>
      <c r="P122" s="16">
        <f t="shared" si="71"/>
        <v>0</v>
      </c>
      <c r="Q122" s="16">
        <f t="shared" si="74"/>
        <v>0</v>
      </c>
      <c r="R122" s="16">
        <f t="shared" si="74"/>
        <v>0</v>
      </c>
      <c r="S122" s="16">
        <f t="shared" si="74"/>
        <v>0</v>
      </c>
      <c r="T122" s="16">
        <f t="shared" si="74"/>
        <v>0</v>
      </c>
      <c r="U122" s="16">
        <f t="shared" si="74"/>
        <v>0</v>
      </c>
      <c r="V122" s="16">
        <f t="shared" si="74"/>
        <v>0</v>
      </c>
      <c r="W122" s="16">
        <f t="shared" si="74"/>
        <v>0</v>
      </c>
      <c r="X122" s="16">
        <f t="shared" si="74"/>
        <v>0</v>
      </c>
      <c r="Y122" s="16">
        <f t="shared" si="74"/>
        <v>0</v>
      </c>
      <c r="Z122" s="16">
        <f t="shared" si="74"/>
        <v>3.9179737626281047E-3</v>
      </c>
      <c r="AA122" s="16">
        <f t="shared" si="74"/>
        <v>0.99755040785389726</v>
      </c>
      <c r="AB122" s="16">
        <f t="shared" si="74"/>
        <v>-1.4683816165253151E-3</v>
      </c>
      <c r="AC122" s="16">
        <f t="shared" si="74"/>
        <v>0</v>
      </c>
      <c r="AD122" s="16">
        <f t="shared" si="74"/>
        <v>0</v>
      </c>
      <c r="AE122" s="16">
        <f t="shared" si="74"/>
        <v>0</v>
      </c>
      <c r="AF122" s="16">
        <f t="shared" si="74"/>
        <v>0</v>
      </c>
      <c r="AG122" s="16">
        <f t="shared" si="74"/>
        <v>0</v>
      </c>
      <c r="AH122" s="16">
        <f t="shared" si="74"/>
        <v>0</v>
      </c>
      <c r="AI122" s="16">
        <f t="shared" si="74"/>
        <v>0</v>
      </c>
      <c r="AJ122" s="16">
        <f t="shared" si="74"/>
        <v>0</v>
      </c>
      <c r="AK122" s="16">
        <f t="shared" si="74"/>
        <v>0</v>
      </c>
      <c r="AL122" s="16">
        <f t="shared" si="74"/>
        <v>0</v>
      </c>
      <c r="AM122" s="16">
        <f t="shared" si="74"/>
        <v>0</v>
      </c>
      <c r="AN122" s="16">
        <f t="shared" si="74"/>
        <v>0</v>
      </c>
      <c r="AO122" s="16">
        <f t="shared" si="74"/>
        <v>0</v>
      </c>
      <c r="AP122" s="16">
        <f t="shared" si="74"/>
        <v>0</v>
      </c>
      <c r="AQ122" s="16">
        <f t="shared" si="74"/>
        <v>0</v>
      </c>
      <c r="AR122" s="16">
        <f t="shared" si="74"/>
        <v>0</v>
      </c>
      <c r="AS122" s="16">
        <f t="shared" si="74"/>
        <v>0</v>
      </c>
      <c r="AT122" s="16">
        <f t="shared" si="74"/>
        <v>0</v>
      </c>
      <c r="AU122" s="16">
        <f t="shared" si="74"/>
        <v>0</v>
      </c>
      <c r="AV122" s="16">
        <f t="shared" si="74"/>
        <v>0</v>
      </c>
      <c r="AW122" s="16">
        <f t="shared" si="74"/>
        <v>0</v>
      </c>
      <c r="AX122" s="16">
        <f t="shared" si="74"/>
        <v>0</v>
      </c>
      <c r="AY122" s="16">
        <f t="shared" si="74"/>
        <v>0</v>
      </c>
      <c r="AZ122" s="16">
        <f t="shared" si="74"/>
        <v>0</v>
      </c>
      <c r="BA122" s="16">
        <f t="shared" si="74"/>
        <v>0</v>
      </c>
      <c r="BB122" s="16">
        <f t="shared" si="74"/>
        <v>0</v>
      </c>
      <c r="BC122" s="16">
        <f t="shared" si="74"/>
        <v>0</v>
      </c>
      <c r="BD122" s="16">
        <f t="shared" si="74"/>
        <v>0</v>
      </c>
      <c r="BE122" s="16">
        <f t="shared" si="74"/>
        <v>0</v>
      </c>
      <c r="BF122" s="16">
        <f t="shared" si="74"/>
        <v>0</v>
      </c>
      <c r="BG122" s="16">
        <f t="shared" si="74"/>
        <v>0</v>
      </c>
      <c r="BH122" s="16">
        <f t="shared" si="74"/>
        <v>0</v>
      </c>
      <c r="BI122" s="16">
        <f t="shared" si="74"/>
        <v>0</v>
      </c>
      <c r="BJ122" s="16">
        <f t="shared" si="74"/>
        <v>0</v>
      </c>
      <c r="BK122" s="16">
        <f t="shared" si="74"/>
        <v>0</v>
      </c>
      <c r="BL122" s="16">
        <f t="shared" si="74"/>
        <v>0</v>
      </c>
      <c r="BM122" s="16">
        <f t="shared" si="74"/>
        <v>0</v>
      </c>
      <c r="BN122" s="16">
        <f t="shared" si="74"/>
        <v>0</v>
      </c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</row>
    <row r="123" spans="6:94" customFormat="1" x14ac:dyDescent="0.25">
      <c r="F123" s="29"/>
      <c r="G123" s="29"/>
      <c r="H123" s="29"/>
      <c r="I123" s="29"/>
      <c r="J123" s="93"/>
      <c r="K123" s="1"/>
      <c r="L123" s="1"/>
      <c r="M123" s="1"/>
      <c r="N123" s="1"/>
      <c r="O123" s="9">
        <f t="shared" si="72"/>
        <v>38</v>
      </c>
      <c r="P123" s="16">
        <f t="shared" si="71"/>
        <v>0</v>
      </c>
      <c r="Q123" s="16">
        <f t="shared" si="74"/>
        <v>0</v>
      </c>
      <c r="R123" s="16">
        <f t="shared" si="74"/>
        <v>0</v>
      </c>
      <c r="S123" s="16">
        <f t="shared" si="74"/>
        <v>0</v>
      </c>
      <c r="T123" s="16">
        <f t="shared" si="74"/>
        <v>0</v>
      </c>
      <c r="U123" s="16">
        <f t="shared" si="74"/>
        <v>0</v>
      </c>
      <c r="V123" s="16">
        <f t="shared" si="74"/>
        <v>0</v>
      </c>
      <c r="W123" s="16">
        <f t="shared" si="74"/>
        <v>0</v>
      </c>
      <c r="X123" s="16">
        <f t="shared" si="74"/>
        <v>0</v>
      </c>
      <c r="Y123" s="16">
        <f t="shared" si="74"/>
        <v>0</v>
      </c>
      <c r="Z123" s="16">
        <f t="shared" si="74"/>
        <v>0</v>
      </c>
      <c r="AA123" s="16">
        <f t="shared" si="74"/>
        <v>8.3518937467551395E-3</v>
      </c>
      <c r="AB123" s="16">
        <f t="shared" si="74"/>
        <v>0.98872985252115153</v>
      </c>
      <c r="AC123" s="16">
        <f t="shared" si="74"/>
        <v>2.9182537320933278E-3</v>
      </c>
      <c r="AD123" s="16">
        <f t="shared" si="74"/>
        <v>0</v>
      </c>
      <c r="AE123" s="16">
        <f t="shared" si="74"/>
        <v>0</v>
      </c>
      <c r="AF123" s="16">
        <f t="shared" si="74"/>
        <v>0</v>
      </c>
      <c r="AG123" s="16">
        <f t="shared" si="74"/>
        <v>0</v>
      </c>
      <c r="AH123" s="16">
        <f t="shared" si="74"/>
        <v>0</v>
      </c>
      <c r="AI123" s="16">
        <f t="shared" si="74"/>
        <v>0</v>
      </c>
      <c r="AJ123" s="16">
        <f t="shared" si="74"/>
        <v>0</v>
      </c>
      <c r="AK123" s="16">
        <f t="shared" si="74"/>
        <v>0</v>
      </c>
      <c r="AL123" s="16">
        <f t="shared" si="74"/>
        <v>0</v>
      </c>
      <c r="AM123" s="16">
        <f t="shared" si="74"/>
        <v>0</v>
      </c>
      <c r="AN123" s="16">
        <f t="shared" si="74"/>
        <v>0</v>
      </c>
      <c r="AO123" s="16">
        <f t="shared" si="74"/>
        <v>0</v>
      </c>
      <c r="AP123" s="16">
        <f t="shared" si="74"/>
        <v>0</v>
      </c>
      <c r="AQ123" s="16">
        <f t="shared" si="74"/>
        <v>0</v>
      </c>
      <c r="AR123" s="16">
        <f t="shared" si="74"/>
        <v>0</v>
      </c>
      <c r="AS123" s="16">
        <f t="shared" si="74"/>
        <v>0</v>
      </c>
      <c r="AT123" s="16">
        <f t="shared" si="74"/>
        <v>0</v>
      </c>
      <c r="AU123" s="16">
        <f t="shared" si="74"/>
        <v>0</v>
      </c>
      <c r="AV123" s="16">
        <f t="shared" si="74"/>
        <v>0</v>
      </c>
      <c r="AW123" s="16">
        <f t="shared" si="74"/>
        <v>0</v>
      </c>
      <c r="AX123" s="16">
        <f t="shared" si="74"/>
        <v>0</v>
      </c>
      <c r="AY123" s="16">
        <f t="shared" si="74"/>
        <v>0</v>
      </c>
      <c r="AZ123" s="16">
        <f t="shared" si="74"/>
        <v>0</v>
      </c>
      <c r="BA123" s="16">
        <f t="shared" si="74"/>
        <v>0</v>
      </c>
      <c r="BB123" s="16">
        <f t="shared" si="74"/>
        <v>0</v>
      </c>
      <c r="BC123" s="16">
        <f t="shared" si="74"/>
        <v>0</v>
      </c>
      <c r="BD123" s="16">
        <f t="shared" si="74"/>
        <v>0</v>
      </c>
      <c r="BE123" s="16">
        <f t="shared" si="74"/>
        <v>0</v>
      </c>
      <c r="BF123" s="16">
        <f t="shared" si="74"/>
        <v>0</v>
      </c>
      <c r="BG123" s="16">
        <f t="shared" si="74"/>
        <v>0</v>
      </c>
      <c r="BH123" s="16">
        <f t="shared" si="74"/>
        <v>0</v>
      </c>
      <c r="BI123" s="16">
        <f t="shared" si="74"/>
        <v>0</v>
      </c>
      <c r="BJ123" s="16">
        <f t="shared" si="74"/>
        <v>0</v>
      </c>
      <c r="BK123" s="16">
        <f t="shared" si="74"/>
        <v>0</v>
      </c>
      <c r="BL123" s="16">
        <f t="shared" si="74"/>
        <v>0</v>
      </c>
      <c r="BM123" s="16">
        <f t="shared" si="74"/>
        <v>0</v>
      </c>
      <c r="BN123" s="16">
        <f t="shared" si="74"/>
        <v>0</v>
      </c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</row>
    <row r="124" spans="6:94" customFormat="1" x14ac:dyDescent="0.25">
      <c r="F124" s="29"/>
      <c r="G124" s="29"/>
      <c r="H124" s="29"/>
      <c r="I124" s="29"/>
      <c r="J124" s="93"/>
      <c r="K124" s="1"/>
      <c r="L124" s="1"/>
      <c r="M124" s="1"/>
      <c r="N124" s="1"/>
      <c r="O124" s="9">
        <f t="shared" si="72"/>
        <v>37</v>
      </c>
      <c r="P124" s="16">
        <f t="shared" si="71"/>
        <v>0</v>
      </c>
      <c r="Q124" s="16">
        <f t="shared" si="74"/>
        <v>0</v>
      </c>
      <c r="R124" s="16">
        <f t="shared" si="74"/>
        <v>0</v>
      </c>
      <c r="S124" s="16">
        <f t="shared" si="74"/>
        <v>0</v>
      </c>
      <c r="T124" s="16">
        <f t="shared" si="74"/>
        <v>0</v>
      </c>
      <c r="U124" s="16">
        <f t="shared" si="74"/>
        <v>0</v>
      </c>
      <c r="V124" s="16">
        <f t="shared" si="74"/>
        <v>0</v>
      </c>
      <c r="W124" s="16">
        <f t="shared" si="74"/>
        <v>0</v>
      </c>
      <c r="X124" s="16">
        <f t="shared" si="74"/>
        <v>0</v>
      </c>
      <c r="Y124" s="16">
        <f t="shared" si="74"/>
        <v>0</v>
      </c>
      <c r="Z124" s="16">
        <f t="shared" si="74"/>
        <v>0</v>
      </c>
      <c r="AA124" s="16">
        <f t="shared" si="74"/>
        <v>0</v>
      </c>
      <c r="AB124" s="16">
        <f t="shared" si="74"/>
        <v>3.7143957745428627E-2</v>
      </c>
      <c r="AC124" s="16">
        <f t="shared" si="74"/>
        <v>0.93145277161905782</v>
      </c>
      <c r="AD124" s="16">
        <f t="shared" si="74"/>
        <v>3.1403270635513562E-2</v>
      </c>
      <c r="AE124" s="16">
        <f t="shared" si="74"/>
        <v>0</v>
      </c>
      <c r="AF124" s="16">
        <f t="shared" si="74"/>
        <v>0</v>
      </c>
      <c r="AG124" s="16">
        <f t="shared" si="74"/>
        <v>0</v>
      </c>
      <c r="AH124" s="16">
        <f t="shared" si="74"/>
        <v>0</v>
      </c>
      <c r="AI124" s="16">
        <f t="shared" si="74"/>
        <v>0</v>
      </c>
      <c r="AJ124" s="16">
        <f t="shared" si="74"/>
        <v>0</v>
      </c>
      <c r="AK124" s="16">
        <f t="shared" si="74"/>
        <v>0</v>
      </c>
      <c r="AL124" s="16">
        <f t="shared" si="74"/>
        <v>0</v>
      </c>
      <c r="AM124" s="16">
        <f t="shared" si="74"/>
        <v>0</v>
      </c>
      <c r="AN124" s="16">
        <f t="shared" si="74"/>
        <v>0</v>
      </c>
      <c r="AO124" s="16">
        <f t="shared" si="74"/>
        <v>0</v>
      </c>
      <c r="AP124" s="16">
        <f t="shared" si="74"/>
        <v>0</v>
      </c>
      <c r="AQ124" s="16">
        <f t="shared" si="74"/>
        <v>0</v>
      </c>
      <c r="AR124" s="16">
        <f t="shared" si="74"/>
        <v>0</v>
      </c>
      <c r="AS124" s="16">
        <f t="shared" si="74"/>
        <v>0</v>
      </c>
      <c r="AT124" s="16">
        <f t="shared" si="74"/>
        <v>0</v>
      </c>
      <c r="AU124" s="16">
        <f t="shared" si="74"/>
        <v>0</v>
      </c>
      <c r="AV124" s="16">
        <f t="shared" si="74"/>
        <v>0</v>
      </c>
      <c r="AW124" s="16">
        <f t="shared" si="74"/>
        <v>0</v>
      </c>
      <c r="AX124" s="16">
        <f t="shared" si="74"/>
        <v>0</v>
      </c>
      <c r="AY124" s="16">
        <f t="shared" si="74"/>
        <v>0</v>
      </c>
      <c r="AZ124" s="16">
        <f t="shared" si="74"/>
        <v>0</v>
      </c>
      <c r="BA124" s="16">
        <f t="shared" si="74"/>
        <v>0</v>
      </c>
      <c r="BB124" s="16">
        <f t="shared" si="74"/>
        <v>0</v>
      </c>
      <c r="BC124" s="16">
        <f t="shared" si="74"/>
        <v>0</v>
      </c>
      <c r="BD124" s="16">
        <f t="shared" si="74"/>
        <v>0</v>
      </c>
      <c r="BE124" s="16">
        <f t="shared" si="74"/>
        <v>0</v>
      </c>
      <c r="BF124" s="16">
        <f t="shared" si="74"/>
        <v>0</v>
      </c>
      <c r="BG124" s="16">
        <f t="shared" si="74"/>
        <v>0</v>
      </c>
      <c r="BH124" s="16">
        <f t="shared" si="74"/>
        <v>0</v>
      </c>
      <c r="BI124" s="16">
        <f t="shared" si="74"/>
        <v>0</v>
      </c>
      <c r="BJ124" s="16">
        <f t="shared" si="74"/>
        <v>0</v>
      </c>
      <c r="BK124" s="16">
        <f t="shared" si="74"/>
        <v>0</v>
      </c>
      <c r="BL124" s="16">
        <f t="shared" si="74"/>
        <v>0</v>
      </c>
      <c r="BM124" s="16">
        <f t="shared" si="74"/>
        <v>0</v>
      </c>
      <c r="BN124" s="16">
        <f t="shared" si="74"/>
        <v>0</v>
      </c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</row>
    <row r="125" spans="6:94" customFormat="1" x14ac:dyDescent="0.25">
      <c r="F125" s="29"/>
      <c r="G125" s="29"/>
      <c r="H125" s="29"/>
      <c r="I125" s="29"/>
      <c r="J125" s="93"/>
      <c r="K125" s="1"/>
      <c r="L125" s="1"/>
      <c r="M125" s="1"/>
      <c r="N125" s="1"/>
      <c r="O125" s="9">
        <f t="shared" si="72"/>
        <v>36</v>
      </c>
      <c r="P125" s="16">
        <f t="shared" si="71"/>
        <v>0</v>
      </c>
      <c r="Q125" s="16">
        <f t="shared" si="74"/>
        <v>0</v>
      </c>
      <c r="R125" s="16">
        <f t="shared" si="74"/>
        <v>0</v>
      </c>
      <c r="S125" s="16">
        <f t="shared" si="74"/>
        <v>0</v>
      </c>
      <c r="T125" s="16">
        <f t="shared" si="74"/>
        <v>0</v>
      </c>
      <c r="U125" s="16">
        <f t="shared" si="74"/>
        <v>0</v>
      </c>
      <c r="V125" s="16">
        <f t="shared" si="74"/>
        <v>0</v>
      </c>
      <c r="W125" s="16">
        <f t="shared" si="74"/>
        <v>0</v>
      </c>
      <c r="X125" s="16">
        <f t="shared" si="74"/>
        <v>0</v>
      </c>
      <c r="Y125" s="16">
        <f t="shared" si="74"/>
        <v>0</v>
      </c>
      <c r="Z125" s="16">
        <f t="shared" si="74"/>
        <v>0</v>
      </c>
      <c r="AA125" s="16">
        <f t="shared" si="74"/>
        <v>0</v>
      </c>
      <c r="AB125" s="16">
        <f t="shared" si="74"/>
        <v>0</v>
      </c>
      <c r="AC125" s="16">
        <f t="shared" si="74"/>
        <v>9.0294165758648653E-2</v>
      </c>
      <c r="AD125" s="16">
        <f t="shared" si="74"/>
        <v>0.8257191651476159</v>
      </c>
      <c r="AE125" s="16">
        <f t="shared" si="74"/>
        <v>8.3986669093735464E-2</v>
      </c>
      <c r="AF125" s="16">
        <f t="shared" si="74"/>
        <v>0</v>
      </c>
      <c r="AG125" s="16">
        <f t="shared" si="74"/>
        <v>0</v>
      </c>
      <c r="AH125" s="16">
        <f t="shared" si="74"/>
        <v>0</v>
      </c>
      <c r="AI125" s="16">
        <f t="shared" si="74"/>
        <v>0</v>
      </c>
      <c r="AJ125" s="16">
        <f t="shared" si="74"/>
        <v>0</v>
      </c>
      <c r="AK125" s="16">
        <f t="shared" si="74"/>
        <v>0</v>
      </c>
      <c r="AL125" s="16">
        <f t="shared" si="74"/>
        <v>0</v>
      </c>
      <c r="AM125" s="16">
        <f t="shared" si="74"/>
        <v>0</v>
      </c>
      <c r="AN125" s="16">
        <f t="shared" si="74"/>
        <v>0</v>
      </c>
      <c r="AO125" s="16">
        <f t="shared" si="74"/>
        <v>0</v>
      </c>
      <c r="AP125" s="16">
        <f t="shared" si="74"/>
        <v>0</v>
      </c>
      <c r="AQ125" s="16">
        <f t="shared" si="74"/>
        <v>0</v>
      </c>
      <c r="AR125" s="16">
        <f t="shared" si="74"/>
        <v>0</v>
      </c>
      <c r="AS125" s="16">
        <f t="shared" si="74"/>
        <v>0</v>
      </c>
      <c r="AT125" s="16">
        <f t="shared" si="74"/>
        <v>0</v>
      </c>
      <c r="AU125" s="16">
        <f t="shared" si="74"/>
        <v>0</v>
      </c>
      <c r="AV125" s="16">
        <f t="shared" si="74"/>
        <v>0</v>
      </c>
      <c r="AW125" s="16">
        <f t="shared" si="74"/>
        <v>0</v>
      </c>
      <c r="AX125" s="16">
        <f t="shared" si="74"/>
        <v>0</v>
      </c>
      <c r="AY125" s="16">
        <f t="shared" si="74"/>
        <v>0</v>
      </c>
      <c r="AZ125" s="16">
        <f t="shared" si="74"/>
        <v>0</v>
      </c>
      <c r="BA125" s="16">
        <f t="shared" si="74"/>
        <v>0</v>
      </c>
      <c r="BB125" s="16">
        <f t="shared" si="74"/>
        <v>0</v>
      </c>
      <c r="BC125" s="16">
        <f t="shared" si="74"/>
        <v>0</v>
      </c>
      <c r="BD125" s="16">
        <f t="shared" si="74"/>
        <v>0</v>
      </c>
      <c r="BE125" s="16">
        <f t="shared" si="74"/>
        <v>0</v>
      </c>
      <c r="BF125" s="16">
        <f t="shared" si="74"/>
        <v>0</v>
      </c>
      <c r="BG125" s="16">
        <f t="shared" si="74"/>
        <v>0</v>
      </c>
      <c r="BH125" s="16">
        <f t="shared" si="74"/>
        <v>0</v>
      </c>
      <c r="BI125" s="16">
        <f t="shared" si="74"/>
        <v>0</v>
      </c>
      <c r="BJ125" s="16">
        <f t="shared" si="74"/>
        <v>0</v>
      </c>
      <c r="BK125" s="16">
        <f t="shared" si="74"/>
        <v>0</v>
      </c>
      <c r="BL125" s="16">
        <f t="shared" si="74"/>
        <v>0</v>
      </c>
      <c r="BM125" s="16">
        <f t="shared" si="74"/>
        <v>0</v>
      </c>
      <c r="BN125" s="16">
        <f t="shared" si="74"/>
        <v>0</v>
      </c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</row>
    <row r="126" spans="6:94" customFormat="1" x14ac:dyDescent="0.25">
      <c r="F126" s="29"/>
      <c r="G126" s="29"/>
      <c r="H126" s="29"/>
      <c r="I126" s="29"/>
      <c r="J126" s="93"/>
      <c r="K126" s="1"/>
      <c r="L126" s="1"/>
      <c r="M126" s="1"/>
      <c r="N126" s="1"/>
      <c r="O126" s="9">
        <f t="shared" si="72"/>
        <v>35</v>
      </c>
      <c r="P126" s="16">
        <f t="shared" si="71"/>
        <v>0</v>
      </c>
      <c r="Q126" s="16">
        <f t="shared" si="74"/>
        <v>0</v>
      </c>
      <c r="R126" s="16">
        <f t="shared" si="74"/>
        <v>0</v>
      </c>
      <c r="S126" s="16">
        <f t="shared" si="74"/>
        <v>0</v>
      </c>
      <c r="T126" s="16">
        <f t="shared" si="74"/>
        <v>0</v>
      </c>
      <c r="U126" s="16">
        <f t="shared" si="74"/>
        <v>0</v>
      </c>
      <c r="V126" s="16">
        <f t="shared" si="74"/>
        <v>0</v>
      </c>
      <c r="W126" s="16">
        <f t="shared" si="74"/>
        <v>0</v>
      </c>
      <c r="X126" s="16">
        <f t="shared" si="74"/>
        <v>0</v>
      </c>
      <c r="Y126" s="16">
        <f t="shared" si="74"/>
        <v>0</v>
      </c>
      <c r="Z126" s="16">
        <f t="shared" si="74"/>
        <v>0</v>
      </c>
      <c r="AA126" s="16">
        <f t="shared" si="74"/>
        <v>0</v>
      </c>
      <c r="AB126" s="16">
        <f t="shared" si="74"/>
        <v>0</v>
      </c>
      <c r="AC126" s="16">
        <f t="shared" si="74"/>
        <v>0</v>
      </c>
      <c r="AD126" s="16">
        <f t="shared" si="74"/>
        <v>0.16780251778641514</v>
      </c>
      <c r="AE126" s="16">
        <f t="shared" si="74"/>
        <v>0.67152903310682588</v>
      </c>
      <c r="AF126" s="16">
        <f t="shared" si="74"/>
        <v>0.16066844910675898</v>
      </c>
      <c r="AG126" s="16">
        <f t="shared" si="74"/>
        <v>0</v>
      </c>
      <c r="AH126" s="16">
        <f t="shared" si="74"/>
        <v>0</v>
      </c>
      <c r="AI126" s="16">
        <f t="shared" si="74"/>
        <v>0</v>
      </c>
      <c r="AJ126" s="16">
        <f t="shared" si="74"/>
        <v>0</v>
      </c>
      <c r="AK126" s="16">
        <f t="shared" si="74"/>
        <v>0</v>
      </c>
      <c r="AL126" s="16">
        <f t="shared" si="74"/>
        <v>0</v>
      </c>
      <c r="AM126" s="16">
        <f t="shared" si="74"/>
        <v>0</v>
      </c>
      <c r="AN126" s="16">
        <f t="shared" si="74"/>
        <v>0</v>
      </c>
      <c r="AO126" s="16">
        <f t="shared" si="74"/>
        <v>0</v>
      </c>
      <c r="AP126" s="16">
        <f t="shared" si="74"/>
        <v>0</v>
      </c>
      <c r="AQ126" s="16">
        <f t="shared" si="74"/>
        <v>0</v>
      </c>
      <c r="AR126" s="16">
        <f t="shared" si="74"/>
        <v>0</v>
      </c>
      <c r="AS126" s="16">
        <f t="shared" si="74"/>
        <v>0</v>
      </c>
      <c r="AT126" s="16">
        <f t="shared" si="74"/>
        <v>0</v>
      </c>
      <c r="AU126" s="16">
        <f t="shared" ref="Q126:BN131" si="75">IF(AU$110=$O126,AU$108*HLOOKUP($O126,$O$14:$BN$48,AU$107,0)+1,IF(AU$110-$O126=1,AU$108*HLOOKUP($O126,$O$11:$BN$28,AU$107,0),IF(AU$110-$O126=-1,AU$108*HLOOKUP($O126,$O$17:$BN$68,AU$107,0),0)))</f>
        <v>0</v>
      </c>
      <c r="AV126" s="16">
        <f t="shared" si="75"/>
        <v>0</v>
      </c>
      <c r="AW126" s="16">
        <f t="shared" si="75"/>
        <v>0</v>
      </c>
      <c r="AX126" s="16">
        <f t="shared" si="75"/>
        <v>0</v>
      </c>
      <c r="AY126" s="16">
        <f t="shared" si="75"/>
        <v>0</v>
      </c>
      <c r="AZ126" s="16">
        <f t="shared" si="75"/>
        <v>0</v>
      </c>
      <c r="BA126" s="16">
        <f t="shared" si="75"/>
        <v>0</v>
      </c>
      <c r="BB126" s="16">
        <f t="shared" si="75"/>
        <v>0</v>
      </c>
      <c r="BC126" s="16">
        <f t="shared" si="75"/>
        <v>0</v>
      </c>
      <c r="BD126" s="16">
        <f t="shared" si="75"/>
        <v>0</v>
      </c>
      <c r="BE126" s="16">
        <f t="shared" si="75"/>
        <v>0</v>
      </c>
      <c r="BF126" s="16">
        <f t="shared" si="75"/>
        <v>0</v>
      </c>
      <c r="BG126" s="16">
        <f t="shared" si="75"/>
        <v>0</v>
      </c>
      <c r="BH126" s="16">
        <f t="shared" si="75"/>
        <v>0</v>
      </c>
      <c r="BI126" s="16">
        <f t="shared" si="75"/>
        <v>0</v>
      </c>
      <c r="BJ126" s="16">
        <f t="shared" si="75"/>
        <v>0</v>
      </c>
      <c r="BK126" s="16">
        <f t="shared" si="75"/>
        <v>0</v>
      </c>
      <c r="BL126" s="16">
        <f t="shared" si="75"/>
        <v>0</v>
      </c>
      <c r="BM126" s="16">
        <f t="shared" si="75"/>
        <v>0</v>
      </c>
      <c r="BN126" s="16">
        <f t="shared" si="75"/>
        <v>0</v>
      </c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</row>
    <row r="127" spans="6:94" customFormat="1" x14ac:dyDescent="0.25">
      <c r="F127" s="29"/>
      <c r="G127" s="29"/>
      <c r="H127" s="29"/>
      <c r="I127" s="29"/>
      <c r="J127" s="93"/>
      <c r="K127" s="1"/>
      <c r="L127" s="1"/>
      <c r="M127" s="1"/>
      <c r="N127" s="1"/>
      <c r="O127" s="9">
        <f t="shared" si="72"/>
        <v>34</v>
      </c>
      <c r="P127" s="16">
        <f t="shared" si="71"/>
        <v>0</v>
      </c>
      <c r="Q127" s="16">
        <f t="shared" si="75"/>
        <v>0</v>
      </c>
      <c r="R127" s="16">
        <f t="shared" si="75"/>
        <v>0</v>
      </c>
      <c r="S127" s="16">
        <f t="shared" si="75"/>
        <v>0</v>
      </c>
      <c r="T127" s="16">
        <f t="shared" si="75"/>
        <v>0</v>
      </c>
      <c r="U127" s="16">
        <f t="shared" si="75"/>
        <v>0</v>
      </c>
      <c r="V127" s="16">
        <f t="shared" si="75"/>
        <v>0</v>
      </c>
      <c r="W127" s="16">
        <f t="shared" si="75"/>
        <v>0</v>
      </c>
      <c r="X127" s="16">
        <f t="shared" si="75"/>
        <v>0</v>
      </c>
      <c r="Y127" s="16">
        <f t="shared" si="75"/>
        <v>0</v>
      </c>
      <c r="Z127" s="16">
        <f t="shared" si="75"/>
        <v>0</v>
      </c>
      <c r="AA127" s="16">
        <f t="shared" si="75"/>
        <v>0</v>
      </c>
      <c r="AB127" s="16">
        <f t="shared" si="75"/>
        <v>0</v>
      </c>
      <c r="AC127" s="16">
        <f t="shared" si="75"/>
        <v>0</v>
      </c>
      <c r="AD127" s="16">
        <f t="shared" si="75"/>
        <v>0</v>
      </c>
      <c r="AE127" s="16">
        <f t="shared" si="75"/>
        <v>0.26966901382873837</v>
      </c>
      <c r="AF127" s="16">
        <f t="shared" si="75"/>
        <v>0.46888237549666734</v>
      </c>
      <c r="AG127" s="16">
        <f t="shared" si="75"/>
        <v>0.2614486106745943</v>
      </c>
      <c r="AH127" s="16">
        <f t="shared" si="75"/>
        <v>0</v>
      </c>
      <c r="AI127" s="16">
        <f t="shared" si="75"/>
        <v>0</v>
      </c>
      <c r="AJ127" s="16">
        <f t="shared" si="75"/>
        <v>0</v>
      </c>
      <c r="AK127" s="16">
        <f t="shared" si="75"/>
        <v>0</v>
      </c>
      <c r="AL127" s="16">
        <f t="shared" si="75"/>
        <v>0</v>
      </c>
      <c r="AM127" s="16">
        <f t="shared" si="75"/>
        <v>0</v>
      </c>
      <c r="AN127" s="16">
        <f t="shared" si="75"/>
        <v>0</v>
      </c>
      <c r="AO127" s="16">
        <f t="shared" si="75"/>
        <v>0</v>
      </c>
      <c r="AP127" s="16">
        <f t="shared" si="75"/>
        <v>0</v>
      </c>
      <c r="AQ127" s="16">
        <f t="shared" si="75"/>
        <v>0</v>
      </c>
      <c r="AR127" s="16">
        <f t="shared" si="75"/>
        <v>0</v>
      </c>
      <c r="AS127" s="16">
        <f t="shared" si="75"/>
        <v>0</v>
      </c>
      <c r="AT127" s="16">
        <f t="shared" si="75"/>
        <v>0</v>
      </c>
      <c r="AU127" s="16">
        <f t="shared" si="75"/>
        <v>0</v>
      </c>
      <c r="AV127" s="16">
        <f t="shared" si="75"/>
        <v>0</v>
      </c>
      <c r="AW127" s="16">
        <f t="shared" si="75"/>
        <v>0</v>
      </c>
      <c r="AX127" s="16">
        <f t="shared" si="75"/>
        <v>0</v>
      </c>
      <c r="AY127" s="16">
        <f t="shared" si="75"/>
        <v>0</v>
      </c>
      <c r="AZ127" s="16">
        <f t="shared" si="75"/>
        <v>0</v>
      </c>
      <c r="BA127" s="16">
        <f t="shared" si="75"/>
        <v>0</v>
      </c>
      <c r="BB127" s="16">
        <f t="shared" si="75"/>
        <v>0</v>
      </c>
      <c r="BC127" s="16">
        <f t="shared" si="75"/>
        <v>0</v>
      </c>
      <c r="BD127" s="16">
        <f t="shared" si="75"/>
        <v>0</v>
      </c>
      <c r="BE127" s="16">
        <f t="shared" si="75"/>
        <v>0</v>
      </c>
      <c r="BF127" s="16">
        <f t="shared" si="75"/>
        <v>0</v>
      </c>
      <c r="BG127" s="16">
        <f t="shared" si="75"/>
        <v>0</v>
      </c>
      <c r="BH127" s="16">
        <f t="shared" si="75"/>
        <v>0</v>
      </c>
      <c r="BI127" s="16">
        <f t="shared" si="75"/>
        <v>0</v>
      </c>
      <c r="BJ127" s="16">
        <f t="shared" si="75"/>
        <v>0</v>
      </c>
      <c r="BK127" s="16">
        <f t="shared" si="75"/>
        <v>0</v>
      </c>
      <c r="BL127" s="16">
        <f t="shared" si="75"/>
        <v>0</v>
      </c>
      <c r="BM127" s="16">
        <f t="shared" si="75"/>
        <v>0</v>
      </c>
      <c r="BN127" s="16">
        <f t="shared" si="75"/>
        <v>0</v>
      </c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</row>
    <row r="128" spans="6:94" customFormat="1" x14ac:dyDescent="0.25">
      <c r="F128" s="29"/>
      <c r="G128" s="29"/>
      <c r="H128" s="29"/>
      <c r="I128" s="29"/>
      <c r="J128" s="93"/>
      <c r="K128" s="1"/>
      <c r="L128" s="1"/>
      <c r="M128" s="1"/>
      <c r="N128" s="1"/>
      <c r="O128" s="9">
        <f t="shared" si="72"/>
        <v>33</v>
      </c>
      <c r="P128" s="16">
        <f t="shared" si="71"/>
        <v>0</v>
      </c>
      <c r="Q128" s="16">
        <f t="shared" si="75"/>
        <v>0</v>
      </c>
      <c r="R128" s="16">
        <f t="shared" si="75"/>
        <v>0</v>
      </c>
      <c r="S128" s="16">
        <f t="shared" si="75"/>
        <v>0</v>
      </c>
      <c r="T128" s="16">
        <f t="shared" si="75"/>
        <v>0</v>
      </c>
      <c r="U128" s="16">
        <f t="shared" si="75"/>
        <v>0</v>
      </c>
      <c r="V128" s="16">
        <f t="shared" si="75"/>
        <v>0</v>
      </c>
      <c r="W128" s="16">
        <f t="shared" si="75"/>
        <v>0</v>
      </c>
      <c r="X128" s="16">
        <f t="shared" si="75"/>
        <v>0</v>
      </c>
      <c r="Y128" s="16">
        <f t="shared" si="75"/>
        <v>0</v>
      </c>
      <c r="Z128" s="16">
        <f t="shared" si="75"/>
        <v>0</v>
      </c>
      <c r="AA128" s="16">
        <f t="shared" si="75"/>
        <v>0</v>
      </c>
      <c r="AB128" s="16">
        <f t="shared" si="75"/>
        <v>0</v>
      </c>
      <c r="AC128" s="16">
        <f t="shared" si="75"/>
        <v>0</v>
      </c>
      <c r="AD128" s="16">
        <f t="shared" si="75"/>
        <v>0</v>
      </c>
      <c r="AE128" s="16">
        <f t="shared" si="75"/>
        <v>0</v>
      </c>
      <c r="AF128" s="16">
        <f t="shared" si="75"/>
        <v>0.39589365388560099</v>
      </c>
      <c r="AG128" s="16">
        <f t="shared" si="75"/>
        <v>0.2177791923171748</v>
      </c>
      <c r="AH128" s="16">
        <f t="shared" si="75"/>
        <v>0.38632715379722415</v>
      </c>
      <c r="AI128" s="16">
        <f t="shared" si="75"/>
        <v>0</v>
      </c>
      <c r="AJ128" s="16">
        <f t="shared" si="75"/>
        <v>0</v>
      </c>
      <c r="AK128" s="16">
        <f t="shared" si="75"/>
        <v>0</v>
      </c>
      <c r="AL128" s="16">
        <f t="shared" si="75"/>
        <v>0</v>
      </c>
      <c r="AM128" s="16">
        <f t="shared" si="75"/>
        <v>0</v>
      </c>
      <c r="AN128" s="16">
        <f t="shared" si="75"/>
        <v>0</v>
      </c>
      <c r="AO128" s="16">
        <f t="shared" si="75"/>
        <v>0</v>
      </c>
      <c r="AP128" s="16">
        <f t="shared" si="75"/>
        <v>0</v>
      </c>
      <c r="AQ128" s="16">
        <f t="shared" si="75"/>
        <v>0</v>
      </c>
      <c r="AR128" s="16">
        <f t="shared" si="75"/>
        <v>0</v>
      </c>
      <c r="AS128" s="16">
        <f t="shared" si="75"/>
        <v>0</v>
      </c>
      <c r="AT128" s="16">
        <f t="shared" si="75"/>
        <v>0</v>
      </c>
      <c r="AU128" s="16">
        <f t="shared" si="75"/>
        <v>0</v>
      </c>
      <c r="AV128" s="16">
        <f t="shared" si="75"/>
        <v>0</v>
      </c>
      <c r="AW128" s="16">
        <f t="shared" si="75"/>
        <v>0</v>
      </c>
      <c r="AX128" s="16">
        <f t="shared" si="75"/>
        <v>0</v>
      </c>
      <c r="AY128" s="16">
        <f t="shared" si="75"/>
        <v>0</v>
      </c>
      <c r="AZ128" s="16">
        <f t="shared" si="75"/>
        <v>0</v>
      </c>
      <c r="BA128" s="16">
        <f t="shared" si="75"/>
        <v>0</v>
      </c>
      <c r="BB128" s="16">
        <f t="shared" si="75"/>
        <v>0</v>
      </c>
      <c r="BC128" s="16">
        <f t="shared" si="75"/>
        <v>0</v>
      </c>
      <c r="BD128" s="16">
        <f t="shared" si="75"/>
        <v>0</v>
      </c>
      <c r="BE128" s="16">
        <f t="shared" si="75"/>
        <v>0</v>
      </c>
      <c r="BF128" s="16">
        <f t="shared" si="75"/>
        <v>0</v>
      </c>
      <c r="BG128" s="16">
        <f t="shared" si="75"/>
        <v>0</v>
      </c>
      <c r="BH128" s="16">
        <f t="shared" si="75"/>
        <v>0</v>
      </c>
      <c r="BI128" s="16">
        <f t="shared" si="75"/>
        <v>0</v>
      </c>
      <c r="BJ128" s="16">
        <f t="shared" si="75"/>
        <v>0</v>
      </c>
      <c r="BK128" s="16">
        <f t="shared" si="75"/>
        <v>0</v>
      </c>
      <c r="BL128" s="16">
        <f t="shared" si="75"/>
        <v>0</v>
      </c>
      <c r="BM128" s="16">
        <f t="shared" si="75"/>
        <v>0</v>
      </c>
      <c r="BN128" s="16">
        <f t="shared" si="75"/>
        <v>0</v>
      </c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</row>
    <row r="129" spans="6:94" customFormat="1" x14ac:dyDescent="0.25">
      <c r="F129" s="29"/>
      <c r="G129" s="29"/>
      <c r="H129" s="29"/>
      <c r="I129" s="29"/>
      <c r="J129" s="93"/>
      <c r="K129" s="1"/>
      <c r="L129" s="1"/>
      <c r="M129" s="1"/>
      <c r="N129" s="1"/>
      <c r="O129" s="9">
        <f t="shared" si="72"/>
        <v>32</v>
      </c>
      <c r="P129" s="16">
        <f t="shared" si="71"/>
        <v>0</v>
      </c>
      <c r="Q129" s="16">
        <f t="shared" si="75"/>
        <v>0</v>
      </c>
      <c r="R129" s="16">
        <f t="shared" si="75"/>
        <v>0</v>
      </c>
      <c r="S129" s="16">
        <f t="shared" si="75"/>
        <v>0</v>
      </c>
      <c r="T129" s="16">
        <f t="shared" si="75"/>
        <v>0</v>
      </c>
      <c r="U129" s="16">
        <f t="shared" si="75"/>
        <v>0</v>
      </c>
      <c r="V129" s="16">
        <f t="shared" si="75"/>
        <v>0</v>
      </c>
      <c r="W129" s="16">
        <f t="shared" si="75"/>
        <v>0</v>
      </c>
      <c r="X129" s="16">
        <f t="shared" si="75"/>
        <v>0</v>
      </c>
      <c r="Y129" s="16">
        <f t="shared" si="75"/>
        <v>0</v>
      </c>
      <c r="Z129" s="16">
        <f t="shared" si="75"/>
        <v>0</v>
      </c>
      <c r="AA129" s="16">
        <f t="shared" si="75"/>
        <v>0</v>
      </c>
      <c r="AB129" s="16">
        <f t="shared" si="75"/>
        <v>0</v>
      </c>
      <c r="AC129" s="16">
        <f t="shared" si="75"/>
        <v>0</v>
      </c>
      <c r="AD129" s="16">
        <f t="shared" si="75"/>
        <v>0</v>
      </c>
      <c r="AE129" s="16">
        <f t="shared" si="75"/>
        <v>0</v>
      </c>
      <c r="AF129" s="16">
        <f t="shared" si="75"/>
        <v>0</v>
      </c>
      <c r="AG129" s="16">
        <f t="shared" si="75"/>
        <v>0.54647643795701051</v>
      </c>
      <c r="AH129" s="16">
        <f t="shared" si="75"/>
        <v>-8.1780516431666506E-2</v>
      </c>
      <c r="AI129" s="16">
        <f t="shared" si="75"/>
        <v>0.535304078474656</v>
      </c>
      <c r="AJ129" s="16">
        <f t="shared" si="75"/>
        <v>0</v>
      </c>
      <c r="AK129" s="16">
        <f t="shared" si="75"/>
        <v>0</v>
      </c>
      <c r="AL129" s="16">
        <f t="shared" si="75"/>
        <v>0</v>
      </c>
      <c r="AM129" s="16">
        <f t="shared" si="75"/>
        <v>0</v>
      </c>
      <c r="AN129" s="16">
        <f t="shared" si="75"/>
        <v>0</v>
      </c>
      <c r="AO129" s="16">
        <f t="shared" si="75"/>
        <v>0</v>
      </c>
      <c r="AP129" s="16">
        <f t="shared" si="75"/>
        <v>0</v>
      </c>
      <c r="AQ129" s="16">
        <f t="shared" si="75"/>
        <v>0</v>
      </c>
      <c r="AR129" s="16">
        <f t="shared" si="75"/>
        <v>0</v>
      </c>
      <c r="AS129" s="16">
        <f t="shared" si="75"/>
        <v>0</v>
      </c>
      <c r="AT129" s="16">
        <f t="shared" si="75"/>
        <v>0</v>
      </c>
      <c r="AU129" s="16">
        <f t="shared" si="75"/>
        <v>0</v>
      </c>
      <c r="AV129" s="16">
        <f t="shared" si="75"/>
        <v>0</v>
      </c>
      <c r="AW129" s="16">
        <f t="shared" si="75"/>
        <v>0</v>
      </c>
      <c r="AX129" s="16">
        <f t="shared" si="75"/>
        <v>0</v>
      </c>
      <c r="AY129" s="16">
        <f t="shared" si="75"/>
        <v>0</v>
      </c>
      <c r="AZ129" s="16">
        <f t="shared" si="75"/>
        <v>0</v>
      </c>
      <c r="BA129" s="16">
        <f t="shared" si="75"/>
        <v>0</v>
      </c>
      <c r="BB129" s="16">
        <f t="shared" si="75"/>
        <v>0</v>
      </c>
      <c r="BC129" s="16">
        <f t="shared" si="75"/>
        <v>0</v>
      </c>
      <c r="BD129" s="16">
        <f t="shared" si="75"/>
        <v>0</v>
      </c>
      <c r="BE129" s="16">
        <f t="shared" si="75"/>
        <v>0</v>
      </c>
      <c r="BF129" s="16">
        <f t="shared" si="75"/>
        <v>0</v>
      </c>
      <c r="BG129" s="16">
        <f t="shared" si="75"/>
        <v>0</v>
      </c>
      <c r="BH129" s="16">
        <f t="shared" si="75"/>
        <v>0</v>
      </c>
      <c r="BI129" s="16">
        <f t="shared" si="75"/>
        <v>0</v>
      </c>
      <c r="BJ129" s="16">
        <f t="shared" si="75"/>
        <v>0</v>
      </c>
      <c r="BK129" s="16">
        <f t="shared" si="75"/>
        <v>0</v>
      </c>
      <c r="BL129" s="16">
        <f t="shared" si="75"/>
        <v>0</v>
      </c>
      <c r="BM129" s="16">
        <f t="shared" si="75"/>
        <v>0</v>
      </c>
      <c r="BN129" s="16">
        <f t="shared" si="75"/>
        <v>0</v>
      </c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</row>
    <row r="130" spans="6:94" customFormat="1" x14ac:dyDescent="0.25">
      <c r="F130" s="29"/>
      <c r="G130" s="29"/>
      <c r="H130" s="29"/>
      <c r="I130" s="29"/>
      <c r="J130" s="93"/>
      <c r="K130" s="1"/>
      <c r="L130" s="1"/>
      <c r="M130" s="1"/>
      <c r="N130" s="1"/>
      <c r="O130" s="9">
        <f t="shared" si="72"/>
        <v>31</v>
      </c>
      <c r="P130" s="16">
        <f t="shared" si="71"/>
        <v>0</v>
      </c>
      <c r="Q130" s="16">
        <f t="shared" si="75"/>
        <v>0</v>
      </c>
      <c r="R130" s="16">
        <f t="shared" si="75"/>
        <v>0</v>
      </c>
      <c r="S130" s="16">
        <f t="shared" si="75"/>
        <v>0</v>
      </c>
      <c r="T130" s="16">
        <f t="shared" si="75"/>
        <v>0</v>
      </c>
      <c r="U130" s="16">
        <f t="shared" si="75"/>
        <v>0</v>
      </c>
      <c r="V130" s="16">
        <f t="shared" si="75"/>
        <v>0</v>
      </c>
      <c r="W130" s="16">
        <f t="shared" si="75"/>
        <v>0</v>
      </c>
      <c r="X130" s="16">
        <f t="shared" si="75"/>
        <v>0</v>
      </c>
      <c r="Y130" s="16">
        <f t="shared" si="75"/>
        <v>0</v>
      </c>
      <c r="Z130" s="16">
        <f t="shared" si="75"/>
        <v>0</v>
      </c>
      <c r="AA130" s="16">
        <f t="shared" si="75"/>
        <v>0</v>
      </c>
      <c r="AB130" s="16">
        <f t="shared" si="75"/>
        <v>0</v>
      </c>
      <c r="AC130" s="16">
        <f t="shared" si="75"/>
        <v>0</v>
      </c>
      <c r="AD130" s="16">
        <f t="shared" si="75"/>
        <v>0</v>
      </c>
      <c r="AE130" s="16">
        <f t="shared" si="75"/>
        <v>0</v>
      </c>
      <c r="AF130" s="16">
        <f t="shared" si="75"/>
        <v>0</v>
      </c>
      <c r="AG130" s="16">
        <f t="shared" si="75"/>
        <v>0</v>
      </c>
      <c r="AH130" s="16">
        <f t="shared" si="75"/>
        <v>0.598696929523306</v>
      </c>
      <c r="AI130" s="16">
        <f t="shared" si="75"/>
        <v>-0.18566460478072044</v>
      </c>
      <c r="AJ130" s="16">
        <f t="shared" si="75"/>
        <v>0.58696767525741445</v>
      </c>
      <c r="AK130" s="16">
        <f t="shared" si="75"/>
        <v>0</v>
      </c>
      <c r="AL130" s="16">
        <f t="shared" si="75"/>
        <v>0</v>
      </c>
      <c r="AM130" s="16">
        <f t="shared" si="75"/>
        <v>0</v>
      </c>
      <c r="AN130" s="16">
        <f t="shared" si="75"/>
        <v>0</v>
      </c>
      <c r="AO130" s="16">
        <f t="shared" si="75"/>
        <v>0</v>
      </c>
      <c r="AP130" s="16">
        <f t="shared" si="75"/>
        <v>0</v>
      </c>
      <c r="AQ130" s="16">
        <f t="shared" si="75"/>
        <v>0</v>
      </c>
      <c r="AR130" s="16">
        <f t="shared" si="75"/>
        <v>0</v>
      </c>
      <c r="AS130" s="16">
        <f t="shared" si="75"/>
        <v>0</v>
      </c>
      <c r="AT130" s="16">
        <f t="shared" si="75"/>
        <v>0</v>
      </c>
      <c r="AU130" s="16">
        <f t="shared" si="75"/>
        <v>0</v>
      </c>
      <c r="AV130" s="16">
        <f t="shared" si="75"/>
        <v>0</v>
      </c>
      <c r="AW130" s="16">
        <f t="shared" si="75"/>
        <v>0</v>
      </c>
      <c r="AX130" s="16">
        <f t="shared" si="75"/>
        <v>0</v>
      </c>
      <c r="AY130" s="16">
        <f t="shared" si="75"/>
        <v>0</v>
      </c>
      <c r="AZ130" s="16">
        <f t="shared" si="75"/>
        <v>0</v>
      </c>
      <c r="BA130" s="16">
        <f t="shared" si="75"/>
        <v>0</v>
      </c>
      <c r="BB130" s="16">
        <f t="shared" si="75"/>
        <v>0</v>
      </c>
      <c r="BC130" s="16">
        <f t="shared" si="75"/>
        <v>0</v>
      </c>
      <c r="BD130" s="16">
        <f t="shared" si="75"/>
        <v>0</v>
      </c>
      <c r="BE130" s="16">
        <f t="shared" si="75"/>
        <v>0</v>
      </c>
      <c r="BF130" s="16">
        <f t="shared" si="75"/>
        <v>0</v>
      </c>
      <c r="BG130" s="16">
        <f t="shared" si="75"/>
        <v>0</v>
      </c>
      <c r="BH130" s="16">
        <f t="shared" si="75"/>
        <v>0</v>
      </c>
      <c r="BI130" s="16">
        <f t="shared" si="75"/>
        <v>0</v>
      </c>
      <c r="BJ130" s="16">
        <f t="shared" si="75"/>
        <v>0</v>
      </c>
      <c r="BK130" s="16">
        <f t="shared" si="75"/>
        <v>0</v>
      </c>
      <c r="BL130" s="16">
        <f t="shared" si="75"/>
        <v>0</v>
      </c>
      <c r="BM130" s="16">
        <f t="shared" si="75"/>
        <v>0</v>
      </c>
      <c r="BN130" s="16">
        <f t="shared" si="75"/>
        <v>0</v>
      </c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</row>
    <row r="131" spans="6:94" customFormat="1" x14ac:dyDescent="0.25">
      <c r="F131" s="29"/>
      <c r="G131" s="29"/>
      <c r="H131" s="29"/>
      <c r="I131" s="29"/>
      <c r="J131" s="93"/>
      <c r="K131" s="1"/>
      <c r="L131" s="1"/>
      <c r="M131" s="1"/>
      <c r="N131" s="1"/>
      <c r="O131" s="9">
        <f t="shared" si="72"/>
        <v>30</v>
      </c>
      <c r="P131" s="16">
        <f t="shared" si="71"/>
        <v>0</v>
      </c>
      <c r="Q131" s="16">
        <f t="shared" si="75"/>
        <v>0</v>
      </c>
      <c r="R131" s="16">
        <f t="shared" si="75"/>
        <v>0</v>
      </c>
      <c r="S131" s="16">
        <f t="shared" si="75"/>
        <v>0</v>
      </c>
      <c r="T131" s="16">
        <f t="shared" si="75"/>
        <v>0</v>
      </c>
      <c r="U131" s="16">
        <f t="shared" si="75"/>
        <v>0</v>
      </c>
      <c r="V131" s="16">
        <f t="shared" si="75"/>
        <v>0</v>
      </c>
      <c r="W131" s="16">
        <f t="shared" si="75"/>
        <v>0</v>
      </c>
      <c r="X131" s="16">
        <f t="shared" si="75"/>
        <v>0</v>
      </c>
      <c r="Y131" s="16">
        <f t="shared" si="75"/>
        <v>0</v>
      </c>
      <c r="Z131" s="16">
        <f t="shared" si="75"/>
        <v>0</v>
      </c>
      <c r="AA131" s="16">
        <f t="shared" si="75"/>
        <v>0</v>
      </c>
      <c r="AB131" s="16">
        <f t="shared" si="75"/>
        <v>0</v>
      </c>
      <c r="AC131" s="16">
        <f t="shared" si="75"/>
        <v>0</v>
      </c>
      <c r="AD131" s="16">
        <f t="shared" si="75"/>
        <v>0</v>
      </c>
      <c r="AE131" s="16">
        <f t="shared" si="75"/>
        <v>0</v>
      </c>
      <c r="AF131" s="16">
        <f t="shared" si="75"/>
        <v>0</v>
      </c>
      <c r="AG131" s="16">
        <f t="shared" si="75"/>
        <v>0</v>
      </c>
      <c r="AH131" s="16">
        <f t="shared" si="75"/>
        <v>0</v>
      </c>
      <c r="AI131" s="16">
        <f t="shared" si="75"/>
        <v>0.60760098184922329</v>
      </c>
      <c r="AJ131" s="16">
        <f t="shared" si="75"/>
        <v>-0.20337775398223434</v>
      </c>
      <c r="AK131" s="16">
        <f t="shared" si="75"/>
        <v>0.59577677213301117</v>
      </c>
      <c r="AL131" s="16">
        <f t="shared" si="75"/>
        <v>0</v>
      </c>
      <c r="AM131" s="16">
        <f t="shared" si="75"/>
        <v>0</v>
      </c>
      <c r="AN131" s="16">
        <f t="shared" si="75"/>
        <v>0</v>
      </c>
      <c r="AO131" s="16">
        <f t="shared" si="75"/>
        <v>0</v>
      </c>
      <c r="AP131" s="16">
        <f t="shared" si="75"/>
        <v>0</v>
      </c>
      <c r="AQ131" s="16">
        <f t="shared" si="75"/>
        <v>0</v>
      </c>
      <c r="AR131" s="16">
        <f t="shared" si="75"/>
        <v>0</v>
      </c>
      <c r="AS131" s="16">
        <f t="shared" si="75"/>
        <v>0</v>
      </c>
      <c r="AT131" s="16">
        <f t="shared" si="75"/>
        <v>0</v>
      </c>
      <c r="AU131" s="16">
        <f t="shared" si="75"/>
        <v>0</v>
      </c>
      <c r="AV131" s="16">
        <f t="shared" si="75"/>
        <v>0</v>
      </c>
      <c r="AW131" s="16">
        <f t="shared" si="75"/>
        <v>0</v>
      </c>
      <c r="AX131" s="16">
        <f t="shared" si="75"/>
        <v>0</v>
      </c>
      <c r="AY131" s="16">
        <f t="shared" si="75"/>
        <v>0</v>
      </c>
      <c r="AZ131" s="16">
        <f t="shared" ref="Q131:BN136" si="76">IF(AZ$110=$O131,AZ$108*HLOOKUP($O131,$O$14:$BN$48,AZ$107,0)+1,IF(AZ$110-$O131=1,AZ$108*HLOOKUP($O131,$O$11:$BN$28,AZ$107,0),IF(AZ$110-$O131=-1,AZ$108*HLOOKUP($O131,$O$17:$BN$68,AZ$107,0),0)))</f>
        <v>0</v>
      </c>
      <c r="BA131" s="16">
        <f t="shared" si="76"/>
        <v>0</v>
      </c>
      <c r="BB131" s="16">
        <f t="shared" si="76"/>
        <v>0</v>
      </c>
      <c r="BC131" s="16">
        <f t="shared" si="76"/>
        <v>0</v>
      </c>
      <c r="BD131" s="16">
        <f t="shared" si="76"/>
        <v>0</v>
      </c>
      <c r="BE131" s="16">
        <f t="shared" si="76"/>
        <v>0</v>
      </c>
      <c r="BF131" s="16">
        <f t="shared" si="76"/>
        <v>0</v>
      </c>
      <c r="BG131" s="16">
        <f t="shared" si="76"/>
        <v>0</v>
      </c>
      <c r="BH131" s="16">
        <f t="shared" si="76"/>
        <v>0</v>
      </c>
      <c r="BI131" s="16">
        <f t="shared" si="76"/>
        <v>0</v>
      </c>
      <c r="BJ131" s="16">
        <f t="shared" si="76"/>
        <v>0</v>
      </c>
      <c r="BK131" s="16">
        <f t="shared" si="76"/>
        <v>0</v>
      </c>
      <c r="BL131" s="16">
        <f t="shared" si="76"/>
        <v>0</v>
      </c>
      <c r="BM131" s="16">
        <f t="shared" si="76"/>
        <v>0</v>
      </c>
      <c r="BN131" s="16">
        <f t="shared" si="76"/>
        <v>0</v>
      </c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</row>
    <row r="132" spans="6:94" customFormat="1" x14ac:dyDescent="0.25">
      <c r="F132" s="29"/>
      <c r="G132" s="29"/>
      <c r="H132" s="29"/>
      <c r="I132" s="29"/>
      <c r="J132" s="93"/>
      <c r="K132" s="1"/>
      <c r="L132" s="29"/>
      <c r="M132" s="1"/>
      <c r="N132" s="29"/>
      <c r="O132" s="9">
        <f t="shared" si="72"/>
        <v>29</v>
      </c>
      <c r="P132" s="16">
        <f t="shared" si="71"/>
        <v>0</v>
      </c>
      <c r="Q132" s="16">
        <f t="shared" si="76"/>
        <v>0</v>
      </c>
      <c r="R132" s="16">
        <f t="shared" si="76"/>
        <v>0</v>
      </c>
      <c r="S132" s="16">
        <f t="shared" si="76"/>
        <v>0</v>
      </c>
      <c r="T132" s="16">
        <f t="shared" si="76"/>
        <v>0</v>
      </c>
      <c r="U132" s="16">
        <f t="shared" si="76"/>
        <v>0</v>
      </c>
      <c r="V132" s="16">
        <f t="shared" si="76"/>
        <v>0</v>
      </c>
      <c r="W132" s="16">
        <f t="shared" si="76"/>
        <v>0</v>
      </c>
      <c r="X132" s="16">
        <f t="shared" si="76"/>
        <v>0</v>
      </c>
      <c r="Y132" s="16">
        <f t="shared" si="76"/>
        <v>0</v>
      </c>
      <c r="Z132" s="16">
        <f t="shared" si="76"/>
        <v>0</v>
      </c>
      <c r="AA132" s="16">
        <f t="shared" si="76"/>
        <v>0</v>
      </c>
      <c r="AB132" s="16">
        <f t="shared" si="76"/>
        <v>0</v>
      </c>
      <c r="AC132" s="16">
        <f t="shared" si="76"/>
        <v>0</v>
      </c>
      <c r="AD132" s="16">
        <f t="shared" si="76"/>
        <v>0</v>
      </c>
      <c r="AE132" s="16">
        <f t="shared" si="76"/>
        <v>0</v>
      </c>
      <c r="AF132" s="16">
        <f t="shared" si="76"/>
        <v>0</v>
      </c>
      <c r="AG132" s="16">
        <f t="shared" si="76"/>
        <v>0</v>
      </c>
      <c r="AH132" s="16">
        <f t="shared" si="76"/>
        <v>0</v>
      </c>
      <c r="AI132" s="16">
        <f t="shared" si="76"/>
        <v>0</v>
      </c>
      <c r="AJ132" s="16">
        <f t="shared" si="76"/>
        <v>0.61657105266760059</v>
      </c>
      <c r="AK132" s="16">
        <f t="shared" si="76"/>
        <v>-0.22122223612791792</v>
      </c>
      <c r="AL132" s="16">
        <f t="shared" si="76"/>
        <v>0.60465118346031732</v>
      </c>
      <c r="AM132" s="16">
        <f t="shared" si="76"/>
        <v>0</v>
      </c>
      <c r="AN132" s="16">
        <f t="shared" si="76"/>
        <v>0</v>
      </c>
      <c r="AO132" s="16">
        <f t="shared" si="76"/>
        <v>0</v>
      </c>
      <c r="AP132" s="16">
        <f t="shared" si="76"/>
        <v>0</v>
      </c>
      <c r="AQ132" s="16">
        <f t="shared" si="76"/>
        <v>0</v>
      </c>
      <c r="AR132" s="16">
        <f t="shared" si="76"/>
        <v>0</v>
      </c>
      <c r="AS132" s="16">
        <f t="shared" si="76"/>
        <v>0</v>
      </c>
      <c r="AT132" s="16">
        <f t="shared" si="76"/>
        <v>0</v>
      </c>
      <c r="AU132" s="16">
        <f t="shared" si="76"/>
        <v>0</v>
      </c>
      <c r="AV132" s="16">
        <f t="shared" si="76"/>
        <v>0</v>
      </c>
      <c r="AW132" s="16">
        <f t="shared" si="76"/>
        <v>0</v>
      </c>
      <c r="AX132" s="16">
        <f t="shared" si="76"/>
        <v>0</v>
      </c>
      <c r="AY132" s="16">
        <f t="shared" si="76"/>
        <v>0</v>
      </c>
      <c r="AZ132" s="16">
        <f t="shared" si="76"/>
        <v>0</v>
      </c>
      <c r="BA132" s="16">
        <f t="shared" si="76"/>
        <v>0</v>
      </c>
      <c r="BB132" s="16">
        <f t="shared" si="76"/>
        <v>0</v>
      </c>
      <c r="BC132" s="16">
        <f t="shared" si="76"/>
        <v>0</v>
      </c>
      <c r="BD132" s="16">
        <f t="shared" si="76"/>
        <v>0</v>
      </c>
      <c r="BE132" s="16">
        <f t="shared" si="76"/>
        <v>0</v>
      </c>
      <c r="BF132" s="16">
        <f t="shared" si="76"/>
        <v>0</v>
      </c>
      <c r="BG132" s="16">
        <f t="shared" si="76"/>
        <v>0</v>
      </c>
      <c r="BH132" s="16">
        <f t="shared" si="76"/>
        <v>0</v>
      </c>
      <c r="BI132" s="16">
        <f t="shared" si="76"/>
        <v>0</v>
      </c>
      <c r="BJ132" s="16">
        <f t="shared" si="76"/>
        <v>0</v>
      </c>
      <c r="BK132" s="16">
        <f t="shared" si="76"/>
        <v>0</v>
      </c>
      <c r="BL132" s="16">
        <f t="shared" si="76"/>
        <v>0</v>
      </c>
      <c r="BM132" s="16">
        <f t="shared" si="76"/>
        <v>0</v>
      </c>
      <c r="BN132" s="16">
        <f t="shared" si="76"/>
        <v>0</v>
      </c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</row>
    <row r="133" spans="6:94" customFormat="1" x14ac:dyDescent="0.25">
      <c r="F133" s="29"/>
      <c r="G133" s="29"/>
      <c r="H133" s="29"/>
      <c r="I133" s="29"/>
      <c r="J133" s="93"/>
      <c r="K133" s="1"/>
      <c r="L133" s="29"/>
      <c r="M133" s="1"/>
      <c r="N133" s="29"/>
      <c r="O133" s="9">
        <f t="shared" si="72"/>
        <v>28</v>
      </c>
      <c r="P133" s="16">
        <f t="shared" si="71"/>
        <v>0</v>
      </c>
      <c r="Q133" s="16">
        <f t="shared" si="76"/>
        <v>0</v>
      </c>
      <c r="R133" s="16">
        <f t="shared" si="76"/>
        <v>0</v>
      </c>
      <c r="S133" s="16">
        <f t="shared" si="76"/>
        <v>0</v>
      </c>
      <c r="T133" s="16">
        <f t="shared" si="76"/>
        <v>0</v>
      </c>
      <c r="U133" s="16">
        <f t="shared" si="76"/>
        <v>0</v>
      </c>
      <c r="V133" s="16">
        <f t="shared" si="76"/>
        <v>0</v>
      </c>
      <c r="W133" s="16">
        <f t="shared" si="76"/>
        <v>0</v>
      </c>
      <c r="X133" s="16">
        <f t="shared" si="76"/>
        <v>0</v>
      </c>
      <c r="Y133" s="16">
        <f t="shared" si="76"/>
        <v>0</v>
      </c>
      <c r="Z133" s="16">
        <f t="shared" si="76"/>
        <v>0</v>
      </c>
      <c r="AA133" s="16">
        <f t="shared" si="76"/>
        <v>0</v>
      </c>
      <c r="AB133" s="16">
        <f t="shared" si="76"/>
        <v>0</v>
      </c>
      <c r="AC133" s="16">
        <f t="shared" si="76"/>
        <v>0</v>
      </c>
      <c r="AD133" s="16">
        <f t="shared" si="76"/>
        <v>0</v>
      </c>
      <c r="AE133" s="16">
        <f t="shared" si="76"/>
        <v>0</v>
      </c>
      <c r="AF133" s="16">
        <f t="shared" si="76"/>
        <v>0</v>
      </c>
      <c r="AG133" s="16">
        <f t="shared" si="76"/>
        <v>0</v>
      </c>
      <c r="AH133" s="16">
        <f t="shared" si="76"/>
        <v>0</v>
      </c>
      <c r="AI133" s="16">
        <f t="shared" si="76"/>
        <v>0</v>
      </c>
      <c r="AJ133" s="16">
        <f t="shared" si="76"/>
        <v>0</v>
      </c>
      <c r="AK133" s="16">
        <f t="shared" si="76"/>
        <v>0.61440914331718421</v>
      </c>
      <c r="AL133" s="16">
        <f t="shared" si="76"/>
        <v>-0.21692147266849715</v>
      </c>
      <c r="AM133" s="16">
        <f t="shared" si="76"/>
        <v>0.60251232935131305</v>
      </c>
      <c r="AN133" s="16">
        <f t="shared" si="76"/>
        <v>0</v>
      </c>
      <c r="AO133" s="16">
        <f t="shared" si="76"/>
        <v>0</v>
      </c>
      <c r="AP133" s="16">
        <f t="shared" si="76"/>
        <v>0</v>
      </c>
      <c r="AQ133" s="16">
        <f t="shared" si="76"/>
        <v>0</v>
      </c>
      <c r="AR133" s="16">
        <f t="shared" si="76"/>
        <v>0</v>
      </c>
      <c r="AS133" s="16">
        <f t="shared" si="76"/>
        <v>0</v>
      </c>
      <c r="AT133" s="16">
        <f t="shared" si="76"/>
        <v>0</v>
      </c>
      <c r="AU133" s="16">
        <f t="shared" si="76"/>
        <v>0</v>
      </c>
      <c r="AV133" s="16">
        <f t="shared" si="76"/>
        <v>0</v>
      </c>
      <c r="AW133" s="16">
        <f t="shared" si="76"/>
        <v>0</v>
      </c>
      <c r="AX133" s="16">
        <f t="shared" si="76"/>
        <v>0</v>
      </c>
      <c r="AY133" s="16">
        <f t="shared" si="76"/>
        <v>0</v>
      </c>
      <c r="AZ133" s="16">
        <f t="shared" si="76"/>
        <v>0</v>
      </c>
      <c r="BA133" s="16">
        <f t="shared" si="76"/>
        <v>0</v>
      </c>
      <c r="BB133" s="16">
        <f t="shared" si="76"/>
        <v>0</v>
      </c>
      <c r="BC133" s="16">
        <f t="shared" si="76"/>
        <v>0</v>
      </c>
      <c r="BD133" s="16">
        <f t="shared" si="76"/>
        <v>0</v>
      </c>
      <c r="BE133" s="16">
        <f t="shared" si="76"/>
        <v>0</v>
      </c>
      <c r="BF133" s="16">
        <f t="shared" si="76"/>
        <v>0</v>
      </c>
      <c r="BG133" s="16">
        <f t="shared" si="76"/>
        <v>0</v>
      </c>
      <c r="BH133" s="16">
        <f t="shared" si="76"/>
        <v>0</v>
      </c>
      <c r="BI133" s="16">
        <f t="shared" si="76"/>
        <v>0</v>
      </c>
      <c r="BJ133" s="16">
        <f t="shared" si="76"/>
        <v>0</v>
      </c>
      <c r="BK133" s="16">
        <f t="shared" si="76"/>
        <v>0</v>
      </c>
      <c r="BL133" s="16">
        <f t="shared" si="76"/>
        <v>0</v>
      </c>
      <c r="BM133" s="16">
        <f t="shared" si="76"/>
        <v>0</v>
      </c>
      <c r="BN133" s="16">
        <f t="shared" si="76"/>
        <v>0</v>
      </c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</row>
    <row r="134" spans="6:94" customFormat="1" x14ac:dyDescent="0.25">
      <c r="F134" s="29"/>
      <c r="G134" s="29"/>
      <c r="H134" s="29"/>
      <c r="I134" s="29"/>
      <c r="J134" s="93"/>
      <c r="K134" s="1"/>
      <c r="L134" s="29"/>
      <c r="M134" s="1"/>
      <c r="N134" s="29"/>
      <c r="O134" s="9">
        <f t="shared" si="72"/>
        <v>27</v>
      </c>
      <c r="P134" s="16">
        <f t="shared" si="71"/>
        <v>0</v>
      </c>
      <c r="Q134" s="16">
        <f t="shared" si="76"/>
        <v>0</v>
      </c>
      <c r="R134" s="16">
        <f t="shared" si="76"/>
        <v>0</v>
      </c>
      <c r="S134" s="16">
        <f t="shared" si="76"/>
        <v>0</v>
      </c>
      <c r="T134" s="16">
        <f t="shared" si="76"/>
        <v>0</v>
      </c>
      <c r="U134" s="16">
        <f t="shared" si="76"/>
        <v>0</v>
      </c>
      <c r="V134" s="16">
        <f t="shared" si="76"/>
        <v>0</v>
      </c>
      <c r="W134" s="16">
        <f t="shared" si="76"/>
        <v>0</v>
      </c>
      <c r="X134" s="16">
        <f t="shared" si="76"/>
        <v>0</v>
      </c>
      <c r="Y134" s="16">
        <f t="shared" si="76"/>
        <v>0</v>
      </c>
      <c r="Z134" s="16">
        <f t="shared" si="76"/>
        <v>0</v>
      </c>
      <c r="AA134" s="16">
        <f t="shared" si="76"/>
        <v>0</v>
      </c>
      <c r="AB134" s="16">
        <f t="shared" si="76"/>
        <v>0</v>
      </c>
      <c r="AC134" s="16">
        <f t="shared" si="76"/>
        <v>0</v>
      </c>
      <c r="AD134" s="16">
        <f t="shared" si="76"/>
        <v>0</v>
      </c>
      <c r="AE134" s="16">
        <f t="shared" si="76"/>
        <v>0</v>
      </c>
      <c r="AF134" s="16">
        <f t="shared" si="76"/>
        <v>0</v>
      </c>
      <c r="AG134" s="16">
        <f t="shared" si="76"/>
        <v>0</v>
      </c>
      <c r="AH134" s="16">
        <f t="shared" si="76"/>
        <v>0</v>
      </c>
      <c r="AI134" s="16">
        <f t="shared" si="76"/>
        <v>0</v>
      </c>
      <c r="AJ134" s="16">
        <f t="shared" si="76"/>
        <v>0</v>
      </c>
      <c r="AK134" s="16">
        <f t="shared" si="76"/>
        <v>0</v>
      </c>
      <c r="AL134" s="16">
        <f t="shared" si="76"/>
        <v>0.58183876650139488</v>
      </c>
      <c r="AM134" s="16">
        <f t="shared" si="76"/>
        <v>-0.15212805917873884</v>
      </c>
      <c r="AN134" s="16">
        <f t="shared" si="76"/>
        <v>0.57028929267734396</v>
      </c>
      <c r="AO134" s="16">
        <f t="shared" si="76"/>
        <v>0</v>
      </c>
      <c r="AP134" s="16">
        <f t="shared" si="76"/>
        <v>0</v>
      </c>
      <c r="AQ134" s="16">
        <f t="shared" si="76"/>
        <v>0</v>
      </c>
      <c r="AR134" s="16">
        <f t="shared" si="76"/>
        <v>0</v>
      </c>
      <c r="AS134" s="16">
        <f t="shared" si="76"/>
        <v>0</v>
      </c>
      <c r="AT134" s="16">
        <f t="shared" si="76"/>
        <v>0</v>
      </c>
      <c r="AU134" s="16">
        <f t="shared" si="76"/>
        <v>0</v>
      </c>
      <c r="AV134" s="16">
        <f t="shared" si="76"/>
        <v>0</v>
      </c>
      <c r="AW134" s="16">
        <f t="shared" si="76"/>
        <v>0</v>
      </c>
      <c r="AX134" s="16">
        <f t="shared" si="76"/>
        <v>0</v>
      </c>
      <c r="AY134" s="16">
        <f t="shared" si="76"/>
        <v>0</v>
      </c>
      <c r="AZ134" s="16">
        <f t="shared" si="76"/>
        <v>0</v>
      </c>
      <c r="BA134" s="16">
        <f t="shared" si="76"/>
        <v>0</v>
      </c>
      <c r="BB134" s="16">
        <f t="shared" si="76"/>
        <v>0</v>
      </c>
      <c r="BC134" s="16">
        <f t="shared" si="76"/>
        <v>0</v>
      </c>
      <c r="BD134" s="16">
        <f t="shared" si="76"/>
        <v>0</v>
      </c>
      <c r="BE134" s="16">
        <f t="shared" si="76"/>
        <v>0</v>
      </c>
      <c r="BF134" s="16">
        <f t="shared" si="76"/>
        <v>0</v>
      </c>
      <c r="BG134" s="16">
        <f t="shared" si="76"/>
        <v>0</v>
      </c>
      <c r="BH134" s="16">
        <f t="shared" si="76"/>
        <v>0</v>
      </c>
      <c r="BI134" s="16">
        <f t="shared" si="76"/>
        <v>0</v>
      </c>
      <c r="BJ134" s="16">
        <f t="shared" si="76"/>
        <v>0</v>
      </c>
      <c r="BK134" s="16">
        <f t="shared" si="76"/>
        <v>0</v>
      </c>
      <c r="BL134" s="16">
        <f t="shared" si="76"/>
        <v>0</v>
      </c>
      <c r="BM134" s="16">
        <f t="shared" si="76"/>
        <v>0</v>
      </c>
      <c r="BN134" s="16">
        <f t="shared" si="76"/>
        <v>0</v>
      </c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</row>
    <row r="135" spans="6:94" customFormat="1" x14ac:dyDescent="0.25">
      <c r="F135" s="29"/>
      <c r="G135" s="29"/>
      <c r="H135" s="29"/>
      <c r="I135" s="29"/>
      <c r="J135" s="93"/>
      <c r="K135" s="1"/>
      <c r="L135" s="29"/>
      <c r="M135" s="1"/>
      <c r="N135" s="29"/>
      <c r="O135" s="9">
        <f t="shared" si="72"/>
        <v>26</v>
      </c>
      <c r="P135" s="16">
        <f t="shared" si="71"/>
        <v>0</v>
      </c>
      <c r="Q135" s="16">
        <f t="shared" si="76"/>
        <v>0</v>
      </c>
      <c r="R135" s="16">
        <f t="shared" si="76"/>
        <v>0</v>
      </c>
      <c r="S135" s="16">
        <f t="shared" si="76"/>
        <v>0</v>
      </c>
      <c r="T135" s="16">
        <f t="shared" si="76"/>
        <v>0</v>
      </c>
      <c r="U135" s="16">
        <f t="shared" si="76"/>
        <v>0</v>
      </c>
      <c r="V135" s="16">
        <f t="shared" si="76"/>
        <v>0</v>
      </c>
      <c r="W135" s="16">
        <f t="shared" si="76"/>
        <v>0</v>
      </c>
      <c r="X135" s="16">
        <f t="shared" si="76"/>
        <v>0</v>
      </c>
      <c r="Y135" s="16">
        <f t="shared" si="76"/>
        <v>0</v>
      </c>
      <c r="Z135" s="16">
        <f t="shared" si="76"/>
        <v>0</v>
      </c>
      <c r="AA135" s="16">
        <f t="shared" si="76"/>
        <v>0</v>
      </c>
      <c r="AB135" s="16">
        <f t="shared" si="76"/>
        <v>0</v>
      </c>
      <c r="AC135" s="16">
        <f t="shared" si="76"/>
        <v>0</v>
      </c>
      <c r="AD135" s="16">
        <f t="shared" si="76"/>
        <v>0</v>
      </c>
      <c r="AE135" s="16">
        <f t="shared" si="76"/>
        <v>0</v>
      </c>
      <c r="AF135" s="16">
        <f t="shared" si="76"/>
        <v>0</v>
      </c>
      <c r="AG135" s="16">
        <f t="shared" si="76"/>
        <v>0</v>
      </c>
      <c r="AH135" s="16">
        <f t="shared" si="76"/>
        <v>0</v>
      </c>
      <c r="AI135" s="16">
        <f t="shared" si="76"/>
        <v>0</v>
      </c>
      <c r="AJ135" s="16">
        <f t="shared" si="76"/>
        <v>0</v>
      </c>
      <c r="AK135" s="16">
        <f t="shared" si="76"/>
        <v>0</v>
      </c>
      <c r="AL135" s="16">
        <f t="shared" si="76"/>
        <v>0</v>
      </c>
      <c r="AM135" s="16">
        <f t="shared" si="76"/>
        <v>0.55015935488379131</v>
      </c>
      <c r="AN135" s="16">
        <f t="shared" si="76"/>
        <v>-8.9107074568680611E-2</v>
      </c>
      <c r="AO135" s="16">
        <f t="shared" si="76"/>
        <v>0.53894771968488941</v>
      </c>
      <c r="AP135" s="16">
        <f t="shared" si="76"/>
        <v>0</v>
      </c>
      <c r="AQ135" s="16">
        <f t="shared" si="76"/>
        <v>0</v>
      </c>
      <c r="AR135" s="16">
        <f t="shared" si="76"/>
        <v>0</v>
      </c>
      <c r="AS135" s="16">
        <f t="shared" si="76"/>
        <v>0</v>
      </c>
      <c r="AT135" s="16">
        <f t="shared" si="76"/>
        <v>0</v>
      </c>
      <c r="AU135" s="16">
        <f t="shared" si="76"/>
        <v>0</v>
      </c>
      <c r="AV135" s="16">
        <f t="shared" si="76"/>
        <v>0</v>
      </c>
      <c r="AW135" s="16">
        <f t="shared" si="76"/>
        <v>0</v>
      </c>
      <c r="AX135" s="16">
        <f t="shared" si="76"/>
        <v>0</v>
      </c>
      <c r="AY135" s="16">
        <f t="shared" si="76"/>
        <v>0</v>
      </c>
      <c r="AZ135" s="16">
        <f t="shared" si="76"/>
        <v>0</v>
      </c>
      <c r="BA135" s="16">
        <f t="shared" si="76"/>
        <v>0</v>
      </c>
      <c r="BB135" s="16">
        <f t="shared" si="76"/>
        <v>0</v>
      </c>
      <c r="BC135" s="16">
        <f t="shared" si="76"/>
        <v>0</v>
      </c>
      <c r="BD135" s="16">
        <f t="shared" si="76"/>
        <v>0</v>
      </c>
      <c r="BE135" s="16">
        <f t="shared" si="76"/>
        <v>0</v>
      </c>
      <c r="BF135" s="16">
        <f t="shared" si="76"/>
        <v>0</v>
      </c>
      <c r="BG135" s="16">
        <f t="shared" si="76"/>
        <v>0</v>
      </c>
      <c r="BH135" s="16">
        <f t="shared" si="76"/>
        <v>0</v>
      </c>
      <c r="BI135" s="16">
        <f t="shared" si="76"/>
        <v>0</v>
      </c>
      <c r="BJ135" s="16">
        <f t="shared" si="76"/>
        <v>0</v>
      </c>
      <c r="BK135" s="16">
        <f t="shared" si="76"/>
        <v>0</v>
      </c>
      <c r="BL135" s="16">
        <f t="shared" si="76"/>
        <v>0</v>
      </c>
      <c r="BM135" s="16">
        <f t="shared" si="76"/>
        <v>0</v>
      </c>
      <c r="BN135" s="16">
        <f t="shared" si="76"/>
        <v>0</v>
      </c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</row>
    <row r="136" spans="6:94" customFormat="1" x14ac:dyDescent="0.25">
      <c r="F136" s="29"/>
      <c r="G136" s="29"/>
      <c r="H136" s="29"/>
      <c r="I136" s="29"/>
      <c r="J136" s="93"/>
      <c r="K136" s="1"/>
      <c r="L136" s="29"/>
      <c r="M136" s="1"/>
      <c r="N136" s="29"/>
      <c r="O136" s="9">
        <f t="shared" si="72"/>
        <v>25</v>
      </c>
      <c r="P136" s="16">
        <f t="shared" si="71"/>
        <v>0</v>
      </c>
      <c r="Q136" s="16">
        <f t="shared" si="76"/>
        <v>0</v>
      </c>
      <c r="R136" s="16">
        <f t="shared" si="76"/>
        <v>0</v>
      </c>
      <c r="S136" s="16">
        <f t="shared" si="76"/>
        <v>0</v>
      </c>
      <c r="T136" s="16">
        <f t="shared" si="76"/>
        <v>0</v>
      </c>
      <c r="U136" s="16">
        <f t="shared" si="76"/>
        <v>0</v>
      </c>
      <c r="V136" s="16">
        <f t="shared" si="76"/>
        <v>0</v>
      </c>
      <c r="W136" s="16">
        <f t="shared" si="76"/>
        <v>0</v>
      </c>
      <c r="X136" s="16">
        <f t="shared" si="76"/>
        <v>0</v>
      </c>
      <c r="Y136" s="16">
        <f t="shared" si="76"/>
        <v>0</v>
      </c>
      <c r="Z136" s="16">
        <f t="shared" si="76"/>
        <v>0</v>
      </c>
      <c r="AA136" s="16">
        <f t="shared" si="76"/>
        <v>0</v>
      </c>
      <c r="AB136" s="16">
        <f t="shared" si="76"/>
        <v>0</v>
      </c>
      <c r="AC136" s="16">
        <f t="shared" si="76"/>
        <v>0</v>
      </c>
      <c r="AD136" s="16">
        <f t="shared" si="76"/>
        <v>0</v>
      </c>
      <c r="AE136" s="16">
        <f t="shared" si="76"/>
        <v>0</v>
      </c>
      <c r="AF136" s="16">
        <f t="shared" si="76"/>
        <v>0</v>
      </c>
      <c r="AG136" s="16">
        <f t="shared" si="76"/>
        <v>0</v>
      </c>
      <c r="AH136" s="16">
        <f t="shared" si="76"/>
        <v>0</v>
      </c>
      <c r="AI136" s="16">
        <f t="shared" si="76"/>
        <v>0</v>
      </c>
      <c r="AJ136" s="16">
        <f t="shared" si="76"/>
        <v>0</v>
      </c>
      <c r="AK136" s="16">
        <f t="shared" si="76"/>
        <v>0</v>
      </c>
      <c r="AL136" s="16">
        <f t="shared" si="76"/>
        <v>0</v>
      </c>
      <c r="AM136" s="16">
        <f t="shared" si="76"/>
        <v>0</v>
      </c>
      <c r="AN136" s="16">
        <f t="shared" si="76"/>
        <v>0.51937090846437406</v>
      </c>
      <c r="AO136" s="16">
        <f t="shared" si="76"/>
        <v>-2.7858518838324464E-2</v>
      </c>
      <c r="AP136" s="16">
        <f t="shared" si="76"/>
        <v>0.50848761037395029</v>
      </c>
      <c r="AQ136" s="16">
        <f t="shared" si="76"/>
        <v>0</v>
      </c>
      <c r="AR136" s="16">
        <f t="shared" si="76"/>
        <v>0</v>
      </c>
      <c r="AS136" s="16">
        <f t="shared" si="76"/>
        <v>0</v>
      </c>
      <c r="AT136" s="16">
        <f t="shared" si="76"/>
        <v>0</v>
      </c>
      <c r="AU136" s="16">
        <f t="shared" si="76"/>
        <v>0</v>
      </c>
      <c r="AV136" s="16">
        <f t="shared" si="76"/>
        <v>0</v>
      </c>
      <c r="AW136" s="16">
        <f t="shared" si="76"/>
        <v>0</v>
      </c>
      <c r="AX136" s="16">
        <f t="shared" si="76"/>
        <v>0</v>
      </c>
      <c r="AY136" s="16">
        <f t="shared" si="76"/>
        <v>0</v>
      </c>
      <c r="AZ136" s="16">
        <f t="shared" si="76"/>
        <v>0</v>
      </c>
      <c r="BA136" s="16">
        <f t="shared" si="76"/>
        <v>0</v>
      </c>
      <c r="BB136" s="16">
        <f t="shared" si="76"/>
        <v>0</v>
      </c>
      <c r="BC136" s="16">
        <f t="shared" si="76"/>
        <v>0</v>
      </c>
      <c r="BD136" s="16">
        <f t="shared" si="76"/>
        <v>0</v>
      </c>
      <c r="BE136" s="16">
        <f t="shared" ref="Q136:BN141" si="77">IF(BE$110=$O136,BE$108*HLOOKUP($O136,$O$14:$BN$48,BE$107,0)+1,IF(BE$110-$O136=1,BE$108*HLOOKUP($O136,$O$11:$BN$28,BE$107,0),IF(BE$110-$O136=-1,BE$108*HLOOKUP($O136,$O$17:$BN$68,BE$107,0),0)))</f>
        <v>0</v>
      </c>
      <c r="BF136" s="16">
        <f t="shared" si="77"/>
        <v>0</v>
      </c>
      <c r="BG136" s="16">
        <f t="shared" si="77"/>
        <v>0</v>
      </c>
      <c r="BH136" s="16">
        <f t="shared" si="77"/>
        <v>0</v>
      </c>
      <c r="BI136" s="16">
        <f t="shared" si="77"/>
        <v>0</v>
      </c>
      <c r="BJ136" s="16">
        <f t="shared" si="77"/>
        <v>0</v>
      </c>
      <c r="BK136" s="16">
        <f t="shared" si="77"/>
        <v>0</v>
      </c>
      <c r="BL136" s="16">
        <f t="shared" si="77"/>
        <v>0</v>
      </c>
      <c r="BM136" s="16">
        <f t="shared" si="77"/>
        <v>0</v>
      </c>
      <c r="BN136" s="16">
        <f t="shared" si="77"/>
        <v>0</v>
      </c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</row>
    <row r="137" spans="6:94" customFormat="1" x14ac:dyDescent="0.25">
      <c r="F137" s="29"/>
      <c r="G137" s="29"/>
      <c r="H137" s="29"/>
      <c r="I137" s="29"/>
      <c r="J137" s="93"/>
      <c r="K137" s="1"/>
      <c r="L137" s="29"/>
      <c r="M137" s="1"/>
      <c r="N137" s="29"/>
      <c r="O137" s="9">
        <f t="shared" si="72"/>
        <v>24</v>
      </c>
      <c r="P137" s="16">
        <f t="shared" si="71"/>
        <v>0</v>
      </c>
      <c r="Q137" s="16">
        <f t="shared" si="77"/>
        <v>0</v>
      </c>
      <c r="R137" s="16">
        <f t="shared" si="77"/>
        <v>0</v>
      </c>
      <c r="S137" s="16">
        <f t="shared" si="77"/>
        <v>0</v>
      </c>
      <c r="T137" s="16">
        <f t="shared" si="77"/>
        <v>0</v>
      </c>
      <c r="U137" s="16">
        <f t="shared" si="77"/>
        <v>0</v>
      </c>
      <c r="V137" s="16">
        <f t="shared" si="77"/>
        <v>0</v>
      </c>
      <c r="W137" s="16">
        <f t="shared" si="77"/>
        <v>0</v>
      </c>
      <c r="X137" s="16">
        <f t="shared" si="77"/>
        <v>0</v>
      </c>
      <c r="Y137" s="16">
        <f t="shared" si="77"/>
        <v>0</v>
      </c>
      <c r="Z137" s="16">
        <f t="shared" si="77"/>
        <v>0</v>
      </c>
      <c r="AA137" s="16">
        <f t="shared" si="77"/>
        <v>0</v>
      </c>
      <c r="AB137" s="16">
        <f t="shared" si="77"/>
        <v>0</v>
      </c>
      <c r="AC137" s="16">
        <f t="shared" si="77"/>
        <v>0</v>
      </c>
      <c r="AD137" s="16">
        <f t="shared" si="77"/>
        <v>0</v>
      </c>
      <c r="AE137" s="16">
        <f t="shared" si="77"/>
        <v>0</v>
      </c>
      <c r="AF137" s="16">
        <f t="shared" si="77"/>
        <v>0</v>
      </c>
      <c r="AG137" s="16">
        <f t="shared" si="77"/>
        <v>0</v>
      </c>
      <c r="AH137" s="16">
        <f t="shared" si="77"/>
        <v>0</v>
      </c>
      <c r="AI137" s="16">
        <f t="shared" si="77"/>
        <v>0</v>
      </c>
      <c r="AJ137" s="16">
        <f t="shared" si="77"/>
        <v>0</v>
      </c>
      <c r="AK137" s="16">
        <f t="shared" si="77"/>
        <v>0</v>
      </c>
      <c r="AL137" s="16">
        <f t="shared" si="77"/>
        <v>0</v>
      </c>
      <c r="AM137" s="16">
        <f t="shared" si="77"/>
        <v>0</v>
      </c>
      <c r="AN137" s="16">
        <f t="shared" si="77"/>
        <v>0</v>
      </c>
      <c r="AO137" s="16">
        <f t="shared" si="77"/>
        <v>0.58691866840817242</v>
      </c>
      <c r="AP137" s="16">
        <f t="shared" si="77"/>
        <v>-0.1622336894142995</v>
      </c>
      <c r="AQ137" s="16">
        <f t="shared" si="77"/>
        <v>0.57531502100612719</v>
      </c>
      <c r="AR137" s="16">
        <f t="shared" si="77"/>
        <v>0</v>
      </c>
      <c r="AS137" s="16">
        <f t="shared" si="77"/>
        <v>0</v>
      </c>
      <c r="AT137" s="16">
        <f t="shared" si="77"/>
        <v>0</v>
      </c>
      <c r="AU137" s="16">
        <f t="shared" si="77"/>
        <v>0</v>
      </c>
      <c r="AV137" s="16">
        <f t="shared" si="77"/>
        <v>0</v>
      </c>
      <c r="AW137" s="16">
        <f t="shared" si="77"/>
        <v>0</v>
      </c>
      <c r="AX137" s="16">
        <f t="shared" si="77"/>
        <v>0</v>
      </c>
      <c r="AY137" s="16">
        <f t="shared" si="77"/>
        <v>0</v>
      </c>
      <c r="AZ137" s="16">
        <f t="shared" si="77"/>
        <v>0</v>
      </c>
      <c r="BA137" s="16">
        <f t="shared" si="77"/>
        <v>0</v>
      </c>
      <c r="BB137" s="16">
        <f t="shared" si="77"/>
        <v>0</v>
      </c>
      <c r="BC137" s="16">
        <f t="shared" si="77"/>
        <v>0</v>
      </c>
      <c r="BD137" s="16">
        <f t="shared" si="77"/>
        <v>0</v>
      </c>
      <c r="BE137" s="16">
        <f t="shared" si="77"/>
        <v>0</v>
      </c>
      <c r="BF137" s="16">
        <f t="shared" si="77"/>
        <v>0</v>
      </c>
      <c r="BG137" s="16">
        <f t="shared" si="77"/>
        <v>0</v>
      </c>
      <c r="BH137" s="16">
        <f t="shared" si="77"/>
        <v>0</v>
      </c>
      <c r="BI137" s="16">
        <f t="shared" si="77"/>
        <v>0</v>
      </c>
      <c r="BJ137" s="16">
        <f t="shared" si="77"/>
        <v>0</v>
      </c>
      <c r="BK137" s="16">
        <f t="shared" si="77"/>
        <v>0</v>
      </c>
      <c r="BL137" s="16">
        <f t="shared" si="77"/>
        <v>0</v>
      </c>
      <c r="BM137" s="16">
        <f t="shared" si="77"/>
        <v>0</v>
      </c>
      <c r="BN137" s="16">
        <f t="shared" si="77"/>
        <v>0</v>
      </c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</row>
    <row r="138" spans="6:94" customFormat="1" x14ac:dyDescent="0.25">
      <c r="F138" s="29"/>
      <c r="G138" s="29"/>
      <c r="H138" s="29"/>
      <c r="I138" s="29"/>
      <c r="J138" s="93"/>
      <c r="K138" s="1"/>
      <c r="L138" s="29"/>
      <c r="M138" s="1"/>
      <c r="N138" s="29"/>
      <c r="O138" s="9">
        <f t="shared" si="72"/>
        <v>23</v>
      </c>
      <c r="P138" s="16">
        <f t="shared" si="71"/>
        <v>0</v>
      </c>
      <c r="Q138" s="16">
        <f t="shared" si="77"/>
        <v>0</v>
      </c>
      <c r="R138" s="16">
        <f t="shared" si="77"/>
        <v>0</v>
      </c>
      <c r="S138" s="16">
        <f t="shared" si="77"/>
        <v>0</v>
      </c>
      <c r="T138" s="16">
        <f t="shared" si="77"/>
        <v>0</v>
      </c>
      <c r="U138" s="16">
        <f t="shared" si="77"/>
        <v>0</v>
      </c>
      <c r="V138" s="16">
        <f t="shared" si="77"/>
        <v>0</v>
      </c>
      <c r="W138" s="16">
        <f t="shared" si="77"/>
        <v>0</v>
      </c>
      <c r="X138" s="16">
        <f t="shared" si="77"/>
        <v>0</v>
      </c>
      <c r="Y138" s="16">
        <f t="shared" si="77"/>
        <v>0</v>
      </c>
      <c r="Z138" s="16">
        <f t="shared" si="77"/>
        <v>0</v>
      </c>
      <c r="AA138" s="16">
        <f t="shared" si="77"/>
        <v>0</v>
      </c>
      <c r="AB138" s="16">
        <f t="shared" si="77"/>
        <v>0</v>
      </c>
      <c r="AC138" s="16">
        <f t="shared" si="77"/>
        <v>0</v>
      </c>
      <c r="AD138" s="16">
        <f t="shared" si="77"/>
        <v>0</v>
      </c>
      <c r="AE138" s="16">
        <f t="shared" si="77"/>
        <v>0</v>
      </c>
      <c r="AF138" s="16">
        <f t="shared" si="77"/>
        <v>0</v>
      </c>
      <c r="AG138" s="16">
        <f t="shared" si="77"/>
        <v>0</v>
      </c>
      <c r="AH138" s="16">
        <f t="shared" si="77"/>
        <v>0</v>
      </c>
      <c r="AI138" s="16">
        <f t="shared" si="77"/>
        <v>0</v>
      </c>
      <c r="AJ138" s="16">
        <f t="shared" si="77"/>
        <v>0</v>
      </c>
      <c r="AK138" s="16">
        <f t="shared" si="77"/>
        <v>0</v>
      </c>
      <c r="AL138" s="16">
        <f t="shared" si="77"/>
        <v>0</v>
      </c>
      <c r="AM138" s="16">
        <f t="shared" si="77"/>
        <v>0</v>
      </c>
      <c r="AN138" s="16">
        <f t="shared" si="77"/>
        <v>0</v>
      </c>
      <c r="AO138" s="16">
        <f t="shared" si="77"/>
        <v>0</v>
      </c>
      <c r="AP138" s="16">
        <f t="shared" si="77"/>
        <v>0.6847616399455918</v>
      </c>
      <c r="AQ138" s="16">
        <f t="shared" si="77"/>
        <v>-0.35687620607125825</v>
      </c>
      <c r="AR138" s="16">
        <f t="shared" si="77"/>
        <v>0.67211456612566645</v>
      </c>
      <c r="AS138" s="16">
        <f t="shared" si="77"/>
        <v>0</v>
      </c>
      <c r="AT138" s="16">
        <f t="shared" si="77"/>
        <v>0</v>
      </c>
      <c r="AU138" s="16">
        <f t="shared" si="77"/>
        <v>0</v>
      </c>
      <c r="AV138" s="16">
        <f t="shared" si="77"/>
        <v>0</v>
      </c>
      <c r="AW138" s="16">
        <f t="shared" si="77"/>
        <v>0</v>
      </c>
      <c r="AX138" s="16">
        <f t="shared" si="77"/>
        <v>0</v>
      </c>
      <c r="AY138" s="16">
        <f t="shared" si="77"/>
        <v>0</v>
      </c>
      <c r="AZ138" s="16">
        <f t="shared" si="77"/>
        <v>0</v>
      </c>
      <c r="BA138" s="16">
        <f t="shared" si="77"/>
        <v>0</v>
      </c>
      <c r="BB138" s="16">
        <f t="shared" si="77"/>
        <v>0</v>
      </c>
      <c r="BC138" s="16">
        <f t="shared" si="77"/>
        <v>0</v>
      </c>
      <c r="BD138" s="16">
        <f t="shared" si="77"/>
        <v>0</v>
      </c>
      <c r="BE138" s="16">
        <f t="shared" si="77"/>
        <v>0</v>
      </c>
      <c r="BF138" s="16">
        <f t="shared" si="77"/>
        <v>0</v>
      </c>
      <c r="BG138" s="16">
        <f t="shared" si="77"/>
        <v>0</v>
      </c>
      <c r="BH138" s="16">
        <f t="shared" si="77"/>
        <v>0</v>
      </c>
      <c r="BI138" s="16">
        <f t="shared" si="77"/>
        <v>0</v>
      </c>
      <c r="BJ138" s="16">
        <f t="shared" si="77"/>
        <v>0</v>
      </c>
      <c r="BK138" s="16">
        <f t="shared" si="77"/>
        <v>0</v>
      </c>
      <c r="BL138" s="16">
        <f t="shared" si="77"/>
        <v>0</v>
      </c>
      <c r="BM138" s="16">
        <f t="shared" si="77"/>
        <v>0</v>
      </c>
      <c r="BN138" s="16">
        <f t="shared" si="77"/>
        <v>0</v>
      </c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</row>
    <row r="139" spans="6:94" customFormat="1" x14ac:dyDescent="0.25">
      <c r="F139" s="29"/>
      <c r="G139" s="29"/>
      <c r="H139" s="29"/>
      <c r="I139" s="29"/>
      <c r="J139" s="93"/>
      <c r="K139" s="1"/>
      <c r="L139" s="29"/>
      <c r="M139" s="1"/>
      <c r="N139" s="29"/>
      <c r="O139" s="9">
        <f t="shared" si="72"/>
        <v>22</v>
      </c>
      <c r="P139" s="16">
        <f t="shared" si="71"/>
        <v>0</v>
      </c>
      <c r="Q139" s="16">
        <f t="shared" si="77"/>
        <v>0</v>
      </c>
      <c r="R139" s="16">
        <f t="shared" si="77"/>
        <v>0</v>
      </c>
      <c r="S139" s="16">
        <f t="shared" si="77"/>
        <v>0</v>
      </c>
      <c r="T139" s="16">
        <f t="shared" si="77"/>
        <v>0</v>
      </c>
      <c r="U139" s="16">
        <f t="shared" si="77"/>
        <v>0</v>
      </c>
      <c r="V139" s="16">
        <f t="shared" si="77"/>
        <v>0</v>
      </c>
      <c r="W139" s="16">
        <f t="shared" si="77"/>
        <v>0</v>
      </c>
      <c r="X139" s="16">
        <f t="shared" si="77"/>
        <v>0</v>
      </c>
      <c r="Y139" s="16">
        <f t="shared" si="77"/>
        <v>0</v>
      </c>
      <c r="Z139" s="16">
        <f t="shared" si="77"/>
        <v>0</v>
      </c>
      <c r="AA139" s="16">
        <f t="shared" si="77"/>
        <v>0</v>
      </c>
      <c r="AB139" s="16">
        <f t="shared" si="77"/>
        <v>0</v>
      </c>
      <c r="AC139" s="16">
        <f t="shared" si="77"/>
        <v>0</v>
      </c>
      <c r="AD139" s="16">
        <f t="shared" si="77"/>
        <v>0</v>
      </c>
      <c r="AE139" s="16">
        <f t="shared" si="77"/>
        <v>0</v>
      </c>
      <c r="AF139" s="16">
        <f t="shared" si="77"/>
        <v>0</v>
      </c>
      <c r="AG139" s="16">
        <f t="shared" si="77"/>
        <v>0</v>
      </c>
      <c r="AH139" s="16">
        <f t="shared" si="77"/>
        <v>0</v>
      </c>
      <c r="AI139" s="16">
        <f t="shared" si="77"/>
        <v>0</v>
      </c>
      <c r="AJ139" s="16">
        <f t="shared" si="77"/>
        <v>0</v>
      </c>
      <c r="AK139" s="16">
        <f t="shared" si="77"/>
        <v>0</v>
      </c>
      <c r="AL139" s="16">
        <f t="shared" si="77"/>
        <v>0</v>
      </c>
      <c r="AM139" s="16">
        <f t="shared" si="77"/>
        <v>0</v>
      </c>
      <c r="AN139" s="16">
        <f t="shared" si="77"/>
        <v>0</v>
      </c>
      <c r="AO139" s="16">
        <f t="shared" si="77"/>
        <v>0</v>
      </c>
      <c r="AP139" s="16">
        <f t="shared" si="77"/>
        <v>0</v>
      </c>
      <c r="AQ139" s="16">
        <f t="shared" si="77"/>
        <v>0.79017590149957473</v>
      </c>
      <c r="AR139" s="16">
        <f t="shared" si="77"/>
        <v>-0.56658056028289527</v>
      </c>
      <c r="AS139" s="16">
        <f t="shared" si="77"/>
        <v>0.77640465878332043</v>
      </c>
      <c r="AT139" s="16">
        <f t="shared" si="77"/>
        <v>0</v>
      </c>
      <c r="AU139" s="16">
        <f t="shared" si="77"/>
        <v>0</v>
      </c>
      <c r="AV139" s="16">
        <f t="shared" si="77"/>
        <v>0</v>
      </c>
      <c r="AW139" s="16">
        <f t="shared" si="77"/>
        <v>0</v>
      </c>
      <c r="AX139" s="16">
        <f t="shared" si="77"/>
        <v>0</v>
      </c>
      <c r="AY139" s="16">
        <f t="shared" si="77"/>
        <v>0</v>
      </c>
      <c r="AZ139" s="16">
        <f t="shared" si="77"/>
        <v>0</v>
      </c>
      <c r="BA139" s="16">
        <f t="shared" si="77"/>
        <v>0</v>
      </c>
      <c r="BB139" s="16">
        <f t="shared" si="77"/>
        <v>0</v>
      </c>
      <c r="BC139" s="16">
        <f t="shared" si="77"/>
        <v>0</v>
      </c>
      <c r="BD139" s="16">
        <f t="shared" si="77"/>
        <v>0</v>
      </c>
      <c r="BE139" s="16">
        <f t="shared" si="77"/>
        <v>0</v>
      </c>
      <c r="BF139" s="16">
        <f t="shared" si="77"/>
        <v>0</v>
      </c>
      <c r="BG139" s="16">
        <f t="shared" si="77"/>
        <v>0</v>
      </c>
      <c r="BH139" s="16">
        <f t="shared" si="77"/>
        <v>0</v>
      </c>
      <c r="BI139" s="16">
        <f t="shared" si="77"/>
        <v>0</v>
      </c>
      <c r="BJ139" s="16">
        <f t="shared" si="77"/>
        <v>0</v>
      </c>
      <c r="BK139" s="16">
        <f t="shared" si="77"/>
        <v>0</v>
      </c>
      <c r="BL139" s="16">
        <f t="shared" si="77"/>
        <v>0</v>
      </c>
      <c r="BM139" s="16">
        <f t="shared" si="77"/>
        <v>0</v>
      </c>
      <c r="BN139" s="16">
        <f t="shared" si="77"/>
        <v>0</v>
      </c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</row>
    <row r="140" spans="6:94" customFormat="1" x14ac:dyDescent="0.25">
      <c r="F140" s="29"/>
      <c r="G140" s="29"/>
      <c r="H140" s="29"/>
      <c r="I140" s="29"/>
      <c r="J140" s="93"/>
      <c r="K140" s="1"/>
      <c r="L140" s="29"/>
      <c r="M140" s="1"/>
      <c r="N140" s="29"/>
      <c r="O140" s="9">
        <f t="shared" si="72"/>
        <v>21</v>
      </c>
      <c r="P140" s="16">
        <f t="shared" si="71"/>
        <v>0</v>
      </c>
      <c r="Q140" s="16">
        <f t="shared" si="77"/>
        <v>0</v>
      </c>
      <c r="R140" s="16">
        <f t="shared" si="77"/>
        <v>0</v>
      </c>
      <c r="S140" s="16">
        <f t="shared" si="77"/>
        <v>0</v>
      </c>
      <c r="T140" s="16">
        <f t="shared" si="77"/>
        <v>0</v>
      </c>
      <c r="U140" s="16">
        <f t="shared" si="77"/>
        <v>0</v>
      </c>
      <c r="V140" s="16">
        <f t="shared" si="77"/>
        <v>0</v>
      </c>
      <c r="W140" s="16">
        <f t="shared" si="77"/>
        <v>0</v>
      </c>
      <c r="X140" s="16">
        <f t="shared" si="77"/>
        <v>0</v>
      </c>
      <c r="Y140" s="16">
        <f t="shared" si="77"/>
        <v>0</v>
      </c>
      <c r="Z140" s="16">
        <f t="shared" si="77"/>
        <v>0</v>
      </c>
      <c r="AA140" s="16">
        <f t="shared" si="77"/>
        <v>0</v>
      </c>
      <c r="AB140" s="16">
        <f t="shared" si="77"/>
        <v>0</v>
      </c>
      <c r="AC140" s="16">
        <f t="shared" si="77"/>
        <v>0</v>
      </c>
      <c r="AD140" s="16">
        <f t="shared" si="77"/>
        <v>0</v>
      </c>
      <c r="AE140" s="16">
        <f t="shared" si="77"/>
        <v>0</v>
      </c>
      <c r="AF140" s="16">
        <f t="shared" si="77"/>
        <v>0</v>
      </c>
      <c r="AG140" s="16">
        <f t="shared" si="77"/>
        <v>0</v>
      </c>
      <c r="AH140" s="16">
        <f t="shared" si="77"/>
        <v>0</v>
      </c>
      <c r="AI140" s="16">
        <f t="shared" si="77"/>
        <v>0</v>
      </c>
      <c r="AJ140" s="16">
        <f t="shared" si="77"/>
        <v>0</v>
      </c>
      <c r="AK140" s="16">
        <f t="shared" si="77"/>
        <v>0</v>
      </c>
      <c r="AL140" s="16">
        <f t="shared" si="77"/>
        <v>0</v>
      </c>
      <c r="AM140" s="16">
        <f t="shared" si="77"/>
        <v>0</v>
      </c>
      <c r="AN140" s="16">
        <f t="shared" si="77"/>
        <v>0</v>
      </c>
      <c r="AO140" s="16">
        <f t="shared" si="77"/>
        <v>0</v>
      </c>
      <c r="AP140" s="16">
        <f t="shared" si="77"/>
        <v>0</v>
      </c>
      <c r="AQ140" s="16">
        <f t="shared" si="77"/>
        <v>0</v>
      </c>
      <c r="AR140" s="16">
        <f t="shared" si="77"/>
        <v>0.92924537459323531</v>
      </c>
      <c r="AS140" s="16">
        <f t="shared" si="77"/>
        <v>-0.84323642843337354</v>
      </c>
      <c r="AT140" s="16">
        <f t="shared" si="77"/>
        <v>0.91399105384013823</v>
      </c>
      <c r="AU140" s="16">
        <f t="shared" si="77"/>
        <v>0</v>
      </c>
      <c r="AV140" s="16">
        <f t="shared" si="77"/>
        <v>0</v>
      </c>
      <c r="AW140" s="16">
        <f t="shared" si="77"/>
        <v>0</v>
      </c>
      <c r="AX140" s="16">
        <f t="shared" si="77"/>
        <v>0</v>
      </c>
      <c r="AY140" s="16">
        <f t="shared" si="77"/>
        <v>0</v>
      </c>
      <c r="AZ140" s="16">
        <f t="shared" si="77"/>
        <v>0</v>
      </c>
      <c r="BA140" s="16">
        <f t="shared" si="77"/>
        <v>0</v>
      </c>
      <c r="BB140" s="16">
        <f t="shared" si="77"/>
        <v>0</v>
      </c>
      <c r="BC140" s="16">
        <f t="shared" si="77"/>
        <v>0</v>
      </c>
      <c r="BD140" s="16">
        <f t="shared" si="77"/>
        <v>0</v>
      </c>
      <c r="BE140" s="16">
        <f t="shared" si="77"/>
        <v>0</v>
      </c>
      <c r="BF140" s="16">
        <f t="shared" si="77"/>
        <v>0</v>
      </c>
      <c r="BG140" s="16">
        <f t="shared" si="77"/>
        <v>0</v>
      </c>
      <c r="BH140" s="16">
        <f t="shared" si="77"/>
        <v>0</v>
      </c>
      <c r="BI140" s="16">
        <f t="shared" si="77"/>
        <v>0</v>
      </c>
      <c r="BJ140" s="16">
        <f t="shared" si="77"/>
        <v>0</v>
      </c>
      <c r="BK140" s="16">
        <f t="shared" si="77"/>
        <v>0</v>
      </c>
      <c r="BL140" s="16">
        <f t="shared" si="77"/>
        <v>0</v>
      </c>
      <c r="BM140" s="16">
        <f t="shared" si="77"/>
        <v>0</v>
      </c>
      <c r="BN140" s="16">
        <f t="shared" si="77"/>
        <v>0</v>
      </c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</row>
    <row r="141" spans="6:94" customFormat="1" x14ac:dyDescent="0.25">
      <c r="F141" s="29"/>
      <c r="G141" s="29"/>
      <c r="H141" s="29"/>
      <c r="I141" s="29"/>
      <c r="J141" s="93"/>
      <c r="K141" s="1"/>
      <c r="L141" s="29"/>
      <c r="M141" s="1"/>
      <c r="N141" s="29"/>
      <c r="O141" s="9">
        <f t="shared" si="72"/>
        <v>20</v>
      </c>
      <c r="P141" s="16">
        <f t="shared" si="71"/>
        <v>0</v>
      </c>
      <c r="Q141" s="16">
        <f t="shared" si="77"/>
        <v>0</v>
      </c>
      <c r="R141" s="16">
        <f t="shared" si="77"/>
        <v>0</v>
      </c>
      <c r="S141" s="16">
        <f t="shared" si="77"/>
        <v>0</v>
      </c>
      <c r="T141" s="16">
        <f t="shared" si="77"/>
        <v>0</v>
      </c>
      <c r="U141" s="16">
        <f t="shared" si="77"/>
        <v>0</v>
      </c>
      <c r="V141" s="16">
        <f t="shared" si="77"/>
        <v>0</v>
      </c>
      <c r="W141" s="16">
        <f t="shared" si="77"/>
        <v>0</v>
      </c>
      <c r="X141" s="16">
        <f t="shared" si="77"/>
        <v>0</v>
      </c>
      <c r="Y141" s="16">
        <f t="shared" si="77"/>
        <v>0</v>
      </c>
      <c r="Z141" s="16">
        <f t="shared" si="77"/>
        <v>0</v>
      </c>
      <c r="AA141" s="16">
        <f t="shared" si="77"/>
        <v>0</v>
      </c>
      <c r="AB141" s="16">
        <f t="shared" si="77"/>
        <v>0</v>
      </c>
      <c r="AC141" s="16">
        <f t="shared" si="77"/>
        <v>0</v>
      </c>
      <c r="AD141" s="16">
        <f t="shared" si="77"/>
        <v>0</v>
      </c>
      <c r="AE141" s="16">
        <f t="shared" si="77"/>
        <v>0</v>
      </c>
      <c r="AF141" s="16">
        <f t="shared" si="77"/>
        <v>0</v>
      </c>
      <c r="AG141" s="16">
        <f t="shared" si="77"/>
        <v>0</v>
      </c>
      <c r="AH141" s="16">
        <f t="shared" si="77"/>
        <v>0</v>
      </c>
      <c r="AI141" s="16">
        <f t="shared" si="77"/>
        <v>0</v>
      </c>
      <c r="AJ141" s="16">
        <f t="shared" si="77"/>
        <v>0</v>
      </c>
      <c r="AK141" s="16">
        <f t="shared" si="77"/>
        <v>0</v>
      </c>
      <c r="AL141" s="16">
        <f t="shared" si="77"/>
        <v>0</v>
      </c>
      <c r="AM141" s="16">
        <f t="shared" si="77"/>
        <v>0</v>
      </c>
      <c r="AN141" s="16">
        <f t="shared" si="77"/>
        <v>0</v>
      </c>
      <c r="AO141" s="16">
        <f t="shared" si="77"/>
        <v>0</v>
      </c>
      <c r="AP141" s="16">
        <f t="shared" si="77"/>
        <v>0</v>
      </c>
      <c r="AQ141" s="16">
        <f t="shared" si="77"/>
        <v>0</v>
      </c>
      <c r="AR141" s="16">
        <f t="shared" si="77"/>
        <v>0</v>
      </c>
      <c r="AS141" s="16">
        <f t="shared" si="77"/>
        <v>1.1333960061195063</v>
      </c>
      <c r="AT141" s="16">
        <f t="shared" si="77"/>
        <v>-1.2493605687062788</v>
      </c>
      <c r="AU141" s="16">
        <f t="shared" si="77"/>
        <v>1.1159645625867727</v>
      </c>
      <c r="AV141" s="16">
        <f t="shared" si="77"/>
        <v>0</v>
      </c>
      <c r="AW141" s="16">
        <f t="shared" si="77"/>
        <v>0</v>
      </c>
      <c r="AX141" s="16">
        <f t="shared" si="77"/>
        <v>0</v>
      </c>
      <c r="AY141" s="16">
        <f t="shared" si="77"/>
        <v>0</v>
      </c>
      <c r="AZ141" s="16">
        <f t="shared" si="77"/>
        <v>0</v>
      </c>
      <c r="BA141" s="16">
        <f t="shared" si="77"/>
        <v>0</v>
      </c>
      <c r="BB141" s="16">
        <f t="shared" si="77"/>
        <v>0</v>
      </c>
      <c r="BC141" s="16">
        <f t="shared" si="77"/>
        <v>0</v>
      </c>
      <c r="BD141" s="16">
        <f t="shared" si="77"/>
        <v>0</v>
      </c>
      <c r="BE141" s="16">
        <f t="shared" si="77"/>
        <v>0</v>
      </c>
      <c r="BF141" s="16">
        <f t="shared" si="77"/>
        <v>0</v>
      </c>
      <c r="BG141" s="16">
        <f t="shared" si="77"/>
        <v>0</v>
      </c>
      <c r="BH141" s="16">
        <f t="shared" si="77"/>
        <v>0</v>
      </c>
      <c r="BI141" s="16">
        <f t="shared" si="77"/>
        <v>0</v>
      </c>
      <c r="BJ141" s="16">
        <f t="shared" ref="Q141:BN146" si="78">IF(BJ$110=$O141,BJ$108*HLOOKUP($O141,$O$14:$BN$48,BJ$107,0)+1,IF(BJ$110-$O141=1,BJ$108*HLOOKUP($O141,$O$11:$BN$28,BJ$107,0),IF(BJ$110-$O141=-1,BJ$108*HLOOKUP($O141,$O$17:$BN$68,BJ$107,0),0)))</f>
        <v>0</v>
      </c>
      <c r="BK141" s="16">
        <f t="shared" si="78"/>
        <v>0</v>
      </c>
      <c r="BL141" s="16">
        <f t="shared" si="78"/>
        <v>0</v>
      </c>
      <c r="BM141" s="16">
        <f t="shared" si="78"/>
        <v>0</v>
      </c>
      <c r="BN141" s="16">
        <f t="shared" si="78"/>
        <v>0</v>
      </c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</row>
    <row r="142" spans="6:94" customFormat="1" x14ac:dyDescent="0.25">
      <c r="F142" s="29"/>
      <c r="G142" s="29"/>
      <c r="H142" s="29"/>
      <c r="I142" s="29"/>
      <c r="J142" s="93"/>
      <c r="K142" s="1"/>
      <c r="L142" s="29"/>
      <c r="M142" s="1"/>
      <c r="N142" s="29"/>
      <c r="O142" s="9">
        <f t="shared" si="72"/>
        <v>19</v>
      </c>
      <c r="P142" s="16">
        <f t="shared" si="71"/>
        <v>0</v>
      </c>
      <c r="Q142" s="16">
        <f t="shared" si="78"/>
        <v>0</v>
      </c>
      <c r="R142" s="16">
        <f t="shared" si="78"/>
        <v>0</v>
      </c>
      <c r="S142" s="16">
        <f t="shared" si="78"/>
        <v>0</v>
      </c>
      <c r="T142" s="16">
        <f t="shared" si="78"/>
        <v>0</v>
      </c>
      <c r="U142" s="16">
        <f t="shared" si="78"/>
        <v>0</v>
      </c>
      <c r="V142" s="16">
        <f t="shared" si="78"/>
        <v>0</v>
      </c>
      <c r="W142" s="16">
        <f t="shared" si="78"/>
        <v>0</v>
      </c>
      <c r="X142" s="16">
        <f t="shared" si="78"/>
        <v>0</v>
      </c>
      <c r="Y142" s="16">
        <f t="shared" si="78"/>
        <v>0</v>
      </c>
      <c r="Z142" s="16">
        <f t="shared" si="78"/>
        <v>0</v>
      </c>
      <c r="AA142" s="16">
        <f t="shared" si="78"/>
        <v>0</v>
      </c>
      <c r="AB142" s="16">
        <f t="shared" si="78"/>
        <v>0</v>
      </c>
      <c r="AC142" s="16">
        <f t="shared" si="78"/>
        <v>0</v>
      </c>
      <c r="AD142" s="16">
        <f t="shared" si="78"/>
        <v>0</v>
      </c>
      <c r="AE142" s="16">
        <f t="shared" si="78"/>
        <v>0</v>
      </c>
      <c r="AF142" s="16">
        <f t="shared" si="78"/>
        <v>0</v>
      </c>
      <c r="AG142" s="16">
        <f t="shared" si="78"/>
        <v>0</v>
      </c>
      <c r="AH142" s="16">
        <f t="shared" si="78"/>
        <v>0</v>
      </c>
      <c r="AI142" s="16">
        <f t="shared" si="78"/>
        <v>0</v>
      </c>
      <c r="AJ142" s="16">
        <f t="shared" si="78"/>
        <v>0</v>
      </c>
      <c r="AK142" s="16">
        <f t="shared" si="78"/>
        <v>0</v>
      </c>
      <c r="AL142" s="16">
        <f t="shared" si="78"/>
        <v>0</v>
      </c>
      <c r="AM142" s="16">
        <f t="shared" si="78"/>
        <v>0</v>
      </c>
      <c r="AN142" s="16">
        <f t="shared" si="78"/>
        <v>0</v>
      </c>
      <c r="AO142" s="16">
        <f t="shared" si="78"/>
        <v>0</v>
      </c>
      <c r="AP142" s="16">
        <f t="shared" si="78"/>
        <v>0</v>
      </c>
      <c r="AQ142" s="16">
        <f t="shared" si="78"/>
        <v>0</v>
      </c>
      <c r="AR142" s="16">
        <f t="shared" si="78"/>
        <v>0</v>
      </c>
      <c r="AS142" s="16">
        <f t="shared" si="78"/>
        <v>0</v>
      </c>
      <c r="AT142" s="16">
        <f t="shared" si="78"/>
        <v>1.3578554106058767</v>
      </c>
      <c r="AU142" s="16">
        <f t="shared" si="78"/>
        <v>-1.6958856761315033</v>
      </c>
      <c r="AV142" s="16">
        <f t="shared" si="78"/>
        <v>1.3380302655256266</v>
      </c>
      <c r="AW142" s="16">
        <f t="shared" si="78"/>
        <v>0</v>
      </c>
      <c r="AX142" s="16">
        <f t="shared" si="78"/>
        <v>0</v>
      </c>
      <c r="AY142" s="16">
        <f t="shared" si="78"/>
        <v>0</v>
      </c>
      <c r="AZ142" s="16">
        <f t="shared" si="78"/>
        <v>0</v>
      </c>
      <c r="BA142" s="16">
        <f t="shared" si="78"/>
        <v>0</v>
      </c>
      <c r="BB142" s="16">
        <f t="shared" si="78"/>
        <v>0</v>
      </c>
      <c r="BC142" s="16">
        <f t="shared" si="78"/>
        <v>0</v>
      </c>
      <c r="BD142" s="16">
        <f t="shared" si="78"/>
        <v>0</v>
      </c>
      <c r="BE142" s="16">
        <f t="shared" si="78"/>
        <v>0</v>
      </c>
      <c r="BF142" s="16">
        <f t="shared" si="78"/>
        <v>0</v>
      </c>
      <c r="BG142" s="16">
        <f t="shared" si="78"/>
        <v>0</v>
      </c>
      <c r="BH142" s="16">
        <f t="shared" si="78"/>
        <v>0</v>
      </c>
      <c r="BI142" s="16">
        <f t="shared" si="78"/>
        <v>0</v>
      </c>
      <c r="BJ142" s="16">
        <f t="shared" si="78"/>
        <v>0</v>
      </c>
      <c r="BK142" s="16">
        <f t="shared" si="78"/>
        <v>0</v>
      </c>
      <c r="BL142" s="16">
        <f t="shared" si="78"/>
        <v>0</v>
      </c>
      <c r="BM142" s="16">
        <f t="shared" si="78"/>
        <v>0</v>
      </c>
      <c r="BN142" s="16">
        <f t="shared" si="78"/>
        <v>0</v>
      </c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</row>
    <row r="143" spans="6:94" customFormat="1" x14ac:dyDescent="0.25">
      <c r="F143" s="29"/>
      <c r="G143" s="29"/>
      <c r="H143" s="29"/>
      <c r="I143" s="29"/>
      <c r="J143" s="93"/>
      <c r="K143" s="1"/>
      <c r="L143" s="29"/>
      <c r="M143" s="1"/>
      <c r="N143" s="29"/>
      <c r="O143" s="9">
        <f t="shared" si="72"/>
        <v>18</v>
      </c>
      <c r="P143" s="16">
        <f t="shared" si="71"/>
        <v>0</v>
      </c>
      <c r="Q143" s="16">
        <f t="shared" si="78"/>
        <v>0</v>
      </c>
      <c r="R143" s="16">
        <f t="shared" si="78"/>
        <v>0</v>
      </c>
      <c r="S143" s="16">
        <f t="shared" si="78"/>
        <v>0</v>
      </c>
      <c r="T143" s="16">
        <f t="shared" si="78"/>
        <v>0</v>
      </c>
      <c r="U143" s="16">
        <f t="shared" si="78"/>
        <v>0</v>
      </c>
      <c r="V143" s="16">
        <f t="shared" si="78"/>
        <v>0</v>
      </c>
      <c r="W143" s="16">
        <f t="shared" si="78"/>
        <v>0</v>
      </c>
      <c r="X143" s="16">
        <f t="shared" si="78"/>
        <v>0</v>
      </c>
      <c r="Y143" s="16">
        <f t="shared" si="78"/>
        <v>0</v>
      </c>
      <c r="Z143" s="16">
        <f t="shared" si="78"/>
        <v>0</v>
      </c>
      <c r="AA143" s="16">
        <f t="shared" si="78"/>
        <v>0</v>
      </c>
      <c r="AB143" s="16">
        <f t="shared" si="78"/>
        <v>0</v>
      </c>
      <c r="AC143" s="16">
        <f t="shared" si="78"/>
        <v>0</v>
      </c>
      <c r="AD143" s="16">
        <f t="shared" si="78"/>
        <v>0</v>
      </c>
      <c r="AE143" s="16">
        <f t="shared" si="78"/>
        <v>0</v>
      </c>
      <c r="AF143" s="16">
        <f t="shared" si="78"/>
        <v>0</v>
      </c>
      <c r="AG143" s="16">
        <f t="shared" si="78"/>
        <v>0</v>
      </c>
      <c r="AH143" s="16">
        <f t="shared" si="78"/>
        <v>0</v>
      </c>
      <c r="AI143" s="16">
        <f t="shared" si="78"/>
        <v>0</v>
      </c>
      <c r="AJ143" s="16">
        <f t="shared" si="78"/>
        <v>0</v>
      </c>
      <c r="AK143" s="16">
        <f t="shared" si="78"/>
        <v>0</v>
      </c>
      <c r="AL143" s="16">
        <f t="shared" si="78"/>
        <v>0</v>
      </c>
      <c r="AM143" s="16">
        <f t="shared" si="78"/>
        <v>0</v>
      </c>
      <c r="AN143" s="16">
        <f t="shared" si="78"/>
        <v>0</v>
      </c>
      <c r="AO143" s="16">
        <f t="shared" si="78"/>
        <v>0</v>
      </c>
      <c r="AP143" s="16">
        <f t="shared" si="78"/>
        <v>0</v>
      </c>
      <c r="AQ143" s="16">
        <f t="shared" si="78"/>
        <v>0</v>
      </c>
      <c r="AR143" s="16">
        <f t="shared" si="78"/>
        <v>0</v>
      </c>
      <c r="AS143" s="16">
        <f t="shared" si="78"/>
        <v>0</v>
      </c>
      <c r="AT143" s="16">
        <f t="shared" si="78"/>
        <v>0</v>
      </c>
      <c r="AU143" s="16">
        <f t="shared" si="78"/>
        <v>1.6026235880523465</v>
      </c>
      <c r="AV143" s="16">
        <f t="shared" si="78"/>
        <v>-2.1828117507090465</v>
      </c>
      <c r="AW143" s="16">
        <f t="shared" si="78"/>
        <v>1.5801881626567</v>
      </c>
      <c r="AX143" s="16">
        <f t="shared" si="78"/>
        <v>0</v>
      </c>
      <c r="AY143" s="16">
        <f t="shared" si="78"/>
        <v>0</v>
      </c>
      <c r="AZ143" s="16">
        <f t="shared" si="78"/>
        <v>0</v>
      </c>
      <c r="BA143" s="16">
        <f t="shared" si="78"/>
        <v>0</v>
      </c>
      <c r="BB143" s="16">
        <f t="shared" si="78"/>
        <v>0</v>
      </c>
      <c r="BC143" s="16">
        <f t="shared" si="78"/>
        <v>0</v>
      </c>
      <c r="BD143" s="16">
        <f t="shared" si="78"/>
        <v>0</v>
      </c>
      <c r="BE143" s="16">
        <f t="shared" si="78"/>
        <v>0</v>
      </c>
      <c r="BF143" s="16">
        <f t="shared" si="78"/>
        <v>0</v>
      </c>
      <c r="BG143" s="16">
        <f t="shared" si="78"/>
        <v>0</v>
      </c>
      <c r="BH143" s="16">
        <f t="shared" si="78"/>
        <v>0</v>
      </c>
      <c r="BI143" s="16">
        <f t="shared" si="78"/>
        <v>0</v>
      </c>
      <c r="BJ143" s="16">
        <f t="shared" si="78"/>
        <v>0</v>
      </c>
      <c r="BK143" s="16">
        <f t="shared" si="78"/>
        <v>0</v>
      </c>
      <c r="BL143" s="16">
        <f t="shared" si="78"/>
        <v>0</v>
      </c>
      <c r="BM143" s="16">
        <f t="shared" si="78"/>
        <v>0</v>
      </c>
      <c r="BN143" s="16">
        <f t="shared" si="78"/>
        <v>0</v>
      </c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</row>
    <row r="144" spans="6:94" customFormat="1" x14ac:dyDescent="0.25">
      <c r="F144" s="29"/>
      <c r="G144" s="29"/>
      <c r="H144" s="29"/>
      <c r="I144" s="29"/>
      <c r="J144" s="93"/>
      <c r="K144" s="1"/>
      <c r="L144" s="29"/>
      <c r="M144" s="1"/>
      <c r="N144" s="29"/>
      <c r="O144" s="9">
        <f t="shared" si="72"/>
        <v>17</v>
      </c>
      <c r="P144" s="16">
        <f t="shared" si="71"/>
        <v>0</v>
      </c>
      <c r="Q144" s="16">
        <f t="shared" si="78"/>
        <v>0</v>
      </c>
      <c r="R144" s="16">
        <f t="shared" si="78"/>
        <v>0</v>
      </c>
      <c r="S144" s="16">
        <f t="shared" si="78"/>
        <v>0</v>
      </c>
      <c r="T144" s="16">
        <f t="shared" si="78"/>
        <v>0</v>
      </c>
      <c r="U144" s="16">
        <f t="shared" si="78"/>
        <v>0</v>
      </c>
      <c r="V144" s="16">
        <f t="shared" si="78"/>
        <v>0</v>
      </c>
      <c r="W144" s="16">
        <f t="shared" si="78"/>
        <v>0</v>
      </c>
      <c r="X144" s="16">
        <f t="shared" si="78"/>
        <v>0</v>
      </c>
      <c r="Y144" s="16">
        <f t="shared" si="78"/>
        <v>0</v>
      </c>
      <c r="Z144" s="16">
        <f t="shared" si="78"/>
        <v>0</v>
      </c>
      <c r="AA144" s="16">
        <f t="shared" si="78"/>
        <v>0</v>
      </c>
      <c r="AB144" s="16">
        <f t="shared" si="78"/>
        <v>0</v>
      </c>
      <c r="AC144" s="16">
        <f t="shared" si="78"/>
        <v>0</v>
      </c>
      <c r="AD144" s="16">
        <f t="shared" si="78"/>
        <v>0</v>
      </c>
      <c r="AE144" s="16">
        <f t="shared" si="78"/>
        <v>0</v>
      </c>
      <c r="AF144" s="16">
        <f t="shared" si="78"/>
        <v>0</v>
      </c>
      <c r="AG144" s="16">
        <f t="shared" si="78"/>
        <v>0</v>
      </c>
      <c r="AH144" s="16">
        <f t="shared" si="78"/>
        <v>0</v>
      </c>
      <c r="AI144" s="16">
        <f t="shared" si="78"/>
        <v>0</v>
      </c>
      <c r="AJ144" s="16">
        <f t="shared" si="78"/>
        <v>0</v>
      </c>
      <c r="AK144" s="16">
        <f t="shared" si="78"/>
        <v>0</v>
      </c>
      <c r="AL144" s="16">
        <f t="shared" si="78"/>
        <v>0</v>
      </c>
      <c r="AM144" s="16">
        <f t="shared" si="78"/>
        <v>0</v>
      </c>
      <c r="AN144" s="16">
        <f t="shared" si="78"/>
        <v>0</v>
      </c>
      <c r="AO144" s="16">
        <f t="shared" si="78"/>
        <v>0</v>
      </c>
      <c r="AP144" s="16">
        <f t="shared" si="78"/>
        <v>0</v>
      </c>
      <c r="AQ144" s="16">
        <f t="shared" si="78"/>
        <v>0</v>
      </c>
      <c r="AR144" s="16">
        <f t="shared" si="78"/>
        <v>0</v>
      </c>
      <c r="AS144" s="16">
        <f t="shared" si="78"/>
        <v>0</v>
      </c>
      <c r="AT144" s="16">
        <f t="shared" si="78"/>
        <v>0</v>
      </c>
      <c r="AU144" s="16">
        <f t="shared" si="78"/>
        <v>0</v>
      </c>
      <c r="AV144" s="16">
        <f t="shared" si="78"/>
        <v>1.5510825264162793</v>
      </c>
      <c r="AW144" s="16">
        <f t="shared" si="78"/>
        <v>-2.0802792765785072</v>
      </c>
      <c r="AX144" s="16">
        <f t="shared" si="78"/>
        <v>1.5291967501622281</v>
      </c>
      <c r="AY144" s="16">
        <f t="shared" si="78"/>
        <v>0</v>
      </c>
      <c r="AZ144" s="16">
        <f t="shared" si="78"/>
        <v>0</v>
      </c>
      <c r="BA144" s="16">
        <f t="shared" si="78"/>
        <v>0</v>
      </c>
      <c r="BB144" s="16">
        <f t="shared" si="78"/>
        <v>0</v>
      </c>
      <c r="BC144" s="16">
        <f t="shared" si="78"/>
        <v>0</v>
      </c>
      <c r="BD144" s="16">
        <f t="shared" si="78"/>
        <v>0</v>
      </c>
      <c r="BE144" s="16">
        <f t="shared" si="78"/>
        <v>0</v>
      </c>
      <c r="BF144" s="16">
        <f t="shared" si="78"/>
        <v>0</v>
      </c>
      <c r="BG144" s="16">
        <f t="shared" si="78"/>
        <v>0</v>
      </c>
      <c r="BH144" s="16">
        <f t="shared" si="78"/>
        <v>0</v>
      </c>
      <c r="BI144" s="16">
        <f t="shared" si="78"/>
        <v>0</v>
      </c>
      <c r="BJ144" s="16">
        <f t="shared" si="78"/>
        <v>0</v>
      </c>
      <c r="BK144" s="16">
        <f t="shared" si="78"/>
        <v>0</v>
      </c>
      <c r="BL144" s="16">
        <f t="shared" si="78"/>
        <v>0</v>
      </c>
      <c r="BM144" s="16">
        <f t="shared" si="78"/>
        <v>0</v>
      </c>
      <c r="BN144" s="16">
        <f t="shared" si="78"/>
        <v>0</v>
      </c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</row>
    <row r="145" spans="6:94" customFormat="1" x14ac:dyDescent="0.25">
      <c r="F145" s="29"/>
      <c r="G145" s="29"/>
      <c r="H145" s="29"/>
      <c r="I145" s="29"/>
      <c r="J145" s="93"/>
      <c r="K145" s="1"/>
      <c r="L145" s="29"/>
      <c r="M145" s="1"/>
      <c r="N145" s="29"/>
      <c r="O145" s="9">
        <f t="shared" si="72"/>
        <v>16</v>
      </c>
      <c r="P145" s="16">
        <f t="shared" si="71"/>
        <v>0</v>
      </c>
      <c r="Q145" s="16">
        <f t="shared" si="78"/>
        <v>0</v>
      </c>
      <c r="R145" s="16">
        <f t="shared" si="78"/>
        <v>0</v>
      </c>
      <c r="S145" s="16">
        <f t="shared" si="78"/>
        <v>0</v>
      </c>
      <c r="T145" s="16">
        <f t="shared" si="78"/>
        <v>0</v>
      </c>
      <c r="U145" s="16">
        <f t="shared" si="78"/>
        <v>0</v>
      </c>
      <c r="V145" s="16">
        <f t="shared" si="78"/>
        <v>0</v>
      </c>
      <c r="W145" s="16">
        <f t="shared" si="78"/>
        <v>0</v>
      </c>
      <c r="X145" s="16">
        <f t="shared" si="78"/>
        <v>0</v>
      </c>
      <c r="Y145" s="16">
        <f t="shared" si="78"/>
        <v>0</v>
      </c>
      <c r="Z145" s="16">
        <f t="shared" si="78"/>
        <v>0</v>
      </c>
      <c r="AA145" s="16">
        <f t="shared" si="78"/>
        <v>0</v>
      </c>
      <c r="AB145" s="16">
        <f t="shared" si="78"/>
        <v>0</v>
      </c>
      <c r="AC145" s="16">
        <f t="shared" si="78"/>
        <v>0</v>
      </c>
      <c r="AD145" s="16">
        <f t="shared" si="78"/>
        <v>0</v>
      </c>
      <c r="AE145" s="16">
        <f t="shared" si="78"/>
        <v>0</v>
      </c>
      <c r="AF145" s="16">
        <f t="shared" si="78"/>
        <v>0</v>
      </c>
      <c r="AG145" s="16">
        <f t="shared" si="78"/>
        <v>0</v>
      </c>
      <c r="AH145" s="16">
        <f t="shared" si="78"/>
        <v>0</v>
      </c>
      <c r="AI145" s="16">
        <f t="shared" si="78"/>
        <v>0</v>
      </c>
      <c r="AJ145" s="16">
        <f t="shared" si="78"/>
        <v>0</v>
      </c>
      <c r="AK145" s="16">
        <f t="shared" si="78"/>
        <v>0</v>
      </c>
      <c r="AL145" s="16">
        <f t="shared" si="78"/>
        <v>0</v>
      </c>
      <c r="AM145" s="16">
        <f t="shared" si="78"/>
        <v>0</v>
      </c>
      <c r="AN145" s="16">
        <f t="shared" si="78"/>
        <v>0</v>
      </c>
      <c r="AO145" s="16">
        <f t="shared" si="78"/>
        <v>0</v>
      </c>
      <c r="AP145" s="16">
        <f t="shared" si="78"/>
        <v>0</v>
      </c>
      <c r="AQ145" s="16">
        <f t="shared" si="78"/>
        <v>0</v>
      </c>
      <c r="AR145" s="16">
        <f t="shared" si="78"/>
        <v>0</v>
      </c>
      <c r="AS145" s="16">
        <f t="shared" si="78"/>
        <v>0</v>
      </c>
      <c r="AT145" s="16">
        <f t="shared" si="78"/>
        <v>0</v>
      </c>
      <c r="AU145" s="16">
        <f t="shared" si="78"/>
        <v>0</v>
      </c>
      <c r="AV145" s="16">
        <f t="shared" si="78"/>
        <v>0</v>
      </c>
      <c r="AW145" s="16">
        <f t="shared" si="78"/>
        <v>1.4635085811230353</v>
      </c>
      <c r="AX145" s="16">
        <f t="shared" si="78"/>
        <v>-1.9060653004735721</v>
      </c>
      <c r="AY145" s="16">
        <f t="shared" si="78"/>
        <v>1.4425567193505369</v>
      </c>
      <c r="AZ145" s="16">
        <f t="shared" si="78"/>
        <v>0</v>
      </c>
      <c r="BA145" s="16">
        <f t="shared" si="78"/>
        <v>0</v>
      </c>
      <c r="BB145" s="16">
        <f t="shared" si="78"/>
        <v>0</v>
      </c>
      <c r="BC145" s="16">
        <f t="shared" si="78"/>
        <v>0</v>
      </c>
      <c r="BD145" s="16">
        <f t="shared" si="78"/>
        <v>0</v>
      </c>
      <c r="BE145" s="16">
        <f t="shared" si="78"/>
        <v>0</v>
      </c>
      <c r="BF145" s="16">
        <f t="shared" si="78"/>
        <v>0</v>
      </c>
      <c r="BG145" s="16">
        <f t="shared" si="78"/>
        <v>0</v>
      </c>
      <c r="BH145" s="16">
        <f t="shared" si="78"/>
        <v>0</v>
      </c>
      <c r="BI145" s="16">
        <f t="shared" si="78"/>
        <v>0</v>
      </c>
      <c r="BJ145" s="16">
        <f t="shared" si="78"/>
        <v>0</v>
      </c>
      <c r="BK145" s="16">
        <f t="shared" si="78"/>
        <v>0</v>
      </c>
      <c r="BL145" s="16">
        <f t="shared" si="78"/>
        <v>0</v>
      </c>
      <c r="BM145" s="16">
        <f t="shared" si="78"/>
        <v>0</v>
      </c>
      <c r="BN145" s="16">
        <f t="shared" si="78"/>
        <v>0</v>
      </c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</row>
    <row r="146" spans="6:94" customFormat="1" x14ac:dyDescent="0.25">
      <c r="F146" s="29"/>
      <c r="G146" s="29"/>
      <c r="H146" s="29"/>
      <c r="I146" s="29"/>
      <c r="J146" s="93"/>
      <c r="K146" s="1"/>
      <c r="L146" s="29"/>
      <c r="M146" s="1"/>
      <c r="N146" s="29"/>
      <c r="O146" s="9">
        <f t="shared" si="72"/>
        <v>15</v>
      </c>
      <c r="P146" s="16">
        <f t="shared" si="71"/>
        <v>0</v>
      </c>
      <c r="Q146" s="16">
        <f t="shared" si="78"/>
        <v>0</v>
      </c>
      <c r="R146" s="16">
        <f t="shared" si="78"/>
        <v>0</v>
      </c>
      <c r="S146" s="16">
        <f t="shared" si="78"/>
        <v>0</v>
      </c>
      <c r="T146" s="16">
        <f t="shared" si="78"/>
        <v>0</v>
      </c>
      <c r="U146" s="16">
        <f t="shared" si="78"/>
        <v>0</v>
      </c>
      <c r="V146" s="16">
        <f t="shared" si="78"/>
        <v>0</v>
      </c>
      <c r="W146" s="16">
        <f t="shared" si="78"/>
        <v>0</v>
      </c>
      <c r="X146" s="16">
        <f t="shared" si="78"/>
        <v>0</v>
      </c>
      <c r="Y146" s="16">
        <f t="shared" si="78"/>
        <v>0</v>
      </c>
      <c r="Z146" s="16">
        <f t="shared" si="78"/>
        <v>0</v>
      </c>
      <c r="AA146" s="16">
        <f t="shared" si="78"/>
        <v>0</v>
      </c>
      <c r="AB146" s="16">
        <f t="shared" si="78"/>
        <v>0</v>
      </c>
      <c r="AC146" s="16">
        <f t="shared" si="78"/>
        <v>0</v>
      </c>
      <c r="AD146" s="16">
        <f t="shared" si="78"/>
        <v>0</v>
      </c>
      <c r="AE146" s="16">
        <f t="shared" si="78"/>
        <v>0</v>
      </c>
      <c r="AF146" s="16">
        <f t="shared" si="78"/>
        <v>0</v>
      </c>
      <c r="AG146" s="16">
        <f t="shared" si="78"/>
        <v>0</v>
      </c>
      <c r="AH146" s="16">
        <f t="shared" si="78"/>
        <v>0</v>
      </c>
      <c r="AI146" s="16">
        <f t="shared" si="78"/>
        <v>0</v>
      </c>
      <c r="AJ146" s="16">
        <f t="shared" si="78"/>
        <v>0</v>
      </c>
      <c r="AK146" s="16">
        <f t="shared" si="78"/>
        <v>0</v>
      </c>
      <c r="AL146" s="16">
        <f t="shared" si="78"/>
        <v>0</v>
      </c>
      <c r="AM146" s="16">
        <f t="shared" si="78"/>
        <v>0</v>
      </c>
      <c r="AN146" s="16">
        <f t="shared" si="78"/>
        <v>0</v>
      </c>
      <c r="AO146" s="16">
        <f t="shared" si="78"/>
        <v>0</v>
      </c>
      <c r="AP146" s="16">
        <f t="shared" si="78"/>
        <v>0</v>
      </c>
      <c r="AQ146" s="16">
        <f t="shared" si="78"/>
        <v>0</v>
      </c>
      <c r="AR146" s="16">
        <f t="shared" si="78"/>
        <v>0</v>
      </c>
      <c r="AS146" s="16">
        <f t="shared" si="78"/>
        <v>0</v>
      </c>
      <c r="AT146" s="16">
        <f t="shared" si="78"/>
        <v>0</v>
      </c>
      <c r="AU146" s="16">
        <f t="shared" si="78"/>
        <v>0</v>
      </c>
      <c r="AV146" s="16">
        <f t="shared" si="78"/>
        <v>0</v>
      </c>
      <c r="AW146" s="16">
        <f t="shared" si="78"/>
        <v>0</v>
      </c>
      <c r="AX146" s="16">
        <f t="shared" si="78"/>
        <v>1.3784837434976194</v>
      </c>
      <c r="AY146" s="16">
        <f t="shared" si="78"/>
        <v>-1.7369223552653823</v>
      </c>
      <c r="AZ146" s="16">
        <f t="shared" si="78"/>
        <v>1.3584386117677629</v>
      </c>
      <c r="BA146" s="16">
        <f t="shared" si="78"/>
        <v>0</v>
      </c>
      <c r="BB146" s="16">
        <f t="shared" si="78"/>
        <v>0</v>
      </c>
      <c r="BC146" s="16">
        <f t="shared" si="78"/>
        <v>0</v>
      </c>
      <c r="BD146" s="16">
        <f t="shared" si="78"/>
        <v>0</v>
      </c>
      <c r="BE146" s="16">
        <f t="shared" si="78"/>
        <v>0</v>
      </c>
      <c r="BF146" s="16">
        <f t="shared" si="78"/>
        <v>0</v>
      </c>
      <c r="BG146" s="16">
        <f t="shared" si="78"/>
        <v>0</v>
      </c>
      <c r="BH146" s="16">
        <f t="shared" si="78"/>
        <v>0</v>
      </c>
      <c r="BI146" s="16">
        <f t="shared" si="78"/>
        <v>0</v>
      </c>
      <c r="BJ146" s="16">
        <f t="shared" si="78"/>
        <v>0</v>
      </c>
      <c r="BK146" s="16">
        <f t="shared" si="78"/>
        <v>0</v>
      </c>
      <c r="BL146" s="16">
        <f t="shared" si="78"/>
        <v>0</v>
      </c>
      <c r="BM146" s="16">
        <f t="shared" si="78"/>
        <v>0</v>
      </c>
      <c r="BN146" s="16">
        <f t="shared" si="78"/>
        <v>0</v>
      </c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</row>
    <row r="147" spans="6:94" customFormat="1" x14ac:dyDescent="0.25">
      <c r="F147" s="29"/>
      <c r="G147" s="29"/>
      <c r="H147" s="29"/>
      <c r="I147" s="29"/>
      <c r="J147" s="93"/>
      <c r="K147" s="1"/>
      <c r="L147" s="29"/>
      <c r="M147" s="1"/>
      <c r="N147" s="29"/>
      <c r="O147" s="9">
        <f t="shared" si="72"/>
        <v>14</v>
      </c>
      <c r="P147" s="16">
        <f t="shared" si="71"/>
        <v>0</v>
      </c>
      <c r="Q147" s="16">
        <f t="shared" ref="Q147:BN152" si="79">IF(Q$110=$O147,Q$108*HLOOKUP($O147,$O$14:$BN$48,Q$107,0)+1,IF(Q$110-$O147=1,Q$108*HLOOKUP($O147,$O$11:$BN$28,Q$107,0),IF(Q$110-$O147=-1,Q$108*HLOOKUP($O147,$O$17:$BN$68,Q$107,0),0)))</f>
        <v>0</v>
      </c>
      <c r="R147" s="16">
        <f t="shared" si="79"/>
        <v>0</v>
      </c>
      <c r="S147" s="16">
        <f t="shared" si="79"/>
        <v>0</v>
      </c>
      <c r="T147" s="16">
        <f t="shared" si="79"/>
        <v>0</v>
      </c>
      <c r="U147" s="16">
        <f t="shared" si="79"/>
        <v>0</v>
      </c>
      <c r="V147" s="16">
        <f t="shared" si="79"/>
        <v>0</v>
      </c>
      <c r="W147" s="16">
        <f t="shared" si="79"/>
        <v>0</v>
      </c>
      <c r="X147" s="16">
        <f t="shared" si="79"/>
        <v>0</v>
      </c>
      <c r="Y147" s="16">
        <f t="shared" si="79"/>
        <v>0</v>
      </c>
      <c r="Z147" s="16">
        <f t="shared" si="79"/>
        <v>0</v>
      </c>
      <c r="AA147" s="16">
        <f t="shared" si="79"/>
        <v>0</v>
      </c>
      <c r="AB147" s="16">
        <f t="shared" si="79"/>
        <v>0</v>
      </c>
      <c r="AC147" s="16">
        <f t="shared" si="79"/>
        <v>0</v>
      </c>
      <c r="AD147" s="16">
        <f t="shared" si="79"/>
        <v>0</v>
      </c>
      <c r="AE147" s="16">
        <f t="shared" si="79"/>
        <v>0</v>
      </c>
      <c r="AF147" s="16">
        <f t="shared" si="79"/>
        <v>0</v>
      </c>
      <c r="AG147" s="16">
        <f t="shared" si="79"/>
        <v>0</v>
      </c>
      <c r="AH147" s="16">
        <f t="shared" si="79"/>
        <v>0</v>
      </c>
      <c r="AI147" s="16">
        <f t="shared" si="79"/>
        <v>0</v>
      </c>
      <c r="AJ147" s="16">
        <f t="shared" si="79"/>
        <v>0</v>
      </c>
      <c r="AK147" s="16">
        <f t="shared" si="79"/>
        <v>0</v>
      </c>
      <c r="AL147" s="16">
        <f t="shared" si="79"/>
        <v>0</v>
      </c>
      <c r="AM147" s="16">
        <f t="shared" si="79"/>
        <v>0</v>
      </c>
      <c r="AN147" s="16">
        <f t="shared" si="79"/>
        <v>0</v>
      </c>
      <c r="AO147" s="16">
        <f t="shared" si="79"/>
        <v>0</v>
      </c>
      <c r="AP147" s="16">
        <f t="shared" si="79"/>
        <v>0</v>
      </c>
      <c r="AQ147" s="16">
        <f t="shared" si="79"/>
        <v>0</v>
      </c>
      <c r="AR147" s="16">
        <f t="shared" si="79"/>
        <v>0</v>
      </c>
      <c r="AS147" s="16">
        <f t="shared" si="79"/>
        <v>0</v>
      </c>
      <c r="AT147" s="16">
        <f t="shared" si="79"/>
        <v>0</v>
      </c>
      <c r="AU147" s="16">
        <f t="shared" si="79"/>
        <v>0</v>
      </c>
      <c r="AV147" s="16">
        <f t="shared" si="79"/>
        <v>0</v>
      </c>
      <c r="AW147" s="16">
        <f t="shared" si="79"/>
        <v>0</v>
      </c>
      <c r="AX147" s="16">
        <f t="shared" si="79"/>
        <v>0</v>
      </c>
      <c r="AY147" s="16">
        <f t="shared" si="79"/>
        <v>1.296008013540046</v>
      </c>
      <c r="AZ147" s="16">
        <f t="shared" si="79"/>
        <v>-1.5728504409539661</v>
      </c>
      <c r="BA147" s="16">
        <f t="shared" si="79"/>
        <v>1.2768424274139203</v>
      </c>
      <c r="BB147" s="16">
        <f t="shared" si="79"/>
        <v>0</v>
      </c>
      <c r="BC147" s="16">
        <f t="shared" si="79"/>
        <v>0</v>
      </c>
      <c r="BD147" s="16">
        <f t="shared" si="79"/>
        <v>0</v>
      </c>
      <c r="BE147" s="16">
        <f t="shared" si="79"/>
        <v>0</v>
      </c>
      <c r="BF147" s="16">
        <f t="shared" si="79"/>
        <v>0</v>
      </c>
      <c r="BG147" s="16">
        <f t="shared" si="79"/>
        <v>0</v>
      </c>
      <c r="BH147" s="16">
        <f t="shared" si="79"/>
        <v>0</v>
      </c>
      <c r="BI147" s="16">
        <f t="shared" si="79"/>
        <v>0</v>
      </c>
      <c r="BJ147" s="16">
        <f t="shared" si="79"/>
        <v>0</v>
      </c>
      <c r="BK147" s="16">
        <f t="shared" si="79"/>
        <v>0</v>
      </c>
      <c r="BL147" s="16">
        <f t="shared" si="79"/>
        <v>0</v>
      </c>
      <c r="BM147" s="16">
        <f t="shared" si="79"/>
        <v>0</v>
      </c>
      <c r="BN147" s="16">
        <f t="shared" si="79"/>
        <v>0</v>
      </c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</row>
    <row r="148" spans="6:94" customFormat="1" x14ac:dyDescent="0.25">
      <c r="F148" s="29"/>
      <c r="G148" s="29"/>
      <c r="H148" s="29"/>
      <c r="I148" s="29"/>
      <c r="J148" s="93"/>
      <c r="K148" s="1"/>
      <c r="L148" s="29"/>
      <c r="M148" s="1"/>
      <c r="N148" s="29"/>
      <c r="O148" s="9">
        <f t="shared" si="72"/>
        <v>13</v>
      </c>
      <c r="P148" s="16">
        <f t="shared" si="71"/>
        <v>0</v>
      </c>
      <c r="Q148" s="16">
        <f t="shared" si="79"/>
        <v>0</v>
      </c>
      <c r="R148" s="16">
        <f t="shared" si="79"/>
        <v>0</v>
      </c>
      <c r="S148" s="16">
        <f t="shared" si="79"/>
        <v>0</v>
      </c>
      <c r="T148" s="16">
        <f t="shared" si="79"/>
        <v>0</v>
      </c>
      <c r="U148" s="16">
        <f t="shared" si="79"/>
        <v>0</v>
      </c>
      <c r="V148" s="16">
        <f t="shared" si="79"/>
        <v>0</v>
      </c>
      <c r="W148" s="16">
        <f t="shared" si="79"/>
        <v>0</v>
      </c>
      <c r="X148" s="16">
        <f t="shared" si="79"/>
        <v>0</v>
      </c>
      <c r="Y148" s="16">
        <f t="shared" si="79"/>
        <v>0</v>
      </c>
      <c r="Z148" s="16">
        <f t="shared" si="79"/>
        <v>0</v>
      </c>
      <c r="AA148" s="16">
        <f t="shared" si="79"/>
        <v>0</v>
      </c>
      <c r="AB148" s="16">
        <f t="shared" si="79"/>
        <v>0</v>
      </c>
      <c r="AC148" s="16">
        <f t="shared" si="79"/>
        <v>0</v>
      </c>
      <c r="AD148" s="16">
        <f t="shared" si="79"/>
        <v>0</v>
      </c>
      <c r="AE148" s="16">
        <f t="shared" si="79"/>
        <v>0</v>
      </c>
      <c r="AF148" s="16">
        <f t="shared" si="79"/>
        <v>0</v>
      </c>
      <c r="AG148" s="16">
        <f t="shared" si="79"/>
        <v>0</v>
      </c>
      <c r="AH148" s="16">
        <f t="shared" si="79"/>
        <v>0</v>
      </c>
      <c r="AI148" s="16">
        <f t="shared" si="79"/>
        <v>0</v>
      </c>
      <c r="AJ148" s="16">
        <f t="shared" si="79"/>
        <v>0</v>
      </c>
      <c r="AK148" s="16">
        <f t="shared" si="79"/>
        <v>0</v>
      </c>
      <c r="AL148" s="16">
        <f t="shared" si="79"/>
        <v>0</v>
      </c>
      <c r="AM148" s="16">
        <f t="shared" si="79"/>
        <v>0</v>
      </c>
      <c r="AN148" s="16">
        <f t="shared" si="79"/>
        <v>0</v>
      </c>
      <c r="AO148" s="16">
        <f t="shared" si="79"/>
        <v>0</v>
      </c>
      <c r="AP148" s="16">
        <f t="shared" si="79"/>
        <v>0</v>
      </c>
      <c r="AQ148" s="16">
        <f t="shared" si="79"/>
        <v>0</v>
      </c>
      <c r="AR148" s="16">
        <f t="shared" si="79"/>
        <v>0</v>
      </c>
      <c r="AS148" s="16">
        <f t="shared" si="79"/>
        <v>0</v>
      </c>
      <c r="AT148" s="16">
        <f t="shared" si="79"/>
        <v>0</v>
      </c>
      <c r="AU148" s="16">
        <f t="shared" si="79"/>
        <v>0</v>
      </c>
      <c r="AV148" s="16">
        <f t="shared" si="79"/>
        <v>0</v>
      </c>
      <c r="AW148" s="16">
        <f t="shared" si="79"/>
        <v>0</v>
      </c>
      <c r="AX148" s="16">
        <f t="shared" si="79"/>
        <v>0</v>
      </c>
      <c r="AY148" s="16">
        <f t="shared" si="79"/>
        <v>0</v>
      </c>
      <c r="AZ148" s="16">
        <f t="shared" si="79"/>
        <v>1.2160813912503075</v>
      </c>
      <c r="BA148" s="16">
        <f t="shared" si="79"/>
        <v>-1.4138495575393089</v>
      </c>
      <c r="BB148" s="16">
        <f t="shared" si="79"/>
        <v>1.1977681662890014</v>
      </c>
      <c r="BC148" s="16">
        <f t="shared" si="79"/>
        <v>0</v>
      </c>
      <c r="BD148" s="16">
        <f t="shared" si="79"/>
        <v>0</v>
      </c>
      <c r="BE148" s="16">
        <f t="shared" si="79"/>
        <v>0</v>
      </c>
      <c r="BF148" s="16">
        <f t="shared" si="79"/>
        <v>0</v>
      </c>
      <c r="BG148" s="16">
        <f t="shared" si="79"/>
        <v>0</v>
      </c>
      <c r="BH148" s="16">
        <f t="shared" si="79"/>
        <v>0</v>
      </c>
      <c r="BI148" s="16">
        <f t="shared" si="79"/>
        <v>0</v>
      </c>
      <c r="BJ148" s="16">
        <f t="shared" si="79"/>
        <v>0</v>
      </c>
      <c r="BK148" s="16">
        <f t="shared" si="79"/>
        <v>0</v>
      </c>
      <c r="BL148" s="16">
        <f t="shared" si="79"/>
        <v>0</v>
      </c>
      <c r="BM148" s="16">
        <f t="shared" si="79"/>
        <v>0</v>
      </c>
      <c r="BN148" s="16">
        <f t="shared" si="79"/>
        <v>0</v>
      </c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</row>
    <row r="149" spans="6:94" customFormat="1" x14ac:dyDescent="0.25">
      <c r="F149" s="29"/>
      <c r="G149" s="29"/>
      <c r="H149" s="29"/>
      <c r="I149" s="29"/>
      <c r="J149" s="93"/>
      <c r="K149" s="1"/>
      <c r="L149" s="29"/>
      <c r="M149" s="1"/>
      <c r="N149" s="29"/>
      <c r="O149" s="9">
        <f t="shared" si="72"/>
        <v>12</v>
      </c>
      <c r="P149" s="16">
        <f t="shared" si="71"/>
        <v>0</v>
      </c>
      <c r="Q149" s="16">
        <f t="shared" si="79"/>
        <v>0</v>
      </c>
      <c r="R149" s="16">
        <f t="shared" si="79"/>
        <v>0</v>
      </c>
      <c r="S149" s="16">
        <f t="shared" si="79"/>
        <v>0</v>
      </c>
      <c r="T149" s="16">
        <f t="shared" si="79"/>
        <v>0</v>
      </c>
      <c r="U149" s="16">
        <f t="shared" si="79"/>
        <v>0</v>
      </c>
      <c r="V149" s="16">
        <f t="shared" si="79"/>
        <v>0</v>
      </c>
      <c r="W149" s="16">
        <f t="shared" si="79"/>
        <v>0</v>
      </c>
      <c r="X149" s="16">
        <f t="shared" si="79"/>
        <v>0</v>
      </c>
      <c r="Y149" s="16">
        <f t="shared" si="79"/>
        <v>0</v>
      </c>
      <c r="Z149" s="16">
        <f t="shared" si="79"/>
        <v>0</v>
      </c>
      <c r="AA149" s="16">
        <f t="shared" si="79"/>
        <v>0</v>
      </c>
      <c r="AB149" s="16">
        <f t="shared" si="79"/>
        <v>0</v>
      </c>
      <c r="AC149" s="16">
        <f t="shared" si="79"/>
        <v>0</v>
      </c>
      <c r="AD149" s="16">
        <f t="shared" si="79"/>
        <v>0</v>
      </c>
      <c r="AE149" s="16">
        <f t="shared" si="79"/>
        <v>0</v>
      </c>
      <c r="AF149" s="16">
        <f t="shared" si="79"/>
        <v>0</v>
      </c>
      <c r="AG149" s="16">
        <f t="shared" si="79"/>
        <v>0</v>
      </c>
      <c r="AH149" s="16">
        <f t="shared" si="79"/>
        <v>0</v>
      </c>
      <c r="AI149" s="16">
        <f t="shared" si="79"/>
        <v>0</v>
      </c>
      <c r="AJ149" s="16">
        <f t="shared" si="79"/>
        <v>0</v>
      </c>
      <c r="AK149" s="16">
        <f t="shared" si="79"/>
        <v>0</v>
      </c>
      <c r="AL149" s="16">
        <f t="shared" si="79"/>
        <v>0</v>
      </c>
      <c r="AM149" s="16">
        <f t="shared" si="79"/>
        <v>0</v>
      </c>
      <c r="AN149" s="16">
        <f t="shared" si="79"/>
        <v>0</v>
      </c>
      <c r="AO149" s="16">
        <f t="shared" si="79"/>
        <v>0</v>
      </c>
      <c r="AP149" s="16">
        <f t="shared" si="79"/>
        <v>0</v>
      </c>
      <c r="AQ149" s="16">
        <f t="shared" si="79"/>
        <v>0</v>
      </c>
      <c r="AR149" s="16">
        <f t="shared" si="79"/>
        <v>0</v>
      </c>
      <c r="AS149" s="16">
        <f t="shared" si="79"/>
        <v>0</v>
      </c>
      <c r="AT149" s="16">
        <f t="shared" si="79"/>
        <v>0</v>
      </c>
      <c r="AU149" s="16">
        <f t="shared" si="79"/>
        <v>0</v>
      </c>
      <c r="AV149" s="16">
        <f t="shared" si="79"/>
        <v>0</v>
      </c>
      <c r="AW149" s="16">
        <f t="shared" si="79"/>
        <v>0</v>
      </c>
      <c r="AX149" s="16">
        <f t="shared" si="79"/>
        <v>0</v>
      </c>
      <c r="AY149" s="16">
        <f t="shared" si="79"/>
        <v>0</v>
      </c>
      <c r="AZ149" s="16">
        <f t="shared" si="79"/>
        <v>0</v>
      </c>
      <c r="BA149" s="16">
        <f t="shared" si="79"/>
        <v>1.138703876628405</v>
      </c>
      <c r="BB149" s="16">
        <f t="shared" si="79"/>
        <v>-1.2599197050214119</v>
      </c>
      <c r="BC149" s="16">
        <f t="shared" si="79"/>
        <v>1.1212158283930069</v>
      </c>
      <c r="BD149" s="16">
        <f t="shared" si="79"/>
        <v>0</v>
      </c>
      <c r="BE149" s="16">
        <f t="shared" si="79"/>
        <v>0</v>
      </c>
      <c r="BF149" s="16">
        <f t="shared" si="79"/>
        <v>0</v>
      </c>
      <c r="BG149" s="16">
        <f t="shared" si="79"/>
        <v>0</v>
      </c>
      <c r="BH149" s="16">
        <f t="shared" si="79"/>
        <v>0</v>
      </c>
      <c r="BI149" s="16">
        <f t="shared" si="79"/>
        <v>0</v>
      </c>
      <c r="BJ149" s="16">
        <f t="shared" si="79"/>
        <v>0</v>
      </c>
      <c r="BK149" s="16">
        <f t="shared" si="79"/>
        <v>0</v>
      </c>
      <c r="BL149" s="16">
        <f t="shared" si="79"/>
        <v>0</v>
      </c>
      <c r="BM149" s="16">
        <f t="shared" si="79"/>
        <v>0</v>
      </c>
      <c r="BN149" s="16">
        <f t="shared" si="79"/>
        <v>0</v>
      </c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</row>
    <row r="150" spans="6:94" customFormat="1" x14ac:dyDescent="0.25">
      <c r="F150" s="29"/>
      <c r="G150" s="29"/>
      <c r="H150" s="29"/>
      <c r="I150" s="29"/>
      <c r="J150" s="93"/>
      <c r="K150" s="1"/>
      <c r="L150" s="29"/>
      <c r="M150" s="1"/>
      <c r="N150" s="29"/>
      <c r="O150" s="9">
        <f t="shared" si="72"/>
        <v>11</v>
      </c>
      <c r="P150" s="16">
        <f t="shared" si="71"/>
        <v>0</v>
      </c>
      <c r="Q150" s="16">
        <f t="shared" si="79"/>
        <v>0</v>
      </c>
      <c r="R150" s="16">
        <f t="shared" si="79"/>
        <v>0</v>
      </c>
      <c r="S150" s="16">
        <f t="shared" si="79"/>
        <v>0</v>
      </c>
      <c r="T150" s="16">
        <f t="shared" si="79"/>
        <v>0</v>
      </c>
      <c r="U150" s="16">
        <f t="shared" si="79"/>
        <v>0</v>
      </c>
      <c r="V150" s="16">
        <f t="shared" si="79"/>
        <v>0</v>
      </c>
      <c r="W150" s="16">
        <f t="shared" si="79"/>
        <v>0</v>
      </c>
      <c r="X150" s="16">
        <f t="shared" si="79"/>
        <v>0</v>
      </c>
      <c r="Y150" s="16">
        <f t="shared" si="79"/>
        <v>0</v>
      </c>
      <c r="Z150" s="16">
        <f t="shared" si="79"/>
        <v>0</v>
      </c>
      <c r="AA150" s="16">
        <f t="shared" si="79"/>
        <v>0</v>
      </c>
      <c r="AB150" s="16">
        <f t="shared" si="79"/>
        <v>0</v>
      </c>
      <c r="AC150" s="16">
        <f t="shared" si="79"/>
        <v>0</v>
      </c>
      <c r="AD150" s="16">
        <f t="shared" si="79"/>
        <v>0</v>
      </c>
      <c r="AE150" s="16">
        <f t="shared" si="79"/>
        <v>0</v>
      </c>
      <c r="AF150" s="16">
        <f t="shared" si="79"/>
        <v>0</v>
      </c>
      <c r="AG150" s="16">
        <f t="shared" si="79"/>
        <v>0</v>
      </c>
      <c r="AH150" s="16">
        <f t="shared" si="79"/>
        <v>0</v>
      </c>
      <c r="AI150" s="16">
        <f t="shared" si="79"/>
        <v>0</v>
      </c>
      <c r="AJ150" s="16">
        <f t="shared" si="79"/>
        <v>0</v>
      </c>
      <c r="AK150" s="16">
        <f t="shared" si="79"/>
        <v>0</v>
      </c>
      <c r="AL150" s="16">
        <f t="shared" si="79"/>
        <v>0</v>
      </c>
      <c r="AM150" s="16">
        <f t="shared" si="79"/>
        <v>0</v>
      </c>
      <c r="AN150" s="16">
        <f t="shared" si="79"/>
        <v>0</v>
      </c>
      <c r="AO150" s="16">
        <f t="shared" si="79"/>
        <v>0</v>
      </c>
      <c r="AP150" s="16">
        <f t="shared" si="79"/>
        <v>0</v>
      </c>
      <c r="AQ150" s="16">
        <f t="shared" si="79"/>
        <v>0</v>
      </c>
      <c r="AR150" s="16">
        <f t="shared" si="79"/>
        <v>0</v>
      </c>
      <c r="AS150" s="16">
        <f t="shared" si="79"/>
        <v>0</v>
      </c>
      <c r="AT150" s="16">
        <f t="shared" si="79"/>
        <v>0</v>
      </c>
      <c r="AU150" s="16">
        <f t="shared" si="79"/>
        <v>0</v>
      </c>
      <c r="AV150" s="16">
        <f t="shared" si="79"/>
        <v>0</v>
      </c>
      <c r="AW150" s="16">
        <f t="shared" si="79"/>
        <v>0</v>
      </c>
      <c r="AX150" s="16">
        <f t="shared" si="79"/>
        <v>0</v>
      </c>
      <c r="AY150" s="16">
        <f t="shared" si="79"/>
        <v>0</v>
      </c>
      <c r="AZ150" s="16">
        <f t="shared" si="79"/>
        <v>0</v>
      </c>
      <c r="BA150" s="16">
        <f t="shared" si="79"/>
        <v>0</v>
      </c>
      <c r="BB150" s="16">
        <f t="shared" si="79"/>
        <v>1.0638754696743375</v>
      </c>
      <c r="BC150" s="16">
        <f t="shared" si="79"/>
        <v>-1.1110608834002749</v>
      </c>
      <c r="BD150" s="16">
        <f t="shared" si="79"/>
        <v>1.0471854137259371</v>
      </c>
      <c r="BE150" s="16">
        <f t="shared" si="79"/>
        <v>0</v>
      </c>
      <c r="BF150" s="16">
        <f t="shared" si="79"/>
        <v>0</v>
      </c>
      <c r="BG150" s="16">
        <f t="shared" si="79"/>
        <v>0</v>
      </c>
      <c r="BH150" s="16">
        <f t="shared" si="79"/>
        <v>0</v>
      </c>
      <c r="BI150" s="16">
        <f t="shared" si="79"/>
        <v>0</v>
      </c>
      <c r="BJ150" s="16">
        <f t="shared" si="79"/>
        <v>0</v>
      </c>
      <c r="BK150" s="16">
        <f t="shared" si="79"/>
        <v>0</v>
      </c>
      <c r="BL150" s="16">
        <f t="shared" si="79"/>
        <v>0</v>
      </c>
      <c r="BM150" s="16">
        <f t="shared" si="79"/>
        <v>0</v>
      </c>
      <c r="BN150" s="16">
        <f t="shared" si="79"/>
        <v>0</v>
      </c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</row>
    <row r="151" spans="6:94" customFormat="1" x14ac:dyDescent="0.25">
      <c r="F151" s="29"/>
      <c r="G151" s="29"/>
      <c r="H151" s="29"/>
      <c r="I151" s="29"/>
      <c r="J151" s="93"/>
      <c r="K151" s="1"/>
      <c r="L151" s="29"/>
      <c r="M151" s="1"/>
      <c r="N151" s="29"/>
      <c r="O151" s="9">
        <f t="shared" si="72"/>
        <v>10</v>
      </c>
      <c r="P151" s="16">
        <f t="shared" si="71"/>
        <v>0</v>
      </c>
      <c r="Q151" s="16">
        <f t="shared" si="79"/>
        <v>0</v>
      </c>
      <c r="R151" s="16">
        <f t="shared" si="79"/>
        <v>0</v>
      </c>
      <c r="S151" s="16">
        <f t="shared" si="79"/>
        <v>0</v>
      </c>
      <c r="T151" s="16">
        <f t="shared" si="79"/>
        <v>0</v>
      </c>
      <c r="U151" s="16">
        <f t="shared" si="79"/>
        <v>0</v>
      </c>
      <c r="V151" s="16">
        <f t="shared" si="79"/>
        <v>0</v>
      </c>
      <c r="W151" s="16">
        <f t="shared" si="79"/>
        <v>0</v>
      </c>
      <c r="X151" s="16">
        <f t="shared" si="79"/>
        <v>0</v>
      </c>
      <c r="Y151" s="16">
        <f t="shared" si="79"/>
        <v>0</v>
      </c>
      <c r="Z151" s="16">
        <f t="shared" si="79"/>
        <v>0</v>
      </c>
      <c r="AA151" s="16">
        <f t="shared" si="79"/>
        <v>0</v>
      </c>
      <c r="AB151" s="16">
        <f t="shared" si="79"/>
        <v>0</v>
      </c>
      <c r="AC151" s="16">
        <f t="shared" si="79"/>
        <v>0</v>
      </c>
      <c r="AD151" s="16">
        <f t="shared" si="79"/>
        <v>0</v>
      </c>
      <c r="AE151" s="16">
        <f t="shared" si="79"/>
        <v>0</v>
      </c>
      <c r="AF151" s="16">
        <f t="shared" si="79"/>
        <v>0</v>
      </c>
      <c r="AG151" s="16">
        <f t="shared" si="79"/>
        <v>0</v>
      </c>
      <c r="AH151" s="16">
        <f t="shared" si="79"/>
        <v>0</v>
      </c>
      <c r="AI151" s="16">
        <f t="shared" si="79"/>
        <v>0</v>
      </c>
      <c r="AJ151" s="16">
        <f t="shared" si="79"/>
        <v>0</v>
      </c>
      <c r="AK151" s="16">
        <f t="shared" si="79"/>
        <v>0</v>
      </c>
      <c r="AL151" s="16">
        <f t="shared" si="79"/>
        <v>0</v>
      </c>
      <c r="AM151" s="16">
        <f t="shared" si="79"/>
        <v>0</v>
      </c>
      <c r="AN151" s="16">
        <f t="shared" si="79"/>
        <v>0</v>
      </c>
      <c r="AO151" s="16">
        <f t="shared" si="79"/>
        <v>0</v>
      </c>
      <c r="AP151" s="16">
        <f t="shared" si="79"/>
        <v>0</v>
      </c>
      <c r="AQ151" s="16">
        <f t="shared" si="79"/>
        <v>0</v>
      </c>
      <c r="AR151" s="16">
        <f t="shared" si="79"/>
        <v>0</v>
      </c>
      <c r="AS151" s="16">
        <f t="shared" si="79"/>
        <v>0</v>
      </c>
      <c r="AT151" s="16">
        <f t="shared" si="79"/>
        <v>0</v>
      </c>
      <c r="AU151" s="16">
        <f t="shared" si="79"/>
        <v>0</v>
      </c>
      <c r="AV151" s="16">
        <f t="shared" si="79"/>
        <v>0</v>
      </c>
      <c r="AW151" s="16">
        <f t="shared" si="79"/>
        <v>0</v>
      </c>
      <c r="AX151" s="16">
        <f t="shared" si="79"/>
        <v>0</v>
      </c>
      <c r="AY151" s="16">
        <f t="shared" si="79"/>
        <v>0</v>
      </c>
      <c r="AZ151" s="16">
        <f t="shared" si="79"/>
        <v>0</v>
      </c>
      <c r="BA151" s="16">
        <f t="shared" si="79"/>
        <v>0</v>
      </c>
      <c r="BB151" s="16">
        <f t="shared" si="79"/>
        <v>0</v>
      </c>
      <c r="BC151" s="16">
        <f t="shared" si="79"/>
        <v>0.99159617038810532</v>
      </c>
      <c r="BD151" s="16">
        <f t="shared" si="79"/>
        <v>-0.96727309267589634</v>
      </c>
      <c r="BE151" s="16">
        <f t="shared" si="79"/>
        <v>0.97567692228779102</v>
      </c>
      <c r="BF151" s="16">
        <f t="shared" si="79"/>
        <v>0</v>
      </c>
      <c r="BG151" s="16">
        <f t="shared" si="79"/>
        <v>0</v>
      </c>
      <c r="BH151" s="16">
        <f t="shared" si="79"/>
        <v>0</v>
      </c>
      <c r="BI151" s="16">
        <f t="shared" si="79"/>
        <v>0</v>
      </c>
      <c r="BJ151" s="16">
        <f t="shared" si="79"/>
        <v>0</v>
      </c>
      <c r="BK151" s="16">
        <f t="shared" si="79"/>
        <v>0</v>
      </c>
      <c r="BL151" s="16">
        <f t="shared" si="79"/>
        <v>0</v>
      </c>
      <c r="BM151" s="16">
        <f t="shared" si="79"/>
        <v>0</v>
      </c>
      <c r="BN151" s="16">
        <f t="shared" si="79"/>
        <v>0</v>
      </c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</row>
    <row r="152" spans="6:94" customFormat="1" x14ac:dyDescent="0.25">
      <c r="F152" s="29"/>
      <c r="G152" s="29"/>
      <c r="H152" s="29"/>
      <c r="I152" s="29"/>
      <c r="J152" s="93"/>
      <c r="K152" s="1"/>
      <c r="L152" s="29"/>
      <c r="M152" s="1"/>
      <c r="N152" s="29"/>
      <c r="O152" s="9">
        <f t="shared" si="72"/>
        <v>9</v>
      </c>
      <c r="P152" s="16">
        <f t="shared" si="71"/>
        <v>0</v>
      </c>
      <c r="Q152" s="16">
        <f t="shared" si="79"/>
        <v>0</v>
      </c>
      <c r="R152" s="16">
        <f t="shared" si="79"/>
        <v>0</v>
      </c>
      <c r="S152" s="16">
        <f t="shared" si="79"/>
        <v>0</v>
      </c>
      <c r="T152" s="16">
        <f t="shared" si="79"/>
        <v>0</v>
      </c>
      <c r="U152" s="16">
        <f t="shared" si="79"/>
        <v>0</v>
      </c>
      <c r="V152" s="16">
        <f t="shared" ref="Q152:BN157" si="80">IF(V$110=$O152,V$108*HLOOKUP($O152,$O$14:$BN$48,V$107,0)+1,IF(V$110-$O152=1,V$108*HLOOKUP($O152,$O$11:$BN$28,V$107,0),IF(V$110-$O152=-1,V$108*HLOOKUP($O152,$O$17:$BN$68,V$107,0),0)))</f>
        <v>0</v>
      </c>
      <c r="W152" s="16">
        <f t="shared" si="80"/>
        <v>0</v>
      </c>
      <c r="X152" s="16">
        <f t="shared" si="80"/>
        <v>0</v>
      </c>
      <c r="Y152" s="16">
        <f t="shared" si="80"/>
        <v>0</v>
      </c>
      <c r="Z152" s="16">
        <f t="shared" si="80"/>
        <v>0</v>
      </c>
      <c r="AA152" s="16">
        <f t="shared" si="80"/>
        <v>0</v>
      </c>
      <c r="AB152" s="16">
        <f t="shared" si="80"/>
        <v>0</v>
      </c>
      <c r="AC152" s="16">
        <f t="shared" si="80"/>
        <v>0</v>
      </c>
      <c r="AD152" s="16">
        <f t="shared" si="80"/>
        <v>0</v>
      </c>
      <c r="AE152" s="16">
        <f t="shared" si="80"/>
        <v>0</v>
      </c>
      <c r="AF152" s="16">
        <f t="shared" si="80"/>
        <v>0</v>
      </c>
      <c r="AG152" s="16">
        <f t="shared" si="80"/>
        <v>0</v>
      </c>
      <c r="AH152" s="16">
        <f t="shared" si="80"/>
        <v>0</v>
      </c>
      <c r="AI152" s="16">
        <f t="shared" si="80"/>
        <v>0</v>
      </c>
      <c r="AJ152" s="16">
        <f t="shared" si="80"/>
        <v>0</v>
      </c>
      <c r="AK152" s="16">
        <f t="shared" si="80"/>
        <v>0</v>
      </c>
      <c r="AL152" s="16">
        <f t="shared" si="80"/>
        <v>0</v>
      </c>
      <c r="AM152" s="16">
        <f t="shared" si="80"/>
        <v>0</v>
      </c>
      <c r="AN152" s="16">
        <f t="shared" si="80"/>
        <v>0</v>
      </c>
      <c r="AO152" s="16">
        <f t="shared" si="80"/>
        <v>0</v>
      </c>
      <c r="AP152" s="16">
        <f t="shared" si="80"/>
        <v>0</v>
      </c>
      <c r="AQ152" s="16">
        <f t="shared" si="80"/>
        <v>0</v>
      </c>
      <c r="AR152" s="16">
        <f t="shared" si="80"/>
        <v>0</v>
      </c>
      <c r="AS152" s="16">
        <f t="shared" si="80"/>
        <v>0</v>
      </c>
      <c r="AT152" s="16">
        <f t="shared" si="80"/>
        <v>0</v>
      </c>
      <c r="AU152" s="16">
        <f t="shared" si="80"/>
        <v>0</v>
      </c>
      <c r="AV152" s="16">
        <f t="shared" si="80"/>
        <v>0</v>
      </c>
      <c r="AW152" s="16">
        <f t="shared" si="80"/>
        <v>0</v>
      </c>
      <c r="AX152" s="16">
        <f t="shared" si="80"/>
        <v>0</v>
      </c>
      <c r="AY152" s="16">
        <f t="shared" si="80"/>
        <v>0</v>
      </c>
      <c r="AZ152" s="16">
        <f t="shared" si="80"/>
        <v>0</v>
      </c>
      <c r="BA152" s="16">
        <f t="shared" si="80"/>
        <v>0</v>
      </c>
      <c r="BB152" s="16">
        <f t="shared" si="80"/>
        <v>0</v>
      </c>
      <c r="BC152" s="16">
        <f t="shared" si="80"/>
        <v>0</v>
      </c>
      <c r="BD152" s="16">
        <f t="shared" si="80"/>
        <v>0.92186597876970289</v>
      </c>
      <c r="BE152" s="16">
        <f t="shared" si="80"/>
        <v>-0.8285563328482668</v>
      </c>
      <c r="BF152" s="16">
        <f t="shared" si="80"/>
        <v>0.9066903540785638</v>
      </c>
      <c r="BG152" s="16">
        <f t="shared" si="80"/>
        <v>0</v>
      </c>
      <c r="BH152" s="16">
        <f t="shared" si="80"/>
        <v>0</v>
      </c>
      <c r="BI152" s="16">
        <f t="shared" si="80"/>
        <v>0</v>
      </c>
      <c r="BJ152" s="16">
        <f t="shared" si="80"/>
        <v>0</v>
      </c>
      <c r="BK152" s="16">
        <f t="shared" si="80"/>
        <v>0</v>
      </c>
      <c r="BL152" s="16">
        <f t="shared" si="80"/>
        <v>0</v>
      </c>
      <c r="BM152" s="16">
        <f t="shared" si="80"/>
        <v>0</v>
      </c>
      <c r="BN152" s="16">
        <f t="shared" si="80"/>
        <v>0</v>
      </c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</row>
    <row r="153" spans="6:94" customFormat="1" x14ac:dyDescent="0.25">
      <c r="F153" s="29"/>
      <c r="G153" s="29"/>
      <c r="H153" s="29"/>
      <c r="I153" s="29"/>
      <c r="J153" s="93"/>
      <c r="K153" s="1"/>
      <c r="L153" s="29"/>
      <c r="M153" s="1"/>
      <c r="N153" s="29"/>
      <c r="O153" s="9">
        <f t="shared" si="72"/>
        <v>8</v>
      </c>
      <c r="P153" s="16">
        <f t="shared" si="71"/>
        <v>0</v>
      </c>
      <c r="Q153" s="16">
        <f t="shared" si="80"/>
        <v>0</v>
      </c>
      <c r="R153" s="16">
        <f t="shared" si="80"/>
        <v>0</v>
      </c>
      <c r="S153" s="16">
        <f t="shared" si="80"/>
        <v>0</v>
      </c>
      <c r="T153" s="16">
        <f t="shared" si="80"/>
        <v>0</v>
      </c>
      <c r="U153" s="16">
        <f t="shared" si="80"/>
        <v>0</v>
      </c>
      <c r="V153" s="16">
        <f t="shared" si="80"/>
        <v>0</v>
      </c>
      <c r="W153" s="16">
        <f t="shared" si="80"/>
        <v>0</v>
      </c>
      <c r="X153" s="16">
        <f t="shared" si="80"/>
        <v>0</v>
      </c>
      <c r="Y153" s="16">
        <f t="shared" si="80"/>
        <v>0</v>
      </c>
      <c r="Z153" s="16">
        <f t="shared" si="80"/>
        <v>0</v>
      </c>
      <c r="AA153" s="16">
        <f t="shared" si="80"/>
        <v>0</v>
      </c>
      <c r="AB153" s="16">
        <f t="shared" si="80"/>
        <v>0</v>
      </c>
      <c r="AC153" s="16">
        <f t="shared" si="80"/>
        <v>0</v>
      </c>
      <c r="AD153" s="16">
        <f t="shared" si="80"/>
        <v>0</v>
      </c>
      <c r="AE153" s="16">
        <f t="shared" si="80"/>
        <v>0</v>
      </c>
      <c r="AF153" s="16">
        <f t="shared" si="80"/>
        <v>0</v>
      </c>
      <c r="AG153" s="16">
        <f t="shared" si="80"/>
        <v>0</v>
      </c>
      <c r="AH153" s="16">
        <f t="shared" si="80"/>
        <v>0</v>
      </c>
      <c r="AI153" s="16">
        <f t="shared" si="80"/>
        <v>0</v>
      </c>
      <c r="AJ153" s="16">
        <f t="shared" si="80"/>
        <v>0</v>
      </c>
      <c r="AK153" s="16">
        <f t="shared" si="80"/>
        <v>0</v>
      </c>
      <c r="AL153" s="16">
        <f t="shared" si="80"/>
        <v>0</v>
      </c>
      <c r="AM153" s="16">
        <f t="shared" si="80"/>
        <v>0</v>
      </c>
      <c r="AN153" s="16">
        <f t="shared" si="80"/>
        <v>0</v>
      </c>
      <c r="AO153" s="16">
        <f t="shared" si="80"/>
        <v>0</v>
      </c>
      <c r="AP153" s="16">
        <f t="shared" si="80"/>
        <v>0</v>
      </c>
      <c r="AQ153" s="16">
        <f t="shared" si="80"/>
        <v>0</v>
      </c>
      <c r="AR153" s="16">
        <f t="shared" si="80"/>
        <v>0</v>
      </c>
      <c r="AS153" s="16">
        <f t="shared" si="80"/>
        <v>0</v>
      </c>
      <c r="AT153" s="16">
        <f t="shared" si="80"/>
        <v>0</v>
      </c>
      <c r="AU153" s="16">
        <f t="shared" si="80"/>
        <v>0</v>
      </c>
      <c r="AV153" s="16">
        <f t="shared" si="80"/>
        <v>0</v>
      </c>
      <c r="AW153" s="16">
        <f t="shared" si="80"/>
        <v>0</v>
      </c>
      <c r="AX153" s="16">
        <f t="shared" si="80"/>
        <v>0</v>
      </c>
      <c r="AY153" s="16">
        <f t="shared" si="80"/>
        <v>0</v>
      </c>
      <c r="AZ153" s="16">
        <f t="shared" si="80"/>
        <v>0</v>
      </c>
      <c r="BA153" s="16">
        <f t="shared" si="80"/>
        <v>0</v>
      </c>
      <c r="BB153" s="16">
        <f t="shared" si="80"/>
        <v>0</v>
      </c>
      <c r="BC153" s="16">
        <f t="shared" si="80"/>
        <v>0</v>
      </c>
      <c r="BD153" s="16">
        <f t="shared" si="80"/>
        <v>0</v>
      </c>
      <c r="BE153" s="16">
        <f t="shared" si="80"/>
        <v>0.85468489481914167</v>
      </c>
      <c r="BF153" s="16">
        <f t="shared" si="80"/>
        <v>-0.69491060391740822</v>
      </c>
      <c r="BG153" s="16">
        <f t="shared" si="80"/>
        <v>0.84022570909826655</v>
      </c>
      <c r="BH153" s="16">
        <f t="shared" si="80"/>
        <v>0</v>
      </c>
      <c r="BI153" s="16">
        <f t="shared" si="80"/>
        <v>0</v>
      </c>
      <c r="BJ153" s="16">
        <f t="shared" si="80"/>
        <v>0</v>
      </c>
      <c r="BK153" s="16">
        <f t="shared" si="80"/>
        <v>0</v>
      </c>
      <c r="BL153" s="16">
        <f t="shared" si="80"/>
        <v>0</v>
      </c>
      <c r="BM153" s="16">
        <f t="shared" si="80"/>
        <v>0</v>
      </c>
      <c r="BN153" s="16">
        <f t="shared" si="80"/>
        <v>0</v>
      </c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</row>
    <row r="154" spans="6:94" customFormat="1" x14ac:dyDescent="0.25">
      <c r="F154" s="29"/>
      <c r="G154" s="29"/>
      <c r="H154" s="29"/>
      <c r="I154" s="29"/>
      <c r="J154" s="93"/>
      <c r="K154" s="1"/>
      <c r="L154" s="29"/>
      <c r="M154" s="1"/>
      <c r="N154" s="29"/>
      <c r="O154" s="9">
        <f t="shared" si="72"/>
        <v>7</v>
      </c>
      <c r="P154" s="16">
        <f t="shared" si="71"/>
        <v>0</v>
      </c>
      <c r="Q154" s="16">
        <f t="shared" si="80"/>
        <v>0</v>
      </c>
      <c r="R154" s="16">
        <f t="shared" si="80"/>
        <v>0</v>
      </c>
      <c r="S154" s="16">
        <f t="shared" si="80"/>
        <v>0</v>
      </c>
      <c r="T154" s="16">
        <f t="shared" si="80"/>
        <v>0</v>
      </c>
      <c r="U154" s="16">
        <f t="shared" si="80"/>
        <v>0</v>
      </c>
      <c r="V154" s="16">
        <f t="shared" si="80"/>
        <v>0</v>
      </c>
      <c r="W154" s="16">
        <f t="shared" si="80"/>
        <v>0</v>
      </c>
      <c r="X154" s="16">
        <f t="shared" si="80"/>
        <v>0</v>
      </c>
      <c r="Y154" s="16">
        <f t="shared" si="80"/>
        <v>0</v>
      </c>
      <c r="Z154" s="16">
        <f t="shared" si="80"/>
        <v>0</v>
      </c>
      <c r="AA154" s="16">
        <f t="shared" si="80"/>
        <v>0</v>
      </c>
      <c r="AB154" s="16">
        <f t="shared" si="80"/>
        <v>0</v>
      </c>
      <c r="AC154" s="16">
        <f t="shared" si="80"/>
        <v>0</v>
      </c>
      <c r="AD154" s="16">
        <f t="shared" si="80"/>
        <v>0</v>
      </c>
      <c r="AE154" s="16">
        <f t="shared" si="80"/>
        <v>0</v>
      </c>
      <c r="AF154" s="16">
        <f t="shared" si="80"/>
        <v>0</v>
      </c>
      <c r="AG154" s="16">
        <f t="shared" si="80"/>
        <v>0</v>
      </c>
      <c r="AH154" s="16">
        <f t="shared" si="80"/>
        <v>0</v>
      </c>
      <c r="AI154" s="16">
        <f t="shared" si="80"/>
        <v>0</v>
      </c>
      <c r="AJ154" s="16">
        <f t="shared" si="80"/>
        <v>0</v>
      </c>
      <c r="AK154" s="16">
        <f t="shared" si="80"/>
        <v>0</v>
      </c>
      <c r="AL154" s="16">
        <f t="shared" si="80"/>
        <v>0</v>
      </c>
      <c r="AM154" s="16">
        <f t="shared" si="80"/>
        <v>0</v>
      </c>
      <c r="AN154" s="16">
        <f t="shared" si="80"/>
        <v>0</v>
      </c>
      <c r="AO154" s="16">
        <f t="shared" si="80"/>
        <v>0</v>
      </c>
      <c r="AP154" s="16">
        <f t="shared" si="80"/>
        <v>0</v>
      </c>
      <c r="AQ154" s="16">
        <f t="shared" si="80"/>
        <v>0</v>
      </c>
      <c r="AR154" s="16">
        <f t="shared" si="80"/>
        <v>0</v>
      </c>
      <c r="AS154" s="16">
        <f t="shared" si="80"/>
        <v>0</v>
      </c>
      <c r="AT154" s="16">
        <f t="shared" si="80"/>
        <v>0</v>
      </c>
      <c r="AU154" s="16">
        <f t="shared" si="80"/>
        <v>0</v>
      </c>
      <c r="AV154" s="16">
        <f t="shared" si="80"/>
        <v>0</v>
      </c>
      <c r="AW154" s="16">
        <f t="shared" si="80"/>
        <v>0</v>
      </c>
      <c r="AX154" s="16">
        <f t="shared" si="80"/>
        <v>0</v>
      </c>
      <c r="AY154" s="16">
        <f t="shared" si="80"/>
        <v>0</v>
      </c>
      <c r="AZ154" s="16">
        <f t="shared" si="80"/>
        <v>0</v>
      </c>
      <c r="BA154" s="16">
        <f t="shared" si="80"/>
        <v>0</v>
      </c>
      <c r="BB154" s="16">
        <f t="shared" si="80"/>
        <v>0</v>
      </c>
      <c r="BC154" s="16">
        <f t="shared" si="80"/>
        <v>0</v>
      </c>
      <c r="BD154" s="16">
        <f t="shared" si="80"/>
        <v>0</v>
      </c>
      <c r="BE154" s="16">
        <f t="shared" si="80"/>
        <v>0</v>
      </c>
      <c r="BF154" s="16">
        <f t="shared" si="80"/>
        <v>0.79005291853641579</v>
      </c>
      <c r="BG154" s="16">
        <f t="shared" si="80"/>
        <v>-0.56633590588330951</v>
      </c>
      <c r="BH154" s="16">
        <f t="shared" si="80"/>
        <v>0.7762829873468936</v>
      </c>
      <c r="BI154" s="16">
        <f t="shared" si="80"/>
        <v>0</v>
      </c>
      <c r="BJ154" s="16">
        <f t="shared" si="80"/>
        <v>0</v>
      </c>
      <c r="BK154" s="16">
        <f t="shared" si="80"/>
        <v>0</v>
      </c>
      <c r="BL154" s="16">
        <f t="shared" si="80"/>
        <v>0</v>
      </c>
      <c r="BM154" s="16">
        <f t="shared" si="80"/>
        <v>0</v>
      </c>
      <c r="BN154" s="16">
        <f t="shared" si="80"/>
        <v>0</v>
      </c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</row>
    <row r="155" spans="6:94" customFormat="1" x14ac:dyDescent="0.25">
      <c r="F155" s="29"/>
      <c r="G155" s="29"/>
      <c r="H155" s="29"/>
      <c r="I155" s="29"/>
      <c r="J155" s="93"/>
      <c r="K155" s="1"/>
      <c r="L155" s="29"/>
      <c r="M155" s="1"/>
      <c r="N155" s="29"/>
      <c r="O155" s="9">
        <f t="shared" si="72"/>
        <v>6</v>
      </c>
      <c r="P155" s="16">
        <f t="shared" si="71"/>
        <v>0</v>
      </c>
      <c r="Q155" s="16">
        <f t="shared" si="80"/>
        <v>0</v>
      </c>
      <c r="R155" s="16">
        <f t="shared" si="80"/>
        <v>0</v>
      </c>
      <c r="S155" s="16">
        <f t="shared" si="80"/>
        <v>0</v>
      </c>
      <c r="T155" s="16">
        <f t="shared" si="80"/>
        <v>0</v>
      </c>
      <c r="U155" s="16">
        <f t="shared" si="80"/>
        <v>0</v>
      </c>
      <c r="V155" s="16">
        <f t="shared" si="80"/>
        <v>0</v>
      </c>
      <c r="W155" s="16">
        <f t="shared" si="80"/>
        <v>0</v>
      </c>
      <c r="X155" s="16">
        <f t="shared" si="80"/>
        <v>0</v>
      </c>
      <c r="Y155" s="16">
        <f t="shared" si="80"/>
        <v>0</v>
      </c>
      <c r="Z155" s="16">
        <f t="shared" si="80"/>
        <v>0</v>
      </c>
      <c r="AA155" s="16">
        <f t="shared" si="80"/>
        <v>0</v>
      </c>
      <c r="AB155" s="16">
        <f t="shared" si="80"/>
        <v>0</v>
      </c>
      <c r="AC155" s="16">
        <f t="shared" si="80"/>
        <v>0</v>
      </c>
      <c r="AD155" s="16">
        <f t="shared" si="80"/>
        <v>0</v>
      </c>
      <c r="AE155" s="16">
        <f t="shared" si="80"/>
        <v>0</v>
      </c>
      <c r="AF155" s="16">
        <f t="shared" si="80"/>
        <v>0</v>
      </c>
      <c r="AG155" s="16">
        <f t="shared" si="80"/>
        <v>0</v>
      </c>
      <c r="AH155" s="16">
        <f t="shared" si="80"/>
        <v>0</v>
      </c>
      <c r="AI155" s="16">
        <f t="shared" si="80"/>
        <v>0</v>
      </c>
      <c r="AJ155" s="16">
        <f t="shared" si="80"/>
        <v>0</v>
      </c>
      <c r="AK155" s="16">
        <f t="shared" si="80"/>
        <v>0</v>
      </c>
      <c r="AL155" s="16">
        <f t="shared" si="80"/>
        <v>0</v>
      </c>
      <c r="AM155" s="16">
        <f t="shared" si="80"/>
        <v>0</v>
      </c>
      <c r="AN155" s="16">
        <f t="shared" si="80"/>
        <v>0</v>
      </c>
      <c r="AO155" s="16">
        <f t="shared" si="80"/>
        <v>0</v>
      </c>
      <c r="AP155" s="16">
        <f t="shared" si="80"/>
        <v>0</v>
      </c>
      <c r="AQ155" s="16">
        <f t="shared" si="80"/>
        <v>0</v>
      </c>
      <c r="AR155" s="16">
        <f t="shared" si="80"/>
        <v>0</v>
      </c>
      <c r="AS155" s="16">
        <f t="shared" si="80"/>
        <v>0</v>
      </c>
      <c r="AT155" s="16">
        <f t="shared" si="80"/>
        <v>0</v>
      </c>
      <c r="AU155" s="16">
        <f t="shared" si="80"/>
        <v>0</v>
      </c>
      <c r="AV155" s="16">
        <f t="shared" si="80"/>
        <v>0</v>
      </c>
      <c r="AW155" s="16">
        <f t="shared" si="80"/>
        <v>0</v>
      </c>
      <c r="AX155" s="16">
        <f t="shared" si="80"/>
        <v>0</v>
      </c>
      <c r="AY155" s="16">
        <f t="shared" si="80"/>
        <v>0</v>
      </c>
      <c r="AZ155" s="16">
        <f t="shared" si="80"/>
        <v>0</v>
      </c>
      <c r="BA155" s="16">
        <f t="shared" si="80"/>
        <v>0</v>
      </c>
      <c r="BB155" s="16">
        <f t="shared" si="80"/>
        <v>0</v>
      </c>
      <c r="BC155" s="16">
        <f t="shared" si="80"/>
        <v>0</v>
      </c>
      <c r="BD155" s="16">
        <f t="shared" si="80"/>
        <v>0</v>
      </c>
      <c r="BE155" s="16">
        <f t="shared" si="80"/>
        <v>0</v>
      </c>
      <c r="BF155" s="16">
        <f t="shared" si="80"/>
        <v>0</v>
      </c>
      <c r="BG155" s="16">
        <f t="shared" si="80"/>
        <v>0.72797004992152525</v>
      </c>
      <c r="BH155" s="16">
        <f t="shared" si="80"/>
        <v>-0.44283223874597</v>
      </c>
      <c r="BI155" s="16">
        <f t="shared" si="80"/>
        <v>0.71486218882444474</v>
      </c>
      <c r="BJ155" s="16">
        <f t="shared" si="80"/>
        <v>0</v>
      </c>
      <c r="BK155" s="16">
        <f t="shared" si="80"/>
        <v>0</v>
      </c>
      <c r="BL155" s="16">
        <f t="shared" si="80"/>
        <v>0</v>
      </c>
      <c r="BM155" s="16">
        <f t="shared" si="80"/>
        <v>0</v>
      </c>
      <c r="BN155" s="16">
        <f t="shared" si="80"/>
        <v>0</v>
      </c>
      <c r="BR155" s="1"/>
      <c r="BS155" s="29"/>
      <c r="BT155" s="8"/>
      <c r="BU155" s="8"/>
      <c r="BV155" s="8"/>
      <c r="BW155" s="29"/>
      <c r="BX155" s="29"/>
      <c r="BY155" s="29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</row>
    <row r="156" spans="6:94" customFormat="1" x14ac:dyDescent="0.25">
      <c r="F156" s="29"/>
      <c r="G156" s="29"/>
      <c r="H156" s="29"/>
      <c r="I156" s="29"/>
      <c r="J156" s="93"/>
      <c r="K156" s="1"/>
      <c r="L156" s="29"/>
      <c r="M156" s="1"/>
      <c r="N156" s="29"/>
      <c r="O156" s="9">
        <f t="shared" si="72"/>
        <v>5</v>
      </c>
      <c r="P156" s="16">
        <f t="shared" si="71"/>
        <v>0</v>
      </c>
      <c r="Q156" s="16">
        <f t="shared" si="80"/>
        <v>0</v>
      </c>
      <c r="R156" s="16">
        <f t="shared" si="80"/>
        <v>0</v>
      </c>
      <c r="S156" s="16">
        <f t="shared" si="80"/>
        <v>0</v>
      </c>
      <c r="T156" s="16">
        <f t="shared" si="80"/>
        <v>0</v>
      </c>
      <c r="U156" s="16">
        <f t="shared" si="80"/>
        <v>0</v>
      </c>
      <c r="V156" s="16">
        <f t="shared" si="80"/>
        <v>0</v>
      </c>
      <c r="W156" s="16">
        <f t="shared" si="80"/>
        <v>0</v>
      </c>
      <c r="X156" s="16">
        <f t="shared" si="80"/>
        <v>0</v>
      </c>
      <c r="Y156" s="16">
        <f t="shared" si="80"/>
        <v>0</v>
      </c>
      <c r="Z156" s="16">
        <f t="shared" si="80"/>
        <v>0</v>
      </c>
      <c r="AA156" s="16">
        <f t="shared" si="80"/>
        <v>0</v>
      </c>
      <c r="AB156" s="16">
        <f t="shared" si="80"/>
        <v>0</v>
      </c>
      <c r="AC156" s="16">
        <f t="shared" si="80"/>
        <v>0</v>
      </c>
      <c r="AD156" s="16">
        <f t="shared" si="80"/>
        <v>0</v>
      </c>
      <c r="AE156" s="16">
        <f t="shared" si="80"/>
        <v>0</v>
      </c>
      <c r="AF156" s="16">
        <f t="shared" si="80"/>
        <v>0</v>
      </c>
      <c r="AG156" s="16">
        <f t="shared" si="80"/>
        <v>0</v>
      </c>
      <c r="AH156" s="16">
        <f t="shared" si="80"/>
        <v>0</v>
      </c>
      <c r="AI156" s="16">
        <f t="shared" si="80"/>
        <v>0</v>
      </c>
      <c r="AJ156" s="16">
        <f t="shared" si="80"/>
        <v>0</v>
      </c>
      <c r="AK156" s="16">
        <f t="shared" si="80"/>
        <v>0</v>
      </c>
      <c r="AL156" s="16">
        <f t="shared" si="80"/>
        <v>0</v>
      </c>
      <c r="AM156" s="16">
        <f t="shared" si="80"/>
        <v>0</v>
      </c>
      <c r="AN156" s="16">
        <f t="shared" si="80"/>
        <v>0</v>
      </c>
      <c r="AO156" s="16">
        <f t="shared" si="80"/>
        <v>0</v>
      </c>
      <c r="AP156" s="16">
        <f t="shared" si="80"/>
        <v>0</v>
      </c>
      <c r="AQ156" s="16">
        <f t="shared" si="80"/>
        <v>0</v>
      </c>
      <c r="AR156" s="16">
        <f t="shared" si="80"/>
        <v>0</v>
      </c>
      <c r="AS156" s="16">
        <f t="shared" si="80"/>
        <v>0</v>
      </c>
      <c r="AT156" s="16">
        <f t="shared" si="80"/>
        <v>0</v>
      </c>
      <c r="AU156" s="16">
        <f t="shared" si="80"/>
        <v>0</v>
      </c>
      <c r="AV156" s="16">
        <f t="shared" si="80"/>
        <v>0</v>
      </c>
      <c r="AW156" s="16">
        <f t="shared" si="80"/>
        <v>0</v>
      </c>
      <c r="AX156" s="16">
        <f t="shared" si="80"/>
        <v>0</v>
      </c>
      <c r="AY156" s="16">
        <f t="shared" si="80"/>
        <v>0</v>
      </c>
      <c r="AZ156" s="16">
        <f t="shared" si="80"/>
        <v>0</v>
      </c>
      <c r="BA156" s="16">
        <f t="shared" si="80"/>
        <v>0</v>
      </c>
      <c r="BB156" s="16">
        <f t="shared" si="80"/>
        <v>0</v>
      </c>
      <c r="BC156" s="16">
        <f t="shared" si="80"/>
        <v>0</v>
      </c>
      <c r="BD156" s="16">
        <f t="shared" si="80"/>
        <v>0</v>
      </c>
      <c r="BE156" s="16">
        <f t="shared" si="80"/>
        <v>0</v>
      </c>
      <c r="BF156" s="16">
        <f t="shared" si="80"/>
        <v>0</v>
      </c>
      <c r="BG156" s="16">
        <f t="shared" si="80"/>
        <v>0</v>
      </c>
      <c r="BH156" s="16">
        <f t="shared" si="80"/>
        <v>0.66843628897446972</v>
      </c>
      <c r="BI156" s="16">
        <f t="shared" si="80"/>
        <v>-0.32439960250538968</v>
      </c>
      <c r="BJ156" s="16">
        <f t="shared" si="80"/>
        <v>0.65596331353092008</v>
      </c>
      <c r="BK156" s="16">
        <f t="shared" si="80"/>
        <v>0</v>
      </c>
      <c r="BL156" s="16">
        <f t="shared" si="80"/>
        <v>0</v>
      </c>
      <c r="BM156" s="16">
        <f t="shared" si="80"/>
        <v>0</v>
      </c>
      <c r="BN156" s="16">
        <f t="shared" si="80"/>
        <v>0</v>
      </c>
      <c r="BR156" s="1"/>
      <c r="BS156" s="29"/>
      <c r="BT156" s="8"/>
      <c r="BU156" s="8"/>
      <c r="BV156" s="8"/>
      <c r="BW156" s="29"/>
      <c r="BX156" s="29"/>
      <c r="BY156" s="29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</row>
    <row r="157" spans="6:94" customFormat="1" x14ac:dyDescent="0.25">
      <c r="F157" s="29"/>
      <c r="G157" s="29"/>
      <c r="H157" s="29"/>
      <c r="I157" s="29"/>
      <c r="J157" s="93"/>
      <c r="K157" s="1"/>
      <c r="L157" s="29"/>
      <c r="M157" s="1"/>
      <c r="N157" s="29"/>
      <c r="O157" s="9">
        <f t="shared" si="72"/>
        <v>4</v>
      </c>
      <c r="P157" s="16">
        <f t="shared" si="71"/>
        <v>0</v>
      </c>
      <c r="Q157" s="16">
        <f t="shared" si="80"/>
        <v>0</v>
      </c>
      <c r="R157" s="16">
        <f t="shared" si="80"/>
        <v>0</v>
      </c>
      <c r="S157" s="16">
        <f t="shared" si="80"/>
        <v>0</v>
      </c>
      <c r="T157" s="16">
        <f t="shared" si="80"/>
        <v>0</v>
      </c>
      <c r="U157" s="16">
        <f t="shared" si="80"/>
        <v>0</v>
      </c>
      <c r="V157" s="16">
        <f t="shared" si="80"/>
        <v>0</v>
      </c>
      <c r="W157" s="16">
        <f t="shared" si="80"/>
        <v>0</v>
      </c>
      <c r="X157" s="16">
        <f t="shared" si="80"/>
        <v>0</v>
      </c>
      <c r="Y157" s="16">
        <f t="shared" si="80"/>
        <v>0</v>
      </c>
      <c r="Z157" s="16">
        <f t="shared" si="80"/>
        <v>0</v>
      </c>
      <c r="AA157" s="16">
        <f t="shared" ref="Q157:BN161" si="81">IF(AA$110=$O157,AA$108*HLOOKUP($O157,$O$14:$BN$48,AA$107,0)+1,IF(AA$110-$O157=1,AA$108*HLOOKUP($O157,$O$11:$BN$28,AA$107,0),IF(AA$110-$O157=-1,AA$108*HLOOKUP($O157,$O$17:$BN$68,AA$107,0),0)))</f>
        <v>0</v>
      </c>
      <c r="AB157" s="16">
        <f t="shared" si="81"/>
        <v>0</v>
      </c>
      <c r="AC157" s="16">
        <f t="shared" si="81"/>
        <v>0</v>
      </c>
      <c r="AD157" s="16">
        <f t="shared" si="81"/>
        <v>0</v>
      </c>
      <c r="AE157" s="16">
        <f t="shared" si="81"/>
        <v>0</v>
      </c>
      <c r="AF157" s="16">
        <f t="shared" si="81"/>
        <v>0</v>
      </c>
      <c r="AG157" s="16">
        <f t="shared" si="81"/>
        <v>0</v>
      </c>
      <c r="AH157" s="16">
        <f t="shared" si="81"/>
        <v>0</v>
      </c>
      <c r="AI157" s="16">
        <f t="shared" si="81"/>
        <v>0</v>
      </c>
      <c r="AJ157" s="16">
        <f t="shared" si="81"/>
        <v>0</v>
      </c>
      <c r="AK157" s="16">
        <f t="shared" si="81"/>
        <v>0</v>
      </c>
      <c r="AL157" s="16">
        <f t="shared" si="81"/>
        <v>0</v>
      </c>
      <c r="AM157" s="16">
        <f t="shared" si="81"/>
        <v>0</v>
      </c>
      <c r="AN157" s="16">
        <f t="shared" si="81"/>
        <v>0</v>
      </c>
      <c r="AO157" s="16">
        <f t="shared" si="81"/>
        <v>0</v>
      </c>
      <c r="AP157" s="16">
        <f t="shared" si="81"/>
        <v>0</v>
      </c>
      <c r="AQ157" s="16">
        <f t="shared" si="81"/>
        <v>0</v>
      </c>
      <c r="AR157" s="16">
        <f t="shared" si="81"/>
        <v>0</v>
      </c>
      <c r="AS157" s="16">
        <f t="shared" si="81"/>
        <v>0</v>
      </c>
      <c r="AT157" s="16">
        <f t="shared" si="81"/>
        <v>0</v>
      </c>
      <c r="AU157" s="16">
        <f t="shared" si="81"/>
        <v>0</v>
      </c>
      <c r="AV157" s="16">
        <f t="shared" si="81"/>
        <v>0</v>
      </c>
      <c r="AW157" s="16">
        <f t="shared" si="81"/>
        <v>0</v>
      </c>
      <c r="AX157" s="16">
        <f t="shared" si="81"/>
        <v>0</v>
      </c>
      <c r="AY157" s="16">
        <f t="shared" si="81"/>
        <v>0</v>
      </c>
      <c r="AZ157" s="16">
        <f t="shared" si="81"/>
        <v>0</v>
      </c>
      <c r="BA157" s="16">
        <f t="shared" si="81"/>
        <v>0</v>
      </c>
      <c r="BB157" s="16">
        <f t="shared" si="81"/>
        <v>0</v>
      </c>
      <c r="BC157" s="16">
        <f t="shared" si="81"/>
        <v>0</v>
      </c>
      <c r="BD157" s="16">
        <f t="shared" si="81"/>
        <v>0</v>
      </c>
      <c r="BE157" s="16">
        <f t="shared" si="81"/>
        <v>0</v>
      </c>
      <c r="BF157" s="16">
        <f t="shared" si="81"/>
        <v>0</v>
      </c>
      <c r="BG157" s="16">
        <f t="shared" si="81"/>
        <v>0</v>
      </c>
      <c r="BH157" s="16">
        <f t="shared" si="81"/>
        <v>0</v>
      </c>
      <c r="BI157" s="16">
        <f t="shared" si="81"/>
        <v>0.61444162213068076</v>
      </c>
      <c r="BJ157" s="16">
        <f t="shared" si="81"/>
        <v>-0.21698608393180696</v>
      </c>
      <c r="BK157" s="16">
        <f t="shared" si="81"/>
        <v>0.60254446180112631</v>
      </c>
      <c r="BL157" s="16">
        <f t="shared" si="81"/>
        <v>0</v>
      </c>
      <c r="BM157" s="16">
        <f t="shared" si="81"/>
        <v>0</v>
      </c>
      <c r="BN157" s="16">
        <f t="shared" si="81"/>
        <v>0</v>
      </c>
      <c r="BR157" s="1"/>
      <c r="BS157" s="29"/>
      <c r="BT157" s="8"/>
      <c r="BU157" s="8"/>
      <c r="BV157" s="8"/>
      <c r="BW157" s="29"/>
      <c r="BX157" s="29"/>
      <c r="BY157" s="29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</row>
    <row r="158" spans="6:94" customFormat="1" x14ac:dyDescent="0.25">
      <c r="F158" s="29"/>
      <c r="G158" s="29"/>
      <c r="H158" s="29"/>
      <c r="I158" s="29"/>
      <c r="J158" s="93"/>
      <c r="K158" s="1"/>
      <c r="L158" s="29"/>
      <c r="M158" s="1"/>
      <c r="N158" s="29"/>
      <c r="O158" s="9">
        <f t="shared" si="72"/>
        <v>3</v>
      </c>
      <c r="P158" s="16">
        <f t="shared" si="71"/>
        <v>0</v>
      </c>
      <c r="Q158" s="16">
        <f t="shared" si="81"/>
        <v>0</v>
      </c>
      <c r="R158" s="16">
        <f t="shared" si="81"/>
        <v>0</v>
      </c>
      <c r="S158" s="16">
        <f t="shared" si="81"/>
        <v>0</v>
      </c>
      <c r="T158" s="16">
        <f t="shared" si="81"/>
        <v>0</v>
      </c>
      <c r="U158" s="16">
        <f t="shared" si="81"/>
        <v>0</v>
      </c>
      <c r="V158" s="16">
        <f t="shared" si="81"/>
        <v>0</v>
      </c>
      <c r="W158" s="16">
        <f t="shared" si="81"/>
        <v>0</v>
      </c>
      <c r="X158" s="16">
        <f t="shared" si="81"/>
        <v>0</v>
      </c>
      <c r="Y158" s="16">
        <f t="shared" si="81"/>
        <v>0</v>
      </c>
      <c r="Z158" s="16">
        <f t="shared" si="81"/>
        <v>0</v>
      </c>
      <c r="AA158" s="16">
        <f t="shared" si="81"/>
        <v>0</v>
      </c>
      <c r="AB158" s="16">
        <f t="shared" si="81"/>
        <v>0</v>
      </c>
      <c r="AC158" s="16">
        <f t="shared" si="81"/>
        <v>0</v>
      </c>
      <c r="AD158" s="16">
        <f t="shared" si="81"/>
        <v>0</v>
      </c>
      <c r="AE158" s="16">
        <f t="shared" si="81"/>
        <v>0</v>
      </c>
      <c r="AF158" s="16">
        <f t="shared" si="81"/>
        <v>0</v>
      </c>
      <c r="AG158" s="16">
        <f t="shared" si="81"/>
        <v>0</v>
      </c>
      <c r="AH158" s="16">
        <f t="shared" si="81"/>
        <v>0</v>
      </c>
      <c r="AI158" s="16">
        <f t="shared" si="81"/>
        <v>0</v>
      </c>
      <c r="AJ158" s="16">
        <f t="shared" si="81"/>
        <v>0</v>
      </c>
      <c r="AK158" s="16">
        <f t="shared" si="81"/>
        <v>0</v>
      </c>
      <c r="AL158" s="16">
        <f t="shared" si="81"/>
        <v>0</v>
      </c>
      <c r="AM158" s="16">
        <f t="shared" si="81"/>
        <v>0</v>
      </c>
      <c r="AN158" s="16">
        <f t="shared" si="81"/>
        <v>0</v>
      </c>
      <c r="AO158" s="16">
        <f t="shared" si="81"/>
        <v>0</v>
      </c>
      <c r="AP158" s="16">
        <f t="shared" si="81"/>
        <v>0</v>
      </c>
      <c r="AQ158" s="16">
        <f t="shared" si="81"/>
        <v>0</v>
      </c>
      <c r="AR158" s="16">
        <f t="shared" si="81"/>
        <v>0</v>
      </c>
      <c r="AS158" s="16">
        <f t="shared" si="81"/>
        <v>0</v>
      </c>
      <c r="AT158" s="16">
        <f t="shared" si="81"/>
        <v>0</v>
      </c>
      <c r="AU158" s="16">
        <f t="shared" si="81"/>
        <v>0</v>
      </c>
      <c r="AV158" s="16">
        <f t="shared" si="81"/>
        <v>0</v>
      </c>
      <c r="AW158" s="16">
        <f t="shared" si="81"/>
        <v>0</v>
      </c>
      <c r="AX158" s="16">
        <f t="shared" si="81"/>
        <v>0</v>
      </c>
      <c r="AY158" s="16">
        <f t="shared" si="81"/>
        <v>0</v>
      </c>
      <c r="AZ158" s="16">
        <f t="shared" si="81"/>
        <v>0</v>
      </c>
      <c r="BA158" s="16">
        <f t="shared" si="81"/>
        <v>0</v>
      </c>
      <c r="BB158" s="16">
        <f t="shared" si="81"/>
        <v>0</v>
      </c>
      <c r="BC158" s="16">
        <f t="shared" si="81"/>
        <v>0</v>
      </c>
      <c r="BD158" s="16">
        <f t="shared" si="81"/>
        <v>0</v>
      </c>
      <c r="BE158" s="16">
        <f t="shared" si="81"/>
        <v>0</v>
      </c>
      <c r="BF158" s="16">
        <f t="shared" si="81"/>
        <v>0</v>
      </c>
      <c r="BG158" s="16">
        <f t="shared" si="81"/>
        <v>0</v>
      </c>
      <c r="BH158" s="16">
        <f t="shared" si="81"/>
        <v>0</v>
      </c>
      <c r="BI158" s="16">
        <f t="shared" si="81"/>
        <v>0</v>
      </c>
      <c r="BJ158" s="16">
        <f t="shared" si="81"/>
        <v>0.61444162213068076</v>
      </c>
      <c r="BK158" s="16">
        <f t="shared" si="81"/>
        <v>-0.21698608393180696</v>
      </c>
      <c r="BL158" s="16">
        <f t="shared" si="81"/>
        <v>0.60254446180112631</v>
      </c>
      <c r="BM158" s="16">
        <f t="shared" si="81"/>
        <v>0</v>
      </c>
      <c r="BN158" s="16">
        <f t="shared" si="81"/>
        <v>0</v>
      </c>
      <c r="BR158" s="1"/>
      <c r="BS158" s="29"/>
      <c r="BT158" s="8"/>
      <c r="BU158" s="8"/>
      <c r="BV158" s="8"/>
      <c r="BW158" s="29"/>
      <c r="BX158" s="29"/>
      <c r="BY158" s="29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</row>
    <row r="159" spans="6:94" customFormat="1" x14ac:dyDescent="0.25">
      <c r="F159" s="29"/>
      <c r="G159" s="29"/>
      <c r="H159" s="29"/>
      <c r="I159" s="29"/>
      <c r="J159" s="93"/>
      <c r="K159" s="1"/>
      <c r="L159" s="29"/>
      <c r="M159" s="1"/>
      <c r="N159" s="29"/>
      <c r="O159" s="9">
        <f t="shared" si="72"/>
        <v>2</v>
      </c>
      <c r="P159" s="16">
        <f t="shared" si="71"/>
        <v>0</v>
      </c>
      <c r="Q159" s="16">
        <f t="shared" si="81"/>
        <v>0</v>
      </c>
      <c r="R159" s="16">
        <f t="shared" si="81"/>
        <v>0</v>
      </c>
      <c r="S159" s="16">
        <f t="shared" si="81"/>
        <v>0</v>
      </c>
      <c r="T159" s="16">
        <f t="shared" si="81"/>
        <v>0</v>
      </c>
      <c r="U159" s="16">
        <f t="shared" si="81"/>
        <v>0</v>
      </c>
      <c r="V159" s="16">
        <f t="shared" si="81"/>
        <v>0</v>
      </c>
      <c r="W159" s="16">
        <f t="shared" si="81"/>
        <v>0</v>
      </c>
      <c r="X159" s="16">
        <f t="shared" si="81"/>
        <v>0</v>
      </c>
      <c r="Y159" s="16">
        <f t="shared" si="81"/>
        <v>0</v>
      </c>
      <c r="Z159" s="16">
        <f t="shared" si="81"/>
        <v>0</v>
      </c>
      <c r="AA159" s="16">
        <f t="shared" si="81"/>
        <v>0</v>
      </c>
      <c r="AB159" s="16">
        <f t="shared" si="81"/>
        <v>0</v>
      </c>
      <c r="AC159" s="16">
        <f t="shared" si="81"/>
        <v>0</v>
      </c>
      <c r="AD159" s="16">
        <f t="shared" si="81"/>
        <v>0</v>
      </c>
      <c r="AE159" s="16">
        <f t="shared" si="81"/>
        <v>0</v>
      </c>
      <c r="AF159" s="16">
        <f t="shared" si="81"/>
        <v>0</v>
      </c>
      <c r="AG159" s="16">
        <f t="shared" si="81"/>
        <v>0</v>
      </c>
      <c r="AH159" s="16">
        <f t="shared" si="81"/>
        <v>0</v>
      </c>
      <c r="AI159" s="16">
        <f t="shared" si="81"/>
        <v>0</v>
      </c>
      <c r="AJ159" s="16">
        <f t="shared" si="81"/>
        <v>0</v>
      </c>
      <c r="AK159" s="16">
        <f t="shared" si="81"/>
        <v>0</v>
      </c>
      <c r="AL159" s="16">
        <f t="shared" si="81"/>
        <v>0</v>
      </c>
      <c r="AM159" s="16">
        <f t="shared" si="81"/>
        <v>0</v>
      </c>
      <c r="AN159" s="16">
        <f t="shared" si="81"/>
        <v>0</v>
      </c>
      <c r="AO159" s="16">
        <f t="shared" si="81"/>
        <v>0</v>
      </c>
      <c r="AP159" s="16">
        <f t="shared" si="81"/>
        <v>0</v>
      </c>
      <c r="AQ159" s="16">
        <f t="shared" si="81"/>
        <v>0</v>
      </c>
      <c r="AR159" s="16">
        <f t="shared" si="81"/>
        <v>0</v>
      </c>
      <c r="AS159" s="16">
        <f t="shared" si="81"/>
        <v>0</v>
      </c>
      <c r="AT159" s="16">
        <f t="shared" si="81"/>
        <v>0</v>
      </c>
      <c r="AU159" s="16">
        <f t="shared" si="81"/>
        <v>0</v>
      </c>
      <c r="AV159" s="16">
        <f t="shared" si="81"/>
        <v>0</v>
      </c>
      <c r="AW159" s="16">
        <f t="shared" si="81"/>
        <v>0</v>
      </c>
      <c r="AX159" s="16">
        <f t="shared" si="81"/>
        <v>0</v>
      </c>
      <c r="AY159" s="16">
        <f t="shared" si="81"/>
        <v>0</v>
      </c>
      <c r="AZ159" s="16">
        <f t="shared" si="81"/>
        <v>0</v>
      </c>
      <c r="BA159" s="16">
        <f t="shared" si="81"/>
        <v>0</v>
      </c>
      <c r="BB159" s="16">
        <f t="shared" si="81"/>
        <v>0</v>
      </c>
      <c r="BC159" s="16">
        <f t="shared" si="81"/>
        <v>0</v>
      </c>
      <c r="BD159" s="16">
        <f t="shared" si="81"/>
        <v>0</v>
      </c>
      <c r="BE159" s="16">
        <f t="shared" si="81"/>
        <v>0</v>
      </c>
      <c r="BF159" s="16">
        <f t="shared" si="81"/>
        <v>0</v>
      </c>
      <c r="BG159" s="16">
        <f t="shared" si="81"/>
        <v>0</v>
      </c>
      <c r="BH159" s="16">
        <f t="shared" si="81"/>
        <v>0</v>
      </c>
      <c r="BI159" s="16">
        <f t="shared" si="81"/>
        <v>0</v>
      </c>
      <c r="BJ159" s="16">
        <f t="shared" si="81"/>
        <v>0</v>
      </c>
      <c r="BK159" s="16">
        <f t="shared" si="81"/>
        <v>0.61444162213068076</v>
      </c>
      <c r="BL159" s="16">
        <f t="shared" si="81"/>
        <v>-0.21698608393180696</v>
      </c>
      <c r="BM159" s="16">
        <f t="shared" si="81"/>
        <v>0.60254446180112631</v>
      </c>
      <c r="BN159" s="16">
        <f t="shared" si="81"/>
        <v>0</v>
      </c>
      <c r="BR159" s="1"/>
      <c r="BS159" s="29"/>
      <c r="BT159" s="8"/>
      <c r="BU159" s="8"/>
      <c r="BV159" s="8"/>
      <c r="BW159" s="29"/>
      <c r="BX159" s="29"/>
      <c r="BY159" s="29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</row>
    <row r="160" spans="6:94" customFormat="1" x14ac:dyDescent="0.25">
      <c r="F160" s="29"/>
      <c r="G160" s="29"/>
      <c r="H160" s="29"/>
      <c r="I160" s="29"/>
      <c r="J160" s="93"/>
      <c r="K160" s="1"/>
      <c r="L160" s="29"/>
      <c r="M160" s="1"/>
      <c r="N160" s="29"/>
      <c r="O160" s="9">
        <f t="shared" si="72"/>
        <v>1</v>
      </c>
      <c r="P160" s="16">
        <f t="shared" si="71"/>
        <v>0</v>
      </c>
      <c r="Q160" s="16">
        <f t="shared" si="81"/>
        <v>0</v>
      </c>
      <c r="R160" s="16">
        <f t="shared" si="81"/>
        <v>0</v>
      </c>
      <c r="S160" s="16">
        <f t="shared" si="81"/>
        <v>0</v>
      </c>
      <c r="T160" s="16">
        <f t="shared" si="81"/>
        <v>0</v>
      </c>
      <c r="U160" s="16">
        <f t="shared" si="81"/>
        <v>0</v>
      </c>
      <c r="V160" s="16">
        <f t="shared" si="81"/>
        <v>0</v>
      </c>
      <c r="W160" s="16">
        <f t="shared" si="81"/>
        <v>0</v>
      </c>
      <c r="X160" s="16">
        <f t="shared" si="81"/>
        <v>0</v>
      </c>
      <c r="Y160" s="16">
        <f t="shared" si="81"/>
        <v>0</v>
      </c>
      <c r="Z160" s="16">
        <f t="shared" si="81"/>
        <v>0</v>
      </c>
      <c r="AA160" s="16">
        <f t="shared" si="81"/>
        <v>0</v>
      </c>
      <c r="AB160" s="16">
        <f t="shared" si="81"/>
        <v>0</v>
      </c>
      <c r="AC160" s="16">
        <f t="shared" si="81"/>
        <v>0</v>
      </c>
      <c r="AD160" s="16">
        <f t="shared" si="81"/>
        <v>0</v>
      </c>
      <c r="AE160" s="16">
        <f t="shared" si="81"/>
        <v>0</v>
      </c>
      <c r="AF160" s="16">
        <f t="shared" si="81"/>
        <v>0</v>
      </c>
      <c r="AG160" s="16">
        <f t="shared" si="81"/>
        <v>0</v>
      </c>
      <c r="AH160" s="16">
        <f t="shared" si="81"/>
        <v>0</v>
      </c>
      <c r="AI160" s="16">
        <f t="shared" si="81"/>
        <v>0</v>
      </c>
      <c r="AJ160" s="16">
        <f t="shared" si="81"/>
        <v>0</v>
      </c>
      <c r="AK160" s="16">
        <f t="shared" si="81"/>
        <v>0</v>
      </c>
      <c r="AL160" s="16">
        <f t="shared" si="81"/>
        <v>0</v>
      </c>
      <c r="AM160" s="16">
        <f t="shared" si="81"/>
        <v>0</v>
      </c>
      <c r="AN160" s="16">
        <f t="shared" si="81"/>
        <v>0</v>
      </c>
      <c r="AO160" s="16">
        <f t="shared" si="81"/>
        <v>0</v>
      </c>
      <c r="AP160" s="16">
        <f t="shared" si="81"/>
        <v>0</v>
      </c>
      <c r="AQ160" s="16">
        <f t="shared" si="81"/>
        <v>0</v>
      </c>
      <c r="AR160" s="16">
        <f t="shared" si="81"/>
        <v>0</v>
      </c>
      <c r="AS160" s="16">
        <f t="shared" si="81"/>
        <v>0</v>
      </c>
      <c r="AT160" s="16">
        <f t="shared" si="81"/>
        <v>0</v>
      </c>
      <c r="AU160" s="16">
        <f t="shared" si="81"/>
        <v>0</v>
      </c>
      <c r="AV160" s="16">
        <f t="shared" si="81"/>
        <v>0</v>
      </c>
      <c r="AW160" s="16">
        <f t="shared" si="81"/>
        <v>0</v>
      </c>
      <c r="AX160" s="16">
        <f t="shared" si="81"/>
        <v>0</v>
      </c>
      <c r="AY160" s="16">
        <f t="shared" si="81"/>
        <v>0</v>
      </c>
      <c r="AZ160" s="16">
        <f t="shared" si="81"/>
        <v>0</v>
      </c>
      <c r="BA160" s="16">
        <f t="shared" si="81"/>
        <v>0</v>
      </c>
      <c r="BB160" s="16">
        <f t="shared" si="81"/>
        <v>0</v>
      </c>
      <c r="BC160" s="16">
        <f t="shared" si="81"/>
        <v>0</v>
      </c>
      <c r="BD160" s="16">
        <f t="shared" si="81"/>
        <v>0</v>
      </c>
      <c r="BE160" s="16">
        <f t="shared" si="81"/>
        <v>0</v>
      </c>
      <c r="BF160" s="16">
        <f t="shared" si="81"/>
        <v>0</v>
      </c>
      <c r="BG160" s="16">
        <f t="shared" si="81"/>
        <v>0</v>
      </c>
      <c r="BH160" s="16">
        <f t="shared" si="81"/>
        <v>0</v>
      </c>
      <c r="BI160" s="16">
        <f t="shared" si="81"/>
        <v>0</v>
      </c>
      <c r="BJ160" s="16">
        <f t="shared" si="81"/>
        <v>0</v>
      </c>
      <c r="BK160" s="16">
        <f t="shared" si="81"/>
        <v>0</v>
      </c>
      <c r="BL160" s="16">
        <f t="shared" si="81"/>
        <v>0.61444162213068076</v>
      </c>
      <c r="BM160" s="16">
        <f t="shared" si="81"/>
        <v>-0.21698608393180696</v>
      </c>
      <c r="BN160" s="16">
        <f t="shared" si="81"/>
        <v>0.60254446180112631</v>
      </c>
      <c r="BR160" s="1"/>
      <c r="BS160" s="29"/>
      <c r="BT160" s="8"/>
      <c r="BU160" s="8"/>
      <c r="BV160" s="8"/>
      <c r="BW160" s="29"/>
      <c r="BX160" s="29"/>
      <c r="BY160" s="29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</row>
    <row r="161" spans="1:94" customFormat="1" x14ac:dyDescent="0.25">
      <c r="F161" s="29"/>
      <c r="G161" s="29"/>
      <c r="H161" s="29"/>
      <c r="I161" s="29"/>
      <c r="J161" s="93"/>
      <c r="K161" s="1"/>
      <c r="L161" s="29"/>
      <c r="M161" s="1"/>
      <c r="N161" s="29"/>
      <c r="O161" s="9">
        <f t="shared" si="72"/>
        <v>0</v>
      </c>
      <c r="P161" s="16">
        <f t="shared" si="71"/>
        <v>0</v>
      </c>
      <c r="Q161" s="16">
        <f t="shared" si="81"/>
        <v>0</v>
      </c>
      <c r="R161" s="16">
        <f t="shared" si="81"/>
        <v>0</v>
      </c>
      <c r="S161" s="16">
        <f t="shared" si="81"/>
        <v>0</v>
      </c>
      <c r="T161" s="16">
        <f t="shared" si="81"/>
        <v>0</v>
      </c>
      <c r="U161" s="16">
        <f t="shared" si="81"/>
        <v>0</v>
      </c>
      <c r="V161" s="16">
        <f t="shared" si="81"/>
        <v>0</v>
      </c>
      <c r="W161" s="16">
        <f t="shared" si="81"/>
        <v>0</v>
      </c>
      <c r="X161" s="16">
        <f t="shared" si="81"/>
        <v>0</v>
      </c>
      <c r="Y161" s="16">
        <f t="shared" si="81"/>
        <v>0</v>
      </c>
      <c r="Z161" s="16">
        <f t="shared" si="81"/>
        <v>0</v>
      </c>
      <c r="AA161" s="16">
        <f t="shared" si="81"/>
        <v>0</v>
      </c>
      <c r="AB161" s="16">
        <f t="shared" si="81"/>
        <v>0</v>
      </c>
      <c r="AC161" s="16">
        <f t="shared" si="81"/>
        <v>0</v>
      </c>
      <c r="AD161" s="16">
        <f t="shared" si="81"/>
        <v>0</v>
      </c>
      <c r="AE161" s="16">
        <f t="shared" si="81"/>
        <v>0</v>
      </c>
      <c r="AF161" s="16">
        <f t="shared" si="81"/>
        <v>0</v>
      </c>
      <c r="AG161" s="16">
        <f t="shared" si="81"/>
        <v>0</v>
      </c>
      <c r="AH161" s="16">
        <f t="shared" si="81"/>
        <v>0</v>
      </c>
      <c r="AI161" s="16">
        <f t="shared" si="81"/>
        <v>0</v>
      </c>
      <c r="AJ161" s="16">
        <f t="shared" si="81"/>
        <v>0</v>
      </c>
      <c r="AK161" s="16">
        <f t="shared" si="81"/>
        <v>0</v>
      </c>
      <c r="AL161" s="16">
        <f t="shared" si="81"/>
        <v>0</v>
      </c>
      <c r="AM161" s="16">
        <f t="shared" si="81"/>
        <v>0</v>
      </c>
      <c r="AN161" s="16">
        <f t="shared" si="81"/>
        <v>0</v>
      </c>
      <c r="AO161" s="16">
        <f t="shared" si="81"/>
        <v>0</v>
      </c>
      <c r="AP161" s="16">
        <f t="shared" si="81"/>
        <v>0</v>
      </c>
      <c r="AQ161" s="16">
        <f t="shared" si="81"/>
        <v>0</v>
      </c>
      <c r="AR161" s="16">
        <f t="shared" si="81"/>
        <v>0</v>
      </c>
      <c r="AS161" s="16">
        <f t="shared" si="81"/>
        <v>0</v>
      </c>
      <c r="AT161" s="16">
        <f t="shared" si="81"/>
        <v>0</v>
      </c>
      <c r="AU161" s="16">
        <f t="shared" si="81"/>
        <v>0</v>
      </c>
      <c r="AV161" s="16">
        <f t="shared" si="81"/>
        <v>0</v>
      </c>
      <c r="AW161" s="16">
        <f t="shared" si="81"/>
        <v>0</v>
      </c>
      <c r="AX161" s="16">
        <f t="shared" si="81"/>
        <v>0</v>
      </c>
      <c r="AY161" s="16">
        <f t="shared" si="81"/>
        <v>0</v>
      </c>
      <c r="AZ161" s="16">
        <f t="shared" si="81"/>
        <v>0</v>
      </c>
      <c r="BA161" s="16">
        <f t="shared" si="81"/>
        <v>0</v>
      </c>
      <c r="BB161" s="16">
        <f t="shared" si="81"/>
        <v>0</v>
      </c>
      <c r="BC161" s="16">
        <f t="shared" si="81"/>
        <v>0</v>
      </c>
      <c r="BD161" s="16">
        <f t="shared" si="81"/>
        <v>0</v>
      </c>
      <c r="BE161" s="16">
        <f t="shared" si="81"/>
        <v>0</v>
      </c>
      <c r="BF161" s="16">
        <f t="shared" si="81"/>
        <v>0</v>
      </c>
      <c r="BG161" s="16">
        <f t="shared" si="81"/>
        <v>0</v>
      </c>
      <c r="BH161" s="16">
        <f t="shared" si="81"/>
        <v>0</v>
      </c>
      <c r="BI161" s="16">
        <f t="shared" si="81"/>
        <v>0</v>
      </c>
      <c r="BJ161" s="16">
        <f t="shared" si="81"/>
        <v>0</v>
      </c>
      <c r="BK161" s="16">
        <f t="shared" si="81"/>
        <v>0</v>
      </c>
      <c r="BL161" s="16">
        <f t="shared" si="81"/>
        <v>0</v>
      </c>
      <c r="BM161" s="16">
        <f t="shared" si="81"/>
        <v>0.61444162213068076</v>
      </c>
      <c r="BN161" s="16">
        <f t="shared" si="81"/>
        <v>-0.21698608393180696</v>
      </c>
      <c r="BR161" s="1"/>
      <c r="BS161" s="29"/>
      <c r="BT161" s="8"/>
      <c r="BU161" s="8"/>
      <c r="BV161" s="8"/>
      <c r="BW161" s="29"/>
      <c r="BX161" s="29"/>
      <c r="BY161" s="29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</row>
    <row r="162" spans="1:94" customFormat="1" x14ac:dyDescent="0.25">
      <c r="F162" s="29"/>
      <c r="G162" s="29"/>
      <c r="H162" s="29"/>
      <c r="I162" s="29"/>
      <c r="J162" s="93"/>
      <c r="K162" s="1"/>
      <c r="L162" s="29"/>
      <c r="M162" s="1"/>
      <c r="N162" s="29"/>
      <c r="AK162" s="29"/>
      <c r="BR162" s="1"/>
      <c r="BS162" s="29"/>
      <c r="BT162" s="8"/>
      <c r="BU162" s="8"/>
      <c r="BV162" s="8"/>
      <c r="BW162" s="29"/>
      <c r="BX162" s="29"/>
      <c r="BY162" s="29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</row>
    <row r="163" spans="1:94" customFormat="1" x14ac:dyDescent="0.25">
      <c r="F163" s="29"/>
      <c r="G163" s="29"/>
      <c r="H163" s="29"/>
      <c r="I163" s="29"/>
      <c r="J163" s="93"/>
      <c r="K163" s="1"/>
      <c r="L163" s="29"/>
      <c r="M163" s="1"/>
      <c r="N163" s="29"/>
      <c r="AK163" s="29"/>
    </row>
    <row r="164" spans="1:94" customFormat="1" x14ac:dyDescent="0.25">
      <c r="F164" s="29"/>
      <c r="G164" s="29"/>
      <c r="H164" s="29"/>
      <c r="I164" s="29"/>
      <c r="J164" s="93"/>
      <c r="K164" s="1"/>
      <c r="L164" s="29"/>
      <c r="M164" s="1"/>
      <c r="N164" s="29"/>
      <c r="AK164" s="29"/>
    </row>
    <row r="165" spans="1:94" customFormat="1" x14ac:dyDescent="0.25">
      <c r="F165" s="29"/>
      <c r="G165" s="29"/>
      <c r="H165" s="29"/>
      <c r="I165" s="29"/>
      <c r="J165" s="93"/>
      <c r="K165" s="1"/>
      <c r="L165" s="29"/>
      <c r="M165" s="1"/>
      <c r="N165" s="29"/>
      <c r="O165" s="23" t="s">
        <v>22</v>
      </c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</row>
    <row r="166" spans="1:94" customFormat="1" x14ac:dyDescent="0.25">
      <c r="A166" s="29"/>
      <c r="B166" s="29"/>
      <c r="C166" s="1"/>
      <c r="D166" s="1"/>
      <c r="E166" s="1"/>
      <c r="F166" s="1"/>
      <c r="G166" s="1"/>
      <c r="H166" s="1"/>
      <c r="I166" s="1"/>
      <c r="J166" s="93"/>
      <c r="K166" s="1"/>
      <c r="L166" s="29"/>
      <c r="M166" s="1"/>
      <c r="N166" s="29"/>
      <c r="O166" s="11" t="s">
        <v>3</v>
      </c>
      <c r="P166" s="11">
        <f t="shared" ref="P166:AJ166" si="82">P110</f>
        <v>50</v>
      </c>
      <c r="Q166" s="11">
        <f t="shared" si="82"/>
        <v>49</v>
      </c>
      <c r="R166" s="11">
        <f t="shared" si="82"/>
        <v>48</v>
      </c>
      <c r="S166" s="11">
        <f t="shared" si="82"/>
        <v>47</v>
      </c>
      <c r="T166" s="11">
        <f t="shared" si="82"/>
        <v>46</v>
      </c>
      <c r="U166" s="11">
        <f t="shared" si="82"/>
        <v>45</v>
      </c>
      <c r="V166" s="11">
        <f t="shared" si="82"/>
        <v>44</v>
      </c>
      <c r="W166" s="11">
        <f t="shared" si="82"/>
        <v>43</v>
      </c>
      <c r="X166" s="11">
        <f t="shared" si="82"/>
        <v>42</v>
      </c>
      <c r="Y166" s="11">
        <f t="shared" si="82"/>
        <v>41</v>
      </c>
      <c r="Z166" s="11">
        <f t="shared" si="82"/>
        <v>40</v>
      </c>
      <c r="AA166" s="11">
        <f t="shared" si="82"/>
        <v>39</v>
      </c>
      <c r="AB166" s="11">
        <f t="shared" si="82"/>
        <v>38</v>
      </c>
      <c r="AC166" s="11">
        <f t="shared" si="82"/>
        <v>37</v>
      </c>
      <c r="AD166" s="11">
        <f t="shared" si="82"/>
        <v>36</v>
      </c>
      <c r="AE166" s="11">
        <f t="shared" si="82"/>
        <v>35</v>
      </c>
      <c r="AF166" s="11">
        <f t="shared" si="82"/>
        <v>34</v>
      </c>
      <c r="AG166" s="11">
        <f t="shared" si="82"/>
        <v>33</v>
      </c>
      <c r="AH166" s="11">
        <f t="shared" si="82"/>
        <v>32</v>
      </c>
      <c r="AI166" s="11">
        <f t="shared" si="82"/>
        <v>31</v>
      </c>
      <c r="AJ166" s="11">
        <f t="shared" si="82"/>
        <v>30</v>
      </c>
      <c r="AK166" s="11">
        <f t="shared" ref="AK166:BN166" si="83">AK110</f>
        <v>29</v>
      </c>
      <c r="AL166" s="11">
        <f t="shared" si="83"/>
        <v>28</v>
      </c>
      <c r="AM166" s="11">
        <f t="shared" si="83"/>
        <v>27</v>
      </c>
      <c r="AN166" s="11">
        <f t="shared" si="83"/>
        <v>26</v>
      </c>
      <c r="AO166" s="11">
        <f t="shared" si="83"/>
        <v>25</v>
      </c>
      <c r="AP166" s="11">
        <f t="shared" si="83"/>
        <v>24</v>
      </c>
      <c r="AQ166" s="11">
        <f t="shared" si="83"/>
        <v>23</v>
      </c>
      <c r="AR166" s="11">
        <f t="shared" si="83"/>
        <v>22</v>
      </c>
      <c r="AS166" s="11">
        <f t="shared" si="83"/>
        <v>21</v>
      </c>
      <c r="AT166" s="11">
        <f t="shared" si="83"/>
        <v>20</v>
      </c>
      <c r="AU166" s="11">
        <f t="shared" si="83"/>
        <v>19</v>
      </c>
      <c r="AV166" s="11">
        <f t="shared" si="83"/>
        <v>18</v>
      </c>
      <c r="AW166" s="11">
        <f t="shared" si="83"/>
        <v>17</v>
      </c>
      <c r="AX166" s="11">
        <f t="shared" si="83"/>
        <v>16</v>
      </c>
      <c r="AY166" s="11">
        <f t="shared" si="83"/>
        <v>15</v>
      </c>
      <c r="AZ166" s="11">
        <f t="shared" si="83"/>
        <v>14</v>
      </c>
      <c r="BA166" s="11">
        <f t="shared" si="83"/>
        <v>13</v>
      </c>
      <c r="BB166" s="11">
        <f t="shared" si="83"/>
        <v>12</v>
      </c>
      <c r="BC166" s="11">
        <f t="shared" si="83"/>
        <v>11</v>
      </c>
      <c r="BD166" s="11">
        <f t="shared" si="83"/>
        <v>10</v>
      </c>
      <c r="BE166" s="11">
        <f t="shared" si="83"/>
        <v>9</v>
      </c>
      <c r="BF166" s="11">
        <f t="shared" si="83"/>
        <v>8</v>
      </c>
      <c r="BG166" s="11">
        <f t="shared" si="83"/>
        <v>7</v>
      </c>
      <c r="BH166" s="11">
        <f t="shared" si="83"/>
        <v>6</v>
      </c>
      <c r="BI166" s="11">
        <f t="shared" si="83"/>
        <v>5</v>
      </c>
      <c r="BJ166" s="11">
        <f t="shared" si="83"/>
        <v>4</v>
      </c>
      <c r="BK166" s="11">
        <f t="shared" si="83"/>
        <v>3</v>
      </c>
      <c r="BL166" s="11">
        <f t="shared" si="83"/>
        <v>2</v>
      </c>
      <c r="BM166" s="11">
        <f t="shared" si="83"/>
        <v>1</v>
      </c>
      <c r="BN166" s="11">
        <f t="shared" si="83"/>
        <v>0</v>
      </c>
    </row>
    <row r="167" spans="1:94" customFormat="1" x14ac:dyDescent="0.25">
      <c r="A167" s="29"/>
      <c r="B167" s="29"/>
      <c r="C167" s="1"/>
      <c r="D167" s="1"/>
      <c r="E167" s="1"/>
      <c r="F167" s="1"/>
      <c r="G167" s="1"/>
      <c r="H167" s="1"/>
      <c r="I167" s="1"/>
      <c r="J167" s="93"/>
      <c r="K167" s="1"/>
      <c r="L167" s="29"/>
      <c r="M167" s="1"/>
      <c r="N167" s="29"/>
      <c r="O167" s="9">
        <f>P166</f>
        <v>50</v>
      </c>
      <c r="P167" s="16">
        <f>IF(P$166=$O167,1-HLOOKUP($O167,$O$14:$BN$48,P$107,0),IF(P$166-$O167=1,-HLOOKUP($O167,$O$11:$BN$28,P$107,0),IF(P$166-$O167=-1,-HLOOKUP($O167,$O$17:$BN$68,P$107,0),0)))</f>
        <v>2.1459946096861406</v>
      </c>
      <c r="Q167" s="16">
        <f t="shared" ref="Q167:BN172" si="84">IF(Q$166=$O167,1-HLOOKUP($O167,$O$14:$BN$48,Q$107,0),IF(Q$166-$O167=1,-HLOOKUP($O167,$O$11:$BN$28,Q$107,0),IF(Q$166-$O167=-1,-HLOOKUP($O167,$O$17:$BN$68,Q$107,0),0)))</f>
        <v>-0.56723900782131953</v>
      </c>
      <c r="R167" s="16">
        <f t="shared" si="84"/>
        <v>0</v>
      </c>
      <c r="S167" s="16">
        <f t="shared" si="84"/>
        <v>0</v>
      </c>
      <c r="T167" s="16">
        <f t="shared" si="84"/>
        <v>0</v>
      </c>
      <c r="U167" s="16">
        <f t="shared" si="84"/>
        <v>0</v>
      </c>
      <c r="V167" s="16">
        <f t="shared" si="84"/>
        <v>0</v>
      </c>
      <c r="W167" s="16">
        <f t="shared" si="84"/>
        <v>0</v>
      </c>
      <c r="X167" s="16">
        <f t="shared" si="84"/>
        <v>0</v>
      </c>
      <c r="Y167" s="16">
        <f t="shared" si="84"/>
        <v>0</v>
      </c>
      <c r="Z167" s="16">
        <f t="shared" si="84"/>
        <v>0</v>
      </c>
      <c r="AA167" s="16">
        <f t="shared" si="84"/>
        <v>0</v>
      </c>
      <c r="AB167" s="16">
        <f t="shared" si="84"/>
        <v>0</v>
      </c>
      <c r="AC167" s="16">
        <f t="shared" si="84"/>
        <v>0</v>
      </c>
      <c r="AD167" s="16">
        <f t="shared" si="84"/>
        <v>0</v>
      </c>
      <c r="AE167" s="16">
        <f t="shared" si="84"/>
        <v>0</v>
      </c>
      <c r="AF167" s="16">
        <f t="shared" si="84"/>
        <v>0</v>
      </c>
      <c r="AG167" s="16">
        <f t="shared" si="84"/>
        <v>0</v>
      </c>
      <c r="AH167" s="16">
        <f t="shared" si="84"/>
        <v>0</v>
      </c>
      <c r="AI167" s="16">
        <f t="shared" si="84"/>
        <v>0</v>
      </c>
      <c r="AJ167" s="16">
        <f t="shared" si="84"/>
        <v>0</v>
      </c>
      <c r="AK167" s="16">
        <f t="shared" si="84"/>
        <v>0</v>
      </c>
      <c r="AL167" s="16">
        <f t="shared" si="84"/>
        <v>0</v>
      </c>
      <c r="AM167" s="16">
        <f t="shared" si="84"/>
        <v>0</v>
      </c>
      <c r="AN167" s="16">
        <f t="shared" si="84"/>
        <v>0</v>
      </c>
      <c r="AO167" s="16">
        <f t="shared" si="84"/>
        <v>0</v>
      </c>
      <c r="AP167" s="16">
        <f t="shared" si="84"/>
        <v>0</v>
      </c>
      <c r="AQ167" s="16">
        <f t="shared" si="84"/>
        <v>0</v>
      </c>
      <c r="AR167" s="16">
        <f t="shared" si="84"/>
        <v>0</v>
      </c>
      <c r="AS167" s="16">
        <f t="shared" si="84"/>
        <v>0</v>
      </c>
      <c r="AT167" s="16">
        <f t="shared" si="84"/>
        <v>0</v>
      </c>
      <c r="AU167" s="16">
        <f t="shared" si="84"/>
        <v>0</v>
      </c>
      <c r="AV167" s="16">
        <f t="shared" si="84"/>
        <v>0</v>
      </c>
      <c r="AW167" s="16">
        <f t="shared" si="84"/>
        <v>0</v>
      </c>
      <c r="AX167" s="16">
        <f t="shared" si="84"/>
        <v>0</v>
      </c>
      <c r="AY167" s="16">
        <f t="shared" si="84"/>
        <v>0</v>
      </c>
      <c r="AZ167" s="16">
        <f t="shared" si="84"/>
        <v>0</v>
      </c>
      <c r="BA167" s="16">
        <f t="shared" si="84"/>
        <v>0</v>
      </c>
      <c r="BB167" s="16">
        <f t="shared" si="84"/>
        <v>0</v>
      </c>
      <c r="BC167" s="16">
        <f t="shared" si="84"/>
        <v>0</v>
      </c>
      <c r="BD167" s="16">
        <f t="shared" si="84"/>
        <v>0</v>
      </c>
      <c r="BE167" s="16">
        <f t="shared" si="84"/>
        <v>0</v>
      </c>
      <c r="BF167" s="16">
        <f t="shared" si="84"/>
        <v>0</v>
      </c>
      <c r="BG167" s="16">
        <f t="shared" si="84"/>
        <v>0</v>
      </c>
      <c r="BH167" s="16">
        <f t="shared" si="84"/>
        <v>0</v>
      </c>
      <c r="BI167" s="16">
        <f t="shared" si="84"/>
        <v>0</v>
      </c>
      <c r="BJ167" s="16">
        <f t="shared" si="84"/>
        <v>0</v>
      </c>
      <c r="BK167" s="16">
        <f t="shared" si="84"/>
        <v>0</v>
      </c>
      <c r="BL167" s="16">
        <f t="shared" si="84"/>
        <v>0</v>
      </c>
      <c r="BM167" s="16">
        <f t="shared" si="84"/>
        <v>0</v>
      </c>
      <c r="BN167" s="16">
        <f t="shared" si="84"/>
        <v>0</v>
      </c>
    </row>
    <row r="168" spans="1:94" customFormat="1" x14ac:dyDescent="0.25">
      <c r="A168" s="29"/>
      <c r="B168" s="29"/>
      <c r="C168" s="1"/>
      <c r="D168" s="1"/>
      <c r="E168" s="1"/>
      <c r="F168" s="1"/>
      <c r="G168" s="1"/>
      <c r="H168" s="1"/>
      <c r="I168" s="1"/>
      <c r="J168" s="93"/>
      <c r="K168" s="1"/>
      <c r="L168" s="29"/>
      <c r="M168" s="1"/>
      <c r="N168" s="29"/>
      <c r="O168" s="9">
        <f>O167-1</f>
        <v>49</v>
      </c>
      <c r="P168" s="16">
        <f t="shared" ref="P168:AE188" si="85">IF(P$166=$O168,1-HLOOKUP($O168,$O$14:$BN$48,P$107,0),IF(P$166-$O168=1,-HLOOKUP($O168,$O$11:$BN$28,P$107,0),IF(P$166-$O168=-1,-HLOOKUP($O168,$O$17:$BN$68,P$107,0),0)))</f>
        <v>-0.57875560186482089</v>
      </c>
      <c r="Q168" s="16">
        <f t="shared" si="84"/>
        <v>2.1459946096861406</v>
      </c>
      <c r="R168" s="16">
        <f t="shared" si="84"/>
        <v>-0.56723900782131953</v>
      </c>
      <c r="S168" s="16">
        <f t="shared" si="84"/>
        <v>0</v>
      </c>
      <c r="T168" s="16">
        <f t="shared" si="84"/>
        <v>0</v>
      </c>
      <c r="U168" s="16">
        <f t="shared" si="84"/>
        <v>0</v>
      </c>
      <c r="V168" s="16">
        <f t="shared" si="84"/>
        <v>0</v>
      </c>
      <c r="W168" s="16">
        <f t="shared" si="84"/>
        <v>0</v>
      </c>
      <c r="X168" s="16">
        <f t="shared" si="84"/>
        <v>0</v>
      </c>
      <c r="Y168" s="16">
        <f t="shared" si="84"/>
        <v>0</v>
      </c>
      <c r="Z168" s="16">
        <f t="shared" si="84"/>
        <v>0</v>
      </c>
      <c r="AA168" s="16">
        <f t="shared" si="84"/>
        <v>0</v>
      </c>
      <c r="AB168" s="16">
        <f t="shared" si="84"/>
        <v>0</v>
      </c>
      <c r="AC168" s="16">
        <f t="shared" si="84"/>
        <v>0</v>
      </c>
      <c r="AD168" s="16">
        <f t="shared" si="84"/>
        <v>0</v>
      </c>
      <c r="AE168" s="16">
        <f t="shared" si="84"/>
        <v>0</v>
      </c>
      <c r="AF168" s="16">
        <f t="shared" si="84"/>
        <v>0</v>
      </c>
      <c r="AG168" s="16">
        <f t="shared" si="84"/>
        <v>0</v>
      </c>
      <c r="AH168" s="16">
        <f t="shared" si="84"/>
        <v>0</v>
      </c>
      <c r="AI168" s="16">
        <f t="shared" si="84"/>
        <v>0</v>
      </c>
      <c r="AJ168" s="16">
        <f t="shared" si="84"/>
        <v>0</v>
      </c>
      <c r="AK168" s="16">
        <f t="shared" si="84"/>
        <v>0</v>
      </c>
      <c r="AL168" s="16">
        <f t="shared" si="84"/>
        <v>0</v>
      </c>
      <c r="AM168" s="16">
        <f t="shared" si="84"/>
        <v>0</v>
      </c>
      <c r="AN168" s="16">
        <f t="shared" si="84"/>
        <v>0</v>
      </c>
      <c r="AO168" s="16">
        <f t="shared" si="84"/>
        <v>0</v>
      </c>
      <c r="AP168" s="16">
        <f t="shared" si="84"/>
        <v>0</v>
      </c>
      <c r="AQ168" s="16">
        <f t="shared" si="84"/>
        <v>0</v>
      </c>
      <c r="AR168" s="16">
        <f t="shared" si="84"/>
        <v>0</v>
      </c>
      <c r="AS168" s="16">
        <f t="shared" si="84"/>
        <v>0</v>
      </c>
      <c r="AT168" s="16">
        <f t="shared" si="84"/>
        <v>0</v>
      </c>
      <c r="AU168" s="16">
        <f t="shared" si="84"/>
        <v>0</v>
      </c>
      <c r="AV168" s="16">
        <f t="shared" si="84"/>
        <v>0</v>
      </c>
      <c r="AW168" s="16">
        <f t="shared" si="84"/>
        <v>0</v>
      </c>
      <c r="AX168" s="16">
        <f t="shared" si="84"/>
        <v>0</v>
      </c>
      <c r="AY168" s="16">
        <f t="shared" si="84"/>
        <v>0</v>
      </c>
      <c r="AZ168" s="16">
        <f t="shared" si="84"/>
        <v>0</v>
      </c>
      <c r="BA168" s="16">
        <f t="shared" si="84"/>
        <v>0</v>
      </c>
      <c r="BB168" s="16">
        <f t="shared" si="84"/>
        <v>0</v>
      </c>
      <c r="BC168" s="16">
        <f t="shared" si="84"/>
        <v>0</v>
      </c>
      <c r="BD168" s="16">
        <f t="shared" si="84"/>
        <v>0</v>
      </c>
      <c r="BE168" s="16">
        <f t="shared" si="84"/>
        <v>0</v>
      </c>
      <c r="BF168" s="16">
        <f t="shared" si="84"/>
        <v>0</v>
      </c>
      <c r="BG168" s="16">
        <f t="shared" si="84"/>
        <v>0</v>
      </c>
      <c r="BH168" s="16">
        <f t="shared" si="84"/>
        <v>0</v>
      </c>
      <c r="BI168" s="16">
        <f t="shared" si="84"/>
        <v>0</v>
      </c>
      <c r="BJ168" s="16">
        <f t="shared" si="84"/>
        <v>0</v>
      </c>
      <c r="BK168" s="16">
        <f t="shared" si="84"/>
        <v>0</v>
      </c>
      <c r="BL168" s="16">
        <f t="shared" si="84"/>
        <v>0</v>
      </c>
      <c r="BM168" s="16">
        <f t="shared" si="84"/>
        <v>0</v>
      </c>
      <c r="BN168" s="16">
        <f t="shared" si="84"/>
        <v>0</v>
      </c>
    </row>
    <row r="169" spans="1:94" customFormat="1" x14ac:dyDescent="0.25">
      <c r="A169" s="29"/>
      <c r="B169" s="29"/>
      <c r="C169" s="1"/>
      <c r="D169" s="1"/>
      <c r="E169" s="1"/>
      <c r="F169" s="1"/>
      <c r="G169" s="1"/>
      <c r="H169" s="1"/>
      <c r="I169" s="1"/>
      <c r="J169" s="93"/>
      <c r="K169" s="1"/>
      <c r="L169" s="29"/>
      <c r="M169" s="1"/>
      <c r="N169" s="29"/>
      <c r="O169" s="9">
        <f t="shared" ref="O169:O217" si="86">O168-1</f>
        <v>48</v>
      </c>
      <c r="P169" s="16">
        <f t="shared" si="85"/>
        <v>0</v>
      </c>
      <c r="Q169" s="16">
        <f t="shared" si="84"/>
        <v>-0.57875560186482089</v>
      </c>
      <c r="R169" s="16">
        <f t="shared" si="84"/>
        <v>2.1459946096861406</v>
      </c>
      <c r="S169" s="16">
        <f t="shared" si="84"/>
        <v>-0.56723900782131953</v>
      </c>
      <c r="T169" s="16">
        <f t="shared" si="84"/>
        <v>0</v>
      </c>
      <c r="U169" s="16">
        <f t="shared" si="84"/>
        <v>0</v>
      </c>
      <c r="V169" s="16">
        <f t="shared" si="84"/>
        <v>0</v>
      </c>
      <c r="W169" s="16">
        <f t="shared" si="84"/>
        <v>0</v>
      </c>
      <c r="X169" s="16">
        <f t="shared" si="84"/>
        <v>0</v>
      </c>
      <c r="Y169" s="16">
        <f t="shared" si="84"/>
        <v>0</v>
      </c>
      <c r="Z169" s="16">
        <f t="shared" si="84"/>
        <v>0</v>
      </c>
      <c r="AA169" s="16">
        <f t="shared" si="84"/>
        <v>0</v>
      </c>
      <c r="AB169" s="16">
        <f t="shared" si="84"/>
        <v>0</v>
      </c>
      <c r="AC169" s="16">
        <f t="shared" si="84"/>
        <v>0</v>
      </c>
      <c r="AD169" s="16">
        <f t="shared" si="84"/>
        <v>0</v>
      </c>
      <c r="AE169" s="16">
        <f t="shared" si="84"/>
        <v>0</v>
      </c>
      <c r="AF169" s="16">
        <f t="shared" si="84"/>
        <v>0</v>
      </c>
      <c r="AG169" s="16">
        <f t="shared" si="84"/>
        <v>0</v>
      </c>
      <c r="AH169" s="16">
        <f t="shared" si="84"/>
        <v>0</v>
      </c>
      <c r="AI169" s="16">
        <f t="shared" si="84"/>
        <v>0</v>
      </c>
      <c r="AJ169" s="16">
        <f t="shared" si="84"/>
        <v>0</v>
      </c>
      <c r="AK169" s="16">
        <f t="shared" si="84"/>
        <v>0</v>
      </c>
      <c r="AL169" s="16">
        <f t="shared" si="84"/>
        <v>0</v>
      </c>
      <c r="AM169" s="16">
        <f t="shared" si="84"/>
        <v>0</v>
      </c>
      <c r="AN169" s="16">
        <f t="shared" si="84"/>
        <v>0</v>
      </c>
      <c r="AO169" s="16">
        <f t="shared" si="84"/>
        <v>0</v>
      </c>
      <c r="AP169" s="16">
        <f t="shared" si="84"/>
        <v>0</v>
      </c>
      <c r="AQ169" s="16">
        <f t="shared" si="84"/>
        <v>0</v>
      </c>
      <c r="AR169" s="16">
        <f t="shared" si="84"/>
        <v>0</v>
      </c>
      <c r="AS169" s="16">
        <f t="shared" si="84"/>
        <v>0</v>
      </c>
      <c r="AT169" s="16">
        <f t="shared" si="84"/>
        <v>0</v>
      </c>
      <c r="AU169" s="16">
        <f t="shared" si="84"/>
        <v>0</v>
      </c>
      <c r="AV169" s="16">
        <f t="shared" si="84"/>
        <v>0</v>
      </c>
      <c r="AW169" s="16">
        <f t="shared" si="84"/>
        <v>0</v>
      </c>
      <c r="AX169" s="16">
        <f t="shared" si="84"/>
        <v>0</v>
      </c>
      <c r="AY169" s="16">
        <f t="shared" si="84"/>
        <v>0</v>
      </c>
      <c r="AZ169" s="16">
        <f t="shared" si="84"/>
        <v>0</v>
      </c>
      <c r="BA169" s="16">
        <f t="shared" si="84"/>
        <v>0</v>
      </c>
      <c r="BB169" s="16">
        <f t="shared" si="84"/>
        <v>0</v>
      </c>
      <c r="BC169" s="16">
        <f t="shared" si="84"/>
        <v>0</v>
      </c>
      <c r="BD169" s="16">
        <f t="shared" si="84"/>
        <v>0</v>
      </c>
      <c r="BE169" s="16">
        <f t="shared" si="84"/>
        <v>0</v>
      </c>
      <c r="BF169" s="16">
        <f t="shared" si="84"/>
        <v>0</v>
      </c>
      <c r="BG169" s="16">
        <f t="shared" si="84"/>
        <v>0</v>
      </c>
      <c r="BH169" s="16">
        <f t="shared" si="84"/>
        <v>0</v>
      </c>
      <c r="BI169" s="16">
        <f t="shared" si="84"/>
        <v>0</v>
      </c>
      <c r="BJ169" s="16">
        <f t="shared" si="84"/>
        <v>0</v>
      </c>
      <c r="BK169" s="16">
        <f t="shared" si="84"/>
        <v>0</v>
      </c>
      <c r="BL169" s="16">
        <f t="shared" si="84"/>
        <v>0</v>
      </c>
      <c r="BM169" s="16">
        <f t="shared" si="84"/>
        <v>0</v>
      </c>
      <c r="BN169" s="16">
        <f t="shared" si="84"/>
        <v>0</v>
      </c>
    </row>
    <row r="170" spans="1:94" customFormat="1" x14ac:dyDescent="0.25">
      <c r="A170" s="29"/>
      <c r="B170" s="12"/>
      <c r="C170" s="1"/>
      <c r="D170" s="1"/>
      <c r="E170" s="1"/>
      <c r="F170" s="1"/>
      <c r="G170" s="1"/>
      <c r="H170" s="1"/>
      <c r="I170" s="1"/>
      <c r="J170" s="93"/>
      <c r="K170" s="1"/>
      <c r="L170" s="29"/>
      <c r="M170" s="1"/>
      <c r="N170" s="29"/>
      <c r="O170" s="9">
        <f t="shared" si="86"/>
        <v>47</v>
      </c>
      <c r="P170" s="16">
        <f t="shared" si="85"/>
        <v>0</v>
      </c>
      <c r="Q170" s="16">
        <f t="shared" si="84"/>
        <v>0</v>
      </c>
      <c r="R170" s="16">
        <f t="shared" si="84"/>
        <v>-0.57875560186482089</v>
      </c>
      <c r="S170" s="16">
        <f t="shared" si="84"/>
        <v>2.1459946096861406</v>
      </c>
      <c r="T170" s="16">
        <f t="shared" si="84"/>
        <v>-0.56723900782131953</v>
      </c>
      <c r="U170" s="16">
        <f t="shared" si="84"/>
        <v>0</v>
      </c>
      <c r="V170" s="16">
        <f t="shared" si="84"/>
        <v>0</v>
      </c>
      <c r="W170" s="16">
        <f t="shared" si="84"/>
        <v>0</v>
      </c>
      <c r="X170" s="16">
        <f t="shared" si="84"/>
        <v>0</v>
      </c>
      <c r="Y170" s="16">
        <f t="shared" si="84"/>
        <v>0</v>
      </c>
      <c r="Z170" s="16">
        <f t="shared" si="84"/>
        <v>0</v>
      </c>
      <c r="AA170" s="16">
        <f t="shared" si="84"/>
        <v>0</v>
      </c>
      <c r="AB170" s="16">
        <f t="shared" si="84"/>
        <v>0</v>
      </c>
      <c r="AC170" s="16">
        <f t="shared" si="84"/>
        <v>0</v>
      </c>
      <c r="AD170" s="16">
        <f t="shared" si="84"/>
        <v>0</v>
      </c>
      <c r="AE170" s="16">
        <f t="shared" si="84"/>
        <v>0</v>
      </c>
      <c r="AF170" s="16">
        <f t="shared" si="84"/>
        <v>0</v>
      </c>
      <c r="AG170" s="16">
        <f t="shared" si="84"/>
        <v>0</v>
      </c>
      <c r="AH170" s="16">
        <f t="shared" si="84"/>
        <v>0</v>
      </c>
      <c r="AI170" s="16">
        <f t="shared" si="84"/>
        <v>0</v>
      </c>
      <c r="AJ170" s="16">
        <f t="shared" si="84"/>
        <v>0</v>
      </c>
      <c r="AK170" s="16">
        <f t="shared" si="84"/>
        <v>0</v>
      </c>
      <c r="AL170" s="16">
        <f t="shared" si="84"/>
        <v>0</v>
      </c>
      <c r="AM170" s="16">
        <f t="shared" si="84"/>
        <v>0</v>
      </c>
      <c r="AN170" s="16">
        <f t="shared" si="84"/>
        <v>0</v>
      </c>
      <c r="AO170" s="16">
        <f t="shared" si="84"/>
        <v>0</v>
      </c>
      <c r="AP170" s="16">
        <f t="shared" si="84"/>
        <v>0</v>
      </c>
      <c r="AQ170" s="16">
        <f t="shared" si="84"/>
        <v>0</v>
      </c>
      <c r="AR170" s="16">
        <f t="shared" si="84"/>
        <v>0</v>
      </c>
      <c r="AS170" s="16">
        <f t="shared" si="84"/>
        <v>0</v>
      </c>
      <c r="AT170" s="16">
        <f t="shared" si="84"/>
        <v>0</v>
      </c>
      <c r="AU170" s="16">
        <f t="shared" si="84"/>
        <v>0</v>
      </c>
      <c r="AV170" s="16">
        <f t="shared" si="84"/>
        <v>0</v>
      </c>
      <c r="AW170" s="16">
        <f t="shared" si="84"/>
        <v>0</v>
      </c>
      <c r="AX170" s="16">
        <f t="shared" si="84"/>
        <v>0</v>
      </c>
      <c r="AY170" s="16">
        <f t="shared" si="84"/>
        <v>0</v>
      </c>
      <c r="AZ170" s="16">
        <f t="shared" si="84"/>
        <v>0</v>
      </c>
      <c r="BA170" s="16">
        <f t="shared" si="84"/>
        <v>0</v>
      </c>
      <c r="BB170" s="16">
        <f t="shared" si="84"/>
        <v>0</v>
      </c>
      <c r="BC170" s="16">
        <f t="shared" si="84"/>
        <v>0</v>
      </c>
      <c r="BD170" s="16">
        <f t="shared" si="84"/>
        <v>0</v>
      </c>
      <c r="BE170" s="16">
        <f t="shared" si="84"/>
        <v>0</v>
      </c>
      <c r="BF170" s="16">
        <f t="shared" si="84"/>
        <v>0</v>
      </c>
      <c r="BG170" s="16">
        <f t="shared" si="84"/>
        <v>0</v>
      </c>
      <c r="BH170" s="16">
        <f t="shared" si="84"/>
        <v>0</v>
      </c>
      <c r="BI170" s="16">
        <f t="shared" si="84"/>
        <v>0</v>
      </c>
      <c r="BJ170" s="16">
        <f t="shared" si="84"/>
        <v>0</v>
      </c>
      <c r="BK170" s="16">
        <f t="shared" si="84"/>
        <v>0</v>
      </c>
      <c r="BL170" s="16">
        <f t="shared" si="84"/>
        <v>0</v>
      </c>
      <c r="BM170" s="16">
        <f t="shared" si="84"/>
        <v>0</v>
      </c>
      <c r="BN170" s="16">
        <f t="shared" si="84"/>
        <v>0</v>
      </c>
    </row>
    <row r="171" spans="1:94" customFormat="1" x14ac:dyDescent="0.25">
      <c r="A171" s="29"/>
      <c r="B171" s="29"/>
      <c r="C171" s="1"/>
      <c r="D171" s="1"/>
      <c r="E171" s="1"/>
      <c r="F171" s="1"/>
      <c r="G171" s="1"/>
      <c r="H171" s="1"/>
      <c r="I171" s="1"/>
      <c r="J171" s="93"/>
      <c r="K171" s="1"/>
      <c r="L171" s="29"/>
      <c r="M171" s="1"/>
      <c r="N171" s="29"/>
      <c r="O171" s="9">
        <f t="shared" si="86"/>
        <v>46</v>
      </c>
      <c r="P171" s="16">
        <f t="shared" si="85"/>
        <v>0</v>
      </c>
      <c r="Q171" s="16">
        <f t="shared" si="84"/>
        <v>0</v>
      </c>
      <c r="R171" s="16">
        <f t="shared" si="84"/>
        <v>0</v>
      </c>
      <c r="S171" s="16">
        <f t="shared" si="84"/>
        <v>-0.57875560186482089</v>
      </c>
      <c r="T171" s="16">
        <f t="shared" si="84"/>
        <v>2.1459946096861406</v>
      </c>
      <c r="U171" s="16">
        <f t="shared" si="84"/>
        <v>-0.56723900782131953</v>
      </c>
      <c r="V171" s="16">
        <f t="shared" si="84"/>
        <v>0</v>
      </c>
      <c r="W171" s="16">
        <f t="shared" si="84"/>
        <v>0</v>
      </c>
      <c r="X171" s="16">
        <f t="shared" si="84"/>
        <v>0</v>
      </c>
      <c r="Y171" s="16">
        <f t="shared" si="84"/>
        <v>0</v>
      </c>
      <c r="Z171" s="16">
        <f t="shared" si="84"/>
        <v>0</v>
      </c>
      <c r="AA171" s="16">
        <f t="shared" si="84"/>
        <v>0</v>
      </c>
      <c r="AB171" s="16">
        <f t="shared" si="84"/>
        <v>0</v>
      </c>
      <c r="AC171" s="16">
        <f t="shared" si="84"/>
        <v>0</v>
      </c>
      <c r="AD171" s="16">
        <f t="shared" si="84"/>
        <v>0</v>
      </c>
      <c r="AE171" s="16">
        <f t="shared" si="84"/>
        <v>0</v>
      </c>
      <c r="AF171" s="16">
        <f t="shared" si="84"/>
        <v>0</v>
      </c>
      <c r="AG171" s="16">
        <f t="shared" si="84"/>
        <v>0</v>
      </c>
      <c r="AH171" s="16">
        <f t="shared" si="84"/>
        <v>0</v>
      </c>
      <c r="AI171" s="16">
        <f t="shared" si="84"/>
        <v>0</v>
      </c>
      <c r="AJ171" s="16">
        <f t="shared" si="84"/>
        <v>0</v>
      </c>
      <c r="AK171" s="16">
        <f t="shared" si="84"/>
        <v>0</v>
      </c>
      <c r="AL171" s="16">
        <f t="shared" si="84"/>
        <v>0</v>
      </c>
      <c r="AM171" s="16">
        <f t="shared" si="84"/>
        <v>0</v>
      </c>
      <c r="AN171" s="16">
        <f t="shared" si="84"/>
        <v>0</v>
      </c>
      <c r="AO171" s="16">
        <f t="shared" si="84"/>
        <v>0</v>
      </c>
      <c r="AP171" s="16">
        <f t="shared" si="84"/>
        <v>0</v>
      </c>
      <c r="AQ171" s="16">
        <f t="shared" si="84"/>
        <v>0</v>
      </c>
      <c r="AR171" s="16">
        <f t="shared" si="84"/>
        <v>0</v>
      </c>
      <c r="AS171" s="16">
        <f t="shared" si="84"/>
        <v>0</v>
      </c>
      <c r="AT171" s="16">
        <f t="shared" si="84"/>
        <v>0</v>
      </c>
      <c r="AU171" s="16">
        <f t="shared" si="84"/>
        <v>0</v>
      </c>
      <c r="AV171" s="16">
        <f t="shared" si="84"/>
        <v>0</v>
      </c>
      <c r="AW171" s="16">
        <f t="shared" si="84"/>
        <v>0</v>
      </c>
      <c r="AX171" s="16">
        <f t="shared" si="84"/>
        <v>0</v>
      </c>
      <c r="AY171" s="16">
        <f t="shared" si="84"/>
        <v>0</v>
      </c>
      <c r="AZ171" s="16">
        <f t="shared" si="84"/>
        <v>0</v>
      </c>
      <c r="BA171" s="16">
        <f t="shared" si="84"/>
        <v>0</v>
      </c>
      <c r="BB171" s="16">
        <f t="shared" si="84"/>
        <v>0</v>
      </c>
      <c r="BC171" s="16">
        <f t="shared" si="84"/>
        <v>0</v>
      </c>
      <c r="BD171" s="16">
        <f t="shared" si="84"/>
        <v>0</v>
      </c>
      <c r="BE171" s="16">
        <f t="shared" si="84"/>
        <v>0</v>
      </c>
      <c r="BF171" s="16">
        <f t="shared" si="84"/>
        <v>0</v>
      </c>
      <c r="BG171" s="16">
        <f t="shared" si="84"/>
        <v>0</v>
      </c>
      <c r="BH171" s="16">
        <f t="shared" si="84"/>
        <v>0</v>
      </c>
      <c r="BI171" s="16">
        <f t="shared" si="84"/>
        <v>0</v>
      </c>
      <c r="BJ171" s="16">
        <f t="shared" si="84"/>
        <v>0</v>
      </c>
      <c r="BK171" s="16">
        <f t="shared" si="84"/>
        <v>0</v>
      </c>
      <c r="BL171" s="16">
        <f t="shared" si="84"/>
        <v>0</v>
      </c>
      <c r="BM171" s="16">
        <f t="shared" si="84"/>
        <v>0</v>
      </c>
      <c r="BN171" s="16">
        <f t="shared" si="84"/>
        <v>0</v>
      </c>
    </row>
    <row r="172" spans="1:94" customFormat="1" x14ac:dyDescent="0.25">
      <c r="A172" s="29"/>
      <c r="B172" s="29"/>
      <c r="C172" s="1"/>
      <c r="D172" s="1"/>
      <c r="E172" s="1"/>
      <c r="F172" s="1"/>
      <c r="G172" s="1"/>
      <c r="H172" s="1"/>
      <c r="I172" s="1"/>
      <c r="J172" s="93"/>
      <c r="K172" s="1"/>
      <c r="L172" s="29"/>
      <c r="M172" s="1"/>
      <c r="N172" s="29"/>
      <c r="O172" s="9">
        <f t="shared" si="86"/>
        <v>45</v>
      </c>
      <c r="P172" s="16">
        <f t="shared" si="85"/>
        <v>0</v>
      </c>
      <c r="Q172" s="16">
        <f t="shared" si="84"/>
        <v>0</v>
      </c>
      <c r="R172" s="16">
        <f t="shared" si="84"/>
        <v>0</v>
      </c>
      <c r="S172" s="16">
        <f t="shared" si="84"/>
        <v>0</v>
      </c>
      <c r="T172" s="16">
        <f t="shared" si="84"/>
        <v>-0.4888354781633541</v>
      </c>
      <c r="U172" s="16">
        <f t="shared" si="84"/>
        <v>1.9671132971059628</v>
      </c>
      <c r="V172" s="16">
        <f t="shared" ref="V172:AK187" si="87">IF(V$166=$O172,1-HLOOKUP($O172,$O$14:$BN$48,V$107,0),IF(V$166-$O172=1,-HLOOKUP($O172,$O$11:$BN$28,V$107,0),IF(V$166-$O172=-1,-HLOOKUP($O172,$O$17:$BN$68,V$107,0),0)))</f>
        <v>-0.47827781894260873</v>
      </c>
      <c r="W172" s="16">
        <f t="shared" si="87"/>
        <v>0</v>
      </c>
      <c r="X172" s="16">
        <f t="shared" si="87"/>
        <v>0</v>
      </c>
      <c r="Y172" s="16">
        <f t="shared" si="87"/>
        <v>0</v>
      </c>
      <c r="Z172" s="16">
        <f t="shared" si="87"/>
        <v>0</v>
      </c>
      <c r="AA172" s="16">
        <f t="shared" si="87"/>
        <v>0</v>
      </c>
      <c r="AB172" s="16">
        <f t="shared" si="87"/>
        <v>0</v>
      </c>
      <c r="AC172" s="16">
        <f t="shared" si="87"/>
        <v>0</v>
      </c>
      <c r="AD172" s="16">
        <f t="shared" si="87"/>
        <v>0</v>
      </c>
      <c r="AE172" s="16">
        <f t="shared" si="87"/>
        <v>0</v>
      </c>
      <c r="AF172" s="16">
        <f t="shared" si="87"/>
        <v>0</v>
      </c>
      <c r="AG172" s="16">
        <f t="shared" si="87"/>
        <v>0</v>
      </c>
      <c r="AH172" s="16">
        <f t="shared" si="87"/>
        <v>0</v>
      </c>
      <c r="AI172" s="16">
        <f t="shared" si="87"/>
        <v>0</v>
      </c>
      <c r="AJ172" s="16">
        <f t="shared" si="87"/>
        <v>0</v>
      </c>
      <c r="AK172" s="16">
        <f t="shared" si="87"/>
        <v>0</v>
      </c>
      <c r="AL172" s="16">
        <f t="shared" ref="AL172:BA187" si="88">IF(AL$166=$O172,1-HLOOKUP($O172,$O$14:$BN$48,AL$107,0),IF(AL$166-$O172=1,-HLOOKUP($O172,$O$11:$BN$28,AL$107,0),IF(AL$166-$O172=-1,-HLOOKUP($O172,$O$17:$BN$68,AL$107,0),0)))</f>
        <v>0</v>
      </c>
      <c r="AM172" s="16">
        <f t="shared" si="88"/>
        <v>0</v>
      </c>
      <c r="AN172" s="16">
        <f t="shared" si="88"/>
        <v>0</v>
      </c>
      <c r="AO172" s="16">
        <f t="shared" si="88"/>
        <v>0</v>
      </c>
      <c r="AP172" s="16">
        <f t="shared" si="88"/>
        <v>0</v>
      </c>
      <c r="AQ172" s="16">
        <f t="shared" si="88"/>
        <v>0</v>
      </c>
      <c r="AR172" s="16">
        <f t="shared" si="88"/>
        <v>0</v>
      </c>
      <c r="AS172" s="16">
        <f t="shared" si="88"/>
        <v>0</v>
      </c>
      <c r="AT172" s="16">
        <f t="shared" si="88"/>
        <v>0</v>
      </c>
      <c r="AU172" s="16">
        <f t="shared" si="88"/>
        <v>0</v>
      </c>
      <c r="AV172" s="16">
        <f t="shared" si="88"/>
        <v>0</v>
      </c>
      <c r="AW172" s="16">
        <f t="shared" si="88"/>
        <v>0</v>
      </c>
      <c r="AX172" s="16">
        <f t="shared" si="88"/>
        <v>0</v>
      </c>
      <c r="AY172" s="16">
        <f t="shared" si="88"/>
        <v>0</v>
      </c>
      <c r="AZ172" s="16">
        <f t="shared" si="88"/>
        <v>0</v>
      </c>
      <c r="BA172" s="16">
        <f t="shared" si="88"/>
        <v>0</v>
      </c>
      <c r="BB172" s="16">
        <f t="shared" ref="BB172:BN186" si="89">IF(BB$166=$O172,1-HLOOKUP($O172,$O$14:$BN$48,BB$107,0),IF(BB$166-$O172=1,-HLOOKUP($O172,$O$11:$BN$28,BB$107,0),IF(BB$166-$O172=-1,-HLOOKUP($O172,$O$17:$BN$68,BB$107,0),0)))</f>
        <v>0</v>
      </c>
      <c r="BC172" s="16">
        <f t="shared" si="89"/>
        <v>0</v>
      </c>
      <c r="BD172" s="16">
        <f t="shared" si="89"/>
        <v>0</v>
      </c>
      <c r="BE172" s="16">
        <f t="shared" si="89"/>
        <v>0</v>
      </c>
      <c r="BF172" s="16">
        <f t="shared" si="89"/>
        <v>0</v>
      </c>
      <c r="BG172" s="16">
        <f t="shared" si="89"/>
        <v>0</v>
      </c>
      <c r="BH172" s="16">
        <f t="shared" si="89"/>
        <v>0</v>
      </c>
      <c r="BI172" s="16">
        <f t="shared" si="89"/>
        <v>0</v>
      </c>
      <c r="BJ172" s="16">
        <f t="shared" si="89"/>
        <v>0</v>
      </c>
      <c r="BK172" s="16">
        <f t="shared" si="89"/>
        <v>0</v>
      </c>
      <c r="BL172" s="16">
        <f t="shared" si="89"/>
        <v>0</v>
      </c>
      <c r="BM172" s="16">
        <f t="shared" si="89"/>
        <v>0</v>
      </c>
      <c r="BN172" s="16">
        <f t="shared" si="89"/>
        <v>0</v>
      </c>
    </row>
    <row r="173" spans="1:94" customFormat="1" x14ac:dyDescent="0.25">
      <c r="A173" s="29"/>
      <c r="B173" s="29"/>
      <c r="C173" s="1"/>
      <c r="D173" s="1"/>
      <c r="E173" s="1"/>
      <c r="F173" s="1"/>
      <c r="G173" s="1"/>
      <c r="H173" s="1"/>
      <c r="I173" s="1"/>
      <c r="J173" s="93"/>
      <c r="K173" s="1"/>
      <c r="L173" s="29"/>
      <c r="M173" s="1"/>
      <c r="N173" s="29"/>
      <c r="O173" s="9">
        <f t="shared" si="86"/>
        <v>44</v>
      </c>
      <c r="P173" s="16">
        <f t="shared" si="85"/>
        <v>0</v>
      </c>
      <c r="Q173" s="16">
        <f t="shared" si="85"/>
        <v>0</v>
      </c>
      <c r="R173" s="16">
        <f t="shared" si="85"/>
        <v>0</v>
      </c>
      <c r="S173" s="16">
        <f t="shared" si="85"/>
        <v>0</v>
      </c>
      <c r="T173" s="16">
        <f t="shared" si="85"/>
        <v>0</v>
      </c>
      <c r="U173" s="16">
        <f t="shared" si="85"/>
        <v>-0.34712053406020038</v>
      </c>
      <c r="V173" s="16">
        <f t="shared" si="85"/>
        <v>1.6851946990226163</v>
      </c>
      <c r="W173" s="16">
        <f t="shared" si="85"/>
        <v>-0.33807416496241594</v>
      </c>
      <c r="X173" s="16">
        <f t="shared" si="85"/>
        <v>0</v>
      </c>
      <c r="Y173" s="16">
        <f t="shared" si="85"/>
        <v>0</v>
      </c>
      <c r="Z173" s="16">
        <f t="shared" si="85"/>
        <v>0</v>
      </c>
      <c r="AA173" s="16">
        <f t="shared" si="85"/>
        <v>0</v>
      </c>
      <c r="AB173" s="16">
        <f t="shared" si="85"/>
        <v>0</v>
      </c>
      <c r="AC173" s="16">
        <f t="shared" si="85"/>
        <v>0</v>
      </c>
      <c r="AD173" s="16">
        <f t="shared" si="85"/>
        <v>0</v>
      </c>
      <c r="AE173" s="16">
        <f t="shared" si="85"/>
        <v>0</v>
      </c>
      <c r="AF173" s="16">
        <f t="shared" si="87"/>
        <v>0</v>
      </c>
      <c r="AG173" s="16">
        <f t="shared" si="87"/>
        <v>0</v>
      </c>
      <c r="AH173" s="16">
        <f t="shared" si="87"/>
        <v>0</v>
      </c>
      <c r="AI173" s="16">
        <f t="shared" si="87"/>
        <v>0</v>
      </c>
      <c r="AJ173" s="16">
        <f t="shared" si="87"/>
        <v>0</v>
      </c>
      <c r="AK173" s="16">
        <f t="shared" si="87"/>
        <v>0</v>
      </c>
      <c r="AL173" s="16">
        <f t="shared" si="88"/>
        <v>0</v>
      </c>
      <c r="AM173" s="16">
        <f t="shared" si="88"/>
        <v>0</v>
      </c>
      <c r="AN173" s="16">
        <f t="shared" si="88"/>
        <v>0</v>
      </c>
      <c r="AO173" s="16">
        <f t="shared" si="88"/>
        <v>0</v>
      </c>
      <c r="AP173" s="16">
        <f t="shared" si="88"/>
        <v>0</v>
      </c>
      <c r="AQ173" s="16">
        <f t="shared" si="88"/>
        <v>0</v>
      </c>
      <c r="AR173" s="16">
        <f t="shared" si="88"/>
        <v>0</v>
      </c>
      <c r="AS173" s="16">
        <f t="shared" si="88"/>
        <v>0</v>
      </c>
      <c r="AT173" s="16">
        <f t="shared" si="88"/>
        <v>0</v>
      </c>
      <c r="AU173" s="16">
        <f t="shared" si="88"/>
        <v>0</v>
      </c>
      <c r="AV173" s="16">
        <f t="shared" si="88"/>
        <v>0</v>
      </c>
      <c r="AW173" s="16">
        <f t="shared" si="88"/>
        <v>0</v>
      </c>
      <c r="AX173" s="16">
        <f t="shared" si="88"/>
        <v>0</v>
      </c>
      <c r="AY173" s="16">
        <f t="shared" si="88"/>
        <v>0</v>
      </c>
      <c r="AZ173" s="16">
        <f t="shared" si="88"/>
        <v>0</v>
      </c>
      <c r="BA173" s="16">
        <f t="shared" si="88"/>
        <v>0</v>
      </c>
      <c r="BB173" s="16">
        <f t="shared" si="89"/>
        <v>0</v>
      </c>
      <c r="BC173" s="16">
        <f t="shared" si="89"/>
        <v>0</v>
      </c>
      <c r="BD173" s="16">
        <f t="shared" si="89"/>
        <v>0</v>
      </c>
      <c r="BE173" s="16">
        <f t="shared" si="89"/>
        <v>0</v>
      </c>
      <c r="BF173" s="16">
        <f t="shared" si="89"/>
        <v>0</v>
      </c>
      <c r="BG173" s="16">
        <f t="shared" si="89"/>
        <v>0</v>
      </c>
      <c r="BH173" s="16">
        <f t="shared" si="89"/>
        <v>0</v>
      </c>
      <c r="BI173" s="16">
        <f t="shared" si="89"/>
        <v>0</v>
      </c>
      <c r="BJ173" s="16">
        <f t="shared" si="89"/>
        <v>0</v>
      </c>
      <c r="BK173" s="16">
        <f t="shared" si="89"/>
        <v>0</v>
      </c>
      <c r="BL173" s="16">
        <f t="shared" si="89"/>
        <v>0</v>
      </c>
      <c r="BM173" s="16">
        <f t="shared" si="89"/>
        <v>0</v>
      </c>
      <c r="BN173" s="16">
        <f t="shared" si="89"/>
        <v>0</v>
      </c>
    </row>
    <row r="174" spans="1:94" customFormat="1" x14ac:dyDescent="0.25">
      <c r="A174" s="29"/>
      <c r="B174" s="29"/>
      <c r="C174" s="1"/>
      <c r="D174" s="1"/>
      <c r="E174" s="1"/>
      <c r="F174" s="1"/>
      <c r="G174" s="1"/>
      <c r="H174" s="1"/>
      <c r="I174" s="1"/>
      <c r="J174" s="93"/>
      <c r="K174" s="1"/>
      <c r="L174" s="29"/>
      <c r="M174" s="1"/>
      <c r="N174" s="29"/>
      <c r="O174" s="9">
        <f t="shared" si="86"/>
        <v>43</v>
      </c>
      <c r="P174" s="16">
        <f t="shared" si="85"/>
        <v>0</v>
      </c>
      <c r="Q174" s="16">
        <f t="shared" si="85"/>
        <v>0</v>
      </c>
      <c r="R174" s="16">
        <f t="shared" si="85"/>
        <v>0</v>
      </c>
      <c r="S174" s="16">
        <f t="shared" si="85"/>
        <v>0</v>
      </c>
      <c r="T174" s="16">
        <f t="shared" si="85"/>
        <v>0</v>
      </c>
      <c r="U174" s="16">
        <f t="shared" si="85"/>
        <v>0</v>
      </c>
      <c r="V174" s="16">
        <f t="shared" si="85"/>
        <v>-0.22976373397159319</v>
      </c>
      <c r="W174" s="16">
        <f t="shared" si="85"/>
        <v>1.4517326265086179</v>
      </c>
      <c r="X174" s="16">
        <f t="shared" si="85"/>
        <v>-0.22196889253702462</v>
      </c>
      <c r="Y174" s="16">
        <f t="shared" si="85"/>
        <v>0</v>
      </c>
      <c r="Z174" s="16">
        <f t="shared" si="85"/>
        <v>0</v>
      </c>
      <c r="AA174" s="16">
        <f t="shared" si="85"/>
        <v>0</v>
      </c>
      <c r="AB174" s="16">
        <f t="shared" si="85"/>
        <v>0</v>
      </c>
      <c r="AC174" s="16">
        <f t="shared" si="85"/>
        <v>0</v>
      </c>
      <c r="AD174" s="16">
        <f t="shared" si="85"/>
        <v>0</v>
      </c>
      <c r="AE174" s="16">
        <f t="shared" si="85"/>
        <v>0</v>
      </c>
      <c r="AF174" s="16">
        <f t="shared" si="87"/>
        <v>0</v>
      </c>
      <c r="AG174" s="16">
        <f t="shared" si="87"/>
        <v>0</v>
      </c>
      <c r="AH174" s="16">
        <f t="shared" si="87"/>
        <v>0</v>
      </c>
      <c r="AI174" s="16">
        <f t="shared" si="87"/>
        <v>0</v>
      </c>
      <c r="AJ174" s="16">
        <f t="shared" si="87"/>
        <v>0</v>
      </c>
      <c r="AK174" s="16">
        <f t="shared" si="87"/>
        <v>0</v>
      </c>
      <c r="AL174" s="16">
        <f t="shared" si="88"/>
        <v>0</v>
      </c>
      <c r="AM174" s="16">
        <f t="shared" si="88"/>
        <v>0</v>
      </c>
      <c r="AN174" s="16">
        <f t="shared" si="88"/>
        <v>0</v>
      </c>
      <c r="AO174" s="16">
        <f t="shared" si="88"/>
        <v>0</v>
      </c>
      <c r="AP174" s="16">
        <f t="shared" si="88"/>
        <v>0</v>
      </c>
      <c r="AQ174" s="16">
        <f t="shared" si="88"/>
        <v>0</v>
      </c>
      <c r="AR174" s="16">
        <f t="shared" si="88"/>
        <v>0</v>
      </c>
      <c r="AS174" s="16">
        <f t="shared" si="88"/>
        <v>0</v>
      </c>
      <c r="AT174" s="16">
        <f t="shared" si="88"/>
        <v>0</v>
      </c>
      <c r="AU174" s="16">
        <f t="shared" si="88"/>
        <v>0</v>
      </c>
      <c r="AV174" s="16">
        <f t="shared" si="88"/>
        <v>0</v>
      </c>
      <c r="AW174" s="16">
        <f t="shared" si="88"/>
        <v>0</v>
      </c>
      <c r="AX174" s="16">
        <f t="shared" si="88"/>
        <v>0</v>
      </c>
      <c r="AY174" s="16">
        <f t="shared" si="88"/>
        <v>0</v>
      </c>
      <c r="AZ174" s="16">
        <f t="shared" si="88"/>
        <v>0</v>
      </c>
      <c r="BA174" s="16">
        <f t="shared" si="88"/>
        <v>0</v>
      </c>
      <c r="BB174" s="16">
        <f t="shared" si="89"/>
        <v>0</v>
      </c>
      <c r="BC174" s="16">
        <f t="shared" si="89"/>
        <v>0</v>
      </c>
      <c r="BD174" s="16">
        <f t="shared" si="89"/>
        <v>0</v>
      </c>
      <c r="BE174" s="16">
        <f t="shared" si="89"/>
        <v>0</v>
      </c>
      <c r="BF174" s="16">
        <f t="shared" si="89"/>
        <v>0</v>
      </c>
      <c r="BG174" s="16">
        <f t="shared" si="89"/>
        <v>0</v>
      </c>
      <c r="BH174" s="16">
        <f t="shared" si="89"/>
        <v>0</v>
      </c>
      <c r="BI174" s="16">
        <f t="shared" si="89"/>
        <v>0</v>
      </c>
      <c r="BJ174" s="16">
        <f t="shared" si="89"/>
        <v>0</v>
      </c>
      <c r="BK174" s="16">
        <f t="shared" si="89"/>
        <v>0</v>
      </c>
      <c r="BL174" s="16">
        <f t="shared" si="89"/>
        <v>0</v>
      </c>
      <c r="BM174" s="16">
        <f t="shared" si="89"/>
        <v>0</v>
      </c>
      <c r="BN174" s="16">
        <f t="shared" si="89"/>
        <v>0</v>
      </c>
    </row>
    <row r="175" spans="1:94" customFormat="1" x14ac:dyDescent="0.25">
      <c r="A175" s="29"/>
      <c r="B175" s="29"/>
      <c r="C175" s="1"/>
      <c r="D175" s="1"/>
      <c r="E175" s="1"/>
      <c r="F175" s="1"/>
      <c r="G175" s="1"/>
      <c r="H175" s="1"/>
      <c r="I175" s="1"/>
      <c r="J175" s="93"/>
      <c r="K175" s="1"/>
      <c r="L175" s="29"/>
      <c r="M175" s="1"/>
      <c r="N175" s="29"/>
      <c r="O175" s="9">
        <f t="shared" si="86"/>
        <v>42</v>
      </c>
      <c r="P175" s="16">
        <f t="shared" si="85"/>
        <v>0</v>
      </c>
      <c r="Q175" s="16">
        <f t="shared" si="85"/>
        <v>0</v>
      </c>
      <c r="R175" s="16">
        <f t="shared" si="85"/>
        <v>0</v>
      </c>
      <c r="S175" s="16">
        <f t="shared" si="85"/>
        <v>0</v>
      </c>
      <c r="T175" s="16">
        <f t="shared" si="85"/>
        <v>0</v>
      </c>
      <c r="U175" s="16">
        <f t="shared" si="85"/>
        <v>0</v>
      </c>
      <c r="V175" s="16">
        <f t="shared" si="85"/>
        <v>0</v>
      </c>
      <c r="W175" s="16">
        <f t="shared" si="85"/>
        <v>-0.13676507789753245</v>
      </c>
      <c r="X175" s="16">
        <f t="shared" si="85"/>
        <v>1.2667270795639674</v>
      </c>
      <c r="Y175" s="16">
        <f t="shared" si="85"/>
        <v>-0.12996200166643493</v>
      </c>
      <c r="Z175" s="16">
        <f t="shared" si="85"/>
        <v>0</v>
      </c>
      <c r="AA175" s="16">
        <f t="shared" si="85"/>
        <v>0</v>
      </c>
      <c r="AB175" s="16">
        <f t="shared" si="85"/>
        <v>0</v>
      </c>
      <c r="AC175" s="16">
        <f t="shared" si="85"/>
        <v>0</v>
      </c>
      <c r="AD175" s="16">
        <f t="shared" si="85"/>
        <v>0</v>
      </c>
      <c r="AE175" s="16">
        <f t="shared" si="85"/>
        <v>0</v>
      </c>
      <c r="AF175" s="16">
        <f t="shared" si="87"/>
        <v>0</v>
      </c>
      <c r="AG175" s="16">
        <f t="shared" si="87"/>
        <v>0</v>
      </c>
      <c r="AH175" s="16">
        <f t="shared" si="87"/>
        <v>0</v>
      </c>
      <c r="AI175" s="16">
        <f t="shared" si="87"/>
        <v>0</v>
      </c>
      <c r="AJ175" s="16">
        <f t="shared" si="87"/>
        <v>0</v>
      </c>
      <c r="AK175" s="16">
        <f t="shared" si="87"/>
        <v>0</v>
      </c>
      <c r="AL175" s="16">
        <f t="shared" si="88"/>
        <v>0</v>
      </c>
      <c r="AM175" s="16">
        <f t="shared" si="88"/>
        <v>0</v>
      </c>
      <c r="AN175" s="16">
        <f t="shared" si="88"/>
        <v>0</v>
      </c>
      <c r="AO175" s="16">
        <f t="shared" si="88"/>
        <v>0</v>
      </c>
      <c r="AP175" s="16">
        <f t="shared" si="88"/>
        <v>0</v>
      </c>
      <c r="AQ175" s="16">
        <f t="shared" si="88"/>
        <v>0</v>
      </c>
      <c r="AR175" s="16">
        <f t="shared" si="88"/>
        <v>0</v>
      </c>
      <c r="AS175" s="16">
        <f t="shared" si="88"/>
        <v>0</v>
      </c>
      <c r="AT175" s="16">
        <f t="shared" si="88"/>
        <v>0</v>
      </c>
      <c r="AU175" s="16">
        <f t="shared" si="88"/>
        <v>0</v>
      </c>
      <c r="AV175" s="16">
        <f t="shared" si="88"/>
        <v>0</v>
      </c>
      <c r="AW175" s="16">
        <f t="shared" si="88"/>
        <v>0</v>
      </c>
      <c r="AX175" s="16">
        <f t="shared" si="88"/>
        <v>0</v>
      </c>
      <c r="AY175" s="16">
        <f t="shared" si="88"/>
        <v>0</v>
      </c>
      <c r="AZ175" s="16">
        <f t="shared" si="88"/>
        <v>0</v>
      </c>
      <c r="BA175" s="16">
        <f t="shared" si="88"/>
        <v>0</v>
      </c>
      <c r="BB175" s="16">
        <f t="shared" si="89"/>
        <v>0</v>
      </c>
      <c r="BC175" s="16">
        <f t="shared" si="89"/>
        <v>0</v>
      </c>
      <c r="BD175" s="16">
        <f t="shared" si="89"/>
        <v>0</v>
      </c>
      <c r="BE175" s="16">
        <f t="shared" si="89"/>
        <v>0</v>
      </c>
      <c r="BF175" s="16">
        <f t="shared" si="89"/>
        <v>0</v>
      </c>
      <c r="BG175" s="16">
        <f t="shared" si="89"/>
        <v>0</v>
      </c>
      <c r="BH175" s="16">
        <f t="shared" si="89"/>
        <v>0</v>
      </c>
      <c r="BI175" s="16">
        <f t="shared" si="89"/>
        <v>0</v>
      </c>
      <c r="BJ175" s="16">
        <f t="shared" si="89"/>
        <v>0</v>
      </c>
      <c r="BK175" s="16">
        <f t="shared" si="89"/>
        <v>0</v>
      </c>
      <c r="BL175" s="16">
        <f t="shared" si="89"/>
        <v>0</v>
      </c>
      <c r="BM175" s="16">
        <f t="shared" si="89"/>
        <v>0</v>
      </c>
      <c r="BN175" s="16">
        <f t="shared" si="89"/>
        <v>0</v>
      </c>
    </row>
    <row r="176" spans="1:94" customFormat="1" x14ac:dyDescent="0.25">
      <c r="A176" s="29"/>
      <c r="B176" s="29"/>
      <c r="C176" s="1"/>
      <c r="D176" s="1"/>
      <c r="E176" s="1"/>
      <c r="F176" s="1"/>
      <c r="G176" s="1"/>
      <c r="H176" s="1"/>
      <c r="I176" s="1"/>
      <c r="J176" s="93"/>
      <c r="K176" s="1"/>
      <c r="L176" s="29"/>
      <c r="M176" s="1"/>
      <c r="N176" s="29"/>
      <c r="O176" s="9">
        <f t="shared" si="86"/>
        <v>41</v>
      </c>
      <c r="P176" s="16">
        <f t="shared" si="85"/>
        <v>0</v>
      </c>
      <c r="Q176" s="16">
        <f t="shared" si="85"/>
        <v>0</v>
      </c>
      <c r="R176" s="16">
        <f t="shared" si="85"/>
        <v>0</v>
      </c>
      <c r="S176" s="16">
        <f t="shared" si="85"/>
        <v>0</v>
      </c>
      <c r="T176" s="16">
        <f t="shared" si="85"/>
        <v>0</v>
      </c>
      <c r="U176" s="16">
        <f t="shared" si="85"/>
        <v>0</v>
      </c>
      <c r="V176" s="16">
        <f t="shared" si="85"/>
        <v>0</v>
      </c>
      <c r="W176" s="16">
        <f t="shared" si="85"/>
        <v>0</v>
      </c>
      <c r="X176" s="16">
        <f t="shared" si="85"/>
        <v>-6.8124565838018028E-2</v>
      </c>
      <c r="Y176" s="16">
        <f t="shared" si="85"/>
        <v>1.1301780581886649</v>
      </c>
      <c r="Z176" s="16">
        <f t="shared" si="85"/>
        <v>-6.2053492350646763E-2</v>
      </c>
      <c r="AA176" s="16">
        <f t="shared" si="85"/>
        <v>0</v>
      </c>
      <c r="AB176" s="16">
        <f t="shared" si="85"/>
        <v>0</v>
      </c>
      <c r="AC176" s="16">
        <f t="shared" si="85"/>
        <v>0</v>
      </c>
      <c r="AD176" s="16">
        <f t="shared" si="85"/>
        <v>0</v>
      </c>
      <c r="AE176" s="16">
        <f t="shared" si="85"/>
        <v>0</v>
      </c>
      <c r="AF176" s="16">
        <f t="shared" si="87"/>
        <v>0</v>
      </c>
      <c r="AG176" s="16">
        <f t="shared" si="87"/>
        <v>0</v>
      </c>
      <c r="AH176" s="16">
        <f t="shared" si="87"/>
        <v>0</v>
      </c>
      <c r="AI176" s="16">
        <f t="shared" si="87"/>
        <v>0</v>
      </c>
      <c r="AJ176" s="16">
        <f t="shared" si="87"/>
        <v>0</v>
      </c>
      <c r="AK176" s="16">
        <f t="shared" si="87"/>
        <v>0</v>
      </c>
      <c r="AL176" s="16">
        <f t="shared" si="88"/>
        <v>0</v>
      </c>
      <c r="AM176" s="16">
        <f t="shared" si="88"/>
        <v>0</v>
      </c>
      <c r="AN176" s="16">
        <f t="shared" si="88"/>
        <v>0</v>
      </c>
      <c r="AO176" s="16">
        <f t="shared" si="88"/>
        <v>0</v>
      </c>
      <c r="AP176" s="16">
        <f t="shared" si="88"/>
        <v>0</v>
      </c>
      <c r="AQ176" s="16">
        <f t="shared" si="88"/>
        <v>0</v>
      </c>
      <c r="AR176" s="16">
        <f t="shared" si="88"/>
        <v>0</v>
      </c>
      <c r="AS176" s="16">
        <f t="shared" si="88"/>
        <v>0</v>
      </c>
      <c r="AT176" s="16">
        <f t="shared" si="88"/>
        <v>0</v>
      </c>
      <c r="AU176" s="16">
        <f t="shared" si="88"/>
        <v>0</v>
      </c>
      <c r="AV176" s="16">
        <f t="shared" si="88"/>
        <v>0</v>
      </c>
      <c r="AW176" s="16">
        <f t="shared" si="88"/>
        <v>0</v>
      </c>
      <c r="AX176" s="16">
        <f t="shared" si="88"/>
        <v>0</v>
      </c>
      <c r="AY176" s="16">
        <f t="shared" si="88"/>
        <v>0</v>
      </c>
      <c r="AZ176" s="16">
        <f t="shared" si="88"/>
        <v>0</v>
      </c>
      <c r="BA176" s="16">
        <f t="shared" si="88"/>
        <v>0</v>
      </c>
      <c r="BB176" s="16">
        <f t="shared" si="89"/>
        <v>0</v>
      </c>
      <c r="BC176" s="16">
        <f t="shared" si="89"/>
        <v>0</v>
      </c>
      <c r="BD176" s="16">
        <f t="shared" si="89"/>
        <v>0</v>
      </c>
      <c r="BE176" s="16">
        <f t="shared" si="89"/>
        <v>0</v>
      </c>
      <c r="BF176" s="16">
        <f t="shared" si="89"/>
        <v>0</v>
      </c>
      <c r="BG176" s="16">
        <f t="shared" si="89"/>
        <v>0</v>
      </c>
      <c r="BH176" s="16">
        <f t="shared" si="89"/>
        <v>0</v>
      </c>
      <c r="BI176" s="16">
        <f t="shared" si="89"/>
        <v>0</v>
      </c>
      <c r="BJ176" s="16">
        <f t="shared" si="89"/>
        <v>0</v>
      </c>
      <c r="BK176" s="16">
        <f t="shared" si="89"/>
        <v>0</v>
      </c>
      <c r="BL176" s="16">
        <f t="shared" si="89"/>
        <v>0</v>
      </c>
      <c r="BM176" s="16">
        <f t="shared" si="89"/>
        <v>0</v>
      </c>
      <c r="BN176" s="16">
        <f t="shared" si="89"/>
        <v>0</v>
      </c>
    </row>
    <row r="177" spans="1:66" customFormat="1" x14ac:dyDescent="0.25">
      <c r="A177" s="29"/>
      <c r="B177" s="29"/>
      <c r="C177" s="1"/>
      <c r="D177" s="1"/>
      <c r="E177" s="1"/>
      <c r="F177" s="1"/>
      <c r="G177" s="1"/>
      <c r="H177" s="1"/>
      <c r="I177" s="1"/>
      <c r="J177" s="93"/>
      <c r="K177" s="1"/>
      <c r="L177" s="29"/>
      <c r="M177" s="1"/>
      <c r="N177" s="29"/>
      <c r="O177" s="9">
        <f t="shared" si="86"/>
        <v>40</v>
      </c>
      <c r="P177" s="16">
        <f t="shared" si="85"/>
        <v>0</v>
      </c>
      <c r="Q177" s="16">
        <f t="shared" si="85"/>
        <v>0</v>
      </c>
      <c r="R177" s="16">
        <f t="shared" si="85"/>
        <v>0</v>
      </c>
      <c r="S177" s="16">
        <f t="shared" si="85"/>
        <v>0</v>
      </c>
      <c r="T177" s="16">
        <f t="shared" si="85"/>
        <v>0</v>
      </c>
      <c r="U177" s="16">
        <f t="shared" si="85"/>
        <v>0</v>
      </c>
      <c r="V177" s="16">
        <f t="shared" si="85"/>
        <v>0</v>
      </c>
      <c r="W177" s="16">
        <f t="shared" si="85"/>
        <v>0</v>
      </c>
      <c r="X177" s="16">
        <f t="shared" si="85"/>
        <v>0</v>
      </c>
      <c r="Y177" s="16">
        <f t="shared" si="85"/>
        <v>-2.3842197793047519E-2</v>
      </c>
      <c r="Z177" s="16">
        <f t="shared" si="85"/>
        <v>1.0420855623827052</v>
      </c>
      <c r="AA177" s="16">
        <f t="shared" si="85"/>
        <v>-1.8243364589657626E-2</v>
      </c>
      <c r="AB177" s="16">
        <f t="shared" si="85"/>
        <v>0</v>
      </c>
      <c r="AC177" s="16">
        <f t="shared" si="85"/>
        <v>0</v>
      </c>
      <c r="AD177" s="16">
        <f t="shared" si="85"/>
        <v>0</v>
      </c>
      <c r="AE177" s="16">
        <f t="shared" si="85"/>
        <v>0</v>
      </c>
      <c r="AF177" s="16">
        <f t="shared" si="87"/>
        <v>0</v>
      </c>
      <c r="AG177" s="16">
        <f t="shared" si="87"/>
        <v>0</v>
      </c>
      <c r="AH177" s="16">
        <f t="shared" si="87"/>
        <v>0</v>
      </c>
      <c r="AI177" s="16">
        <f t="shared" si="87"/>
        <v>0</v>
      </c>
      <c r="AJ177" s="16">
        <f t="shared" si="87"/>
        <v>0</v>
      </c>
      <c r="AK177" s="16">
        <f t="shared" si="87"/>
        <v>0</v>
      </c>
      <c r="AL177" s="16">
        <f t="shared" si="88"/>
        <v>0</v>
      </c>
      <c r="AM177" s="16">
        <f t="shared" si="88"/>
        <v>0</v>
      </c>
      <c r="AN177" s="16">
        <f t="shared" si="88"/>
        <v>0</v>
      </c>
      <c r="AO177" s="16">
        <f t="shared" si="88"/>
        <v>0</v>
      </c>
      <c r="AP177" s="16">
        <f t="shared" si="88"/>
        <v>0</v>
      </c>
      <c r="AQ177" s="16">
        <f t="shared" si="88"/>
        <v>0</v>
      </c>
      <c r="AR177" s="16">
        <f t="shared" si="88"/>
        <v>0</v>
      </c>
      <c r="AS177" s="16">
        <f t="shared" si="88"/>
        <v>0</v>
      </c>
      <c r="AT177" s="16">
        <f t="shared" si="88"/>
        <v>0</v>
      </c>
      <c r="AU177" s="16">
        <f t="shared" si="88"/>
        <v>0</v>
      </c>
      <c r="AV177" s="16">
        <f t="shared" si="88"/>
        <v>0</v>
      </c>
      <c r="AW177" s="16">
        <f t="shared" si="88"/>
        <v>0</v>
      </c>
      <c r="AX177" s="16">
        <f t="shared" si="88"/>
        <v>0</v>
      </c>
      <c r="AY177" s="16">
        <f t="shared" si="88"/>
        <v>0</v>
      </c>
      <c r="AZ177" s="16">
        <f t="shared" si="88"/>
        <v>0</v>
      </c>
      <c r="BA177" s="16">
        <f t="shared" si="88"/>
        <v>0</v>
      </c>
      <c r="BB177" s="16">
        <f t="shared" si="89"/>
        <v>0</v>
      </c>
      <c r="BC177" s="16">
        <f t="shared" si="89"/>
        <v>0</v>
      </c>
      <c r="BD177" s="16">
        <f t="shared" si="89"/>
        <v>0</v>
      </c>
      <c r="BE177" s="16">
        <f t="shared" si="89"/>
        <v>0</v>
      </c>
      <c r="BF177" s="16">
        <f t="shared" si="89"/>
        <v>0</v>
      </c>
      <c r="BG177" s="16">
        <f t="shared" si="89"/>
        <v>0</v>
      </c>
      <c r="BH177" s="16">
        <f t="shared" si="89"/>
        <v>0</v>
      </c>
      <c r="BI177" s="16">
        <f t="shared" si="89"/>
        <v>0</v>
      </c>
      <c r="BJ177" s="16">
        <f t="shared" si="89"/>
        <v>0</v>
      </c>
      <c r="BK177" s="16">
        <f t="shared" si="89"/>
        <v>0</v>
      </c>
      <c r="BL177" s="16">
        <f t="shared" si="89"/>
        <v>0</v>
      </c>
      <c r="BM177" s="16">
        <f t="shared" si="89"/>
        <v>0</v>
      </c>
      <c r="BN177" s="16">
        <f t="shared" si="89"/>
        <v>0</v>
      </c>
    </row>
    <row r="178" spans="1:66" customFormat="1" x14ac:dyDescent="0.25">
      <c r="A178" s="29"/>
      <c r="B178" s="29"/>
      <c r="C178" s="1"/>
      <c r="D178" s="1"/>
      <c r="E178" s="1"/>
      <c r="F178" s="1"/>
      <c r="G178" s="1"/>
      <c r="H178" s="1"/>
      <c r="I178" s="1"/>
      <c r="J178" s="93"/>
      <c r="K178" s="1"/>
      <c r="L178" s="29"/>
      <c r="M178" s="1"/>
      <c r="N178" s="29"/>
      <c r="O178" s="9">
        <f t="shared" si="86"/>
        <v>39</v>
      </c>
      <c r="P178" s="16">
        <f t="shared" si="85"/>
        <v>0</v>
      </c>
      <c r="Q178" s="16">
        <f t="shared" si="85"/>
        <v>0</v>
      </c>
      <c r="R178" s="16">
        <f t="shared" si="85"/>
        <v>0</v>
      </c>
      <c r="S178" s="16">
        <f t="shared" si="85"/>
        <v>0</v>
      </c>
      <c r="T178" s="16">
        <f t="shared" si="85"/>
        <v>0</v>
      </c>
      <c r="U178" s="16">
        <f t="shared" si="85"/>
        <v>0</v>
      </c>
      <c r="V178" s="16">
        <f t="shared" si="85"/>
        <v>0</v>
      </c>
      <c r="W178" s="16">
        <f t="shared" si="85"/>
        <v>0</v>
      </c>
      <c r="X178" s="16">
        <f t="shared" si="85"/>
        <v>0</v>
      </c>
      <c r="Y178" s="16">
        <f t="shared" si="85"/>
        <v>0</v>
      </c>
      <c r="Z178" s="16">
        <f t="shared" si="85"/>
        <v>-3.9179737626281047E-3</v>
      </c>
      <c r="AA178" s="16">
        <f t="shared" si="85"/>
        <v>1.0024495921461027</v>
      </c>
      <c r="AB178" s="16">
        <f t="shared" si="85"/>
        <v>1.4683816165253151E-3</v>
      </c>
      <c r="AC178" s="16">
        <f t="shared" si="85"/>
        <v>0</v>
      </c>
      <c r="AD178" s="16">
        <f t="shared" si="85"/>
        <v>0</v>
      </c>
      <c r="AE178" s="16">
        <f t="shared" si="85"/>
        <v>0</v>
      </c>
      <c r="AF178" s="16">
        <f t="shared" si="87"/>
        <v>0</v>
      </c>
      <c r="AG178" s="16">
        <f t="shared" si="87"/>
        <v>0</v>
      </c>
      <c r="AH178" s="16">
        <f t="shared" si="87"/>
        <v>0</v>
      </c>
      <c r="AI178" s="16">
        <f t="shared" si="87"/>
        <v>0</v>
      </c>
      <c r="AJ178" s="16">
        <f t="shared" si="87"/>
        <v>0</v>
      </c>
      <c r="AK178" s="16">
        <f t="shared" si="87"/>
        <v>0</v>
      </c>
      <c r="AL178" s="16">
        <f t="shared" si="88"/>
        <v>0</v>
      </c>
      <c r="AM178" s="16">
        <f t="shared" si="88"/>
        <v>0</v>
      </c>
      <c r="AN178" s="16">
        <f t="shared" si="88"/>
        <v>0</v>
      </c>
      <c r="AO178" s="16">
        <f t="shared" si="88"/>
        <v>0</v>
      </c>
      <c r="AP178" s="16">
        <f t="shared" si="88"/>
        <v>0</v>
      </c>
      <c r="AQ178" s="16">
        <f t="shared" si="88"/>
        <v>0</v>
      </c>
      <c r="AR178" s="16">
        <f t="shared" si="88"/>
        <v>0</v>
      </c>
      <c r="AS178" s="16">
        <f t="shared" si="88"/>
        <v>0</v>
      </c>
      <c r="AT178" s="16">
        <f t="shared" si="88"/>
        <v>0</v>
      </c>
      <c r="AU178" s="16">
        <f t="shared" si="88"/>
        <v>0</v>
      </c>
      <c r="AV178" s="16">
        <f t="shared" si="88"/>
        <v>0</v>
      </c>
      <c r="AW178" s="16">
        <f t="shared" si="88"/>
        <v>0</v>
      </c>
      <c r="AX178" s="16">
        <f t="shared" si="88"/>
        <v>0</v>
      </c>
      <c r="AY178" s="16">
        <f t="shared" si="88"/>
        <v>0</v>
      </c>
      <c r="AZ178" s="16">
        <f t="shared" si="88"/>
        <v>0</v>
      </c>
      <c r="BA178" s="16">
        <f t="shared" si="88"/>
        <v>0</v>
      </c>
      <c r="BB178" s="16">
        <f t="shared" si="89"/>
        <v>0</v>
      </c>
      <c r="BC178" s="16">
        <f t="shared" si="89"/>
        <v>0</v>
      </c>
      <c r="BD178" s="16">
        <f t="shared" si="89"/>
        <v>0</v>
      </c>
      <c r="BE178" s="16">
        <f t="shared" si="89"/>
        <v>0</v>
      </c>
      <c r="BF178" s="16">
        <f t="shared" si="89"/>
        <v>0</v>
      </c>
      <c r="BG178" s="16">
        <f t="shared" si="89"/>
        <v>0</v>
      </c>
      <c r="BH178" s="16">
        <f t="shared" si="89"/>
        <v>0</v>
      </c>
      <c r="BI178" s="16">
        <f t="shared" si="89"/>
        <v>0</v>
      </c>
      <c r="BJ178" s="16">
        <f t="shared" si="89"/>
        <v>0</v>
      </c>
      <c r="BK178" s="16">
        <f t="shared" si="89"/>
        <v>0</v>
      </c>
      <c r="BL178" s="16">
        <f t="shared" si="89"/>
        <v>0</v>
      </c>
      <c r="BM178" s="16">
        <f t="shared" si="89"/>
        <v>0</v>
      </c>
      <c r="BN178" s="16">
        <f t="shared" si="89"/>
        <v>0</v>
      </c>
    </row>
    <row r="179" spans="1:66" customFormat="1" x14ac:dyDescent="0.25">
      <c r="A179" s="29"/>
      <c r="B179" s="29"/>
      <c r="C179" s="1"/>
      <c r="D179" s="1"/>
      <c r="E179" s="1"/>
      <c r="F179" s="1"/>
      <c r="G179" s="1"/>
      <c r="H179" s="1"/>
      <c r="I179" s="1"/>
      <c r="J179" s="93"/>
      <c r="K179" s="1"/>
      <c r="L179" s="29"/>
      <c r="M179" s="1"/>
      <c r="N179" s="29"/>
      <c r="O179" s="9">
        <f t="shared" si="86"/>
        <v>38</v>
      </c>
      <c r="P179" s="16">
        <f t="shared" si="85"/>
        <v>0</v>
      </c>
      <c r="Q179" s="16">
        <f t="shared" si="85"/>
        <v>0</v>
      </c>
      <c r="R179" s="16">
        <f t="shared" si="85"/>
        <v>0</v>
      </c>
      <c r="S179" s="16">
        <f t="shared" si="85"/>
        <v>0</v>
      </c>
      <c r="T179" s="16">
        <f t="shared" si="85"/>
        <v>0</v>
      </c>
      <c r="U179" s="16">
        <f t="shared" si="85"/>
        <v>0</v>
      </c>
      <c r="V179" s="16">
        <f t="shared" si="85"/>
        <v>0</v>
      </c>
      <c r="W179" s="16">
        <f t="shared" si="85"/>
        <v>0</v>
      </c>
      <c r="X179" s="16">
        <f t="shared" si="85"/>
        <v>0</v>
      </c>
      <c r="Y179" s="16">
        <f t="shared" si="85"/>
        <v>0</v>
      </c>
      <c r="Z179" s="16">
        <f t="shared" si="85"/>
        <v>0</v>
      </c>
      <c r="AA179" s="16">
        <f t="shared" si="85"/>
        <v>-8.3518937467551395E-3</v>
      </c>
      <c r="AB179" s="16">
        <f t="shared" si="85"/>
        <v>1.0112701474788484</v>
      </c>
      <c r="AC179" s="16">
        <f t="shared" si="85"/>
        <v>-2.9182537320933278E-3</v>
      </c>
      <c r="AD179" s="16">
        <f t="shared" si="85"/>
        <v>0</v>
      </c>
      <c r="AE179" s="16">
        <f t="shared" si="85"/>
        <v>0</v>
      </c>
      <c r="AF179" s="16">
        <f t="shared" si="87"/>
        <v>0</v>
      </c>
      <c r="AG179" s="16">
        <f t="shared" si="87"/>
        <v>0</v>
      </c>
      <c r="AH179" s="16">
        <f t="shared" si="87"/>
        <v>0</v>
      </c>
      <c r="AI179" s="16">
        <f t="shared" si="87"/>
        <v>0</v>
      </c>
      <c r="AJ179" s="16">
        <f t="shared" si="87"/>
        <v>0</v>
      </c>
      <c r="AK179" s="16">
        <f t="shared" si="87"/>
        <v>0</v>
      </c>
      <c r="AL179" s="16">
        <f t="shared" si="88"/>
        <v>0</v>
      </c>
      <c r="AM179" s="16">
        <f t="shared" si="88"/>
        <v>0</v>
      </c>
      <c r="AN179" s="16">
        <f t="shared" si="88"/>
        <v>0</v>
      </c>
      <c r="AO179" s="16">
        <f t="shared" si="88"/>
        <v>0</v>
      </c>
      <c r="AP179" s="16">
        <f t="shared" si="88"/>
        <v>0</v>
      </c>
      <c r="AQ179" s="16">
        <f t="shared" si="88"/>
        <v>0</v>
      </c>
      <c r="AR179" s="16">
        <f t="shared" si="88"/>
        <v>0</v>
      </c>
      <c r="AS179" s="16">
        <f t="shared" si="88"/>
        <v>0</v>
      </c>
      <c r="AT179" s="16">
        <f t="shared" si="88"/>
        <v>0</v>
      </c>
      <c r="AU179" s="16">
        <f t="shared" si="88"/>
        <v>0</v>
      </c>
      <c r="AV179" s="16">
        <f t="shared" si="88"/>
        <v>0</v>
      </c>
      <c r="AW179" s="16">
        <f t="shared" si="88"/>
        <v>0</v>
      </c>
      <c r="AX179" s="16">
        <f t="shared" si="88"/>
        <v>0</v>
      </c>
      <c r="AY179" s="16">
        <f t="shared" si="88"/>
        <v>0</v>
      </c>
      <c r="AZ179" s="16">
        <f t="shared" si="88"/>
        <v>0</v>
      </c>
      <c r="BA179" s="16">
        <f t="shared" si="88"/>
        <v>0</v>
      </c>
      <c r="BB179" s="16">
        <f t="shared" si="89"/>
        <v>0</v>
      </c>
      <c r="BC179" s="16">
        <f t="shared" si="89"/>
        <v>0</v>
      </c>
      <c r="BD179" s="16">
        <f t="shared" si="89"/>
        <v>0</v>
      </c>
      <c r="BE179" s="16">
        <f t="shared" si="89"/>
        <v>0</v>
      </c>
      <c r="BF179" s="16">
        <f t="shared" si="89"/>
        <v>0</v>
      </c>
      <c r="BG179" s="16">
        <f t="shared" si="89"/>
        <v>0</v>
      </c>
      <c r="BH179" s="16">
        <f t="shared" si="89"/>
        <v>0</v>
      </c>
      <c r="BI179" s="16">
        <f t="shared" si="89"/>
        <v>0</v>
      </c>
      <c r="BJ179" s="16">
        <f t="shared" si="89"/>
        <v>0</v>
      </c>
      <c r="BK179" s="16">
        <f t="shared" si="89"/>
        <v>0</v>
      </c>
      <c r="BL179" s="16">
        <f t="shared" si="89"/>
        <v>0</v>
      </c>
      <c r="BM179" s="16">
        <f t="shared" si="89"/>
        <v>0</v>
      </c>
      <c r="BN179" s="16">
        <f t="shared" si="89"/>
        <v>0</v>
      </c>
    </row>
    <row r="180" spans="1:66" customFormat="1" x14ac:dyDescent="0.25">
      <c r="A180" s="29"/>
      <c r="B180" s="29"/>
      <c r="C180" s="1"/>
      <c r="D180" s="1"/>
      <c r="E180" s="1"/>
      <c r="F180" s="1"/>
      <c r="G180" s="1"/>
      <c r="H180" s="1"/>
      <c r="I180" s="1"/>
      <c r="J180" s="93"/>
      <c r="K180" s="1"/>
      <c r="L180" s="29"/>
      <c r="M180" s="1"/>
      <c r="N180" s="29"/>
      <c r="O180" s="9">
        <f t="shared" si="86"/>
        <v>37</v>
      </c>
      <c r="P180" s="16">
        <f t="shared" si="85"/>
        <v>0</v>
      </c>
      <c r="Q180" s="16">
        <f t="shared" si="85"/>
        <v>0</v>
      </c>
      <c r="R180" s="16">
        <f t="shared" si="85"/>
        <v>0</v>
      </c>
      <c r="S180" s="16">
        <f t="shared" si="85"/>
        <v>0</v>
      </c>
      <c r="T180" s="16">
        <f t="shared" si="85"/>
        <v>0</v>
      </c>
      <c r="U180" s="16">
        <f t="shared" si="85"/>
        <v>0</v>
      </c>
      <c r="V180" s="16">
        <f t="shared" si="85"/>
        <v>0</v>
      </c>
      <c r="W180" s="16">
        <f t="shared" si="85"/>
        <v>0</v>
      </c>
      <c r="X180" s="16">
        <f t="shared" si="85"/>
        <v>0</v>
      </c>
      <c r="Y180" s="16">
        <f t="shared" si="85"/>
        <v>0</v>
      </c>
      <c r="Z180" s="16">
        <f t="shared" si="85"/>
        <v>0</v>
      </c>
      <c r="AA180" s="16">
        <f t="shared" si="85"/>
        <v>0</v>
      </c>
      <c r="AB180" s="16">
        <f t="shared" si="85"/>
        <v>-3.7143957745428627E-2</v>
      </c>
      <c r="AC180" s="16">
        <f t="shared" si="85"/>
        <v>1.0685472283809423</v>
      </c>
      <c r="AD180" s="16">
        <f t="shared" si="85"/>
        <v>-3.1403270635513562E-2</v>
      </c>
      <c r="AE180" s="16">
        <f t="shared" si="85"/>
        <v>0</v>
      </c>
      <c r="AF180" s="16">
        <f t="shared" si="87"/>
        <v>0</v>
      </c>
      <c r="AG180" s="16">
        <f t="shared" si="87"/>
        <v>0</v>
      </c>
      <c r="AH180" s="16">
        <f t="shared" si="87"/>
        <v>0</v>
      </c>
      <c r="AI180" s="16">
        <f t="shared" si="87"/>
        <v>0</v>
      </c>
      <c r="AJ180" s="16">
        <f t="shared" si="87"/>
        <v>0</v>
      </c>
      <c r="AK180" s="16">
        <f t="shared" si="87"/>
        <v>0</v>
      </c>
      <c r="AL180" s="16">
        <f t="shared" si="88"/>
        <v>0</v>
      </c>
      <c r="AM180" s="16">
        <f t="shared" si="88"/>
        <v>0</v>
      </c>
      <c r="AN180" s="16">
        <f t="shared" si="88"/>
        <v>0</v>
      </c>
      <c r="AO180" s="16">
        <f t="shared" si="88"/>
        <v>0</v>
      </c>
      <c r="AP180" s="16">
        <f t="shared" si="88"/>
        <v>0</v>
      </c>
      <c r="AQ180" s="16">
        <f t="shared" si="88"/>
        <v>0</v>
      </c>
      <c r="AR180" s="16">
        <f t="shared" si="88"/>
        <v>0</v>
      </c>
      <c r="AS180" s="16">
        <f t="shared" si="88"/>
        <v>0</v>
      </c>
      <c r="AT180" s="16">
        <f t="shared" si="88"/>
        <v>0</v>
      </c>
      <c r="AU180" s="16">
        <f t="shared" si="88"/>
        <v>0</v>
      </c>
      <c r="AV180" s="16">
        <f t="shared" si="88"/>
        <v>0</v>
      </c>
      <c r="AW180" s="16">
        <f t="shared" si="88"/>
        <v>0</v>
      </c>
      <c r="AX180" s="16">
        <f t="shared" si="88"/>
        <v>0</v>
      </c>
      <c r="AY180" s="16">
        <f t="shared" si="88"/>
        <v>0</v>
      </c>
      <c r="AZ180" s="16">
        <f t="shared" si="88"/>
        <v>0</v>
      </c>
      <c r="BA180" s="16">
        <f t="shared" si="88"/>
        <v>0</v>
      </c>
      <c r="BB180" s="16">
        <f t="shared" si="89"/>
        <v>0</v>
      </c>
      <c r="BC180" s="16">
        <f t="shared" si="89"/>
        <v>0</v>
      </c>
      <c r="BD180" s="16">
        <f t="shared" si="89"/>
        <v>0</v>
      </c>
      <c r="BE180" s="16">
        <f t="shared" si="89"/>
        <v>0</v>
      </c>
      <c r="BF180" s="16">
        <f t="shared" si="89"/>
        <v>0</v>
      </c>
      <c r="BG180" s="16">
        <f t="shared" si="89"/>
        <v>0</v>
      </c>
      <c r="BH180" s="16">
        <f t="shared" si="89"/>
        <v>0</v>
      </c>
      <c r="BI180" s="16">
        <f t="shared" si="89"/>
        <v>0</v>
      </c>
      <c r="BJ180" s="16">
        <f t="shared" si="89"/>
        <v>0</v>
      </c>
      <c r="BK180" s="16">
        <f t="shared" si="89"/>
        <v>0</v>
      </c>
      <c r="BL180" s="16">
        <f t="shared" si="89"/>
        <v>0</v>
      </c>
      <c r="BM180" s="16">
        <f t="shared" si="89"/>
        <v>0</v>
      </c>
      <c r="BN180" s="16">
        <f t="shared" si="89"/>
        <v>0</v>
      </c>
    </row>
    <row r="181" spans="1:66" customFormat="1" x14ac:dyDescent="0.25">
      <c r="A181" s="29"/>
      <c r="B181" s="29"/>
      <c r="C181" s="1"/>
      <c r="D181" s="1"/>
      <c r="E181" s="1"/>
      <c r="F181" s="1"/>
      <c r="G181" s="1"/>
      <c r="H181" s="1"/>
      <c r="I181" s="1"/>
      <c r="J181" s="93"/>
      <c r="K181" s="1"/>
      <c r="L181" s="29"/>
      <c r="M181" s="1"/>
      <c r="N181" s="29"/>
      <c r="O181" s="9">
        <f t="shared" si="86"/>
        <v>36</v>
      </c>
      <c r="P181" s="16">
        <f t="shared" si="85"/>
        <v>0</v>
      </c>
      <c r="Q181" s="16">
        <f t="shared" si="85"/>
        <v>0</v>
      </c>
      <c r="R181" s="16">
        <f t="shared" si="85"/>
        <v>0</v>
      </c>
      <c r="S181" s="16">
        <f t="shared" si="85"/>
        <v>0</v>
      </c>
      <c r="T181" s="16">
        <f t="shared" si="85"/>
        <v>0</v>
      </c>
      <c r="U181" s="16">
        <f t="shared" si="85"/>
        <v>0</v>
      </c>
      <c r="V181" s="16">
        <f t="shared" si="85"/>
        <v>0</v>
      </c>
      <c r="W181" s="16">
        <f t="shared" si="85"/>
        <v>0</v>
      </c>
      <c r="X181" s="16">
        <f t="shared" si="85"/>
        <v>0</v>
      </c>
      <c r="Y181" s="16">
        <f t="shared" si="85"/>
        <v>0</v>
      </c>
      <c r="Z181" s="16">
        <f t="shared" si="85"/>
        <v>0</v>
      </c>
      <c r="AA181" s="16">
        <f t="shared" si="85"/>
        <v>0</v>
      </c>
      <c r="AB181" s="16">
        <f t="shared" si="85"/>
        <v>0</v>
      </c>
      <c r="AC181" s="16">
        <f t="shared" si="85"/>
        <v>-9.0294165758648653E-2</v>
      </c>
      <c r="AD181" s="16">
        <f t="shared" si="85"/>
        <v>1.1742808348523841</v>
      </c>
      <c r="AE181" s="16">
        <f t="shared" si="85"/>
        <v>-8.3986669093735464E-2</v>
      </c>
      <c r="AF181" s="16">
        <f t="shared" si="87"/>
        <v>0</v>
      </c>
      <c r="AG181" s="16">
        <f t="shared" si="87"/>
        <v>0</v>
      </c>
      <c r="AH181" s="16">
        <f t="shared" si="87"/>
        <v>0</v>
      </c>
      <c r="AI181" s="16">
        <f t="shared" si="87"/>
        <v>0</v>
      </c>
      <c r="AJ181" s="16">
        <f t="shared" si="87"/>
        <v>0</v>
      </c>
      <c r="AK181" s="16">
        <f t="shared" si="87"/>
        <v>0</v>
      </c>
      <c r="AL181" s="16">
        <f t="shared" si="88"/>
        <v>0</v>
      </c>
      <c r="AM181" s="16">
        <f t="shared" si="88"/>
        <v>0</v>
      </c>
      <c r="AN181" s="16">
        <f t="shared" si="88"/>
        <v>0</v>
      </c>
      <c r="AO181" s="16">
        <f t="shared" si="88"/>
        <v>0</v>
      </c>
      <c r="AP181" s="16">
        <f t="shared" si="88"/>
        <v>0</v>
      </c>
      <c r="AQ181" s="16">
        <f t="shared" si="88"/>
        <v>0</v>
      </c>
      <c r="AR181" s="16">
        <f t="shared" si="88"/>
        <v>0</v>
      </c>
      <c r="AS181" s="16">
        <f t="shared" si="88"/>
        <v>0</v>
      </c>
      <c r="AT181" s="16">
        <f t="shared" si="88"/>
        <v>0</v>
      </c>
      <c r="AU181" s="16">
        <f t="shared" si="88"/>
        <v>0</v>
      </c>
      <c r="AV181" s="16">
        <f t="shared" si="88"/>
        <v>0</v>
      </c>
      <c r="AW181" s="16">
        <f t="shared" si="88"/>
        <v>0</v>
      </c>
      <c r="AX181" s="16">
        <f t="shared" si="88"/>
        <v>0</v>
      </c>
      <c r="AY181" s="16">
        <f t="shared" si="88"/>
        <v>0</v>
      </c>
      <c r="AZ181" s="16">
        <f t="shared" si="88"/>
        <v>0</v>
      </c>
      <c r="BA181" s="16">
        <f t="shared" si="88"/>
        <v>0</v>
      </c>
      <c r="BB181" s="16">
        <f t="shared" si="89"/>
        <v>0</v>
      </c>
      <c r="BC181" s="16">
        <f t="shared" si="89"/>
        <v>0</v>
      </c>
      <c r="BD181" s="16">
        <f t="shared" si="89"/>
        <v>0</v>
      </c>
      <c r="BE181" s="16">
        <f t="shared" si="89"/>
        <v>0</v>
      </c>
      <c r="BF181" s="16">
        <f t="shared" si="89"/>
        <v>0</v>
      </c>
      <c r="BG181" s="16">
        <f t="shared" si="89"/>
        <v>0</v>
      </c>
      <c r="BH181" s="16">
        <f t="shared" si="89"/>
        <v>0</v>
      </c>
      <c r="BI181" s="16">
        <f t="shared" si="89"/>
        <v>0</v>
      </c>
      <c r="BJ181" s="16">
        <f t="shared" si="89"/>
        <v>0</v>
      </c>
      <c r="BK181" s="16">
        <f t="shared" si="89"/>
        <v>0</v>
      </c>
      <c r="BL181" s="16">
        <f t="shared" si="89"/>
        <v>0</v>
      </c>
      <c r="BM181" s="16">
        <f t="shared" si="89"/>
        <v>0</v>
      </c>
      <c r="BN181" s="16">
        <f t="shared" si="89"/>
        <v>0</v>
      </c>
    </row>
    <row r="182" spans="1:66" customFormat="1" x14ac:dyDescent="0.25">
      <c r="A182" s="29"/>
      <c r="B182" s="29"/>
      <c r="C182" s="1"/>
      <c r="D182" s="1"/>
      <c r="E182" s="1"/>
      <c r="F182" s="1"/>
      <c r="G182" s="1"/>
      <c r="H182" s="1"/>
      <c r="I182" s="1"/>
      <c r="J182" s="93"/>
      <c r="K182" s="1"/>
      <c r="L182" s="29"/>
      <c r="M182" s="1"/>
      <c r="N182" s="29"/>
      <c r="O182" s="9">
        <f t="shared" si="86"/>
        <v>35</v>
      </c>
      <c r="P182" s="16">
        <f t="shared" si="85"/>
        <v>0</v>
      </c>
      <c r="Q182" s="16">
        <f t="shared" si="85"/>
        <v>0</v>
      </c>
      <c r="R182" s="16">
        <f t="shared" si="85"/>
        <v>0</v>
      </c>
      <c r="S182" s="16">
        <f t="shared" si="85"/>
        <v>0</v>
      </c>
      <c r="T182" s="16">
        <f t="shared" si="85"/>
        <v>0</v>
      </c>
      <c r="U182" s="16">
        <f t="shared" si="85"/>
        <v>0</v>
      </c>
      <c r="V182" s="16">
        <f t="shared" si="85"/>
        <v>0</v>
      </c>
      <c r="W182" s="16">
        <f t="shared" si="85"/>
        <v>0</v>
      </c>
      <c r="X182" s="16">
        <f t="shared" si="85"/>
        <v>0</v>
      </c>
      <c r="Y182" s="16">
        <f t="shared" si="85"/>
        <v>0</v>
      </c>
      <c r="Z182" s="16">
        <f t="shared" si="85"/>
        <v>0</v>
      </c>
      <c r="AA182" s="16">
        <f t="shared" si="85"/>
        <v>0</v>
      </c>
      <c r="AB182" s="16">
        <f t="shared" si="85"/>
        <v>0</v>
      </c>
      <c r="AC182" s="16">
        <f t="shared" si="85"/>
        <v>0</v>
      </c>
      <c r="AD182" s="16">
        <f t="shared" si="85"/>
        <v>-0.16780251778641514</v>
      </c>
      <c r="AE182" s="16">
        <f t="shared" si="85"/>
        <v>1.3284709668931742</v>
      </c>
      <c r="AF182" s="16">
        <f t="shared" si="87"/>
        <v>-0.16066844910675898</v>
      </c>
      <c r="AG182" s="16">
        <f t="shared" si="87"/>
        <v>0</v>
      </c>
      <c r="AH182" s="16">
        <f t="shared" si="87"/>
        <v>0</v>
      </c>
      <c r="AI182" s="16">
        <f t="shared" si="87"/>
        <v>0</v>
      </c>
      <c r="AJ182" s="16">
        <f t="shared" si="87"/>
        <v>0</v>
      </c>
      <c r="AK182" s="16">
        <f t="shared" si="87"/>
        <v>0</v>
      </c>
      <c r="AL182" s="16">
        <f t="shared" si="88"/>
        <v>0</v>
      </c>
      <c r="AM182" s="16">
        <f t="shared" si="88"/>
        <v>0</v>
      </c>
      <c r="AN182" s="16">
        <f t="shared" si="88"/>
        <v>0</v>
      </c>
      <c r="AO182" s="16">
        <f t="shared" si="88"/>
        <v>0</v>
      </c>
      <c r="AP182" s="16">
        <f t="shared" si="88"/>
        <v>0</v>
      </c>
      <c r="AQ182" s="16">
        <f t="shared" si="88"/>
        <v>0</v>
      </c>
      <c r="AR182" s="16">
        <f t="shared" si="88"/>
        <v>0</v>
      </c>
      <c r="AS182" s="16">
        <f t="shared" si="88"/>
        <v>0</v>
      </c>
      <c r="AT182" s="16">
        <f t="shared" si="88"/>
        <v>0</v>
      </c>
      <c r="AU182" s="16">
        <f t="shared" si="88"/>
        <v>0</v>
      </c>
      <c r="AV182" s="16">
        <f t="shared" si="88"/>
        <v>0</v>
      </c>
      <c r="AW182" s="16">
        <f t="shared" si="88"/>
        <v>0</v>
      </c>
      <c r="AX182" s="16">
        <f t="shared" si="88"/>
        <v>0</v>
      </c>
      <c r="AY182" s="16">
        <f t="shared" si="88"/>
        <v>0</v>
      </c>
      <c r="AZ182" s="16">
        <f t="shared" si="88"/>
        <v>0</v>
      </c>
      <c r="BA182" s="16">
        <f t="shared" si="88"/>
        <v>0</v>
      </c>
      <c r="BB182" s="16">
        <f t="shared" si="89"/>
        <v>0</v>
      </c>
      <c r="BC182" s="16">
        <f t="shared" si="89"/>
        <v>0</v>
      </c>
      <c r="BD182" s="16">
        <f t="shared" si="89"/>
        <v>0</v>
      </c>
      <c r="BE182" s="16">
        <f t="shared" si="89"/>
        <v>0</v>
      </c>
      <c r="BF182" s="16">
        <f t="shared" si="89"/>
        <v>0</v>
      </c>
      <c r="BG182" s="16">
        <f t="shared" si="89"/>
        <v>0</v>
      </c>
      <c r="BH182" s="16">
        <f t="shared" si="89"/>
        <v>0</v>
      </c>
      <c r="BI182" s="16">
        <f t="shared" si="89"/>
        <v>0</v>
      </c>
      <c r="BJ182" s="16">
        <f t="shared" si="89"/>
        <v>0</v>
      </c>
      <c r="BK182" s="16">
        <f t="shared" si="89"/>
        <v>0</v>
      </c>
      <c r="BL182" s="16">
        <f t="shared" si="89"/>
        <v>0</v>
      </c>
      <c r="BM182" s="16">
        <f t="shared" si="89"/>
        <v>0</v>
      </c>
      <c r="BN182" s="16">
        <f t="shared" si="89"/>
        <v>0</v>
      </c>
    </row>
    <row r="183" spans="1:66" customFormat="1" x14ac:dyDescent="0.25">
      <c r="A183" s="29"/>
      <c r="B183" s="29"/>
      <c r="C183" s="1"/>
      <c r="D183" s="1"/>
      <c r="E183" s="1"/>
      <c r="F183" s="1"/>
      <c r="G183" s="1"/>
      <c r="H183" s="1"/>
      <c r="I183" s="1"/>
      <c r="J183" s="93"/>
      <c r="K183" s="1"/>
      <c r="L183" s="29"/>
      <c r="M183" s="1"/>
      <c r="N183" s="29"/>
      <c r="O183" s="9">
        <f t="shared" si="86"/>
        <v>34</v>
      </c>
      <c r="P183" s="16">
        <f t="shared" si="85"/>
        <v>0</v>
      </c>
      <c r="Q183" s="16">
        <f t="shared" si="85"/>
        <v>0</v>
      </c>
      <c r="R183" s="16">
        <f t="shared" si="85"/>
        <v>0</v>
      </c>
      <c r="S183" s="16">
        <f t="shared" si="85"/>
        <v>0</v>
      </c>
      <c r="T183" s="16">
        <f t="shared" si="85"/>
        <v>0</v>
      </c>
      <c r="U183" s="16">
        <f t="shared" si="85"/>
        <v>0</v>
      </c>
      <c r="V183" s="16">
        <f t="shared" si="85"/>
        <v>0</v>
      </c>
      <c r="W183" s="16">
        <f t="shared" si="85"/>
        <v>0</v>
      </c>
      <c r="X183" s="16">
        <f t="shared" si="85"/>
        <v>0</v>
      </c>
      <c r="Y183" s="16">
        <f t="shared" si="85"/>
        <v>0</v>
      </c>
      <c r="Z183" s="16">
        <f t="shared" si="85"/>
        <v>0</v>
      </c>
      <c r="AA183" s="16">
        <f t="shared" si="85"/>
        <v>0</v>
      </c>
      <c r="AB183" s="16">
        <f t="shared" si="85"/>
        <v>0</v>
      </c>
      <c r="AC183" s="16">
        <f t="shared" si="85"/>
        <v>0</v>
      </c>
      <c r="AD183" s="16">
        <f t="shared" si="85"/>
        <v>0</v>
      </c>
      <c r="AE183" s="16">
        <f t="shared" si="85"/>
        <v>-0.26966901382873837</v>
      </c>
      <c r="AF183" s="16">
        <f t="shared" si="87"/>
        <v>1.5311176245033327</v>
      </c>
      <c r="AG183" s="16">
        <f t="shared" si="87"/>
        <v>-0.2614486106745943</v>
      </c>
      <c r="AH183" s="16">
        <f t="shared" si="87"/>
        <v>0</v>
      </c>
      <c r="AI183" s="16">
        <f t="shared" si="87"/>
        <v>0</v>
      </c>
      <c r="AJ183" s="16">
        <f t="shared" si="87"/>
        <v>0</v>
      </c>
      <c r="AK183" s="16">
        <f t="shared" si="87"/>
        <v>0</v>
      </c>
      <c r="AL183" s="16">
        <f t="shared" si="88"/>
        <v>0</v>
      </c>
      <c r="AM183" s="16">
        <f t="shared" si="88"/>
        <v>0</v>
      </c>
      <c r="AN183" s="16">
        <f t="shared" si="88"/>
        <v>0</v>
      </c>
      <c r="AO183" s="16">
        <f t="shared" si="88"/>
        <v>0</v>
      </c>
      <c r="AP183" s="16">
        <f t="shared" si="88"/>
        <v>0</v>
      </c>
      <c r="AQ183" s="16">
        <f t="shared" si="88"/>
        <v>0</v>
      </c>
      <c r="AR183" s="16">
        <f t="shared" si="88"/>
        <v>0</v>
      </c>
      <c r="AS183" s="16">
        <f t="shared" si="88"/>
        <v>0</v>
      </c>
      <c r="AT183" s="16">
        <f t="shared" si="88"/>
        <v>0</v>
      </c>
      <c r="AU183" s="16">
        <f t="shared" si="88"/>
        <v>0</v>
      </c>
      <c r="AV183" s="16">
        <f t="shared" si="88"/>
        <v>0</v>
      </c>
      <c r="AW183" s="16">
        <f t="shared" si="88"/>
        <v>0</v>
      </c>
      <c r="AX183" s="16">
        <f t="shared" si="88"/>
        <v>0</v>
      </c>
      <c r="AY183" s="16">
        <f t="shared" si="88"/>
        <v>0</v>
      </c>
      <c r="AZ183" s="16">
        <f t="shared" si="88"/>
        <v>0</v>
      </c>
      <c r="BA183" s="16">
        <f t="shared" si="88"/>
        <v>0</v>
      </c>
      <c r="BB183" s="16">
        <f t="shared" si="89"/>
        <v>0</v>
      </c>
      <c r="BC183" s="16">
        <f t="shared" si="89"/>
        <v>0</v>
      </c>
      <c r="BD183" s="16">
        <f t="shared" si="89"/>
        <v>0</v>
      </c>
      <c r="BE183" s="16">
        <f t="shared" si="89"/>
        <v>0</v>
      </c>
      <c r="BF183" s="16">
        <f t="shared" si="89"/>
        <v>0</v>
      </c>
      <c r="BG183" s="16">
        <f t="shared" si="89"/>
        <v>0</v>
      </c>
      <c r="BH183" s="16">
        <f t="shared" si="89"/>
        <v>0</v>
      </c>
      <c r="BI183" s="16">
        <f t="shared" si="89"/>
        <v>0</v>
      </c>
      <c r="BJ183" s="16">
        <f t="shared" si="89"/>
        <v>0</v>
      </c>
      <c r="BK183" s="16">
        <f t="shared" si="89"/>
        <v>0</v>
      </c>
      <c r="BL183" s="16">
        <f t="shared" si="89"/>
        <v>0</v>
      </c>
      <c r="BM183" s="16">
        <f t="shared" si="89"/>
        <v>0</v>
      </c>
      <c r="BN183" s="16">
        <f t="shared" si="89"/>
        <v>0</v>
      </c>
    </row>
    <row r="184" spans="1:66" customFormat="1" x14ac:dyDescent="0.25">
      <c r="A184" s="29"/>
      <c r="B184" s="29"/>
      <c r="C184" s="1"/>
      <c r="D184" s="1"/>
      <c r="E184" s="1"/>
      <c r="F184" s="1"/>
      <c r="G184" s="1"/>
      <c r="H184" s="1"/>
      <c r="I184" s="1"/>
      <c r="J184" s="93"/>
      <c r="K184" s="1"/>
      <c r="L184" s="29"/>
      <c r="M184" s="1"/>
      <c r="N184" s="29"/>
      <c r="O184" s="9">
        <f t="shared" si="86"/>
        <v>33</v>
      </c>
      <c r="P184" s="16">
        <f t="shared" si="85"/>
        <v>0</v>
      </c>
      <c r="Q184" s="16">
        <f t="shared" si="85"/>
        <v>0</v>
      </c>
      <c r="R184" s="16">
        <f t="shared" si="85"/>
        <v>0</v>
      </c>
      <c r="S184" s="16">
        <f t="shared" si="85"/>
        <v>0</v>
      </c>
      <c r="T184" s="16">
        <f t="shared" si="85"/>
        <v>0</v>
      </c>
      <c r="U184" s="16">
        <f t="shared" si="85"/>
        <v>0</v>
      </c>
      <c r="V184" s="16">
        <f t="shared" si="85"/>
        <v>0</v>
      </c>
      <c r="W184" s="16">
        <f t="shared" si="85"/>
        <v>0</v>
      </c>
      <c r="X184" s="16">
        <f t="shared" si="85"/>
        <v>0</v>
      </c>
      <c r="Y184" s="16">
        <f t="shared" si="85"/>
        <v>0</v>
      </c>
      <c r="Z184" s="16">
        <f t="shared" si="85"/>
        <v>0</v>
      </c>
      <c r="AA184" s="16">
        <f t="shared" si="85"/>
        <v>0</v>
      </c>
      <c r="AB184" s="16">
        <f t="shared" si="85"/>
        <v>0</v>
      </c>
      <c r="AC184" s="16">
        <f t="shared" si="85"/>
        <v>0</v>
      </c>
      <c r="AD184" s="16">
        <f t="shared" si="85"/>
        <v>0</v>
      </c>
      <c r="AE184" s="16">
        <f t="shared" si="85"/>
        <v>0</v>
      </c>
      <c r="AF184" s="16">
        <f t="shared" si="87"/>
        <v>-0.39589365388560099</v>
      </c>
      <c r="AG184" s="16">
        <f t="shared" si="87"/>
        <v>1.7822208076828252</v>
      </c>
      <c r="AH184" s="16">
        <f t="shared" si="87"/>
        <v>-0.38632715379722415</v>
      </c>
      <c r="AI184" s="16">
        <f t="shared" si="87"/>
        <v>0</v>
      </c>
      <c r="AJ184" s="16">
        <f t="shared" si="87"/>
        <v>0</v>
      </c>
      <c r="AK184" s="16">
        <f t="shared" si="87"/>
        <v>0</v>
      </c>
      <c r="AL184" s="16">
        <f t="shared" si="88"/>
        <v>0</v>
      </c>
      <c r="AM184" s="16">
        <f t="shared" si="88"/>
        <v>0</v>
      </c>
      <c r="AN184" s="16">
        <f t="shared" si="88"/>
        <v>0</v>
      </c>
      <c r="AO184" s="16">
        <f t="shared" si="88"/>
        <v>0</v>
      </c>
      <c r="AP184" s="16">
        <f t="shared" si="88"/>
        <v>0</v>
      </c>
      <c r="AQ184" s="16">
        <f t="shared" si="88"/>
        <v>0</v>
      </c>
      <c r="AR184" s="16">
        <f t="shared" si="88"/>
        <v>0</v>
      </c>
      <c r="AS184" s="16">
        <f t="shared" si="88"/>
        <v>0</v>
      </c>
      <c r="AT184" s="16">
        <f t="shared" si="88"/>
        <v>0</v>
      </c>
      <c r="AU184" s="16">
        <f t="shared" si="88"/>
        <v>0</v>
      </c>
      <c r="AV184" s="16">
        <f t="shared" si="88"/>
        <v>0</v>
      </c>
      <c r="AW184" s="16">
        <f t="shared" si="88"/>
        <v>0</v>
      </c>
      <c r="AX184" s="16">
        <f t="shared" si="88"/>
        <v>0</v>
      </c>
      <c r="AY184" s="16">
        <f t="shared" si="88"/>
        <v>0</v>
      </c>
      <c r="AZ184" s="16">
        <f t="shared" si="88"/>
        <v>0</v>
      </c>
      <c r="BA184" s="16">
        <f t="shared" si="88"/>
        <v>0</v>
      </c>
      <c r="BB184" s="16">
        <f t="shared" si="89"/>
        <v>0</v>
      </c>
      <c r="BC184" s="16">
        <f t="shared" si="89"/>
        <v>0</v>
      </c>
      <c r="BD184" s="16">
        <f t="shared" si="89"/>
        <v>0</v>
      </c>
      <c r="BE184" s="16">
        <f t="shared" si="89"/>
        <v>0</v>
      </c>
      <c r="BF184" s="16">
        <f t="shared" si="89"/>
        <v>0</v>
      </c>
      <c r="BG184" s="16">
        <f t="shared" si="89"/>
        <v>0</v>
      </c>
      <c r="BH184" s="16">
        <f t="shared" si="89"/>
        <v>0</v>
      </c>
      <c r="BI184" s="16">
        <f t="shared" si="89"/>
        <v>0</v>
      </c>
      <c r="BJ184" s="16">
        <f t="shared" si="89"/>
        <v>0</v>
      </c>
      <c r="BK184" s="16">
        <f t="shared" si="89"/>
        <v>0</v>
      </c>
      <c r="BL184" s="16">
        <f t="shared" si="89"/>
        <v>0</v>
      </c>
      <c r="BM184" s="16">
        <f t="shared" si="89"/>
        <v>0</v>
      </c>
      <c r="BN184" s="16">
        <f t="shared" si="89"/>
        <v>0</v>
      </c>
    </row>
    <row r="185" spans="1:66" customFormat="1" x14ac:dyDescent="0.25">
      <c r="A185" s="29"/>
      <c r="B185" s="29"/>
      <c r="C185" s="1"/>
      <c r="D185" s="1"/>
      <c r="E185" s="1"/>
      <c r="F185" s="1"/>
      <c r="G185" s="1"/>
      <c r="H185" s="1"/>
      <c r="I185" s="1"/>
      <c r="J185" s="93"/>
      <c r="K185" s="1"/>
      <c r="L185" s="29"/>
      <c r="M185" s="1"/>
      <c r="N185" s="29"/>
      <c r="O185" s="9">
        <f t="shared" si="86"/>
        <v>32</v>
      </c>
      <c r="P185" s="16">
        <f t="shared" si="85"/>
        <v>0</v>
      </c>
      <c r="Q185" s="16">
        <f t="shared" si="85"/>
        <v>0</v>
      </c>
      <c r="R185" s="16">
        <f t="shared" si="85"/>
        <v>0</v>
      </c>
      <c r="S185" s="16">
        <f t="shared" si="85"/>
        <v>0</v>
      </c>
      <c r="T185" s="16">
        <f t="shared" si="85"/>
        <v>0</v>
      </c>
      <c r="U185" s="16">
        <f t="shared" si="85"/>
        <v>0</v>
      </c>
      <c r="V185" s="16">
        <f t="shared" si="85"/>
        <v>0</v>
      </c>
      <c r="W185" s="16">
        <f t="shared" si="85"/>
        <v>0</v>
      </c>
      <c r="X185" s="16">
        <f t="shared" si="85"/>
        <v>0</v>
      </c>
      <c r="Y185" s="16">
        <f t="shared" si="85"/>
        <v>0</v>
      </c>
      <c r="Z185" s="16">
        <f t="shared" si="85"/>
        <v>0</v>
      </c>
      <c r="AA185" s="16">
        <f t="shared" si="85"/>
        <v>0</v>
      </c>
      <c r="AB185" s="16">
        <f t="shared" si="85"/>
        <v>0</v>
      </c>
      <c r="AC185" s="16">
        <f t="shared" si="85"/>
        <v>0</v>
      </c>
      <c r="AD185" s="16">
        <f t="shared" si="85"/>
        <v>0</v>
      </c>
      <c r="AE185" s="16">
        <f t="shared" si="85"/>
        <v>0</v>
      </c>
      <c r="AF185" s="16">
        <f t="shared" si="87"/>
        <v>0</v>
      </c>
      <c r="AG185" s="16">
        <f t="shared" si="87"/>
        <v>-0.54647643795701051</v>
      </c>
      <c r="AH185" s="16">
        <f t="shared" si="87"/>
        <v>2.0817805164316665</v>
      </c>
      <c r="AI185" s="16">
        <f t="shared" si="87"/>
        <v>-0.535304078474656</v>
      </c>
      <c r="AJ185" s="16">
        <f t="shared" si="87"/>
        <v>0</v>
      </c>
      <c r="AK185" s="16">
        <f t="shared" si="87"/>
        <v>0</v>
      </c>
      <c r="AL185" s="16">
        <f t="shared" si="88"/>
        <v>0</v>
      </c>
      <c r="AM185" s="16">
        <f t="shared" si="88"/>
        <v>0</v>
      </c>
      <c r="AN185" s="16">
        <f t="shared" si="88"/>
        <v>0</v>
      </c>
      <c r="AO185" s="16">
        <f t="shared" si="88"/>
        <v>0</v>
      </c>
      <c r="AP185" s="16">
        <f t="shared" si="88"/>
        <v>0</v>
      </c>
      <c r="AQ185" s="16">
        <f t="shared" si="88"/>
        <v>0</v>
      </c>
      <c r="AR185" s="16">
        <f t="shared" si="88"/>
        <v>0</v>
      </c>
      <c r="AS185" s="16">
        <f t="shared" si="88"/>
        <v>0</v>
      </c>
      <c r="AT185" s="16">
        <f t="shared" si="88"/>
        <v>0</v>
      </c>
      <c r="AU185" s="16">
        <f t="shared" si="88"/>
        <v>0</v>
      </c>
      <c r="AV185" s="16">
        <f t="shared" si="88"/>
        <v>0</v>
      </c>
      <c r="AW185" s="16">
        <f t="shared" si="88"/>
        <v>0</v>
      </c>
      <c r="AX185" s="16">
        <f t="shared" si="88"/>
        <v>0</v>
      </c>
      <c r="AY185" s="16">
        <f t="shared" si="88"/>
        <v>0</v>
      </c>
      <c r="AZ185" s="16">
        <f t="shared" si="88"/>
        <v>0</v>
      </c>
      <c r="BA185" s="16">
        <f t="shared" si="88"/>
        <v>0</v>
      </c>
      <c r="BB185" s="16">
        <f t="shared" si="89"/>
        <v>0</v>
      </c>
      <c r="BC185" s="16">
        <f t="shared" si="89"/>
        <v>0</v>
      </c>
      <c r="BD185" s="16">
        <f t="shared" si="89"/>
        <v>0</v>
      </c>
      <c r="BE185" s="16">
        <f t="shared" si="89"/>
        <v>0</v>
      </c>
      <c r="BF185" s="16">
        <f t="shared" si="89"/>
        <v>0</v>
      </c>
      <c r="BG185" s="16">
        <f t="shared" si="89"/>
        <v>0</v>
      </c>
      <c r="BH185" s="16">
        <f t="shared" si="89"/>
        <v>0</v>
      </c>
      <c r="BI185" s="16">
        <f t="shared" si="89"/>
        <v>0</v>
      </c>
      <c r="BJ185" s="16">
        <f t="shared" si="89"/>
        <v>0</v>
      </c>
      <c r="BK185" s="16">
        <f t="shared" si="89"/>
        <v>0</v>
      </c>
      <c r="BL185" s="16">
        <f t="shared" si="89"/>
        <v>0</v>
      </c>
      <c r="BM185" s="16">
        <f t="shared" si="89"/>
        <v>0</v>
      </c>
      <c r="BN185" s="16">
        <f t="shared" si="89"/>
        <v>0</v>
      </c>
    </row>
    <row r="186" spans="1:66" customFormat="1" x14ac:dyDescent="0.25">
      <c r="A186" s="29"/>
      <c r="B186" s="29"/>
      <c r="C186" s="1"/>
      <c r="D186" s="1"/>
      <c r="E186" s="1"/>
      <c r="F186" s="1"/>
      <c r="G186" s="1"/>
      <c r="H186" s="1"/>
      <c r="I186" s="1"/>
      <c r="J186" s="93"/>
      <c r="K186" s="1"/>
      <c r="L186" s="29"/>
      <c r="M186" s="1"/>
      <c r="N186" s="29"/>
      <c r="O186" s="9">
        <f t="shared" si="86"/>
        <v>31</v>
      </c>
      <c r="P186" s="16">
        <f t="shared" si="85"/>
        <v>0</v>
      </c>
      <c r="Q186" s="16">
        <f t="shared" si="85"/>
        <v>0</v>
      </c>
      <c r="R186" s="16">
        <f t="shared" si="85"/>
        <v>0</v>
      </c>
      <c r="S186" s="16">
        <f t="shared" si="85"/>
        <v>0</v>
      </c>
      <c r="T186" s="16">
        <f t="shared" si="85"/>
        <v>0</v>
      </c>
      <c r="U186" s="16">
        <f t="shared" si="85"/>
        <v>0</v>
      </c>
      <c r="V186" s="16">
        <f t="shared" si="85"/>
        <v>0</v>
      </c>
      <c r="W186" s="16">
        <f t="shared" si="85"/>
        <v>0</v>
      </c>
      <c r="X186" s="16">
        <f t="shared" si="85"/>
        <v>0</v>
      </c>
      <c r="Y186" s="16">
        <f t="shared" si="85"/>
        <v>0</v>
      </c>
      <c r="Z186" s="16">
        <f t="shared" si="85"/>
        <v>0</v>
      </c>
      <c r="AA186" s="16">
        <f t="shared" si="85"/>
        <v>0</v>
      </c>
      <c r="AB186" s="16">
        <f t="shared" si="85"/>
        <v>0</v>
      </c>
      <c r="AC186" s="16">
        <f t="shared" si="85"/>
        <v>0</v>
      </c>
      <c r="AD186" s="16">
        <f t="shared" si="85"/>
        <v>0</v>
      </c>
      <c r="AE186" s="16">
        <f t="shared" si="85"/>
        <v>0</v>
      </c>
      <c r="AF186" s="16">
        <f t="shared" si="87"/>
        <v>0</v>
      </c>
      <c r="AG186" s="16">
        <f t="shared" si="87"/>
        <v>0</v>
      </c>
      <c r="AH186" s="16">
        <f t="shared" si="87"/>
        <v>-0.598696929523306</v>
      </c>
      <c r="AI186" s="16">
        <f t="shared" si="87"/>
        <v>2.1856646047807207</v>
      </c>
      <c r="AJ186" s="16">
        <f t="shared" si="87"/>
        <v>-0.58696767525741445</v>
      </c>
      <c r="AK186" s="16">
        <f t="shared" si="87"/>
        <v>0</v>
      </c>
      <c r="AL186" s="16">
        <f t="shared" si="88"/>
        <v>0</v>
      </c>
      <c r="AM186" s="16">
        <f t="shared" si="88"/>
        <v>0</v>
      </c>
      <c r="AN186" s="16">
        <f t="shared" si="88"/>
        <v>0</v>
      </c>
      <c r="AO186" s="16">
        <f t="shared" si="88"/>
        <v>0</v>
      </c>
      <c r="AP186" s="16">
        <f t="shared" si="88"/>
        <v>0</v>
      </c>
      <c r="AQ186" s="16">
        <f t="shared" si="88"/>
        <v>0</v>
      </c>
      <c r="AR186" s="16">
        <f t="shared" si="88"/>
        <v>0</v>
      </c>
      <c r="AS186" s="16">
        <f t="shared" si="88"/>
        <v>0</v>
      </c>
      <c r="AT186" s="16">
        <f t="shared" si="88"/>
        <v>0</v>
      </c>
      <c r="AU186" s="16">
        <f t="shared" si="88"/>
        <v>0</v>
      </c>
      <c r="AV186" s="16">
        <f t="shared" si="88"/>
        <v>0</v>
      </c>
      <c r="AW186" s="16">
        <f t="shared" si="88"/>
        <v>0</v>
      </c>
      <c r="AX186" s="16">
        <f t="shared" si="88"/>
        <v>0</v>
      </c>
      <c r="AY186" s="16">
        <f t="shared" si="88"/>
        <v>0</v>
      </c>
      <c r="AZ186" s="16">
        <f t="shared" si="88"/>
        <v>0</v>
      </c>
      <c r="BA186" s="16">
        <f t="shared" si="88"/>
        <v>0</v>
      </c>
      <c r="BB186" s="16">
        <f t="shared" si="89"/>
        <v>0</v>
      </c>
      <c r="BC186" s="16">
        <f t="shared" si="89"/>
        <v>0</v>
      </c>
      <c r="BD186" s="16">
        <f t="shared" si="89"/>
        <v>0</v>
      </c>
      <c r="BE186" s="16">
        <f t="shared" si="89"/>
        <v>0</v>
      </c>
      <c r="BF186" s="16">
        <f t="shared" si="89"/>
        <v>0</v>
      </c>
      <c r="BG186" s="16">
        <f t="shared" si="89"/>
        <v>0</v>
      </c>
      <c r="BH186" s="16">
        <f t="shared" si="89"/>
        <v>0</v>
      </c>
      <c r="BI186" s="16">
        <f t="shared" si="89"/>
        <v>0</v>
      </c>
      <c r="BJ186" s="16">
        <f t="shared" si="89"/>
        <v>0</v>
      </c>
      <c r="BK186" s="16">
        <f t="shared" si="89"/>
        <v>0</v>
      </c>
      <c r="BL186" s="16">
        <f t="shared" si="89"/>
        <v>0</v>
      </c>
      <c r="BM186" s="16">
        <f t="shared" si="89"/>
        <v>0</v>
      </c>
      <c r="BN186" s="16">
        <f t="shared" si="89"/>
        <v>0</v>
      </c>
    </row>
    <row r="187" spans="1:66" customFormat="1" x14ac:dyDescent="0.25">
      <c r="A187" s="29"/>
      <c r="B187" s="29"/>
      <c r="C187" s="1"/>
      <c r="D187" s="1"/>
      <c r="E187" s="1"/>
      <c r="F187" s="1"/>
      <c r="G187" s="1"/>
      <c r="H187" s="1"/>
      <c r="I187" s="1"/>
      <c r="J187" s="93"/>
      <c r="K187" s="1"/>
      <c r="L187" s="29"/>
      <c r="M187" s="1"/>
      <c r="N187" s="29"/>
      <c r="O187" s="9">
        <f t="shared" si="86"/>
        <v>30</v>
      </c>
      <c r="P187" s="16">
        <f t="shared" si="85"/>
        <v>0</v>
      </c>
      <c r="Q187" s="16">
        <f t="shared" si="85"/>
        <v>0</v>
      </c>
      <c r="R187" s="16">
        <f t="shared" si="85"/>
        <v>0</v>
      </c>
      <c r="S187" s="16">
        <f t="shared" si="85"/>
        <v>0</v>
      </c>
      <c r="T187" s="16">
        <f t="shared" si="85"/>
        <v>0</v>
      </c>
      <c r="U187" s="16">
        <f t="shared" si="85"/>
        <v>0</v>
      </c>
      <c r="V187" s="16">
        <f t="shared" si="85"/>
        <v>0</v>
      </c>
      <c r="W187" s="16">
        <f t="shared" si="85"/>
        <v>0</v>
      </c>
      <c r="X187" s="16">
        <f t="shared" si="85"/>
        <v>0</v>
      </c>
      <c r="Y187" s="16">
        <f t="shared" si="85"/>
        <v>0</v>
      </c>
      <c r="Z187" s="16">
        <f t="shared" si="85"/>
        <v>0</v>
      </c>
      <c r="AA187" s="16">
        <f t="shared" si="85"/>
        <v>0</v>
      </c>
      <c r="AB187" s="16">
        <f t="shared" si="85"/>
        <v>0</v>
      </c>
      <c r="AC187" s="16">
        <f t="shared" si="85"/>
        <v>0</v>
      </c>
      <c r="AD187" s="16">
        <f t="shared" si="85"/>
        <v>0</v>
      </c>
      <c r="AE187" s="16">
        <f t="shared" si="85"/>
        <v>0</v>
      </c>
      <c r="AF187" s="16">
        <f t="shared" si="87"/>
        <v>0</v>
      </c>
      <c r="AG187" s="16">
        <f t="shared" si="87"/>
        <v>0</v>
      </c>
      <c r="AH187" s="16">
        <f t="shared" si="87"/>
        <v>0</v>
      </c>
      <c r="AI187" s="16">
        <f t="shared" si="87"/>
        <v>-0.60760098184922329</v>
      </c>
      <c r="AJ187" s="16">
        <f t="shared" si="87"/>
        <v>2.2033777539822346</v>
      </c>
      <c r="AK187" s="16">
        <f t="shared" si="87"/>
        <v>-0.59577677213301117</v>
      </c>
      <c r="AL187" s="16">
        <f t="shared" si="88"/>
        <v>0</v>
      </c>
      <c r="AM187" s="16">
        <f t="shared" si="88"/>
        <v>0</v>
      </c>
      <c r="AN187" s="16">
        <f t="shared" si="88"/>
        <v>0</v>
      </c>
      <c r="AO187" s="16">
        <f t="shared" si="88"/>
        <v>0</v>
      </c>
      <c r="AP187" s="16">
        <f t="shared" si="88"/>
        <v>0</v>
      </c>
      <c r="AQ187" s="16">
        <f t="shared" si="88"/>
        <v>0</v>
      </c>
      <c r="AR187" s="16">
        <f t="shared" si="88"/>
        <v>0</v>
      </c>
      <c r="AS187" s="16">
        <f t="shared" si="88"/>
        <v>0</v>
      </c>
      <c r="AT187" s="16">
        <f t="shared" si="88"/>
        <v>0</v>
      </c>
      <c r="AU187" s="16">
        <f t="shared" si="88"/>
        <v>0</v>
      </c>
      <c r="AV187" s="16">
        <f t="shared" si="88"/>
        <v>0</v>
      </c>
      <c r="AW187" s="16">
        <f t="shared" si="88"/>
        <v>0</v>
      </c>
      <c r="AX187" s="16">
        <f t="shared" si="88"/>
        <v>0</v>
      </c>
      <c r="AY187" s="16">
        <f t="shared" si="88"/>
        <v>0</v>
      </c>
      <c r="AZ187" s="16">
        <f t="shared" si="88"/>
        <v>0</v>
      </c>
      <c r="BA187" s="16">
        <f t="shared" ref="BA187:BN202" si="90">IF(BA$166=$O187,1-HLOOKUP($O187,$O$14:$BN$48,BA$107,0),IF(BA$166-$O187=1,-HLOOKUP($O187,$O$11:$BN$28,BA$107,0),IF(BA$166-$O187=-1,-HLOOKUP($O187,$O$17:$BN$68,BA$107,0),0)))</f>
        <v>0</v>
      </c>
      <c r="BB187" s="16">
        <f t="shared" si="90"/>
        <v>0</v>
      </c>
      <c r="BC187" s="16">
        <f t="shared" si="90"/>
        <v>0</v>
      </c>
      <c r="BD187" s="16">
        <f t="shared" si="90"/>
        <v>0</v>
      </c>
      <c r="BE187" s="16">
        <f t="shared" si="90"/>
        <v>0</v>
      </c>
      <c r="BF187" s="16">
        <f t="shared" si="90"/>
        <v>0</v>
      </c>
      <c r="BG187" s="16">
        <f t="shared" si="90"/>
        <v>0</v>
      </c>
      <c r="BH187" s="16">
        <f t="shared" si="90"/>
        <v>0</v>
      </c>
      <c r="BI187" s="16">
        <f t="shared" si="90"/>
        <v>0</v>
      </c>
      <c r="BJ187" s="16">
        <f t="shared" si="90"/>
        <v>0</v>
      </c>
      <c r="BK187" s="16">
        <f t="shared" si="90"/>
        <v>0</v>
      </c>
      <c r="BL187" s="16">
        <f t="shared" si="90"/>
        <v>0</v>
      </c>
      <c r="BM187" s="16">
        <f t="shared" si="90"/>
        <v>0</v>
      </c>
      <c r="BN187" s="16">
        <f t="shared" si="90"/>
        <v>0</v>
      </c>
    </row>
    <row r="188" spans="1:66" customFormat="1" x14ac:dyDescent="0.25">
      <c r="A188" s="29"/>
      <c r="B188" s="29"/>
      <c r="C188" s="1"/>
      <c r="D188" s="1"/>
      <c r="E188" s="1"/>
      <c r="F188" s="1"/>
      <c r="G188" s="1"/>
      <c r="H188" s="1"/>
      <c r="I188" s="1"/>
      <c r="J188" s="93"/>
      <c r="K188" s="1"/>
      <c r="L188" s="29"/>
      <c r="M188" s="1"/>
      <c r="N188" s="29"/>
      <c r="O188" s="9">
        <f t="shared" si="86"/>
        <v>29</v>
      </c>
      <c r="P188" s="16">
        <f t="shared" si="85"/>
        <v>0</v>
      </c>
      <c r="Q188" s="16">
        <f t="shared" si="85"/>
        <v>0</v>
      </c>
      <c r="R188" s="16">
        <f t="shared" si="85"/>
        <v>0</v>
      </c>
      <c r="S188" s="16">
        <f t="shared" si="85"/>
        <v>0</v>
      </c>
      <c r="T188" s="16">
        <f t="shared" si="85"/>
        <v>0</v>
      </c>
      <c r="U188" s="16">
        <f t="shared" si="85"/>
        <v>0</v>
      </c>
      <c r="V188" s="16">
        <f t="shared" si="85"/>
        <v>0</v>
      </c>
      <c r="W188" s="16">
        <f t="shared" si="85"/>
        <v>0</v>
      </c>
      <c r="X188" s="16">
        <f t="shared" si="85"/>
        <v>0</v>
      </c>
      <c r="Y188" s="16">
        <f t="shared" si="85"/>
        <v>0</v>
      </c>
      <c r="Z188" s="16">
        <f t="shared" ref="Z188:AO203" si="91">IF(Z$166=$O188,1-HLOOKUP($O188,$O$14:$BN$48,Z$107,0),IF(Z$166-$O188=1,-HLOOKUP($O188,$O$11:$BN$28,Z$107,0),IF(Z$166-$O188=-1,-HLOOKUP($O188,$O$17:$BN$68,Z$107,0),0)))</f>
        <v>0</v>
      </c>
      <c r="AA188" s="16">
        <f t="shared" si="91"/>
        <v>0</v>
      </c>
      <c r="AB188" s="16">
        <f t="shared" si="91"/>
        <v>0</v>
      </c>
      <c r="AC188" s="16">
        <f t="shared" si="91"/>
        <v>0</v>
      </c>
      <c r="AD188" s="16">
        <f t="shared" si="91"/>
        <v>0</v>
      </c>
      <c r="AE188" s="16">
        <f t="shared" si="91"/>
        <v>0</v>
      </c>
      <c r="AF188" s="16">
        <f t="shared" si="91"/>
        <v>0</v>
      </c>
      <c r="AG188" s="16">
        <f t="shared" si="91"/>
        <v>0</v>
      </c>
      <c r="AH188" s="16">
        <f t="shared" si="91"/>
        <v>0</v>
      </c>
      <c r="AI188" s="16">
        <f t="shared" si="91"/>
        <v>0</v>
      </c>
      <c r="AJ188" s="16">
        <f t="shared" si="91"/>
        <v>-0.61657105266760059</v>
      </c>
      <c r="AK188" s="16">
        <f t="shared" si="91"/>
        <v>2.2212222361279181</v>
      </c>
      <c r="AL188" s="16">
        <f t="shared" si="91"/>
        <v>-0.60465118346031732</v>
      </c>
      <c r="AM188" s="16">
        <f t="shared" si="91"/>
        <v>0</v>
      </c>
      <c r="AN188" s="16">
        <f t="shared" si="91"/>
        <v>0</v>
      </c>
      <c r="AO188" s="16">
        <f t="shared" si="91"/>
        <v>0</v>
      </c>
      <c r="AP188" s="16">
        <f t="shared" ref="AP188:BE203" si="92">IF(AP$166=$O188,1-HLOOKUP($O188,$O$14:$BN$48,AP$107,0),IF(AP$166-$O188=1,-HLOOKUP($O188,$O$11:$BN$28,AP$107,0),IF(AP$166-$O188=-1,-HLOOKUP($O188,$O$17:$BN$68,AP$107,0),0)))</f>
        <v>0</v>
      </c>
      <c r="AQ188" s="16">
        <f t="shared" si="92"/>
        <v>0</v>
      </c>
      <c r="AR188" s="16">
        <f t="shared" si="92"/>
        <v>0</v>
      </c>
      <c r="AS188" s="16">
        <f t="shared" si="92"/>
        <v>0</v>
      </c>
      <c r="AT188" s="16">
        <f t="shared" si="92"/>
        <v>0</v>
      </c>
      <c r="AU188" s="16">
        <f t="shared" si="92"/>
        <v>0</v>
      </c>
      <c r="AV188" s="16">
        <f t="shared" si="92"/>
        <v>0</v>
      </c>
      <c r="AW188" s="16">
        <f t="shared" si="92"/>
        <v>0</v>
      </c>
      <c r="AX188" s="16">
        <f t="shared" si="92"/>
        <v>0</v>
      </c>
      <c r="AY188" s="16">
        <f t="shared" si="92"/>
        <v>0</v>
      </c>
      <c r="AZ188" s="16">
        <f t="shared" si="92"/>
        <v>0</v>
      </c>
      <c r="BA188" s="16">
        <f t="shared" si="92"/>
        <v>0</v>
      </c>
      <c r="BB188" s="16">
        <f t="shared" si="92"/>
        <v>0</v>
      </c>
      <c r="BC188" s="16">
        <f t="shared" si="92"/>
        <v>0</v>
      </c>
      <c r="BD188" s="16">
        <f t="shared" si="92"/>
        <v>0</v>
      </c>
      <c r="BE188" s="16">
        <f t="shared" si="92"/>
        <v>0</v>
      </c>
      <c r="BF188" s="16">
        <f t="shared" si="90"/>
        <v>0</v>
      </c>
      <c r="BG188" s="16">
        <f t="shared" si="90"/>
        <v>0</v>
      </c>
      <c r="BH188" s="16">
        <f t="shared" si="90"/>
        <v>0</v>
      </c>
      <c r="BI188" s="16">
        <f t="shared" si="90"/>
        <v>0</v>
      </c>
      <c r="BJ188" s="16">
        <f t="shared" si="90"/>
        <v>0</v>
      </c>
      <c r="BK188" s="16">
        <f t="shared" si="90"/>
        <v>0</v>
      </c>
      <c r="BL188" s="16">
        <f t="shared" si="90"/>
        <v>0</v>
      </c>
      <c r="BM188" s="16">
        <f t="shared" si="90"/>
        <v>0</v>
      </c>
      <c r="BN188" s="16">
        <f t="shared" si="90"/>
        <v>0</v>
      </c>
    </row>
    <row r="189" spans="1:66" customFormat="1" x14ac:dyDescent="0.25">
      <c r="A189" s="29"/>
      <c r="B189" s="29"/>
      <c r="C189" s="1"/>
      <c r="D189" s="1"/>
      <c r="E189" s="1"/>
      <c r="F189" s="1"/>
      <c r="G189" s="1"/>
      <c r="H189" s="1"/>
      <c r="I189" s="1"/>
      <c r="J189" s="93"/>
      <c r="K189" s="1"/>
      <c r="L189" s="29"/>
      <c r="M189" s="1"/>
      <c r="N189" s="29"/>
      <c r="O189" s="9">
        <f t="shared" si="86"/>
        <v>28</v>
      </c>
      <c r="P189" s="16">
        <f t="shared" ref="P189:AE204" si="93">IF(P$166=$O189,1-HLOOKUP($O189,$O$14:$BN$48,P$107,0),IF(P$166-$O189=1,-HLOOKUP($O189,$O$11:$BN$28,P$107,0),IF(P$166-$O189=-1,-HLOOKUP($O189,$O$17:$BN$68,P$107,0),0)))</f>
        <v>0</v>
      </c>
      <c r="Q189" s="16">
        <f t="shared" si="93"/>
        <v>0</v>
      </c>
      <c r="R189" s="16">
        <f t="shared" si="93"/>
        <v>0</v>
      </c>
      <c r="S189" s="16">
        <f t="shared" si="93"/>
        <v>0</v>
      </c>
      <c r="T189" s="16">
        <f t="shared" si="93"/>
        <v>0</v>
      </c>
      <c r="U189" s="16">
        <f t="shared" si="93"/>
        <v>0</v>
      </c>
      <c r="V189" s="16">
        <f t="shared" si="93"/>
        <v>0</v>
      </c>
      <c r="W189" s="16">
        <f t="shared" si="93"/>
        <v>0</v>
      </c>
      <c r="X189" s="16">
        <f t="shared" si="93"/>
        <v>0</v>
      </c>
      <c r="Y189" s="16">
        <f t="shared" si="93"/>
        <v>0</v>
      </c>
      <c r="Z189" s="16">
        <f t="shared" si="93"/>
        <v>0</v>
      </c>
      <c r="AA189" s="16">
        <f t="shared" si="93"/>
        <v>0</v>
      </c>
      <c r="AB189" s="16">
        <f t="shared" si="93"/>
        <v>0</v>
      </c>
      <c r="AC189" s="16">
        <f t="shared" si="93"/>
        <v>0</v>
      </c>
      <c r="AD189" s="16">
        <f t="shared" si="93"/>
        <v>0</v>
      </c>
      <c r="AE189" s="16">
        <f t="shared" si="93"/>
        <v>0</v>
      </c>
      <c r="AF189" s="16">
        <f t="shared" si="91"/>
        <v>0</v>
      </c>
      <c r="AG189" s="16">
        <f t="shared" si="91"/>
        <v>0</v>
      </c>
      <c r="AH189" s="16">
        <f t="shared" si="91"/>
        <v>0</v>
      </c>
      <c r="AI189" s="16">
        <f t="shared" si="91"/>
        <v>0</v>
      </c>
      <c r="AJ189" s="16">
        <f t="shared" si="91"/>
        <v>0</v>
      </c>
      <c r="AK189" s="16">
        <f t="shared" si="91"/>
        <v>-0.61440914331718421</v>
      </c>
      <c r="AL189" s="16">
        <f t="shared" si="91"/>
        <v>2.2169214726684974</v>
      </c>
      <c r="AM189" s="16">
        <f t="shared" si="91"/>
        <v>-0.60251232935131305</v>
      </c>
      <c r="AN189" s="16">
        <f t="shared" si="91"/>
        <v>0</v>
      </c>
      <c r="AO189" s="16">
        <f t="shared" si="91"/>
        <v>0</v>
      </c>
      <c r="AP189" s="16">
        <f t="shared" si="92"/>
        <v>0</v>
      </c>
      <c r="AQ189" s="16">
        <f t="shared" si="92"/>
        <v>0</v>
      </c>
      <c r="AR189" s="16">
        <f t="shared" si="92"/>
        <v>0</v>
      </c>
      <c r="AS189" s="16">
        <f t="shared" si="92"/>
        <v>0</v>
      </c>
      <c r="AT189" s="16">
        <f t="shared" si="92"/>
        <v>0</v>
      </c>
      <c r="AU189" s="16">
        <f t="shared" si="92"/>
        <v>0</v>
      </c>
      <c r="AV189" s="16">
        <f t="shared" si="92"/>
        <v>0</v>
      </c>
      <c r="AW189" s="16">
        <f t="shared" si="92"/>
        <v>0</v>
      </c>
      <c r="AX189" s="16">
        <f t="shared" si="92"/>
        <v>0</v>
      </c>
      <c r="AY189" s="16">
        <f t="shared" si="92"/>
        <v>0</v>
      </c>
      <c r="AZ189" s="16">
        <f t="shared" si="92"/>
        <v>0</v>
      </c>
      <c r="BA189" s="16">
        <f t="shared" si="92"/>
        <v>0</v>
      </c>
      <c r="BB189" s="16">
        <f t="shared" si="92"/>
        <v>0</v>
      </c>
      <c r="BC189" s="16">
        <f t="shared" si="92"/>
        <v>0</v>
      </c>
      <c r="BD189" s="16">
        <f t="shared" si="92"/>
        <v>0</v>
      </c>
      <c r="BE189" s="16">
        <f t="shared" si="92"/>
        <v>0</v>
      </c>
      <c r="BF189" s="16">
        <f t="shared" si="90"/>
        <v>0</v>
      </c>
      <c r="BG189" s="16">
        <f t="shared" si="90"/>
        <v>0</v>
      </c>
      <c r="BH189" s="16">
        <f t="shared" si="90"/>
        <v>0</v>
      </c>
      <c r="BI189" s="16">
        <f t="shared" si="90"/>
        <v>0</v>
      </c>
      <c r="BJ189" s="16">
        <f t="shared" si="90"/>
        <v>0</v>
      </c>
      <c r="BK189" s="16">
        <f t="shared" si="90"/>
        <v>0</v>
      </c>
      <c r="BL189" s="16">
        <f t="shared" si="90"/>
        <v>0</v>
      </c>
      <c r="BM189" s="16">
        <f t="shared" si="90"/>
        <v>0</v>
      </c>
      <c r="BN189" s="16">
        <f t="shared" si="90"/>
        <v>0</v>
      </c>
    </row>
    <row r="190" spans="1:66" customFormat="1" x14ac:dyDescent="0.25">
      <c r="A190" s="29"/>
      <c r="B190" s="29"/>
      <c r="C190" s="1"/>
      <c r="D190" s="1"/>
      <c r="E190" s="1"/>
      <c r="F190" s="1"/>
      <c r="G190" s="1"/>
      <c r="H190" s="1"/>
      <c r="I190" s="1"/>
      <c r="J190" s="93"/>
      <c r="K190" s="1"/>
      <c r="L190" s="29"/>
      <c r="M190" s="1"/>
      <c r="N190" s="29"/>
      <c r="O190" s="9">
        <f t="shared" si="86"/>
        <v>27</v>
      </c>
      <c r="P190" s="16">
        <f t="shared" si="93"/>
        <v>0</v>
      </c>
      <c r="Q190" s="16">
        <f t="shared" si="93"/>
        <v>0</v>
      </c>
      <c r="R190" s="16">
        <f t="shared" si="93"/>
        <v>0</v>
      </c>
      <c r="S190" s="16">
        <f t="shared" si="93"/>
        <v>0</v>
      </c>
      <c r="T190" s="16">
        <f t="shared" si="93"/>
        <v>0</v>
      </c>
      <c r="U190" s="16">
        <f t="shared" si="93"/>
        <v>0</v>
      </c>
      <c r="V190" s="16">
        <f t="shared" si="93"/>
        <v>0</v>
      </c>
      <c r="W190" s="16">
        <f t="shared" si="93"/>
        <v>0</v>
      </c>
      <c r="X190" s="16">
        <f t="shared" si="93"/>
        <v>0</v>
      </c>
      <c r="Y190" s="16">
        <f t="shared" si="93"/>
        <v>0</v>
      </c>
      <c r="Z190" s="16">
        <f t="shared" si="93"/>
        <v>0</v>
      </c>
      <c r="AA190" s="16">
        <f t="shared" si="93"/>
        <v>0</v>
      </c>
      <c r="AB190" s="16">
        <f t="shared" si="93"/>
        <v>0</v>
      </c>
      <c r="AC190" s="16">
        <f t="shared" si="93"/>
        <v>0</v>
      </c>
      <c r="AD190" s="16">
        <f t="shared" si="93"/>
        <v>0</v>
      </c>
      <c r="AE190" s="16">
        <f t="shared" si="93"/>
        <v>0</v>
      </c>
      <c r="AF190" s="16">
        <f t="shared" si="91"/>
        <v>0</v>
      </c>
      <c r="AG190" s="16">
        <f t="shared" si="91"/>
        <v>0</v>
      </c>
      <c r="AH190" s="16">
        <f t="shared" si="91"/>
        <v>0</v>
      </c>
      <c r="AI190" s="16">
        <f t="shared" si="91"/>
        <v>0</v>
      </c>
      <c r="AJ190" s="16">
        <f t="shared" si="91"/>
        <v>0</v>
      </c>
      <c r="AK190" s="16">
        <f t="shared" si="91"/>
        <v>0</v>
      </c>
      <c r="AL190" s="16">
        <f t="shared" si="91"/>
        <v>-0.58183876650139488</v>
      </c>
      <c r="AM190" s="16">
        <f t="shared" si="91"/>
        <v>2.1521280591787386</v>
      </c>
      <c r="AN190" s="16">
        <f t="shared" si="91"/>
        <v>-0.57028929267734396</v>
      </c>
      <c r="AO190" s="16">
        <f t="shared" si="91"/>
        <v>0</v>
      </c>
      <c r="AP190" s="16">
        <f t="shared" si="92"/>
        <v>0</v>
      </c>
      <c r="AQ190" s="16">
        <f t="shared" si="92"/>
        <v>0</v>
      </c>
      <c r="AR190" s="16">
        <f t="shared" si="92"/>
        <v>0</v>
      </c>
      <c r="AS190" s="16">
        <f t="shared" si="92"/>
        <v>0</v>
      </c>
      <c r="AT190" s="16">
        <f t="shared" si="92"/>
        <v>0</v>
      </c>
      <c r="AU190" s="16">
        <f t="shared" si="92"/>
        <v>0</v>
      </c>
      <c r="AV190" s="16">
        <f t="shared" si="92"/>
        <v>0</v>
      </c>
      <c r="AW190" s="16">
        <f t="shared" si="92"/>
        <v>0</v>
      </c>
      <c r="AX190" s="16">
        <f t="shared" si="92"/>
        <v>0</v>
      </c>
      <c r="AY190" s="16">
        <f t="shared" si="92"/>
        <v>0</v>
      </c>
      <c r="AZ190" s="16">
        <f t="shared" si="92"/>
        <v>0</v>
      </c>
      <c r="BA190" s="16">
        <f t="shared" si="92"/>
        <v>0</v>
      </c>
      <c r="BB190" s="16">
        <f t="shared" si="92"/>
        <v>0</v>
      </c>
      <c r="BC190" s="16">
        <f t="shared" si="92"/>
        <v>0</v>
      </c>
      <c r="BD190" s="16">
        <f t="shared" si="92"/>
        <v>0</v>
      </c>
      <c r="BE190" s="16">
        <f t="shared" si="92"/>
        <v>0</v>
      </c>
      <c r="BF190" s="16">
        <f t="shared" si="90"/>
        <v>0</v>
      </c>
      <c r="BG190" s="16">
        <f t="shared" si="90"/>
        <v>0</v>
      </c>
      <c r="BH190" s="16">
        <f t="shared" si="90"/>
        <v>0</v>
      </c>
      <c r="BI190" s="16">
        <f t="shared" si="90"/>
        <v>0</v>
      </c>
      <c r="BJ190" s="16">
        <f t="shared" si="90"/>
        <v>0</v>
      </c>
      <c r="BK190" s="16">
        <f t="shared" si="90"/>
        <v>0</v>
      </c>
      <c r="BL190" s="16">
        <f t="shared" si="90"/>
        <v>0</v>
      </c>
      <c r="BM190" s="16">
        <f t="shared" si="90"/>
        <v>0</v>
      </c>
      <c r="BN190" s="16">
        <f t="shared" si="90"/>
        <v>0</v>
      </c>
    </row>
    <row r="191" spans="1:66" customFormat="1" x14ac:dyDescent="0.25">
      <c r="A191" s="29"/>
      <c r="B191" s="29"/>
      <c r="C191" s="1"/>
      <c r="D191" s="1"/>
      <c r="E191" s="1"/>
      <c r="F191" s="1"/>
      <c r="G191" s="1"/>
      <c r="H191" s="1"/>
      <c r="I191" s="1"/>
      <c r="J191" s="93"/>
      <c r="K191" s="1"/>
      <c r="L191" s="29"/>
      <c r="M191" s="1"/>
      <c r="N191" s="29"/>
      <c r="O191" s="9">
        <f t="shared" si="86"/>
        <v>26</v>
      </c>
      <c r="P191" s="16">
        <f t="shared" si="93"/>
        <v>0</v>
      </c>
      <c r="Q191" s="16">
        <f t="shared" si="93"/>
        <v>0</v>
      </c>
      <c r="R191" s="16">
        <f t="shared" si="93"/>
        <v>0</v>
      </c>
      <c r="S191" s="16">
        <f t="shared" si="93"/>
        <v>0</v>
      </c>
      <c r="T191" s="16">
        <f t="shared" si="93"/>
        <v>0</v>
      </c>
      <c r="U191" s="16">
        <f t="shared" si="93"/>
        <v>0</v>
      </c>
      <c r="V191" s="16">
        <f t="shared" si="93"/>
        <v>0</v>
      </c>
      <c r="W191" s="16">
        <f t="shared" si="93"/>
        <v>0</v>
      </c>
      <c r="X191" s="16">
        <f t="shared" si="93"/>
        <v>0</v>
      </c>
      <c r="Y191" s="16">
        <f t="shared" si="93"/>
        <v>0</v>
      </c>
      <c r="Z191" s="16">
        <f t="shared" si="93"/>
        <v>0</v>
      </c>
      <c r="AA191" s="16">
        <f t="shared" si="93"/>
        <v>0</v>
      </c>
      <c r="AB191" s="16">
        <f t="shared" si="93"/>
        <v>0</v>
      </c>
      <c r="AC191" s="16">
        <f t="shared" si="93"/>
        <v>0</v>
      </c>
      <c r="AD191" s="16">
        <f t="shared" si="93"/>
        <v>0</v>
      </c>
      <c r="AE191" s="16">
        <f t="shared" si="93"/>
        <v>0</v>
      </c>
      <c r="AF191" s="16">
        <f t="shared" si="91"/>
        <v>0</v>
      </c>
      <c r="AG191" s="16">
        <f t="shared" si="91"/>
        <v>0</v>
      </c>
      <c r="AH191" s="16">
        <f t="shared" si="91"/>
        <v>0</v>
      </c>
      <c r="AI191" s="16">
        <f t="shared" si="91"/>
        <v>0</v>
      </c>
      <c r="AJ191" s="16">
        <f t="shared" si="91"/>
        <v>0</v>
      </c>
      <c r="AK191" s="16">
        <f t="shared" si="91"/>
        <v>0</v>
      </c>
      <c r="AL191" s="16">
        <f t="shared" si="91"/>
        <v>0</v>
      </c>
      <c r="AM191" s="16">
        <f t="shared" si="91"/>
        <v>-0.55015935488379131</v>
      </c>
      <c r="AN191" s="16">
        <f t="shared" si="91"/>
        <v>2.0891070745686804</v>
      </c>
      <c r="AO191" s="16">
        <f t="shared" si="91"/>
        <v>-0.53894771968488941</v>
      </c>
      <c r="AP191" s="16">
        <f t="shared" si="92"/>
        <v>0</v>
      </c>
      <c r="AQ191" s="16">
        <f t="shared" si="92"/>
        <v>0</v>
      </c>
      <c r="AR191" s="16">
        <f t="shared" si="92"/>
        <v>0</v>
      </c>
      <c r="AS191" s="16">
        <f t="shared" si="92"/>
        <v>0</v>
      </c>
      <c r="AT191" s="16">
        <f t="shared" si="92"/>
        <v>0</v>
      </c>
      <c r="AU191" s="16">
        <f t="shared" si="92"/>
        <v>0</v>
      </c>
      <c r="AV191" s="16">
        <f t="shared" si="92"/>
        <v>0</v>
      </c>
      <c r="AW191" s="16">
        <f t="shared" si="92"/>
        <v>0</v>
      </c>
      <c r="AX191" s="16">
        <f t="shared" si="92"/>
        <v>0</v>
      </c>
      <c r="AY191" s="16">
        <f t="shared" si="92"/>
        <v>0</v>
      </c>
      <c r="AZ191" s="16">
        <f t="shared" si="92"/>
        <v>0</v>
      </c>
      <c r="BA191" s="16">
        <f t="shared" si="92"/>
        <v>0</v>
      </c>
      <c r="BB191" s="16">
        <f t="shared" si="92"/>
        <v>0</v>
      </c>
      <c r="BC191" s="16">
        <f t="shared" si="92"/>
        <v>0</v>
      </c>
      <c r="BD191" s="16">
        <f t="shared" si="92"/>
        <v>0</v>
      </c>
      <c r="BE191" s="16">
        <f t="shared" si="92"/>
        <v>0</v>
      </c>
      <c r="BF191" s="16">
        <f t="shared" si="90"/>
        <v>0</v>
      </c>
      <c r="BG191" s="16">
        <f t="shared" si="90"/>
        <v>0</v>
      </c>
      <c r="BH191" s="16">
        <f t="shared" si="90"/>
        <v>0</v>
      </c>
      <c r="BI191" s="16">
        <f t="shared" si="90"/>
        <v>0</v>
      </c>
      <c r="BJ191" s="16">
        <f t="shared" si="90"/>
        <v>0</v>
      </c>
      <c r="BK191" s="16">
        <f t="shared" si="90"/>
        <v>0</v>
      </c>
      <c r="BL191" s="16">
        <f t="shared" si="90"/>
        <v>0</v>
      </c>
      <c r="BM191" s="16">
        <f t="shared" si="90"/>
        <v>0</v>
      </c>
      <c r="BN191" s="16">
        <f t="shared" si="90"/>
        <v>0</v>
      </c>
    </row>
    <row r="192" spans="1:66" customFormat="1" x14ac:dyDescent="0.25">
      <c r="A192" s="29"/>
      <c r="B192" s="29"/>
      <c r="C192" s="1"/>
      <c r="D192" s="1"/>
      <c r="E192" s="1"/>
      <c r="F192" s="1"/>
      <c r="G192" s="1"/>
      <c r="H192" s="1"/>
      <c r="I192" s="1"/>
      <c r="J192" s="93"/>
      <c r="K192" s="1"/>
      <c r="L192" s="29"/>
      <c r="M192" s="1"/>
      <c r="N192" s="29"/>
      <c r="O192" s="9">
        <f t="shared" si="86"/>
        <v>25</v>
      </c>
      <c r="P192" s="16">
        <f t="shared" si="93"/>
        <v>0</v>
      </c>
      <c r="Q192" s="16">
        <f t="shared" si="93"/>
        <v>0</v>
      </c>
      <c r="R192" s="16">
        <f t="shared" si="93"/>
        <v>0</v>
      </c>
      <c r="S192" s="16">
        <f t="shared" si="93"/>
        <v>0</v>
      </c>
      <c r="T192" s="16">
        <f t="shared" si="93"/>
        <v>0</v>
      </c>
      <c r="U192" s="16">
        <f t="shared" si="93"/>
        <v>0</v>
      </c>
      <c r="V192" s="16">
        <f t="shared" si="93"/>
        <v>0</v>
      </c>
      <c r="W192" s="16">
        <f t="shared" si="93"/>
        <v>0</v>
      </c>
      <c r="X192" s="16">
        <f t="shared" si="93"/>
        <v>0</v>
      </c>
      <c r="Y192" s="16">
        <f t="shared" si="93"/>
        <v>0</v>
      </c>
      <c r="Z192" s="16">
        <f t="shared" si="93"/>
        <v>0</v>
      </c>
      <c r="AA192" s="16">
        <f t="shared" si="93"/>
        <v>0</v>
      </c>
      <c r="AB192" s="16">
        <f t="shared" si="93"/>
        <v>0</v>
      </c>
      <c r="AC192" s="16">
        <f t="shared" si="93"/>
        <v>0</v>
      </c>
      <c r="AD192" s="16">
        <f t="shared" si="93"/>
        <v>0</v>
      </c>
      <c r="AE192" s="16">
        <f t="shared" si="93"/>
        <v>0</v>
      </c>
      <c r="AF192" s="16">
        <f t="shared" si="91"/>
        <v>0</v>
      </c>
      <c r="AG192" s="16">
        <f t="shared" si="91"/>
        <v>0</v>
      </c>
      <c r="AH192" s="16">
        <f t="shared" si="91"/>
        <v>0</v>
      </c>
      <c r="AI192" s="16">
        <f t="shared" si="91"/>
        <v>0</v>
      </c>
      <c r="AJ192" s="16">
        <f t="shared" si="91"/>
        <v>0</v>
      </c>
      <c r="AK192" s="16">
        <f t="shared" si="91"/>
        <v>0</v>
      </c>
      <c r="AL192" s="16">
        <f t="shared" si="91"/>
        <v>0</v>
      </c>
      <c r="AM192" s="16">
        <f t="shared" si="91"/>
        <v>0</v>
      </c>
      <c r="AN192" s="16">
        <f t="shared" si="91"/>
        <v>-0.51937090846437406</v>
      </c>
      <c r="AO192" s="16">
        <f t="shared" si="91"/>
        <v>2.0278585188383245</v>
      </c>
      <c r="AP192" s="16">
        <f t="shared" si="92"/>
        <v>-0.50848761037395029</v>
      </c>
      <c r="AQ192" s="16">
        <f t="shared" si="92"/>
        <v>0</v>
      </c>
      <c r="AR192" s="16">
        <f t="shared" si="92"/>
        <v>0</v>
      </c>
      <c r="AS192" s="16">
        <f t="shared" si="92"/>
        <v>0</v>
      </c>
      <c r="AT192" s="16">
        <f t="shared" si="92"/>
        <v>0</v>
      </c>
      <c r="AU192" s="16">
        <f t="shared" si="92"/>
        <v>0</v>
      </c>
      <c r="AV192" s="16">
        <f t="shared" si="92"/>
        <v>0</v>
      </c>
      <c r="AW192" s="16">
        <f t="shared" si="92"/>
        <v>0</v>
      </c>
      <c r="AX192" s="16">
        <f t="shared" si="92"/>
        <v>0</v>
      </c>
      <c r="AY192" s="16">
        <f t="shared" si="92"/>
        <v>0</v>
      </c>
      <c r="AZ192" s="16">
        <f t="shared" si="92"/>
        <v>0</v>
      </c>
      <c r="BA192" s="16">
        <f t="shared" si="92"/>
        <v>0</v>
      </c>
      <c r="BB192" s="16">
        <f t="shared" si="92"/>
        <v>0</v>
      </c>
      <c r="BC192" s="16">
        <f t="shared" si="92"/>
        <v>0</v>
      </c>
      <c r="BD192" s="16">
        <f t="shared" si="92"/>
        <v>0</v>
      </c>
      <c r="BE192" s="16">
        <f t="shared" si="92"/>
        <v>0</v>
      </c>
      <c r="BF192" s="16">
        <f t="shared" si="90"/>
        <v>0</v>
      </c>
      <c r="BG192" s="16">
        <f t="shared" si="90"/>
        <v>0</v>
      </c>
      <c r="BH192" s="16">
        <f t="shared" si="90"/>
        <v>0</v>
      </c>
      <c r="BI192" s="16">
        <f t="shared" si="90"/>
        <v>0</v>
      </c>
      <c r="BJ192" s="16">
        <f t="shared" si="90"/>
        <v>0</v>
      </c>
      <c r="BK192" s="16">
        <f t="shared" si="90"/>
        <v>0</v>
      </c>
      <c r="BL192" s="16">
        <f t="shared" si="90"/>
        <v>0</v>
      </c>
      <c r="BM192" s="16">
        <f t="shared" si="90"/>
        <v>0</v>
      </c>
      <c r="BN192" s="16">
        <f t="shared" si="90"/>
        <v>0</v>
      </c>
    </row>
    <row r="193" spans="1:66" customFormat="1" x14ac:dyDescent="0.25">
      <c r="A193" s="29"/>
      <c r="B193" s="29"/>
      <c r="C193" s="1"/>
      <c r="D193" s="1"/>
      <c r="E193" s="1"/>
      <c r="F193" s="1"/>
      <c r="G193" s="1"/>
      <c r="H193" s="1"/>
      <c r="I193" s="1"/>
      <c r="J193" s="93"/>
      <c r="K193" s="1"/>
      <c r="L193" s="29"/>
      <c r="M193" s="1"/>
      <c r="N193" s="29"/>
      <c r="O193" s="9">
        <f t="shared" si="86"/>
        <v>24</v>
      </c>
      <c r="P193" s="16">
        <f t="shared" si="93"/>
        <v>0</v>
      </c>
      <c r="Q193" s="16">
        <f t="shared" si="93"/>
        <v>0</v>
      </c>
      <c r="R193" s="16">
        <f t="shared" si="93"/>
        <v>0</v>
      </c>
      <c r="S193" s="16">
        <f t="shared" si="93"/>
        <v>0</v>
      </c>
      <c r="T193" s="16">
        <f t="shared" si="93"/>
        <v>0</v>
      </c>
      <c r="U193" s="16">
        <f t="shared" si="93"/>
        <v>0</v>
      </c>
      <c r="V193" s="16">
        <f t="shared" si="93"/>
        <v>0</v>
      </c>
      <c r="W193" s="16">
        <f t="shared" si="93"/>
        <v>0</v>
      </c>
      <c r="X193" s="16">
        <f t="shared" si="93"/>
        <v>0</v>
      </c>
      <c r="Y193" s="16">
        <f t="shared" si="93"/>
        <v>0</v>
      </c>
      <c r="Z193" s="16">
        <f t="shared" si="93"/>
        <v>0</v>
      </c>
      <c r="AA193" s="16">
        <f t="shared" si="93"/>
        <v>0</v>
      </c>
      <c r="AB193" s="16">
        <f t="shared" si="93"/>
        <v>0</v>
      </c>
      <c r="AC193" s="16">
        <f t="shared" si="93"/>
        <v>0</v>
      </c>
      <c r="AD193" s="16">
        <f t="shared" si="93"/>
        <v>0</v>
      </c>
      <c r="AE193" s="16">
        <f t="shared" si="93"/>
        <v>0</v>
      </c>
      <c r="AF193" s="16">
        <f t="shared" si="91"/>
        <v>0</v>
      </c>
      <c r="AG193" s="16">
        <f t="shared" si="91"/>
        <v>0</v>
      </c>
      <c r="AH193" s="16">
        <f t="shared" si="91"/>
        <v>0</v>
      </c>
      <c r="AI193" s="16">
        <f t="shared" si="91"/>
        <v>0</v>
      </c>
      <c r="AJ193" s="16">
        <f t="shared" si="91"/>
        <v>0</v>
      </c>
      <c r="AK193" s="16">
        <f t="shared" si="91"/>
        <v>0</v>
      </c>
      <c r="AL193" s="16">
        <f t="shared" si="91"/>
        <v>0</v>
      </c>
      <c r="AM193" s="16">
        <f t="shared" si="91"/>
        <v>0</v>
      </c>
      <c r="AN193" s="16">
        <f t="shared" si="91"/>
        <v>0</v>
      </c>
      <c r="AO193" s="16">
        <f t="shared" si="91"/>
        <v>-0.58691866840817242</v>
      </c>
      <c r="AP193" s="16">
        <f t="shared" si="92"/>
        <v>2.1622336894142995</v>
      </c>
      <c r="AQ193" s="16">
        <f t="shared" si="92"/>
        <v>-0.57531502100612719</v>
      </c>
      <c r="AR193" s="16">
        <f t="shared" si="92"/>
        <v>0</v>
      </c>
      <c r="AS193" s="16">
        <f t="shared" si="92"/>
        <v>0</v>
      </c>
      <c r="AT193" s="16">
        <f t="shared" si="92"/>
        <v>0</v>
      </c>
      <c r="AU193" s="16">
        <f t="shared" si="92"/>
        <v>0</v>
      </c>
      <c r="AV193" s="16">
        <f t="shared" si="92"/>
        <v>0</v>
      </c>
      <c r="AW193" s="16">
        <f t="shared" si="92"/>
        <v>0</v>
      </c>
      <c r="AX193" s="16">
        <f t="shared" si="92"/>
        <v>0</v>
      </c>
      <c r="AY193" s="16">
        <f t="shared" si="92"/>
        <v>0</v>
      </c>
      <c r="AZ193" s="16">
        <f t="shared" si="92"/>
        <v>0</v>
      </c>
      <c r="BA193" s="16">
        <f t="shared" si="92"/>
        <v>0</v>
      </c>
      <c r="BB193" s="16">
        <f t="shared" si="92"/>
        <v>0</v>
      </c>
      <c r="BC193" s="16">
        <f t="shared" si="92"/>
        <v>0</v>
      </c>
      <c r="BD193" s="16">
        <f t="shared" si="92"/>
        <v>0</v>
      </c>
      <c r="BE193" s="16">
        <f t="shared" si="92"/>
        <v>0</v>
      </c>
      <c r="BF193" s="16">
        <f t="shared" si="90"/>
        <v>0</v>
      </c>
      <c r="BG193" s="16">
        <f t="shared" si="90"/>
        <v>0</v>
      </c>
      <c r="BH193" s="16">
        <f t="shared" si="90"/>
        <v>0</v>
      </c>
      <c r="BI193" s="16">
        <f t="shared" si="90"/>
        <v>0</v>
      </c>
      <c r="BJ193" s="16">
        <f t="shared" si="90"/>
        <v>0</v>
      </c>
      <c r="BK193" s="16">
        <f t="shared" si="90"/>
        <v>0</v>
      </c>
      <c r="BL193" s="16">
        <f t="shared" si="90"/>
        <v>0</v>
      </c>
      <c r="BM193" s="16">
        <f t="shared" si="90"/>
        <v>0</v>
      </c>
      <c r="BN193" s="16">
        <f t="shared" si="90"/>
        <v>0</v>
      </c>
    </row>
    <row r="194" spans="1:66" customFormat="1" x14ac:dyDescent="0.25">
      <c r="A194" s="29"/>
      <c r="B194" s="29"/>
      <c r="C194" s="1"/>
      <c r="D194" s="1"/>
      <c r="E194" s="1"/>
      <c r="F194" s="1"/>
      <c r="G194" s="1"/>
      <c r="H194" s="1"/>
      <c r="I194" s="1"/>
      <c r="J194" s="93"/>
      <c r="K194" s="1"/>
      <c r="L194" s="29"/>
      <c r="M194" s="1"/>
      <c r="N194" s="29"/>
      <c r="O194" s="9">
        <f t="shared" si="86"/>
        <v>23</v>
      </c>
      <c r="P194" s="16">
        <f t="shared" si="93"/>
        <v>0</v>
      </c>
      <c r="Q194" s="16">
        <f t="shared" si="93"/>
        <v>0</v>
      </c>
      <c r="R194" s="16">
        <f t="shared" si="93"/>
        <v>0</v>
      </c>
      <c r="S194" s="16">
        <f t="shared" si="93"/>
        <v>0</v>
      </c>
      <c r="T194" s="16">
        <f t="shared" si="93"/>
        <v>0</v>
      </c>
      <c r="U194" s="16">
        <f t="shared" si="93"/>
        <v>0</v>
      </c>
      <c r="V194" s="16">
        <f t="shared" si="93"/>
        <v>0</v>
      </c>
      <c r="W194" s="16">
        <f t="shared" si="93"/>
        <v>0</v>
      </c>
      <c r="X194" s="16">
        <f t="shared" si="93"/>
        <v>0</v>
      </c>
      <c r="Y194" s="16">
        <f t="shared" si="93"/>
        <v>0</v>
      </c>
      <c r="Z194" s="16">
        <f t="shared" si="93"/>
        <v>0</v>
      </c>
      <c r="AA194" s="16">
        <f t="shared" si="93"/>
        <v>0</v>
      </c>
      <c r="AB194" s="16">
        <f t="shared" si="93"/>
        <v>0</v>
      </c>
      <c r="AC194" s="16">
        <f t="shared" si="93"/>
        <v>0</v>
      </c>
      <c r="AD194" s="16">
        <f t="shared" si="93"/>
        <v>0</v>
      </c>
      <c r="AE194" s="16">
        <f t="shared" si="93"/>
        <v>0</v>
      </c>
      <c r="AF194" s="16">
        <f t="shared" si="91"/>
        <v>0</v>
      </c>
      <c r="AG194" s="16">
        <f t="shared" si="91"/>
        <v>0</v>
      </c>
      <c r="AH194" s="16">
        <f t="shared" si="91"/>
        <v>0</v>
      </c>
      <c r="AI194" s="16">
        <f t="shared" si="91"/>
        <v>0</v>
      </c>
      <c r="AJ194" s="16">
        <f t="shared" si="91"/>
        <v>0</v>
      </c>
      <c r="AK194" s="16">
        <f t="shared" si="91"/>
        <v>0</v>
      </c>
      <c r="AL194" s="16">
        <f t="shared" si="91"/>
        <v>0</v>
      </c>
      <c r="AM194" s="16">
        <f t="shared" si="91"/>
        <v>0</v>
      </c>
      <c r="AN194" s="16">
        <f t="shared" si="91"/>
        <v>0</v>
      </c>
      <c r="AO194" s="16">
        <f t="shared" si="91"/>
        <v>0</v>
      </c>
      <c r="AP194" s="16">
        <f t="shared" si="92"/>
        <v>-0.6847616399455918</v>
      </c>
      <c r="AQ194" s="16">
        <f t="shared" si="92"/>
        <v>2.3568762060712585</v>
      </c>
      <c r="AR194" s="16">
        <f t="shared" si="92"/>
        <v>-0.67211456612566645</v>
      </c>
      <c r="AS194" s="16">
        <f t="shared" si="92"/>
        <v>0</v>
      </c>
      <c r="AT194" s="16">
        <f t="shared" si="92"/>
        <v>0</v>
      </c>
      <c r="AU194" s="16">
        <f t="shared" si="92"/>
        <v>0</v>
      </c>
      <c r="AV194" s="16">
        <f t="shared" si="92"/>
        <v>0</v>
      </c>
      <c r="AW194" s="16">
        <f t="shared" si="92"/>
        <v>0</v>
      </c>
      <c r="AX194" s="16">
        <f t="shared" si="92"/>
        <v>0</v>
      </c>
      <c r="AY194" s="16">
        <f t="shared" si="92"/>
        <v>0</v>
      </c>
      <c r="AZ194" s="16">
        <f t="shared" si="92"/>
        <v>0</v>
      </c>
      <c r="BA194" s="16">
        <f t="shared" si="92"/>
        <v>0</v>
      </c>
      <c r="BB194" s="16">
        <f t="shared" si="92"/>
        <v>0</v>
      </c>
      <c r="BC194" s="16">
        <f t="shared" si="92"/>
        <v>0</v>
      </c>
      <c r="BD194" s="16">
        <f t="shared" si="92"/>
        <v>0</v>
      </c>
      <c r="BE194" s="16">
        <f t="shared" si="92"/>
        <v>0</v>
      </c>
      <c r="BF194" s="16">
        <f t="shared" si="90"/>
        <v>0</v>
      </c>
      <c r="BG194" s="16">
        <f t="shared" si="90"/>
        <v>0</v>
      </c>
      <c r="BH194" s="16">
        <f t="shared" si="90"/>
        <v>0</v>
      </c>
      <c r="BI194" s="16">
        <f t="shared" si="90"/>
        <v>0</v>
      </c>
      <c r="BJ194" s="16">
        <f t="shared" si="90"/>
        <v>0</v>
      </c>
      <c r="BK194" s="16">
        <f t="shared" si="90"/>
        <v>0</v>
      </c>
      <c r="BL194" s="16">
        <f t="shared" si="90"/>
        <v>0</v>
      </c>
      <c r="BM194" s="16">
        <f t="shared" si="90"/>
        <v>0</v>
      </c>
      <c r="BN194" s="16">
        <f t="shared" si="90"/>
        <v>0</v>
      </c>
    </row>
    <row r="195" spans="1:66" customFormat="1" x14ac:dyDescent="0.25">
      <c r="A195" s="29"/>
      <c r="B195" s="29"/>
      <c r="C195" s="1"/>
      <c r="D195" s="1"/>
      <c r="E195" s="1"/>
      <c r="F195" s="1"/>
      <c r="G195" s="1"/>
      <c r="H195" s="1"/>
      <c r="I195" s="1"/>
      <c r="J195" s="93"/>
      <c r="K195" s="1"/>
      <c r="L195" s="29"/>
      <c r="M195" s="1"/>
      <c r="N195" s="29"/>
      <c r="O195" s="9">
        <f t="shared" si="86"/>
        <v>22</v>
      </c>
      <c r="P195" s="16">
        <f t="shared" si="93"/>
        <v>0</v>
      </c>
      <c r="Q195" s="16">
        <f t="shared" si="93"/>
        <v>0</v>
      </c>
      <c r="R195" s="16">
        <f t="shared" si="93"/>
        <v>0</v>
      </c>
      <c r="S195" s="16">
        <f t="shared" si="93"/>
        <v>0</v>
      </c>
      <c r="T195" s="16">
        <f t="shared" si="93"/>
        <v>0</v>
      </c>
      <c r="U195" s="16">
        <f t="shared" si="93"/>
        <v>0</v>
      </c>
      <c r="V195" s="16">
        <f t="shared" si="93"/>
        <v>0</v>
      </c>
      <c r="W195" s="16">
        <f t="shared" si="93"/>
        <v>0</v>
      </c>
      <c r="X195" s="16">
        <f t="shared" si="93"/>
        <v>0</v>
      </c>
      <c r="Y195" s="16">
        <f t="shared" si="93"/>
        <v>0</v>
      </c>
      <c r="Z195" s="16">
        <f t="shared" si="93"/>
        <v>0</v>
      </c>
      <c r="AA195" s="16">
        <f t="shared" si="93"/>
        <v>0</v>
      </c>
      <c r="AB195" s="16">
        <f t="shared" si="93"/>
        <v>0</v>
      </c>
      <c r="AC195" s="16">
        <f t="shared" si="93"/>
        <v>0</v>
      </c>
      <c r="AD195" s="16">
        <f t="shared" si="93"/>
        <v>0</v>
      </c>
      <c r="AE195" s="16">
        <f t="shared" si="93"/>
        <v>0</v>
      </c>
      <c r="AF195" s="16">
        <f t="shared" si="91"/>
        <v>0</v>
      </c>
      <c r="AG195" s="16">
        <f t="shared" si="91"/>
        <v>0</v>
      </c>
      <c r="AH195" s="16">
        <f t="shared" si="91"/>
        <v>0</v>
      </c>
      <c r="AI195" s="16">
        <f t="shared" si="91"/>
        <v>0</v>
      </c>
      <c r="AJ195" s="16">
        <f t="shared" si="91"/>
        <v>0</v>
      </c>
      <c r="AK195" s="16">
        <f t="shared" si="91"/>
        <v>0</v>
      </c>
      <c r="AL195" s="16">
        <f t="shared" si="91"/>
        <v>0</v>
      </c>
      <c r="AM195" s="16">
        <f t="shared" si="91"/>
        <v>0</v>
      </c>
      <c r="AN195" s="16">
        <f t="shared" si="91"/>
        <v>0</v>
      </c>
      <c r="AO195" s="16">
        <f t="shared" si="91"/>
        <v>0</v>
      </c>
      <c r="AP195" s="16">
        <f t="shared" si="92"/>
        <v>0</v>
      </c>
      <c r="AQ195" s="16">
        <f t="shared" si="92"/>
        <v>-0.79017590149957473</v>
      </c>
      <c r="AR195" s="16">
        <f t="shared" si="92"/>
        <v>2.5665805602828953</v>
      </c>
      <c r="AS195" s="16">
        <f t="shared" si="92"/>
        <v>-0.77640465878332043</v>
      </c>
      <c r="AT195" s="16">
        <f t="shared" si="92"/>
        <v>0</v>
      </c>
      <c r="AU195" s="16">
        <f t="shared" si="92"/>
        <v>0</v>
      </c>
      <c r="AV195" s="16">
        <f t="shared" si="92"/>
        <v>0</v>
      </c>
      <c r="AW195" s="16">
        <f t="shared" si="92"/>
        <v>0</v>
      </c>
      <c r="AX195" s="16">
        <f t="shared" si="92"/>
        <v>0</v>
      </c>
      <c r="AY195" s="16">
        <f t="shared" si="92"/>
        <v>0</v>
      </c>
      <c r="AZ195" s="16">
        <f t="shared" si="92"/>
        <v>0</v>
      </c>
      <c r="BA195" s="16">
        <f t="shared" si="92"/>
        <v>0</v>
      </c>
      <c r="BB195" s="16">
        <f t="shared" si="92"/>
        <v>0</v>
      </c>
      <c r="BC195" s="16">
        <f t="shared" si="92"/>
        <v>0</v>
      </c>
      <c r="BD195" s="16">
        <f t="shared" si="92"/>
        <v>0</v>
      </c>
      <c r="BE195" s="16">
        <f t="shared" si="92"/>
        <v>0</v>
      </c>
      <c r="BF195" s="16">
        <f t="shared" si="90"/>
        <v>0</v>
      </c>
      <c r="BG195" s="16">
        <f t="shared" si="90"/>
        <v>0</v>
      </c>
      <c r="BH195" s="16">
        <f t="shared" si="90"/>
        <v>0</v>
      </c>
      <c r="BI195" s="16">
        <f t="shared" si="90"/>
        <v>0</v>
      </c>
      <c r="BJ195" s="16">
        <f t="shared" si="90"/>
        <v>0</v>
      </c>
      <c r="BK195" s="16">
        <f t="shared" si="90"/>
        <v>0</v>
      </c>
      <c r="BL195" s="16">
        <f t="shared" si="90"/>
        <v>0</v>
      </c>
      <c r="BM195" s="16">
        <f t="shared" si="90"/>
        <v>0</v>
      </c>
      <c r="BN195" s="16">
        <f t="shared" si="90"/>
        <v>0</v>
      </c>
    </row>
    <row r="196" spans="1:66" customFormat="1" x14ac:dyDescent="0.25">
      <c r="A196" s="29"/>
      <c r="B196" s="29"/>
      <c r="C196" s="1"/>
      <c r="D196" s="1"/>
      <c r="E196" s="1"/>
      <c r="F196" s="1"/>
      <c r="G196" s="1"/>
      <c r="H196" s="1"/>
      <c r="I196" s="1"/>
      <c r="J196" s="93"/>
      <c r="K196" s="1"/>
      <c r="L196" s="29"/>
      <c r="M196" s="1"/>
      <c r="N196" s="29"/>
      <c r="O196" s="9">
        <f t="shared" si="86"/>
        <v>21</v>
      </c>
      <c r="P196" s="16">
        <f t="shared" si="93"/>
        <v>0</v>
      </c>
      <c r="Q196" s="16">
        <f t="shared" si="93"/>
        <v>0</v>
      </c>
      <c r="R196" s="16">
        <f t="shared" si="93"/>
        <v>0</v>
      </c>
      <c r="S196" s="16">
        <f t="shared" si="93"/>
        <v>0</v>
      </c>
      <c r="T196" s="16">
        <f t="shared" si="93"/>
        <v>0</v>
      </c>
      <c r="U196" s="16">
        <f t="shared" si="93"/>
        <v>0</v>
      </c>
      <c r="V196" s="16">
        <f t="shared" si="93"/>
        <v>0</v>
      </c>
      <c r="W196" s="16">
        <f t="shared" si="93"/>
        <v>0</v>
      </c>
      <c r="X196" s="16">
        <f t="shared" si="93"/>
        <v>0</v>
      </c>
      <c r="Y196" s="16">
        <f t="shared" si="93"/>
        <v>0</v>
      </c>
      <c r="Z196" s="16">
        <f t="shared" si="93"/>
        <v>0</v>
      </c>
      <c r="AA196" s="16">
        <f t="shared" si="93"/>
        <v>0</v>
      </c>
      <c r="AB196" s="16">
        <f t="shared" si="93"/>
        <v>0</v>
      </c>
      <c r="AC196" s="16">
        <f t="shared" si="93"/>
        <v>0</v>
      </c>
      <c r="AD196" s="16">
        <f t="shared" si="93"/>
        <v>0</v>
      </c>
      <c r="AE196" s="16">
        <f t="shared" si="93"/>
        <v>0</v>
      </c>
      <c r="AF196" s="16">
        <f t="shared" si="91"/>
        <v>0</v>
      </c>
      <c r="AG196" s="16">
        <f t="shared" si="91"/>
        <v>0</v>
      </c>
      <c r="AH196" s="16">
        <f t="shared" si="91"/>
        <v>0</v>
      </c>
      <c r="AI196" s="16">
        <f t="shared" si="91"/>
        <v>0</v>
      </c>
      <c r="AJ196" s="16">
        <f t="shared" si="91"/>
        <v>0</v>
      </c>
      <c r="AK196" s="16">
        <f t="shared" si="91"/>
        <v>0</v>
      </c>
      <c r="AL196" s="16">
        <f t="shared" si="91"/>
        <v>0</v>
      </c>
      <c r="AM196" s="16">
        <f t="shared" si="91"/>
        <v>0</v>
      </c>
      <c r="AN196" s="16">
        <f t="shared" si="91"/>
        <v>0</v>
      </c>
      <c r="AO196" s="16">
        <f t="shared" si="91"/>
        <v>0</v>
      </c>
      <c r="AP196" s="16">
        <f t="shared" si="92"/>
        <v>0</v>
      </c>
      <c r="AQ196" s="16">
        <f t="shared" si="92"/>
        <v>0</v>
      </c>
      <c r="AR196" s="16">
        <f t="shared" si="92"/>
        <v>-0.92924537459323531</v>
      </c>
      <c r="AS196" s="16">
        <f t="shared" si="92"/>
        <v>2.8432364284333733</v>
      </c>
      <c r="AT196" s="16">
        <f t="shared" si="92"/>
        <v>-0.91399105384013823</v>
      </c>
      <c r="AU196" s="16">
        <f t="shared" si="92"/>
        <v>0</v>
      </c>
      <c r="AV196" s="16">
        <f t="shared" si="92"/>
        <v>0</v>
      </c>
      <c r="AW196" s="16">
        <f t="shared" si="92"/>
        <v>0</v>
      </c>
      <c r="AX196" s="16">
        <f t="shared" si="92"/>
        <v>0</v>
      </c>
      <c r="AY196" s="16">
        <f t="shared" si="92"/>
        <v>0</v>
      </c>
      <c r="AZ196" s="16">
        <f t="shared" si="92"/>
        <v>0</v>
      </c>
      <c r="BA196" s="16">
        <f t="shared" si="92"/>
        <v>0</v>
      </c>
      <c r="BB196" s="16">
        <f t="shared" si="92"/>
        <v>0</v>
      </c>
      <c r="BC196" s="16">
        <f t="shared" si="92"/>
        <v>0</v>
      </c>
      <c r="BD196" s="16">
        <f t="shared" si="92"/>
        <v>0</v>
      </c>
      <c r="BE196" s="16">
        <f t="shared" si="92"/>
        <v>0</v>
      </c>
      <c r="BF196" s="16">
        <f t="shared" si="90"/>
        <v>0</v>
      </c>
      <c r="BG196" s="16">
        <f t="shared" si="90"/>
        <v>0</v>
      </c>
      <c r="BH196" s="16">
        <f t="shared" si="90"/>
        <v>0</v>
      </c>
      <c r="BI196" s="16">
        <f t="shared" si="90"/>
        <v>0</v>
      </c>
      <c r="BJ196" s="16">
        <f t="shared" si="90"/>
        <v>0</v>
      </c>
      <c r="BK196" s="16">
        <f t="shared" si="90"/>
        <v>0</v>
      </c>
      <c r="BL196" s="16">
        <f t="shared" si="90"/>
        <v>0</v>
      </c>
      <c r="BM196" s="16">
        <f t="shared" si="90"/>
        <v>0</v>
      </c>
      <c r="BN196" s="16">
        <f t="shared" si="90"/>
        <v>0</v>
      </c>
    </row>
    <row r="197" spans="1:66" customFormat="1" x14ac:dyDescent="0.25">
      <c r="A197" s="29"/>
      <c r="B197" s="29"/>
      <c r="C197" s="1"/>
      <c r="D197" s="1"/>
      <c r="E197" s="1"/>
      <c r="F197" s="1"/>
      <c r="G197" s="1"/>
      <c r="H197" s="1"/>
      <c r="I197" s="1"/>
      <c r="J197" s="93"/>
      <c r="K197" s="1"/>
      <c r="L197" s="29"/>
      <c r="M197" s="1"/>
      <c r="N197" s="29"/>
      <c r="O197" s="9">
        <f t="shared" si="86"/>
        <v>20</v>
      </c>
      <c r="P197" s="16">
        <f t="shared" si="93"/>
        <v>0</v>
      </c>
      <c r="Q197" s="16">
        <f t="shared" si="93"/>
        <v>0</v>
      </c>
      <c r="R197" s="16">
        <f t="shared" si="93"/>
        <v>0</v>
      </c>
      <c r="S197" s="16">
        <f t="shared" si="93"/>
        <v>0</v>
      </c>
      <c r="T197" s="16">
        <f t="shared" si="93"/>
        <v>0</v>
      </c>
      <c r="U197" s="16">
        <f t="shared" si="93"/>
        <v>0</v>
      </c>
      <c r="V197" s="16">
        <f t="shared" si="93"/>
        <v>0</v>
      </c>
      <c r="W197" s="16">
        <f t="shared" si="93"/>
        <v>0</v>
      </c>
      <c r="X197" s="16">
        <f t="shared" si="93"/>
        <v>0</v>
      </c>
      <c r="Y197" s="16">
        <f t="shared" si="93"/>
        <v>0</v>
      </c>
      <c r="Z197" s="16">
        <f t="shared" si="93"/>
        <v>0</v>
      </c>
      <c r="AA197" s="16">
        <f t="shared" si="93"/>
        <v>0</v>
      </c>
      <c r="AB197" s="16">
        <f t="shared" si="93"/>
        <v>0</v>
      </c>
      <c r="AC197" s="16">
        <f t="shared" si="93"/>
        <v>0</v>
      </c>
      <c r="AD197" s="16">
        <f t="shared" si="93"/>
        <v>0</v>
      </c>
      <c r="AE197" s="16">
        <f t="shared" si="93"/>
        <v>0</v>
      </c>
      <c r="AF197" s="16">
        <f t="shared" si="91"/>
        <v>0</v>
      </c>
      <c r="AG197" s="16">
        <f t="shared" si="91"/>
        <v>0</v>
      </c>
      <c r="AH197" s="16">
        <f t="shared" si="91"/>
        <v>0</v>
      </c>
      <c r="AI197" s="16">
        <f t="shared" si="91"/>
        <v>0</v>
      </c>
      <c r="AJ197" s="16">
        <f t="shared" si="91"/>
        <v>0</v>
      </c>
      <c r="AK197" s="16">
        <f t="shared" si="91"/>
        <v>0</v>
      </c>
      <c r="AL197" s="16">
        <f t="shared" si="91"/>
        <v>0</v>
      </c>
      <c r="AM197" s="16">
        <f t="shared" si="91"/>
        <v>0</v>
      </c>
      <c r="AN197" s="16">
        <f t="shared" si="91"/>
        <v>0</v>
      </c>
      <c r="AO197" s="16">
        <f t="shared" si="91"/>
        <v>0</v>
      </c>
      <c r="AP197" s="16">
        <f t="shared" si="92"/>
        <v>0</v>
      </c>
      <c r="AQ197" s="16">
        <f t="shared" si="92"/>
        <v>0</v>
      </c>
      <c r="AR197" s="16">
        <f t="shared" si="92"/>
        <v>0</v>
      </c>
      <c r="AS197" s="16">
        <f t="shared" si="92"/>
        <v>-1.1333960061195063</v>
      </c>
      <c r="AT197" s="16">
        <f t="shared" si="92"/>
        <v>3.2493605687062788</v>
      </c>
      <c r="AU197" s="16">
        <f t="shared" si="92"/>
        <v>-1.1159645625867727</v>
      </c>
      <c r="AV197" s="16">
        <f t="shared" si="92"/>
        <v>0</v>
      </c>
      <c r="AW197" s="16">
        <f t="shared" si="92"/>
        <v>0</v>
      </c>
      <c r="AX197" s="16">
        <f t="shared" si="92"/>
        <v>0</v>
      </c>
      <c r="AY197" s="16">
        <f t="shared" si="92"/>
        <v>0</v>
      </c>
      <c r="AZ197" s="16">
        <f t="shared" si="92"/>
        <v>0</v>
      </c>
      <c r="BA197" s="16">
        <f t="shared" si="92"/>
        <v>0</v>
      </c>
      <c r="BB197" s="16">
        <f t="shared" si="92"/>
        <v>0</v>
      </c>
      <c r="BC197" s="16">
        <f t="shared" si="92"/>
        <v>0</v>
      </c>
      <c r="BD197" s="16">
        <f t="shared" si="92"/>
        <v>0</v>
      </c>
      <c r="BE197" s="16">
        <f t="shared" si="92"/>
        <v>0</v>
      </c>
      <c r="BF197" s="16">
        <f t="shared" si="90"/>
        <v>0</v>
      </c>
      <c r="BG197" s="16">
        <f t="shared" si="90"/>
        <v>0</v>
      </c>
      <c r="BH197" s="16">
        <f t="shared" si="90"/>
        <v>0</v>
      </c>
      <c r="BI197" s="16">
        <f t="shared" si="90"/>
        <v>0</v>
      </c>
      <c r="BJ197" s="16">
        <f t="shared" si="90"/>
        <v>0</v>
      </c>
      <c r="BK197" s="16">
        <f t="shared" si="90"/>
        <v>0</v>
      </c>
      <c r="BL197" s="16">
        <f t="shared" si="90"/>
        <v>0</v>
      </c>
      <c r="BM197" s="16">
        <f t="shared" si="90"/>
        <v>0</v>
      </c>
      <c r="BN197" s="16">
        <f t="shared" si="90"/>
        <v>0</v>
      </c>
    </row>
    <row r="198" spans="1:66" customFormat="1" x14ac:dyDescent="0.25">
      <c r="A198" s="29"/>
      <c r="B198" s="29"/>
      <c r="C198" s="1"/>
      <c r="D198" s="1"/>
      <c r="E198" s="1"/>
      <c r="F198" s="1"/>
      <c r="G198" s="1"/>
      <c r="H198" s="1"/>
      <c r="I198" s="1"/>
      <c r="J198" s="93"/>
      <c r="K198" s="1"/>
      <c r="L198" s="29"/>
      <c r="M198" s="1"/>
      <c r="N198" s="29"/>
      <c r="O198" s="9">
        <f t="shared" si="86"/>
        <v>19</v>
      </c>
      <c r="P198" s="16">
        <f t="shared" si="93"/>
        <v>0</v>
      </c>
      <c r="Q198" s="16">
        <f t="shared" si="93"/>
        <v>0</v>
      </c>
      <c r="R198" s="16">
        <f t="shared" si="93"/>
        <v>0</v>
      </c>
      <c r="S198" s="16">
        <f t="shared" si="93"/>
        <v>0</v>
      </c>
      <c r="T198" s="16">
        <f t="shared" si="93"/>
        <v>0</v>
      </c>
      <c r="U198" s="16">
        <f t="shared" si="93"/>
        <v>0</v>
      </c>
      <c r="V198" s="16">
        <f t="shared" si="93"/>
        <v>0</v>
      </c>
      <c r="W198" s="16">
        <f t="shared" si="93"/>
        <v>0</v>
      </c>
      <c r="X198" s="16">
        <f t="shared" si="93"/>
        <v>0</v>
      </c>
      <c r="Y198" s="16">
        <f t="shared" si="93"/>
        <v>0</v>
      </c>
      <c r="Z198" s="16">
        <f t="shared" si="93"/>
        <v>0</v>
      </c>
      <c r="AA198" s="16">
        <f t="shared" si="93"/>
        <v>0</v>
      </c>
      <c r="AB198" s="16">
        <f t="shared" si="93"/>
        <v>0</v>
      </c>
      <c r="AC198" s="16">
        <f t="shared" si="93"/>
        <v>0</v>
      </c>
      <c r="AD198" s="16">
        <f t="shared" si="93"/>
        <v>0</v>
      </c>
      <c r="AE198" s="16">
        <f t="shared" si="93"/>
        <v>0</v>
      </c>
      <c r="AF198" s="16">
        <f t="shared" si="91"/>
        <v>0</v>
      </c>
      <c r="AG198" s="16">
        <f t="shared" si="91"/>
        <v>0</v>
      </c>
      <c r="AH198" s="16">
        <f t="shared" si="91"/>
        <v>0</v>
      </c>
      <c r="AI198" s="16">
        <f t="shared" si="91"/>
        <v>0</v>
      </c>
      <c r="AJ198" s="16">
        <f t="shared" si="91"/>
        <v>0</v>
      </c>
      <c r="AK198" s="16">
        <f t="shared" si="91"/>
        <v>0</v>
      </c>
      <c r="AL198" s="16">
        <f t="shared" si="91"/>
        <v>0</v>
      </c>
      <c r="AM198" s="16">
        <f t="shared" si="91"/>
        <v>0</v>
      </c>
      <c r="AN198" s="16">
        <f t="shared" si="91"/>
        <v>0</v>
      </c>
      <c r="AO198" s="16">
        <f t="shared" si="91"/>
        <v>0</v>
      </c>
      <c r="AP198" s="16">
        <f t="shared" si="92"/>
        <v>0</v>
      </c>
      <c r="AQ198" s="16">
        <f t="shared" si="92"/>
        <v>0</v>
      </c>
      <c r="AR198" s="16">
        <f t="shared" si="92"/>
        <v>0</v>
      </c>
      <c r="AS198" s="16">
        <f t="shared" si="92"/>
        <v>0</v>
      </c>
      <c r="AT198" s="16">
        <f t="shared" si="92"/>
        <v>-1.3578554106058767</v>
      </c>
      <c r="AU198" s="16">
        <f t="shared" si="92"/>
        <v>3.6958856761315033</v>
      </c>
      <c r="AV198" s="16">
        <f t="shared" si="92"/>
        <v>-1.3380302655256266</v>
      </c>
      <c r="AW198" s="16">
        <f t="shared" si="92"/>
        <v>0</v>
      </c>
      <c r="AX198" s="16">
        <f t="shared" si="92"/>
        <v>0</v>
      </c>
      <c r="AY198" s="16">
        <f t="shared" si="92"/>
        <v>0</v>
      </c>
      <c r="AZ198" s="16">
        <f t="shared" si="92"/>
        <v>0</v>
      </c>
      <c r="BA198" s="16">
        <f t="shared" si="92"/>
        <v>0</v>
      </c>
      <c r="BB198" s="16">
        <f t="shared" si="92"/>
        <v>0</v>
      </c>
      <c r="BC198" s="16">
        <f t="shared" si="92"/>
        <v>0</v>
      </c>
      <c r="BD198" s="16">
        <f t="shared" si="92"/>
        <v>0</v>
      </c>
      <c r="BE198" s="16">
        <f t="shared" si="92"/>
        <v>0</v>
      </c>
      <c r="BF198" s="16">
        <f t="shared" si="90"/>
        <v>0</v>
      </c>
      <c r="BG198" s="16">
        <f t="shared" si="90"/>
        <v>0</v>
      </c>
      <c r="BH198" s="16">
        <f t="shared" si="90"/>
        <v>0</v>
      </c>
      <c r="BI198" s="16">
        <f t="shared" si="90"/>
        <v>0</v>
      </c>
      <c r="BJ198" s="16">
        <f t="shared" si="90"/>
        <v>0</v>
      </c>
      <c r="BK198" s="16">
        <f t="shared" si="90"/>
        <v>0</v>
      </c>
      <c r="BL198" s="16">
        <f t="shared" si="90"/>
        <v>0</v>
      </c>
      <c r="BM198" s="16">
        <f t="shared" si="90"/>
        <v>0</v>
      </c>
      <c r="BN198" s="16">
        <f t="shared" si="90"/>
        <v>0</v>
      </c>
    </row>
    <row r="199" spans="1:66" customFormat="1" x14ac:dyDescent="0.25">
      <c r="A199" s="29"/>
      <c r="B199" s="29"/>
      <c r="C199" s="1"/>
      <c r="D199" s="1"/>
      <c r="E199" s="1"/>
      <c r="F199" s="1"/>
      <c r="G199" s="1"/>
      <c r="H199" s="1"/>
      <c r="I199" s="1"/>
      <c r="J199" s="93"/>
      <c r="K199" s="1"/>
      <c r="L199" s="29"/>
      <c r="M199" s="1"/>
      <c r="N199" s="29"/>
      <c r="O199" s="9">
        <f t="shared" si="86"/>
        <v>18</v>
      </c>
      <c r="P199" s="16">
        <f t="shared" si="93"/>
        <v>0</v>
      </c>
      <c r="Q199" s="16">
        <f t="shared" si="93"/>
        <v>0</v>
      </c>
      <c r="R199" s="16">
        <f t="shared" si="93"/>
        <v>0</v>
      </c>
      <c r="S199" s="16">
        <f t="shared" si="93"/>
        <v>0</v>
      </c>
      <c r="T199" s="16">
        <f t="shared" si="93"/>
        <v>0</v>
      </c>
      <c r="U199" s="16">
        <f t="shared" si="93"/>
        <v>0</v>
      </c>
      <c r="V199" s="16">
        <f t="shared" si="93"/>
        <v>0</v>
      </c>
      <c r="W199" s="16">
        <f t="shared" si="93"/>
        <v>0</v>
      </c>
      <c r="X199" s="16">
        <f t="shared" si="93"/>
        <v>0</v>
      </c>
      <c r="Y199" s="16">
        <f t="shared" si="93"/>
        <v>0</v>
      </c>
      <c r="Z199" s="16">
        <f t="shared" si="93"/>
        <v>0</v>
      </c>
      <c r="AA199" s="16">
        <f t="shared" si="93"/>
        <v>0</v>
      </c>
      <c r="AB199" s="16">
        <f t="shared" si="93"/>
        <v>0</v>
      </c>
      <c r="AC199" s="16">
        <f t="shared" si="93"/>
        <v>0</v>
      </c>
      <c r="AD199" s="16">
        <f t="shared" si="93"/>
        <v>0</v>
      </c>
      <c r="AE199" s="16">
        <f t="shared" si="93"/>
        <v>0</v>
      </c>
      <c r="AF199" s="16">
        <f t="shared" si="91"/>
        <v>0</v>
      </c>
      <c r="AG199" s="16">
        <f t="shared" si="91"/>
        <v>0</v>
      </c>
      <c r="AH199" s="16">
        <f t="shared" si="91"/>
        <v>0</v>
      </c>
      <c r="AI199" s="16">
        <f t="shared" si="91"/>
        <v>0</v>
      </c>
      <c r="AJ199" s="16">
        <f t="shared" si="91"/>
        <v>0</v>
      </c>
      <c r="AK199" s="16">
        <f t="shared" si="91"/>
        <v>0</v>
      </c>
      <c r="AL199" s="16">
        <f t="shared" si="91"/>
        <v>0</v>
      </c>
      <c r="AM199" s="16">
        <f t="shared" si="91"/>
        <v>0</v>
      </c>
      <c r="AN199" s="16">
        <f t="shared" si="91"/>
        <v>0</v>
      </c>
      <c r="AO199" s="16">
        <f t="shared" si="91"/>
        <v>0</v>
      </c>
      <c r="AP199" s="16">
        <f t="shared" si="92"/>
        <v>0</v>
      </c>
      <c r="AQ199" s="16">
        <f t="shared" si="92"/>
        <v>0</v>
      </c>
      <c r="AR199" s="16">
        <f t="shared" si="92"/>
        <v>0</v>
      </c>
      <c r="AS199" s="16">
        <f t="shared" si="92"/>
        <v>0</v>
      </c>
      <c r="AT199" s="16">
        <f t="shared" si="92"/>
        <v>0</v>
      </c>
      <c r="AU199" s="16">
        <f t="shared" si="92"/>
        <v>-1.6026235880523465</v>
      </c>
      <c r="AV199" s="16">
        <f t="shared" si="92"/>
        <v>4.1828117507090461</v>
      </c>
      <c r="AW199" s="16">
        <f t="shared" si="92"/>
        <v>-1.5801881626567</v>
      </c>
      <c r="AX199" s="16">
        <f t="shared" si="92"/>
        <v>0</v>
      </c>
      <c r="AY199" s="16">
        <f t="shared" si="92"/>
        <v>0</v>
      </c>
      <c r="AZ199" s="16">
        <f t="shared" si="92"/>
        <v>0</v>
      </c>
      <c r="BA199" s="16">
        <f t="shared" si="92"/>
        <v>0</v>
      </c>
      <c r="BB199" s="16">
        <f t="shared" si="92"/>
        <v>0</v>
      </c>
      <c r="BC199" s="16">
        <f t="shared" si="92"/>
        <v>0</v>
      </c>
      <c r="BD199" s="16">
        <f t="shared" si="92"/>
        <v>0</v>
      </c>
      <c r="BE199" s="16">
        <f t="shared" si="92"/>
        <v>0</v>
      </c>
      <c r="BF199" s="16">
        <f t="shared" si="90"/>
        <v>0</v>
      </c>
      <c r="BG199" s="16">
        <f t="shared" si="90"/>
        <v>0</v>
      </c>
      <c r="BH199" s="16">
        <f t="shared" si="90"/>
        <v>0</v>
      </c>
      <c r="BI199" s="16">
        <f t="shared" si="90"/>
        <v>0</v>
      </c>
      <c r="BJ199" s="16">
        <f t="shared" si="90"/>
        <v>0</v>
      </c>
      <c r="BK199" s="16">
        <f t="shared" si="90"/>
        <v>0</v>
      </c>
      <c r="BL199" s="16">
        <f t="shared" si="90"/>
        <v>0</v>
      </c>
      <c r="BM199" s="16">
        <f t="shared" si="90"/>
        <v>0</v>
      </c>
      <c r="BN199" s="16">
        <f t="shared" si="90"/>
        <v>0</v>
      </c>
    </row>
    <row r="200" spans="1:66" customFormat="1" x14ac:dyDescent="0.25">
      <c r="A200" s="29"/>
      <c r="B200" s="29"/>
      <c r="C200" s="1"/>
      <c r="D200" s="1"/>
      <c r="E200" s="1"/>
      <c r="F200" s="1"/>
      <c r="G200" s="1"/>
      <c r="H200" s="1"/>
      <c r="I200" s="1"/>
      <c r="J200" s="93"/>
      <c r="K200" s="1"/>
      <c r="L200" s="29"/>
      <c r="M200" s="1"/>
      <c r="N200" s="29"/>
      <c r="O200" s="9">
        <f t="shared" si="86"/>
        <v>17</v>
      </c>
      <c r="P200" s="16">
        <f t="shared" si="93"/>
        <v>0</v>
      </c>
      <c r="Q200" s="16">
        <f t="shared" si="93"/>
        <v>0</v>
      </c>
      <c r="R200" s="16">
        <f t="shared" si="93"/>
        <v>0</v>
      </c>
      <c r="S200" s="16">
        <f t="shared" si="93"/>
        <v>0</v>
      </c>
      <c r="T200" s="16">
        <f t="shared" si="93"/>
        <v>0</v>
      </c>
      <c r="U200" s="16">
        <f t="shared" si="93"/>
        <v>0</v>
      </c>
      <c r="V200" s="16">
        <f t="shared" si="93"/>
        <v>0</v>
      </c>
      <c r="W200" s="16">
        <f t="shared" si="93"/>
        <v>0</v>
      </c>
      <c r="X200" s="16">
        <f t="shared" si="93"/>
        <v>0</v>
      </c>
      <c r="Y200" s="16">
        <f t="shared" si="93"/>
        <v>0</v>
      </c>
      <c r="Z200" s="16">
        <f t="shared" si="93"/>
        <v>0</v>
      </c>
      <c r="AA200" s="16">
        <f t="shared" si="93"/>
        <v>0</v>
      </c>
      <c r="AB200" s="16">
        <f t="shared" si="93"/>
        <v>0</v>
      </c>
      <c r="AC200" s="16">
        <f t="shared" si="93"/>
        <v>0</v>
      </c>
      <c r="AD200" s="16">
        <f t="shared" si="93"/>
        <v>0</v>
      </c>
      <c r="AE200" s="16">
        <f t="shared" si="93"/>
        <v>0</v>
      </c>
      <c r="AF200" s="16">
        <f t="shared" si="91"/>
        <v>0</v>
      </c>
      <c r="AG200" s="16">
        <f t="shared" si="91"/>
        <v>0</v>
      </c>
      <c r="AH200" s="16">
        <f t="shared" si="91"/>
        <v>0</v>
      </c>
      <c r="AI200" s="16">
        <f t="shared" si="91"/>
        <v>0</v>
      </c>
      <c r="AJ200" s="16">
        <f t="shared" si="91"/>
        <v>0</v>
      </c>
      <c r="AK200" s="16">
        <f t="shared" si="91"/>
        <v>0</v>
      </c>
      <c r="AL200" s="16">
        <f t="shared" si="91"/>
        <v>0</v>
      </c>
      <c r="AM200" s="16">
        <f t="shared" si="91"/>
        <v>0</v>
      </c>
      <c r="AN200" s="16">
        <f t="shared" si="91"/>
        <v>0</v>
      </c>
      <c r="AO200" s="16">
        <f t="shared" si="91"/>
        <v>0</v>
      </c>
      <c r="AP200" s="16">
        <f t="shared" si="92"/>
        <v>0</v>
      </c>
      <c r="AQ200" s="16">
        <f t="shared" si="92"/>
        <v>0</v>
      </c>
      <c r="AR200" s="16">
        <f t="shared" si="92"/>
        <v>0</v>
      </c>
      <c r="AS200" s="16">
        <f t="shared" si="92"/>
        <v>0</v>
      </c>
      <c r="AT200" s="16">
        <f t="shared" si="92"/>
        <v>0</v>
      </c>
      <c r="AU200" s="16">
        <f t="shared" si="92"/>
        <v>0</v>
      </c>
      <c r="AV200" s="16">
        <f t="shared" si="92"/>
        <v>-1.5510825264162793</v>
      </c>
      <c r="AW200" s="16">
        <f t="shared" si="92"/>
        <v>4.0802792765785068</v>
      </c>
      <c r="AX200" s="16">
        <f t="shared" si="92"/>
        <v>-1.5291967501622281</v>
      </c>
      <c r="AY200" s="16">
        <f t="shared" si="92"/>
        <v>0</v>
      </c>
      <c r="AZ200" s="16">
        <f t="shared" si="92"/>
        <v>0</v>
      </c>
      <c r="BA200" s="16">
        <f t="shared" si="92"/>
        <v>0</v>
      </c>
      <c r="BB200" s="16">
        <f t="shared" si="92"/>
        <v>0</v>
      </c>
      <c r="BC200" s="16">
        <f t="shared" si="92"/>
        <v>0</v>
      </c>
      <c r="BD200" s="16">
        <f t="shared" si="92"/>
        <v>0</v>
      </c>
      <c r="BE200" s="16">
        <f t="shared" si="92"/>
        <v>0</v>
      </c>
      <c r="BF200" s="16">
        <f t="shared" si="90"/>
        <v>0</v>
      </c>
      <c r="BG200" s="16">
        <f t="shared" si="90"/>
        <v>0</v>
      </c>
      <c r="BH200" s="16">
        <f t="shared" si="90"/>
        <v>0</v>
      </c>
      <c r="BI200" s="16">
        <f t="shared" si="90"/>
        <v>0</v>
      </c>
      <c r="BJ200" s="16">
        <f t="shared" si="90"/>
        <v>0</v>
      </c>
      <c r="BK200" s="16">
        <f t="shared" si="90"/>
        <v>0</v>
      </c>
      <c r="BL200" s="16">
        <f t="shared" si="90"/>
        <v>0</v>
      </c>
      <c r="BM200" s="16">
        <f t="shared" si="90"/>
        <v>0</v>
      </c>
      <c r="BN200" s="16">
        <f t="shared" si="90"/>
        <v>0</v>
      </c>
    </row>
    <row r="201" spans="1:66" customFormat="1" x14ac:dyDescent="0.25">
      <c r="A201" s="29"/>
      <c r="B201" s="29"/>
      <c r="C201" s="1"/>
      <c r="D201" s="1"/>
      <c r="E201" s="1"/>
      <c r="F201" s="1"/>
      <c r="G201" s="1"/>
      <c r="H201" s="1"/>
      <c r="I201" s="1"/>
      <c r="J201" s="93"/>
      <c r="K201" s="1"/>
      <c r="L201" s="29"/>
      <c r="M201" s="1"/>
      <c r="N201" s="29"/>
      <c r="O201" s="9">
        <f t="shared" si="86"/>
        <v>16</v>
      </c>
      <c r="P201" s="16">
        <f t="shared" si="93"/>
        <v>0</v>
      </c>
      <c r="Q201" s="16">
        <f t="shared" si="93"/>
        <v>0</v>
      </c>
      <c r="R201" s="16">
        <f t="shared" si="93"/>
        <v>0</v>
      </c>
      <c r="S201" s="16">
        <f t="shared" si="93"/>
        <v>0</v>
      </c>
      <c r="T201" s="16">
        <f t="shared" si="93"/>
        <v>0</v>
      </c>
      <c r="U201" s="16">
        <f t="shared" si="93"/>
        <v>0</v>
      </c>
      <c r="V201" s="16">
        <f t="shared" si="93"/>
        <v>0</v>
      </c>
      <c r="W201" s="16">
        <f t="shared" si="93"/>
        <v>0</v>
      </c>
      <c r="X201" s="16">
        <f t="shared" si="93"/>
        <v>0</v>
      </c>
      <c r="Y201" s="16">
        <f t="shared" si="93"/>
        <v>0</v>
      </c>
      <c r="Z201" s="16">
        <f t="shared" si="93"/>
        <v>0</v>
      </c>
      <c r="AA201" s="16">
        <f t="shared" si="93"/>
        <v>0</v>
      </c>
      <c r="AB201" s="16">
        <f t="shared" si="93"/>
        <v>0</v>
      </c>
      <c r="AC201" s="16">
        <f t="shared" si="93"/>
        <v>0</v>
      </c>
      <c r="AD201" s="16">
        <f t="shared" si="93"/>
        <v>0</v>
      </c>
      <c r="AE201" s="16">
        <f t="shared" si="93"/>
        <v>0</v>
      </c>
      <c r="AF201" s="16">
        <f t="shared" si="91"/>
        <v>0</v>
      </c>
      <c r="AG201" s="16">
        <f t="shared" si="91"/>
        <v>0</v>
      </c>
      <c r="AH201" s="16">
        <f t="shared" si="91"/>
        <v>0</v>
      </c>
      <c r="AI201" s="16">
        <f t="shared" si="91"/>
        <v>0</v>
      </c>
      <c r="AJ201" s="16">
        <f t="shared" si="91"/>
        <v>0</v>
      </c>
      <c r="AK201" s="16">
        <f t="shared" si="91"/>
        <v>0</v>
      </c>
      <c r="AL201" s="16">
        <f t="shared" si="91"/>
        <v>0</v>
      </c>
      <c r="AM201" s="16">
        <f t="shared" si="91"/>
        <v>0</v>
      </c>
      <c r="AN201" s="16">
        <f t="shared" si="91"/>
        <v>0</v>
      </c>
      <c r="AO201" s="16">
        <f t="shared" si="91"/>
        <v>0</v>
      </c>
      <c r="AP201" s="16">
        <f t="shared" si="92"/>
        <v>0</v>
      </c>
      <c r="AQ201" s="16">
        <f t="shared" si="92"/>
        <v>0</v>
      </c>
      <c r="AR201" s="16">
        <f t="shared" si="92"/>
        <v>0</v>
      </c>
      <c r="AS201" s="16">
        <f t="shared" si="92"/>
        <v>0</v>
      </c>
      <c r="AT201" s="16">
        <f t="shared" si="92"/>
        <v>0</v>
      </c>
      <c r="AU201" s="16">
        <f t="shared" si="92"/>
        <v>0</v>
      </c>
      <c r="AV201" s="16">
        <f t="shared" si="92"/>
        <v>0</v>
      </c>
      <c r="AW201" s="16">
        <f t="shared" si="92"/>
        <v>-1.4635085811230353</v>
      </c>
      <c r="AX201" s="16">
        <f t="shared" si="92"/>
        <v>3.9060653004735721</v>
      </c>
      <c r="AY201" s="16">
        <f t="shared" si="92"/>
        <v>-1.4425567193505369</v>
      </c>
      <c r="AZ201" s="16">
        <f t="shared" si="92"/>
        <v>0</v>
      </c>
      <c r="BA201" s="16">
        <f t="shared" si="92"/>
        <v>0</v>
      </c>
      <c r="BB201" s="16">
        <f t="shared" si="92"/>
        <v>0</v>
      </c>
      <c r="BC201" s="16">
        <f t="shared" si="92"/>
        <v>0</v>
      </c>
      <c r="BD201" s="16">
        <f t="shared" si="92"/>
        <v>0</v>
      </c>
      <c r="BE201" s="16">
        <f t="shared" si="92"/>
        <v>0</v>
      </c>
      <c r="BF201" s="16">
        <f t="shared" si="90"/>
        <v>0</v>
      </c>
      <c r="BG201" s="16">
        <f t="shared" si="90"/>
        <v>0</v>
      </c>
      <c r="BH201" s="16">
        <f t="shared" si="90"/>
        <v>0</v>
      </c>
      <c r="BI201" s="16">
        <f t="shared" si="90"/>
        <v>0</v>
      </c>
      <c r="BJ201" s="16">
        <f t="shared" si="90"/>
        <v>0</v>
      </c>
      <c r="BK201" s="16">
        <f t="shared" si="90"/>
        <v>0</v>
      </c>
      <c r="BL201" s="16">
        <f t="shared" si="90"/>
        <v>0</v>
      </c>
      <c r="BM201" s="16">
        <f t="shared" si="90"/>
        <v>0</v>
      </c>
      <c r="BN201" s="16">
        <f t="shared" si="90"/>
        <v>0</v>
      </c>
    </row>
    <row r="202" spans="1:66" customFormat="1" x14ac:dyDescent="0.25">
      <c r="A202" s="29"/>
      <c r="B202" s="29"/>
      <c r="C202" s="1"/>
      <c r="D202" s="1"/>
      <c r="E202" s="1"/>
      <c r="F202" s="1"/>
      <c r="G202" s="1"/>
      <c r="H202" s="1"/>
      <c r="I202" s="1"/>
      <c r="J202" s="93"/>
      <c r="K202" s="1"/>
      <c r="L202" s="29"/>
      <c r="M202" s="1"/>
      <c r="N202" s="29"/>
      <c r="O202" s="9">
        <f t="shared" si="86"/>
        <v>15</v>
      </c>
      <c r="P202" s="16">
        <f t="shared" si="93"/>
        <v>0</v>
      </c>
      <c r="Q202" s="16">
        <f t="shared" si="93"/>
        <v>0</v>
      </c>
      <c r="R202" s="16">
        <f t="shared" si="93"/>
        <v>0</v>
      </c>
      <c r="S202" s="16">
        <f t="shared" si="93"/>
        <v>0</v>
      </c>
      <c r="T202" s="16">
        <f t="shared" si="93"/>
        <v>0</v>
      </c>
      <c r="U202" s="16">
        <f t="shared" si="93"/>
        <v>0</v>
      </c>
      <c r="V202" s="16">
        <f t="shared" si="93"/>
        <v>0</v>
      </c>
      <c r="W202" s="16">
        <f t="shared" si="93"/>
        <v>0</v>
      </c>
      <c r="X202" s="16">
        <f t="shared" si="93"/>
        <v>0</v>
      </c>
      <c r="Y202" s="16">
        <f t="shared" si="93"/>
        <v>0</v>
      </c>
      <c r="Z202" s="16">
        <f t="shared" si="93"/>
        <v>0</v>
      </c>
      <c r="AA202" s="16">
        <f t="shared" si="93"/>
        <v>0</v>
      </c>
      <c r="AB202" s="16">
        <f t="shared" si="93"/>
        <v>0</v>
      </c>
      <c r="AC202" s="16">
        <f t="shared" si="93"/>
        <v>0</v>
      </c>
      <c r="AD202" s="16">
        <f t="shared" si="93"/>
        <v>0</v>
      </c>
      <c r="AE202" s="16">
        <f t="shared" si="93"/>
        <v>0</v>
      </c>
      <c r="AF202" s="16">
        <f t="shared" si="91"/>
        <v>0</v>
      </c>
      <c r="AG202" s="16">
        <f t="shared" si="91"/>
        <v>0</v>
      </c>
      <c r="AH202" s="16">
        <f t="shared" si="91"/>
        <v>0</v>
      </c>
      <c r="AI202" s="16">
        <f t="shared" si="91"/>
        <v>0</v>
      </c>
      <c r="AJ202" s="16">
        <f t="shared" si="91"/>
        <v>0</v>
      </c>
      <c r="AK202" s="16">
        <f t="shared" si="91"/>
        <v>0</v>
      </c>
      <c r="AL202" s="16">
        <f t="shared" si="91"/>
        <v>0</v>
      </c>
      <c r="AM202" s="16">
        <f t="shared" si="91"/>
        <v>0</v>
      </c>
      <c r="AN202" s="16">
        <f t="shared" si="91"/>
        <v>0</v>
      </c>
      <c r="AO202" s="16">
        <f t="shared" si="91"/>
        <v>0</v>
      </c>
      <c r="AP202" s="16">
        <f t="shared" si="92"/>
        <v>0</v>
      </c>
      <c r="AQ202" s="16">
        <f t="shared" si="92"/>
        <v>0</v>
      </c>
      <c r="AR202" s="16">
        <f t="shared" si="92"/>
        <v>0</v>
      </c>
      <c r="AS202" s="16">
        <f t="shared" si="92"/>
        <v>0</v>
      </c>
      <c r="AT202" s="16">
        <f t="shared" si="92"/>
        <v>0</v>
      </c>
      <c r="AU202" s="16">
        <f t="shared" si="92"/>
        <v>0</v>
      </c>
      <c r="AV202" s="16">
        <f t="shared" si="92"/>
        <v>0</v>
      </c>
      <c r="AW202" s="16">
        <f t="shared" si="92"/>
        <v>0</v>
      </c>
      <c r="AX202" s="16">
        <f t="shared" si="92"/>
        <v>-1.3784837434976194</v>
      </c>
      <c r="AY202" s="16">
        <f t="shared" si="92"/>
        <v>3.7369223552653823</v>
      </c>
      <c r="AZ202" s="16">
        <f t="shared" si="92"/>
        <v>-1.3584386117677629</v>
      </c>
      <c r="BA202" s="16">
        <f t="shared" si="92"/>
        <v>0</v>
      </c>
      <c r="BB202" s="16">
        <f t="shared" si="92"/>
        <v>0</v>
      </c>
      <c r="BC202" s="16">
        <f t="shared" si="92"/>
        <v>0</v>
      </c>
      <c r="BD202" s="16">
        <f t="shared" si="92"/>
        <v>0</v>
      </c>
      <c r="BE202" s="16">
        <f t="shared" si="92"/>
        <v>0</v>
      </c>
      <c r="BF202" s="16">
        <f t="shared" si="90"/>
        <v>0</v>
      </c>
      <c r="BG202" s="16">
        <f t="shared" si="90"/>
        <v>0</v>
      </c>
      <c r="BH202" s="16">
        <f t="shared" si="90"/>
        <v>0</v>
      </c>
      <c r="BI202" s="16">
        <f t="shared" si="90"/>
        <v>0</v>
      </c>
      <c r="BJ202" s="16">
        <f t="shared" si="90"/>
        <v>0</v>
      </c>
      <c r="BK202" s="16">
        <f t="shared" si="90"/>
        <v>0</v>
      </c>
      <c r="BL202" s="16">
        <f t="shared" si="90"/>
        <v>0</v>
      </c>
      <c r="BM202" s="16">
        <f t="shared" si="90"/>
        <v>0</v>
      </c>
      <c r="BN202" s="16">
        <f t="shared" si="90"/>
        <v>0</v>
      </c>
    </row>
    <row r="203" spans="1:66" customFormat="1" x14ac:dyDescent="0.25">
      <c r="A203" s="29"/>
      <c r="B203" s="29"/>
      <c r="C203" s="1"/>
      <c r="D203" s="1"/>
      <c r="E203" s="1"/>
      <c r="F203" s="1"/>
      <c r="G203" s="1"/>
      <c r="H203" s="1"/>
      <c r="I203" s="1"/>
      <c r="J203" s="93"/>
      <c r="K203" s="1"/>
      <c r="L203" s="29"/>
      <c r="M203" s="1"/>
      <c r="N203" s="29"/>
      <c r="O203" s="9">
        <f t="shared" si="86"/>
        <v>14</v>
      </c>
      <c r="P203" s="16">
        <f t="shared" si="93"/>
        <v>0</v>
      </c>
      <c r="Q203" s="16">
        <f t="shared" si="93"/>
        <v>0</v>
      </c>
      <c r="R203" s="16">
        <f t="shared" si="93"/>
        <v>0</v>
      </c>
      <c r="S203" s="16">
        <f t="shared" si="93"/>
        <v>0</v>
      </c>
      <c r="T203" s="16">
        <f t="shared" si="93"/>
        <v>0</v>
      </c>
      <c r="U203" s="16">
        <f t="shared" si="93"/>
        <v>0</v>
      </c>
      <c r="V203" s="16">
        <f t="shared" si="93"/>
        <v>0</v>
      </c>
      <c r="W203" s="16">
        <f t="shared" si="93"/>
        <v>0</v>
      </c>
      <c r="X203" s="16">
        <f t="shared" si="93"/>
        <v>0</v>
      </c>
      <c r="Y203" s="16">
        <f t="shared" si="93"/>
        <v>0</v>
      </c>
      <c r="Z203" s="16">
        <f t="shared" si="93"/>
        <v>0</v>
      </c>
      <c r="AA203" s="16">
        <f t="shared" si="93"/>
        <v>0</v>
      </c>
      <c r="AB203" s="16">
        <f t="shared" si="93"/>
        <v>0</v>
      </c>
      <c r="AC203" s="16">
        <f t="shared" si="93"/>
        <v>0</v>
      </c>
      <c r="AD203" s="16">
        <f t="shared" si="93"/>
        <v>0</v>
      </c>
      <c r="AE203" s="16">
        <f t="shared" si="93"/>
        <v>0</v>
      </c>
      <c r="AF203" s="16">
        <f t="shared" si="91"/>
        <v>0</v>
      </c>
      <c r="AG203" s="16">
        <f t="shared" si="91"/>
        <v>0</v>
      </c>
      <c r="AH203" s="16">
        <f t="shared" si="91"/>
        <v>0</v>
      </c>
      <c r="AI203" s="16">
        <f t="shared" si="91"/>
        <v>0</v>
      </c>
      <c r="AJ203" s="16">
        <f t="shared" si="91"/>
        <v>0</v>
      </c>
      <c r="AK203" s="16">
        <f t="shared" si="91"/>
        <v>0</v>
      </c>
      <c r="AL203" s="16">
        <f t="shared" si="91"/>
        <v>0</v>
      </c>
      <c r="AM203" s="16">
        <f t="shared" si="91"/>
        <v>0</v>
      </c>
      <c r="AN203" s="16">
        <f t="shared" si="91"/>
        <v>0</v>
      </c>
      <c r="AO203" s="16">
        <f t="shared" si="91"/>
        <v>0</v>
      </c>
      <c r="AP203" s="16">
        <f t="shared" si="92"/>
        <v>0</v>
      </c>
      <c r="AQ203" s="16">
        <f t="shared" si="92"/>
        <v>0</v>
      </c>
      <c r="AR203" s="16">
        <f t="shared" si="92"/>
        <v>0</v>
      </c>
      <c r="AS203" s="16">
        <f t="shared" si="92"/>
        <v>0</v>
      </c>
      <c r="AT203" s="16">
        <f t="shared" si="92"/>
        <v>0</v>
      </c>
      <c r="AU203" s="16">
        <f t="shared" si="92"/>
        <v>0</v>
      </c>
      <c r="AV203" s="16">
        <f t="shared" si="92"/>
        <v>0</v>
      </c>
      <c r="AW203" s="16">
        <f t="shared" si="92"/>
        <v>0</v>
      </c>
      <c r="AX203" s="16">
        <f t="shared" si="92"/>
        <v>0</v>
      </c>
      <c r="AY203" s="16">
        <f t="shared" si="92"/>
        <v>-1.296008013540046</v>
      </c>
      <c r="AZ203" s="16">
        <f t="shared" si="92"/>
        <v>3.5728504409539661</v>
      </c>
      <c r="BA203" s="16">
        <f t="shared" si="92"/>
        <v>-1.2768424274139203</v>
      </c>
      <c r="BB203" s="16">
        <f t="shared" si="92"/>
        <v>0</v>
      </c>
      <c r="BC203" s="16">
        <f t="shared" si="92"/>
        <v>0</v>
      </c>
      <c r="BD203" s="16">
        <f t="shared" si="92"/>
        <v>0</v>
      </c>
      <c r="BE203" s="16">
        <f t="shared" ref="BE203:BN217" si="94">IF(BE$166=$O203,1-HLOOKUP($O203,$O$14:$BN$48,BE$107,0),IF(BE$166-$O203=1,-HLOOKUP($O203,$O$11:$BN$28,BE$107,0),IF(BE$166-$O203=-1,-HLOOKUP($O203,$O$17:$BN$68,BE$107,0),0)))</f>
        <v>0</v>
      </c>
      <c r="BF203" s="16">
        <f t="shared" si="94"/>
        <v>0</v>
      </c>
      <c r="BG203" s="16">
        <f t="shared" si="94"/>
        <v>0</v>
      </c>
      <c r="BH203" s="16">
        <f t="shared" si="94"/>
        <v>0</v>
      </c>
      <c r="BI203" s="16">
        <f t="shared" si="94"/>
        <v>0</v>
      </c>
      <c r="BJ203" s="16">
        <f t="shared" si="94"/>
        <v>0</v>
      </c>
      <c r="BK203" s="16">
        <f t="shared" si="94"/>
        <v>0</v>
      </c>
      <c r="BL203" s="16">
        <f t="shared" si="94"/>
        <v>0</v>
      </c>
      <c r="BM203" s="16">
        <f t="shared" si="94"/>
        <v>0</v>
      </c>
      <c r="BN203" s="16">
        <f t="shared" si="94"/>
        <v>0</v>
      </c>
    </row>
    <row r="204" spans="1:66" customFormat="1" x14ac:dyDescent="0.25">
      <c r="A204" s="29"/>
      <c r="B204" s="29"/>
      <c r="C204" s="1"/>
      <c r="D204" s="1"/>
      <c r="E204" s="1"/>
      <c r="F204" s="1"/>
      <c r="G204" s="1"/>
      <c r="H204" s="1"/>
      <c r="I204" s="1"/>
      <c r="J204" s="93"/>
      <c r="K204" s="1"/>
      <c r="L204" s="29"/>
      <c r="M204" s="1"/>
      <c r="N204" s="29"/>
      <c r="O204" s="9">
        <f t="shared" si="86"/>
        <v>13</v>
      </c>
      <c r="P204" s="16">
        <f t="shared" si="93"/>
        <v>0</v>
      </c>
      <c r="Q204" s="16">
        <f t="shared" si="93"/>
        <v>0</v>
      </c>
      <c r="R204" s="16">
        <f t="shared" si="93"/>
        <v>0</v>
      </c>
      <c r="S204" s="16">
        <f t="shared" si="93"/>
        <v>0</v>
      </c>
      <c r="T204" s="16">
        <f t="shared" si="93"/>
        <v>0</v>
      </c>
      <c r="U204" s="16">
        <f t="shared" si="93"/>
        <v>0</v>
      </c>
      <c r="V204" s="16">
        <f t="shared" si="93"/>
        <v>0</v>
      </c>
      <c r="W204" s="16">
        <f t="shared" si="93"/>
        <v>0</v>
      </c>
      <c r="X204" s="16">
        <f t="shared" si="93"/>
        <v>0</v>
      </c>
      <c r="Y204" s="16">
        <f t="shared" si="93"/>
        <v>0</v>
      </c>
      <c r="Z204" s="16">
        <f t="shared" si="93"/>
        <v>0</v>
      </c>
      <c r="AA204" s="16">
        <f t="shared" si="93"/>
        <v>0</v>
      </c>
      <c r="AB204" s="16">
        <f t="shared" si="93"/>
        <v>0</v>
      </c>
      <c r="AC204" s="16">
        <f t="shared" si="93"/>
        <v>0</v>
      </c>
      <c r="AD204" s="16">
        <f t="shared" si="93"/>
        <v>0</v>
      </c>
      <c r="AE204" s="16">
        <f t="shared" ref="AE204:AT217" si="95">IF(AE$166=$O204,1-HLOOKUP($O204,$O$14:$BN$48,AE$107,0),IF(AE$166-$O204=1,-HLOOKUP($O204,$O$11:$BN$28,AE$107,0),IF(AE$166-$O204=-1,-HLOOKUP($O204,$O$17:$BN$68,AE$107,0),0)))</f>
        <v>0</v>
      </c>
      <c r="AF204" s="16">
        <f t="shared" si="95"/>
        <v>0</v>
      </c>
      <c r="AG204" s="16">
        <f t="shared" si="95"/>
        <v>0</v>
      </c>
      <c r="AH204" s="16">
        <f t="shared" si="95"/>
        <v>0</v>
      </c>
      <c r="AI204" s="16">
        <f t="shared" si="95"/>
        <v>0</v>
      </c>
      <c r="AJ204" s="16">
        <f t="shared" si="95"/>
        <v>0</v>
      </c>
      <c r="AK204" s="16">
        <f t="shared" si="95"/>
        <v>0</v>
      </c>
      <c r="AL204" s="16">
        <f t="shared" si="95"/>
        <v>0</v>
      </c>
      <c r="AM204" s="16">
        <f t="shared" si="95"/>
        <v>0</v>
      </c>
      <c r="AN204" s="16">
        <f t="shared" si="95"/>
        <v>0</v>
      </c>
      <c r="AO204" s="16">
        <f t="shared" si="95"/>
        <v>0</v>
      </c>
      <c r="AP204" s="16">
        <f t="shared" si="95"/>
        <v>0</v>
      </c>
      <c r="AQ204" s="16">
        <f t="shared" si="95"/>
        <v>0</v>
      </c>
      <c r="AR204" s="16">
        <f t="shared" si="95"/>
        <v>0</v>
      </c>
      <c r="AS204" s="16">
        <f t="shared" si="95"/>
        <v>0</v>
      </c>
      <c r="AT204" s="16">
        <f t="shared" si="95"/>
        <v>0</v>
      </c>
      <c r="AU204" s="16">
        <f t="shared" ref="AU204:BJ217" si="96">IF(AU$166=$O204,1-HLOOKUP($O204,$O$14:$BN$48,AU$107,0),IF(AU$166-$O204=1,-HLOOKUP($O204,$O$11:$BN$28,AU$107,0),IF(AU$166-$O204=-1,-HLOOKUP($O204,$O$17:$BN$68,AU$107,0),0)))</f>
        <v>0</v>
      </c>
      <c r="AV204" s="16">
        <f t="shared" si="96"/>
        <v>0</v>
      </c>
      <c r="AW204" s="16">
        <f t="shared" si="96"/>
        <v>0</v>
      </c>
      <c r="AX204" s="16">
        <f t="shared" si="96"/>
        <v>0</v>
      </c>
      <c r="AY204" s="16">
        <f t="shared" si="96"/>
        <v>0</v>
      </c>
      <c r="AZ204" s="16">
        <f t="shared" si="96"/>
        <v>-1.2160813912503075</v>
      </c>
      <c r="BA204" s="16">
        <f t="shared" si="96"/>
        <v>3.4138495575393089</v>
      </c>
      <c r="BB204" s="16">
        <f t="shared" si="96"/>
        <v>-1.1977681662890014</v>
      </c>
      <c r="BC204" s="16">
        <f t="shared" si="96"/>
        <v>0</v>
      </c>
      <c r="BD204" s="16">
        <f t="shared" si="96"/>
        <v>0</v>
      </c>
      <c r="BE204" s="16">
        <f t="shared" si="96"/>
        <v>0</v>
      </c>
      <c r="BF204" s="16">
        <f t="shared" si="96"/>
        <v>0</v>
      </c>
      <c r="BG204" s="16">
        <f t="shared" si="96"/>
        <v>0</v>
      </c>
      <c r="BH204" s="16">
        <f t="shared" si="96"/>
        <v>0</v>
      </c>
      <c r="BI204" s="16">
        <f t="shared" si="96"/>
        <v>0</v>
      </c>
      <c r="BJ204" s="16">
        <f t="shared" si="96"/>
        <v>0</v>
      </c>
      <c r="BK204" s="16">
        <f t="shared" si="94"/>
        <v>0</v>
      </c>
      <c r="BL204" s="16">
        <f t="shared" si="94"/>
        <v>0</v>
      </c>
      <c r="BM204" s="16">
        <f t="shared" si="94"/>
        <v>0</v>
      </c>
      <c r="BN204" s="16">
        <f t="shared" si="94"/>
        <v>0</v>
      </c>
    </row>
    <row r="205" spans="1:66" customFormat="1" x14ac:dyDescent="0.25">
      <c r="A205" s="29"/>
      <c r="B205" s="29"/>
      <c r="C205" s="1"/>
      <c r="D205" s="1"/>
      <c r="E205" s="1"/>
      <c r="F205" s="1"/>
      <c r="G205" s="1"/>
      <c r="H205" s="1"/>
      <c r="I205" s="1"/>
      <c r="J205" s="93"/>
      <c r="K205" s="1"/>
      <c r="L205" s="29"/>
      <c r="M205" s="1"/>
      <c r="N205" s="29"/>
      <c r="O205" s="9">
        <f t="shared" si="86"/>
        <v>12</v>
      </c>
      <c r="P205" s="16">
        <f t="shared" ref="P205:AE217" si="97">IF(P$166=$O205,1-HLOOKUP($O205,$O$14:$BN$48,P$107,0),IF(P$166-$O205=1,-HLOOKUP($O205,$O$11:$BN$28,P$107,0),IF(P$166-$O205=-1,-HLOOKUP($O205,$O$17:$BN$68,P$107,0),0)))</f>
        <v>0</v>
      </c>
      <c r="Q205" s="16">
        <f t="shared" si="97"/>
        <v>0</v>
      </c>
      <c r="R205" s="16">
        <f t="shared" si="97"/>
        <v>0</v>
      </c>
      <c r="S205" s="16">
        <f t="shared" si="97"/>
        <v>0</v>
      </c>
      <c r="T205" s="16">
        <f t="shared" si="97"/>
        <v>0</v>
      </c>
      <c r="U205" s="16">
        <f t="shared" si="97"/>
        <v>0</v>
      </c>
      <c r="V205" s="16">
        <f t="shared" si="97"/>
        <v>0</v>
      </c>
      <c r="W205" s="16">
        <f t="shared" si="97"/>
        <v>0</v>
      </c>
      <c r="X205" s="16">
        <f t="shared" si="97"/>
        <v>0</v>
      </c>
      <c r="Y205" s="16">
        <f t="shared" si="97"/>
        <v>0</v>
      </c>
      <c r="Z205" s="16">
        <f t="shared" si="97"/>
        <v>0</v>
      </c>
      <c r="AA205" s="16">
        <f t="shared" si="97"/>
        <v>0</v>
      </c>
      <c r="AB205" s="16">
        <f t="shared" si="97"/>
        <v>0</v>
      </c>
      <c r="AC205" s="16">
        <f t="shared" si="97"/>
        <v>0</v>
      </c>
      <c r="AD205" s="16">
        <f t="shared" si="97"/>
        <v>0</v>
      </c>
      <c r="AE205" s="16">
        <f t="shared" si="97"/>
        <v>0</v>
      </c>
      <c r="AF205" s="16">
        <f t="shared" si="95"/>
        <v>0</v>
      </c>
      <c r="AG205" s="16">
        <f t="shared" si="95"/>
        <v>0</v>
      </c>
      <c r="AH205" s="16">
        <f t="shared" si="95"/>
        <v>0</v>
      </c>
      <c r="AI205" s="16">
        <f t="shared" si="95"/>
        <v>0</v>
      </c>
      <c r="AJ205" s="16">
        <f t="shared" si="95"/>
        <v>0</v>
      </c>
      <c r="AK205" s="16">
        <f t="shared" si="95"/>
        <v>0</v>
      </c>
      <c r="AL205" s="16">
        <f t="shared" si="95"/>
        <v>0</v>
      </c>
      <c r="AM205" s="16">
        <f t="shared" si="95"/>
        <v>0</v>
      </c>
      <c r="AN205" s="16">
        <f t="shared" si="95"/>
        <v>0</v>
      </c>
      <c r="AO205" s="16">
        <f t="shared" si="95"/>
        <v>0</v>
      </c>
      <c r="AP205" s="16">
        <f t="shared" si="95"/>
        <v>0</v>
      </c>
      <c r="AQ205" s="16">
        <f t="shared" si="95"/>
        <v>0</v>
      </c>
      <c r="AR205" s="16">
        <f t="shared" si="95"/>
        <v>0</v>
      </c>
      <c r="AS205" s="16">
        <f t="shared" si="95"/>
        <v>0</v>
      </c>
      <c r="AT205" s="16">
        <f t="shared" si="95"/>
        <v>0</v>
      </c>
      <c r="AU205" s="16">
        <f t="shared" si="96"/>
        <v>0</v>
      </c>
      <c r="AV205" s="16">
        <f t="shared" si="96"/>
        <v>0</v>
      </c>
      <c r="AW205" s="16">
        <f t="shared" si="96"/>
        <v>0</v>
      </c>
      <c r="AX205" s="16">
        <f t="shared" si="96"/>
        <v>0</v>
      </c>
      <c r="AY205" s="16">
        <f t="shared" si="96"/>
        <v>0</v>
      </c>
      <c r="AZ205" s="16">
        <f t="shared" si="96"/>
        <v>0</v>
      </c>
      <c r="BA205" s="16">
        <f t="shared" si="96"/>
        <v>-1.138703876628405</v>
      </c>
      <c r="BB205" s="16">
        <f t="shared" si="96"/>
        <v>3.2599197050214119</v>
      </c>
      <c r="BC205" s="16">
        <f t="shared" si="96"/>
        <v>-1.1212158283930069</v>
      </c>
      <c r="BD205" s="16">
        <f t="shared" si="96"/>
        <v>0</v>
      </c>
      <c r="BE205" s="16">
        <f t="shared" si="96"/>
        <v>0</v>
      </c>
      <c r="BF205" s="16">
        <f t="shared" si="96"/>
        <v>0</v>
      </c>
      <c r="BG205" s="16">
        <f t="shared" si="96"/>
        <v>0</v>
      </c>
      <c r="BH205" s="16">
        <f t="shared" si="96"/>
        <v>0</v>
      </c>
      <c r="BI205" s="16">
        <f t="shared" si="96"/>
        <v>0</v>
      </c>
      <c r="BJ205" s="16">
        <f t="shared" si="96"/>
        <v>0</v>
      </c>
      <c r="BK205" s="16">
        <f t="shared" si="94"/>
        <v>0</v>
      </c>
      <c r="BL205" s="16">
        <f t="shared" si="94"/>
        <v>0</v>
      </c>
      <c r="BM205" s="16">
        <f t="shared" si="94"/>
        <v>0</v>
      </c>
      <c r="BN205" s="16">
        <f t="shared" si="94"/>
        <v>0</v>
      </c>
    </row>
    <row r="206" spans="1:66" customFormat="1" x14ac:dyDescent="0.25">
      <c r="A206" s="29"/>
      <c r="B206" s="29"/>
      <c r="C206" s="1"/>
      <c r="D206" s="1"/>
      <c r="E206" s="1"/>
      <c r="F206" s="1"/>
      <c r="G206" s="1"/>
      <c r="H206" s="1"/>
      <c r="I206" s="1"/>
      <c r="J206" s="93"/>
      <c r="K206" s="1"/>
      <c r="L206" s="29"/>
      <c r="M206" s="1"/>
      <c r="N206" s="29"/>
      <c r="O206" s="9">
        <f t="shared" si="86"/>
        <v>11</v>
      </c>
      <c r="P206" s="16">
        <f t="shared" si="97"/>
        <v>0</v>
      </c>
      <c r="Q206" s="16">
        <f t="shared" si="97"/>
        <v>0</v>
      </c>
      <c r="R206" s="16">
        <f t="shared" si="97"/>
        <v>0</v>
      </c>
      <c r="S206" s="16">
        <f t="shared" si="97"/>
        <v>0</v>
      </c>
      <c r="T206" s="16">
        <f t="shared" si="97"/>
        <v>0</v>
      </c>
      <c r="U206" s="16">
        <f t="shared" si="97"/>
        <v>0</v>
      </c>
      <c r="V206" s="16">
        <f t="shared" si="97"/>
        <v>0</v>
      </c>
      <c r="W206" s="16">
        <f t="shared" si="97"/>
        <v>0</v>
      </c>
      <c r="X206" s="16">
        <f t="shared" si="97"/>
        <v>0</v>
      </c>
      <c r="Y206" s="16">
        <f t="shared" si="97"/>
        <v>0</v>
      </c>
      <c r="Z206" s="16">
        <f t="shared" si="97"/>
        <v>0</v>
      </c>
      <c r="AA206" s="16">
        <f t="shared" si="97"/>
        <v>0</v>
      </c>
      <c r="AB206" s="16">
        <f t="shared" si="97"/>
        <v>0</v>
      </c>
      <c r="AC206" s="16">
        <f t="shared" si="97"/>
        <v>0</v>
      </c>
      <c r="AD206" s="16">
        <f t="shared" si="97"/>
        <v>0</v>
      </c>
      <c r="AE206" s="16">
        <f t="shared" si="97"/>
        <v>0</v>
      </c>
      <c r="AF206" s="16">
        <f t="shared" si="95"/>
        <v>0</v>
      </c>
      <c r="AG206" s="16">
        <f t="shared" si="95"/>
        <v>0</v>
      </c>
      <c r="AH206" s="16">
        <f t="shared" si="95"/>
        <v>0</v>
      </c>
      <c r="AI206" s="16">
        <f t="shared" si="95"/>
        <v>0</v>
      </c>
      <c r="AJ206" s="16">
        <f t="shared" si="95"/>
        <v>0</v>
      </c>
      <c r="AK206" s="16">
        <f t="shared" si="95"/>
        <v>0</v>
      </c>
      <c r="AL206" s="16">
        <f t="shared" si="95"/>
        <v>0</v>
      </c>
      <c r="AM206" s="16">
        <f t="shared" si="95"/>
        <v>0</v>
      </c>
      <c r="AN206" s="16">
        <f t="shared" si="95"/>
        <v>0</v>
      </c>
      <c r="AO206" s="16">
        <f t="shared" si="95"/>
        <v>0</v>
      </c>
      <c r="AP206" s="16">
        <f t="shared" si="95"/>
        <v>0</v>
      </c>
      <c r="AQ206" s="16">
        <f t="shared" si="95"/>
        <v>0</v>
      </c>
      <c r="AR206" s="16">
        <f t="shared" si="95"/>
        <v>0</v>
      </c>
      <c r="AS206" s="16">
        <f t="shared" si="95"/>
        <v>0</v>
      </c>
      <c r="AT206" s="16">
        <f t="shared" si="95"/>
        <v>0</v>
      </c>
      <c r="AU206" s="16">
        <f t="shared" si="96"/>
        <v>0</v>
      </c>
      <c r="AV206" s="16">
        <f t="shared" si="96"/>
        <v>0</v>
      </c>
      <c r="AW206" s="16">
        <f t="shared" si="96"/>
        <v>0</v>
      </c>
      <c r="AX206" s="16">
        <f t="shared" si="96"/>
        <v>0</v>
      </c>
      <c r="AY206" s="16">
        <f t="shared" si="96"/>
        <v>0</v>
      </c>
      <c r="AZ206" s="16">
        <f t="shared" si="96"/>
        <v>0</v>
      </c>
      <c r="BA206" s="16">
        <f t="shared" si="96"/>
        <v>0</v>
      </c>
      <c r="BB206" s="16">
        <f t="shared" si="96"/>
        <v>-1.0638754696743375</v>
      </c>
      <c r="BC206" s="16">
        <f t="shared" si="96"/>
        <v>3.1110608834002749</v>
      </c>
      <c r="BD206" s="16">
        <f t="shared" si="96"/>
        <v>-1.0471854137259371</v>
      </c>
      <c r="BE206" s="16">
        <f t="shared" si="96"/>
        <v>0</v>
      </c>
      <c r="BF206" s="16">
        <f t="shared" si="96"/>
        <v>0</v>
      </c>
      <c r="BG206" s="16">
        <f t="shared" si="96"/>
        <v>0</v>
      </c>
      <c r="BH206" s="16">
        <f t="shared" si="96"/>
        <v>0</v>
      </c>
      <c r="BI206" s="16">
        <f t="shared" si="96"/>
        <v>0</v>
      </c>
      <c r="BJ206" s="16">
        <f t="shared" si="96"/>
        <v>0</v>
      </c>
      <c r="BK206" s="16">
        <f t="shared" si="94"/>
        <v>0</v>
      </c>
      <c r="BL206" s="16">
        <f t="shared" si="94"/>
        <v>0</v>
      </c>
      <c r="BM206" s="16">
        <f t="shared" si="94"/>
        <v>0</v>
      </c>
      <c r="BN206" s="16">
        <f t="shared" si="94"/>
        <v>0</v>
      </c>
    </row>
    <row r="207" spans="1:66" customFormat="1" x14ac:dyDescent="0.25">
      <c r="A207" s="29"/>
      <c r="B207" s="29"/>
      <c r="C207" s="1"/>
      <c r="D207" s="1"/>
      <c r="E207" s="1"/>
      <c r="F207" s="1"/>
      <c r="G207" s="1"/>
      <c r="H207" s="1"/>
      <c r="I207" s="1"/>
      <c r="J207" s="93"/>
      <c r="K207" s="1"/>
      <c r="L207" s="29"/>
      <c r="M207" s="1"/>
      <c r="N207" s="29"/>
      <c r="O207" s="9">
        <f t="shared" si="86"/>
        <v>10</v>
      </c>
      <c r="P207" s="16">
        <f t="shared" si="97"/>
        <v>0</v>
      </c>
      <c r="Q207" s="16">
        <f t="shared" si="97"/>
        <v>0</v>
      </c>
      <c r="R207" s="16">
        <f t="shared" si="97"/>
        <v>0</v>
      </c>
      <c r="S207" s="16">
        <f t="shared" si="97"/>
        <v>0</v>
      </c>
      <c r="T207" s="16">
        <f t="shared" si="97"/>
        <v>0</v>
      </c>
      <c r="U207" s="16">
        <f t="shared" si="97"/>
        <v>0</v>
      </c>
      <c r="V207" s="16">
        <f t="shared" si="97"/>
        <v>0</v>
      </c>
      <c r="W207" s="16">
        <f t="shared" si="97"/>
        <v>0</v>
      </c>
      <c r="X207" s="16">
        <f t="shared" si="97"/>
        <v>0</v>
      </c>
      <c r="Y207" s="16">
        <f t="shared" si="97"/>
        <v>0</v>
      </c>
      <c r="Z207" s="16">
        <f t="shared" si="97"/>
        <v>0</v>
      </c>
      <c r="AA207" s="16">
        <f t="shared" si="97"/>
        <v>0</v>
      </c>
      <c r="AB207" s="16">
        <f t="shared" si="97"/>
        <v>0</v>
      </c>
      <c r="AC207" s="16">
        <f t="shared" si="97"/>
        <v>0</v>
      </c>
      <c r="AD207" s="16">
        <f t="shared" si="97"/>
        <v>0</v>
      </c>
      <c r="AE207" s="16">
        <f t="shared" si="97"/>
        <v>0</v>
      </c>
      <c r="AF207" s="16">
        <f t="shared" si="95"/>
        <v>0</v>
      </c>
      <c r="AG207" s="16">
        <f t="shared" si="95"/>
        <v>0</v>
      </c>
      <c r="AH207" s="16">
        <f t="shared" si="95"/>
        <v>0</v>
      </c>
      <c r="AI207" s="16">
        <f t="shared" si="95"/>
        <v>0</v>
      </c>
      <c r="AJ207" s="16">
        <f t="shared" si="95"/>
        <v>0</v>
      </c>
      <c r="AK207" s="16">
        <f t="shared" si="95"/>
        <v>0</v>
      </c>
      <c r="AL207" s="16">
        <f t="shared" si="95"/>
        <v>0</v>
      </c>
      <c r="AM207" s="16">
        <f t="shared" si="95"/>
        <v>0</v>
      </c>
      <c r="AN207" s="16">
        <f t="shared" si="95"/>
        <v>0</v>
      </c>
      <c r="AO207" s="16">
        <f t="shared" si="95"/>
        <v>0</v>
      </c>
      <c r="AP207" s="16">
        <f t="shared" si="95"/>
        <v>0</v>
      </c>
      <c r="AQ207" s="16">
        <f t="shared" si="95"/>
        <v>0</v>
      </c>
      <c r="AR207" s="16">
        <f t="shared" si="95"/>
        <v>0</v>
      </c>
      <c r="AS207" s="16">
        <f t="shared" si="95"/>
        <v>0</v>
      </c>
      <c r="AT207" s="16">
        <f t="shared" si="95"/>
        <v>0</v>
      </c>
      <c r="AU207" s="16">
        <f t="shared" si="96"/>
        <v>0</v>
      </c>
      <c r="AV207" s="16">
        <f t="shared" si="96"/>
        <v>0</v>
      </c>
      <c r="AW207" s="16">
        <f t="shared" si="96"/>
        <v>0</v>
      </c>
      <c r="AX207" s="16">
        <f t="shared" si="96"/>
        <v>0</v>
      </c>
      <c r="AY207" s="16">
        <f t="shared" si="96"/>
        <v>0</v>
      </c>
      <c r="AZ207" s="16">
        <f t="shared" si="96"/>
        <v>0</v>
      </c>
      <c r="BA207" s="16">
        <f t="shared" si="96"/>
        <v>0</v>
      </c>
      <c r="BB207" s="16">
        <f t="shared" si="96"/>
        <v>0</v>
      </c>
      <c r="BC207" s="16">
        <f t="shared" si="96"/>
        <v>-0.99159617038810532</v>
      </c>
      <c r="BD207" s="16">
        <f t="shared" si="96"/>
        <v>2.9672730926758963</v>
      </c>
      <c r="BE207" s="16">
        <f t="shared" si="96"/>
        <v>-0.97567692228779102</v>
      </c>
      <c r="BF207" s="16">
        <f t="shared" si="96"/>
        <v>0</v>
      </c>
      <c r="BG207" s="16">
        <f t="shared" si="96"/>
        <v>0</v>
      </c>
      <c r="BH207" s="16">
        <f t="shared" si="96"/>
        <v>0</v>
      </c>
      <c r="BI207" s="16">
        <f t="shared" si="96"/>
        <v>0</v>
      </c>
      <c r="BJ207" s="16">
        <f t="shared" si="96"/>
        <v>0</v>
      </c>
      <c r="BK207" s="16">
        <f t="shared" si="94"/>
        <v>0</v>
      </c>
      <c r="BL207" s="16">
        <f t="shared" si="94"/>
        <v>0</v>
      </c>
      <c r="BM207" s="16">
        <f t="shared" si="94"/>
        <v>0</v>
      </c>
      <c r="BN207" s="16">
        <f t="shared" si="94"/>
        <v>0</v>
      </c>
    </row>
    <row r="208" spans="1:66" customFormat="1" x14ac:dyDescent="0.25">
      <c r="A208" s="29"/>
      <c r="B208" s="29"/>
      <c r="C208" s="1"/>
      <c r="D208" s="1"/>
      <c r="E208" s="1"/>
      <c r="F208" s="1"/>
      <c r="G208" s="1"/>
      <c r="H208" s="1"/>
      <c r="I208" s="1"/>
      <c r="J208" s="93"/>
      <c r="K208" s="1"/>
      <c r="L208" s="29"/>
      <c r="M208" s="1"/>
      <c r="N208" s="29"/>
      <c r="O208" s="9">
        <f t="shared" si="86"/>
        <v>9</v>
      </c>
      <c r="P208" s="16">
        <f t="shared" si="97"/>
        <v>0</v>
      </c>
      <c r="Q208" s="16">
        <f t="shared" si="97"/>
        <v>0</v>
      </c>
      <c r="R208" s="16">
        <f t="shared" si="97"/>
        <v>0</v>
      </c>
      <c r="S208" s="16">
        <f t="shared" si="97"/>
        <v>0</v>
      </c>
      <c r="T208" s="16">
        <f t="shared" si="97"/>
        <v>0</v>
      </c>
      <c r="U208" s="16">
        <f t="shared" si="97"/>
        <v>0</v>
      </c>
      <c r="V208" s="16">
        <f t="shared" si="97"/>
        <v>0</v>
      </c>
      <c r="W208" s="16">
        <f t="shared" si="97"/>
        <v>0</v>
      </c>
      <c r="X208" s="16">
        <f t="shared" si="97"/>
        <v>0</v>
      </c>
      <c r="Y208" s="16">
        <f t="shared" si="97"/>
        <v>0</v>
      </c>
      <c r="Z208" s="16">
        <f t="shared" si="97"/>
        <v>0</v>
      </c>
      <c r="AA208" s="16">
        <f t="shared" si="97"/>
        <v>0</v>
      </c>
      <c r="AB208" s="16">
        <f t="shared" si="97"/>
        <v>0</v>
      </c>
      <c r="AC208" s="16">
        <f t="shared" si="97"/>
        <v>0</v>
      </c>
      <c r="AD208" s="16">
        <f t="shared" si="97"/>
        <v>0</v>
      </c>
      <c r="AE208" s="16">
        <f t="shared" si="97"/>
        <v>0</v>
      </c>
      <c r="AF208" s="16">
        <f t="shared" si="95"/>
        <v>0</v>
      </c>
      <c r="AG208" s="16">
        <f t="shared" si="95"/>
        <v>0</v>
      </c>
      <c r="AH208" s="16">
        <f t="shared" si="95"/>
        <v>0</v>
      </c>
      <c r="AI208" s="16">
        <f t="shared" si="95"/>
        <v>0</v>
      </c>
      <c r="AJ208" s="16">
        <f t="shared" si="95"/>
        <v>0</v>
      </c>
      <c r="AK208" s="16">
        <f t="shared" si="95"/>
        <v>0</v>
      </c>
      <c r="AL208" s="16">
        <f t="shared" si="95"/>
        <v>0</v>
      </c>
      <c r="AM208" s="16">
        <f t="shared" si="95"/>
        <v>0</v>
      </c>
      <c r="AN208" s="16">
        <f t="shared" si="95"/>
        <v>0</v>
      </c>
      <c r="AO208" s="16">
        <f t="shared" si="95"/>
        <v>0</v>
      </c>
      <c r="AP208" s="16">
        <f t="shared" si="95"/>
        <v>0</v>
      </c>
      <c r="AQ208" s="16">
        <f t="shared" si="95"/>
        <v>0</v>
      </c>
      <c r="AR208" s="16">
        <f t="shared" si="95"/>
        <v>0</v>
      </c>
      <c r="AS208" s="16">
        <f t="shared" si="95"/>
        <v>0</v>
      </c>
      <c r="AT208" s="16">
        <f t="shared" si="95"/>
        <v>0</v>
      </c>
      <c r="AU208" s="16">
        <f t="shared" si="96"/>
        <v>0</v>
      </c>
      <c r="AV208" s="16">
        <f t="shared" si="96"/>
        <v>0</v>
      </c>
      <c r="AW208" s="16">
        <f t="shared" si="96"/>
        <v>0</v>
      </c>
      <c r="AX208" s="16">
        <f t="shared" si="96"/>
        <v>0</v>
      </c>
      <c r="AY208" s="16">
        <f t="shared" si="96"/>
        <v>0</v>
      </c>
      <c r="AZ208" s="16">
        <f t="shared" si="96"/>
        <v>0</v>
      </c>
      <c r="BA208" s="16">
        <f t="shared" si="96"/>
        <v>0</v>
      </c>
      <c r="BB208" s="16">
        <f t="shared" si="96"/>
        <v>0</v>
      </c>
      <c r="BC208" s="16">
        <f t="shared" si="96"/>
        <v>0</v>
      </c>
      <c r="BD208" s="16">
        <f t="shared" si="96"/>
        <v>-0.92186597876970289</v>
      </c>
      <c r="BE208" s="16">
        <f t="shared" si="96"/>
        <v>2.828556332848267</v>
      </c>
      <c r="BF208" s="16">
        <f t="shared" si="96"/>
        <v>-0.9066903540785638</v>
      </c>
      <c r="BG208" s="16">
        <f t="shared" si="96"/>
        <v>0</v>
      </c>
      <c r="BH208" s="16">
        <f t="shared" si="96"/>
        <v>0</v>
      </c>
      <c r="BI208" s="16">
        <f t="shared" si="96"/>
        <v>0</v>
      </c>
      <c r="BJ208" s="16">
        <f t="shared" si="96"/>
        <v>0</v>
      </c>
      <c r="BK208" s="16">
        <f t="shared" si="94"/>
        <v>0</v>
      </c>
      <c r="BL208" s="16">
        <f t="shared" si="94"/>
        <v>0</v>
      </c>
      <c r="BM208" s="16">
        <f t="shared" si="94"/>
        <v>0</v>
      </c>
      <c r="BN208" s="16">
        <f t="shared" si="94"/>
        <v>0</v>
      </c>
    </row>
    <row r="209" spans="1:66" customFormat="1" x14ac:dyDescent="0.25">
      <c r="A209" s="29"/>
      <c r="B209" s="29"/>
      <c r="C209" s="1"/>
      <c r="D209" s="1"/>
      <c r="E209" s="1"/>
      <c r="F209" s="1"/>
      <c r="G209" s="1"/>
      <c r="H209" s="1"/>
      <c r="I209" s="1"/>
      <c r="J209" s="93"/>
      <c r="K209" s="1"/>
      <c r="L209" s="29"/>
      <c r="M209" s="1"/>
      <c r="N209" s="29"/>
      <c r="O209" s="9">
        <f t="shared" si="86"/>
        <v>8</v>
      </c>
      <c r="P209" s="16">
        <f t="shared" si="97"/>
        <v>0</v>
      </c>
      <c r="Q209" s="16">
        <f t="shared" si="97"/>
        <v>0</v>
      </c>
      <c r="R209" s="16">
        <f t="shared" si="97"/>
        <v>0</v>
      </c>
      <c r="S209" s="16">
        <f t="shared" si="97"/>
        <v>0</v>
      </c>
      <c r="T209" s="16">
        <f t="shared" si="97"/>
        <v>0</v>
      </c>
      <c r="U209" s="16">
        <f t="shared" si="97"/>
        <v>0</v>
      </c>
      <c r="V209" s="16">
        <f t="shared" si="97"/>
        <v>0</v>
      </c>
      <c r="W209" s="16">
        <f t="shared" si="97"/>
        <v>0</v>
      </c>
      <c r="X209" s="16">
        <f t="shared" si="97"/>
        <v>0</v>
      </c>
      <c r="Y209" s="16">
        <f t="shared" si="97"/>
        <v>0</v>
      </c>
      <c r="Z209" s="16">
        <f t="shared" si="97"/>
        <v>0</v>
      </c>
      <c r="AA209" s="16">
        <f t="shared" si="97"/>
        <v>0</v>
      </c>
      <c r="AB209" s="16">
        <f t="shared" si="97"/>
        <v>0</v>
      </c>
      <c r="AC209" s="16">
        <f t="shared" si="97"/>
        <v>0</v>
      </c>
      <c r="AD209" s="16">
        <f t="shared" si="97"/>
        <v>0</v>
      </c>
      <c r="AE209" s="16">
        <f t="shared" si="97"/>
        <v>0</v>
      </c>
      <c r="AF209" s="16">
        <f t="shared" si="95"/>
        <v>0</v>
      </c>
      <c r="AG209" s="16">
        <f t="shared" si="95"/>
        <v>0</v>
      </c>
      <c r="AH209" s="16">
        <f t="shared" si="95"/>
        <v>0</v>
      </c>
      <c r="AI209" s="16">
        <f t="shared" si="95"/>
        <v>0</v>
      </c>
      <c r="AJ209" s="16">
        <f t="shared" si="95"/>
        <v>0</v>
      </c>
      <c r="AK209" s="16">
        <f t="shared" si="95"/>
        <v>0</v>
      </c>
      <c r="AL209" s="16">
        <f t="shared" si="95"/>
        <v>0</v>
      </c>
      <c r="AM209" s="16">
        <f t="shared" si="95"/>
        <v>0</v>
      </c>
      <c r="AN209" s="16">
        <f t="shared" si="95"/>
        <v>0</v>
      </c>
      <c r="AO209" s="16">
        <f t="shared" si="95"/>
        <v>0</v>
      </c>
      <c r="AP209" s="16">
        <f t="shared" si="95"/>
        <v>0</v>
      </c>
      <c r="AQ209" s="16">
        <f t="shared" si="95"/>
        <v>0</v>
      </c>
      <c r="AR209" s="16">
        <f t="shared" si="95"/>
        <v>0</v>
      </c>
      <c r="AS209" s="16">
        <f t="shared" si="95"/>
        <v>0</v>
      </c>
      <c r="AT209" s="16">
        <f t="shared" si="95"/>
        <v>0</v>
      </c>
      <c r="AU209" s="16">
        <f t="shared" si="96"/>
        <v>0</v>
      </c>
      <c r="AV209" s="16">
        <f t="shared" si="96"/>
        <v>0</v>
      </c>
      <c r="AW209" s="16">
        <f t="shared" si="96"/>
        <v>0</v>
      </c>
      <c r="AX209" s="16">
        <f t="shared" si="96"/>
        <v>0</v>
      </c>
      <c r="AY209" s="16">
        <f t="shared" si="96"/>
        <v>0</v>
      </c>
      <c r="AZ209" s="16">
        <f t="shared" si="96"/>
        <v>0</v>
      </c>
      <c r="BA209" s="16">
        <f t="shared" si="96"/>
        <v>0</v>
      </c>
      <c r="BB209" s="16">
        <f t="shared" si="96"/>
        <v>0</v>
      </c>
      <c r="BC209" s="16">
        <f t="shared" si="96"/>
        <v>0</v>
      </c>
      <c r="BD209" s="16">
        <f t="shared" si="96"/>
        <v>0</v>
      </c>
      <c r="BE209" s="16">
        <f t="shared" si="96"/>
        <v>-0.85468489481914167</v>
      </c>
      <c r="BF209" s="16">
        <f t="shared" si="96"/>
        <v>2.6949106039174082</v>
      </c>
      <c r="BG209" s="16">
        <f t="shared" si="96"/>
        <v>-0.84022570909826655</v>
      </c>
      <c r="BH209" s="16">
        <f t="shared" si="96"/>
        <v>0</v>
      </c>
      <c r="BI209" s="16">
        <f t="shared" si="96"/>
        <v>0</v>
      </c>
      <c r="BJ209" s="16">
        <f t="shared" si="96"/>
        <v>0</v>
      </c>
      <c r="BK209" s="16">
        <f t="shared" si="94"/>
        <v>0</v>
      </c>
      <c r="BL209" s="16">
        <f t="shared" si="94"/>
        <v>0</v>
      </c>
      <c r="BM209" s="16">
        <f t="shared" si="94"/>
        <v>0</v>
      </c>
      <c r="BN209" s="16">
        <f t="shared" si="94"/>
        <v>0</v>
      </c>
    </row>
    <row r="210" spans="1:66" customFormat="1" x14ac:dyDescent="0.25">
      <c r="A210" s="29"/>
      <c r="B210" s="29"/>
      <c r="C210" s="1"/>
      <c r="D210" s="1"/>
      <c r="E210" s="1"/>
      <c r="F210" s="1"/>
      <c r="G210" s="1"/>
      <c r="H210" s="1"/>
      <c r="I210" s="1"/>
      <c r="J210" s="93"/>
      <c r="K210" s="1"/>
      <c r="L210" s="29"/>
      <c r="M210" s="1"/>
      <c r="N210" s="29"/>
      <c r="O210" s="9">
        <f t="shared" si="86"/>
        <v>7</v>
      </c>
      <c r="P210" s="16">
        <f t="shared" si="97"/>
        <v>0</v>
      </c>
      <c r="Q210" s="16">
        <f t="shared" si="97"/>
        <v>0</v>
      </c>
      <c r="R210" s="16">
        <f t="shared" si="97"/>
        <v>0</v>
      </c>
      <c r="S210" s="16">
        <f t="shared" si="97"/>
        <v>0</v>
      </c>
      <c r="T210" s="16">
        <f t="shared" si="97"/>
        <v>0</v>
      </c>
      <c r="U210" s="16">
        <f t="shared" si="97"/>
        <v>0</v>
      </c>
      <c r="V210" s="16">
        <f t="shared" si="97"/>
        <v>0</v>
      </c>
      <c r="W210" s="16">
        <f t="shared" si="97"/>
        <v>0</v>
      </c>
      <c r="X210" s="16">
        <f t="shared" si="97"/>
        <v>0</v>
      </c>
      <c r="Y210" s="16">
        <f t="shared" si="97"/>
        <v>0</v>
      </c>
      <c r="Z210" s="16">
        <f t="shared" si="97"/>
        <v>0</v>
      </c>
      <c r="AA210" s="16">
        <f t="shared" si="97"/>
        <v>0</v>
      </c>
      <c r="AB210" s="16">
        <f t="shared" si="97"/>
        <v>0</v>
      </c>
      <c r="AC210" s="16">
        <f t="shared" si="97"/>
        <v>0</v>
      </c>
      <c r="AD210" s="16">
        <f t="shared" si="97"/>
        <v>0</v>
      </c>
      <c r="AE210" s="16">
        <f t="shared" si="97"/>
        <v>0</v>
      </c>
      <c r="AF210" s="16">
        <f t="shared" si="95"/>
        <v>0</v>
      </c>
      <c r="AG210" s="16">
        <f t="shared" si="95"/>
        <v>0</v>
      </c>
      <c r="AH210" s="16">
        <f t="shared" si="95"/>
        <v>0</v>
      </c>
      <c r="AI210" s="16">
        <f t="shared" si="95"/>
        <v>0</v>
      </c>
      <c r="AJ210" s="16">
        <f t="shared" si="95"/>
        <v>0</v>
      </c>
      <c r="AK210" s="16">
        <f t="shared" si="95"/>
        <v>0</v>
      </c>
      <c r="AL210" s="16">
        <f t="shared" si="95"/>
        <v>0</v>
      </c>
      <c r="AM210" s="16">
        <f t="shared" si="95"/>
        <v>0</v>
      </c>
      <c r="AN210" s="16">
        <f t="shared" si="95"/>
        <v>0</v>
      </c>
      <c r="AO210" s="16">
        <f t="shared" si="95"/>
        <v>0</v>
      </c>
      <c r="AP210" s="16">
        <f t="shared" si="95"/>
        <v>0</v>
      </c>
      <c r="AQ210" s="16">
        <f t="shared" si="95"/>
        <v>0</v>
      </c>
      <c r="AR210" s="16">
        <f t="shared" si="95"/>
        <v>0</v>
      </c>
      <c r="AS210" s="16">
        <f t="shared" si="95"/>
        <v>0</v>
      </c>
      <c r="AT210" s="16">
        <f t="shared" si="95"/>
        <v>0</v>
      </c>
      <c r="AU210" s="16">
        <f t="shared" si="96"/>
        <v>0</v>
      </c>
      <c r="AV210" s="16">
        <f t="shared" si="96"/>
        <v>0</v>
      </c>
      <c r="AW210" s="16">
        <f t="shared" si="96"/>
        <v>0</v>
      </c>
      <c r="AX210" s="16">
        <f t="shared" si="96"/>
        <v>0</v>
      </c>
      <c r="AY210" s="16">
        <f t="shared" si="96"/>
        <v>0</v>
      </c>
      <c r="AZ210" s="16">
        <f t="shared" si="96"/>
        <v>0</v>
      </c>
      <c r="BA210" s="16">
        <f t="shared" si="96"/>
        <v>0</v>
      </c>
      <c r="BB210" s="16">
        <f t="shared" si="96"/>
        <v>0</v>
      </c>
      <c r="BC210" s="16">
        <f t="shared" si="96"/>
        <v>0</v>
      </c>
      <c r="BD210" s="16">
        <f t="shared" si="96"/>
        <v>0</v>
      </c>
      <c r="BE210" s="16">
        <f t="shared" si="96"/>
        <v>0</v>
      </c>
      <c r="BF210" s="16">
        <f t="shared" si="96"/>
        <v>-0.79005291853641579</v>
      </c>
      <c r="BG210" s="16">
        <f t="shared" si="96"/>
        <v>2.5663359058833093</v>
      </c>
      <c r="BH210" s="16">
        <f t="shared" si="96"/>
        <v>-0.7762829873468936</v>
      </c>
      <c r="BI210" s="16">
        <f t="shared" si="96"/>
        <v>0</v>
      </c>
      <c r="BJ210" s="16">
        <f t="shared" si="96"/>
        <v>0</v>
      </c>
      <c r="BK210" s="16">
        <f t="shared" si="94"/>
        <v>0</v>
      </c>
      <c r="BL210" s="16">
        <f t="shared" si="94"/>
        <v>0</v>
      </c>
      <c r="BM210" s="16">
        <f t="shared" si="94"/>
        <v>0</v>
      </c>
      <c r="BN210" s="16">
        <f t="shared" si="94"/>
        <v>0</v>
      </c>
    </row>
    <row r="211" spans="1:66" customFormat="1" x14ac:dyDescent="0.25">
      <c r="A211" s="29"/>
      <c r="B211" s="29"/>
      <c r="C211" s="1"/>
      <c r="D211" s="1"/>
      <c r="E211" s="1"/>
      <c r="F211" s="1"/>
      <c r="G211" s="1"/>
      <c r="H211" s="1"/>
      <c r="I211" s="1"/>
      <c r="J211" s="93"/>
      <c r="K211" s="1"/>
      <c r="L211" s="29"/>
      <c r="M211" s="1"/>
      <c r="N211" s="29"/>
      <c r="O211" s="9">
        <f t="shared" si="86"/>
        <v>6</v>
      </c>
      <c r="P211" s="16">
        <f t="shared" si="97"/>
        <v>0</v>
      </c>
      <c r="Q211" s="16">
        <f t="shared" si="97"/>
        <v>0</v>
      </c>
      <c r="R211" s="16">
        <f t="shared" si="97"/>
        <v>0</v>
      </c>
      <c r="S211" s="16">
        <f t="shared" si="97"/>
        <v>0</v>
      </c>
      <c r="T211" s="16">
        <f t="shared" si="97"/>
        <v>0</v>
      </c>
      <c r="U211" s="16">
        <f t="shared" si="97"/>
        <v>0</v>
      </c>
      <c r="V211" s="16">
        <f t="shared" si="97"/>
        <v>0</v>
      </c>
      <c r="W211" s="16">
        <f t="shared" si="97"/>
        <v>0</v>
      </c>
      <c r="X211" s="16">
        <f t="shared" si="97"/>
        <v>0</v>
      </c>
      <c r="Y211" s="16">
        <f t="shared" si="97"/>
        <v>0</v>
      </c>
      <c r="Z211" s="16">
        <f t="shared" si="97"/>
        <v>0</v>
      </c>
      <c r="AA211" s="16">
        <f t="shared" si="97"/>
        <v>0</v>
      </c>
      <c r="AB211" s="16">
        <f t="shared" si="97"/>
        <v>0</v>
      </c>
      <c r="AC211" s="16">
        <f t="shared" si="97"/>
        <v>0</v>
      </c>
      <c r="AD211" s="16">
        <f t="shared" si="97"/>
        <v>0</v>
      </c>
      <c r="AE211" s="16">
        <f t="shared" si="97"/>
        <v>0</v>
      </c>
      <c r="AF211" s="16">
        <f t="shared" si="95"/>
        <v>0</v>
      </c>
      <c r="AG211" s="16">
        <f t="shared" si="95"/>
        <v>0</v>
      </c>
      <c r="AH211" s="16">
        <f t="shared" si="95"/>
        <v>0</v>
      </c>
      <c r="AI211" s="16">
        <f t="shared" si="95"/>
        <v>0</v>
      </c>
      <c r="AJ211" s="16">
        <f t="shared" si="95"/>
        <v>0</v>
      </c>
      <c r="AK211" s="16">
        <f t="shared" si="95"/>
        <v>0</v>
      </c>
      <c r="AL211" s="16">
        <f t="shared" si="95"/>
        <v>0</v>
      </c>
      <c r="AM211" s="16">
        <f t="shared" si="95"/>
        <v>0</v>
      </c>
      <c r="AN211" s="16">
        <f t="shared" si="95"/>
        <v>0</v>
      </c>
      <c r="AO211" s="16">
        <f t="shared" si="95"/>
        <v>0</v>
      </c>
      <c r="AP211" s="16">
        <f t="shared" si="95"/>
        <v>0</v>
      </c>
      <c r="AQ211" s="16">
        <f t="shared" si="95"/>
        <v>0</v>
      </c>
      <c r="AR211" s="16">
        <f t="shared" si="95"/>
        <v>0</v>
      </c>
      <c r="AS211" s="16">
        <f t="shared" si="95"/>
        <v>0</v>
      </c>
      <c r="AT211" s="16">
        <f t="shared" si="95"/>
        <v>0</v>
      </c>
      <c r="AU211" s="16">
        <f t="shared" si="96"/>
        <v>0</v>
      </c>
      <c r="AV211" s="16">
        <f t="shared" si="96"/>
        <v>0</v>
      </c>
      <c r="AW211" s="16">
        <f t="shared" si="96"/>
        <v>0</v>
      </c>
      <c r="AX211" s="16">
        <f t="shared" si="96"/>
        <v>0</v>
      </c>
      <c r="AY211" s="16">
        <f t="shared" si="96"/>
        <v>0</v>
      </c>
      <c r="AZ211" s="16">
        <f t="shared" si="96"/>
        <v>0</v>
      </c>
      <c r="BA211" s="16">
        <f t="shared" si="96"/>
        <v>0</v>
      </c>
      <c r="BB211" s="16">
        <f t="shared" si="96"/>
        <v>0</v>
      </c>
      <c r="BC211" s="16">
        <f t="shared" si="96"/>
        <v>0</v>
      </c>
      <c r="BD211" s="16">
        <f t="shared" si="96"/>
        <v>0</v>
      </c>
      <c r="BE211" s="16">
        <f t="shared" si="96"/>
        <v>0</v>
      </c>
      <c r="BF211" s="16">
        <f t="shared" si="96"/>
        <v>0</v>
      </c>
      <c r="BG211" s="16">
        <f t="shared" si="96"/>
        <v>-0.72797004992152525</v>
      </c>
      <c r="BH211" s="16">
        <f t="shared" si="96"/>
        <v>2.4428322387459698</v>
      </c>
      <c r="BI211" s="16">
        <f t="shared" si="96"/>
        <v>-0.71486218882444474</v>
      </c>
      <c r="BJ211" s="16">
        <f t="shared" si="96"/>
        <v>0</v>
      </c>
      <c r="BK211" s="16">
        <f t="shared" si="94"/>
        <v>0</v>
      </c>
      <c r="BL211" s="16">
        <f t="shared" si="94"/>
        <v>0</v>
      </c>
      <c r="BM211" s="16">
        <f t="shared" si="94"/>
        <v>0</v>
      </c>
      <c r="BN211" s="16">
        <f t="shared" si="94"/>
        <v>0</v>
      </c>
    </row>
    <row r="212" spans="1:66" customFormat="1" x14ac:dyDescent="0.25">
      <c r="A212" s="29"/>
      <c r="B212" s="29"/>
      <c r="C212" s="1"/>
      <c r="D212" s="1"/>
      <c r="E212" s="1"/>
      <c r="F212" s="1"/>
      <c r="G212" s="1"/>
      <c r="H212" s="1"/>
      <c r="I212" s="1"/>
      <c r="J212" s="93"/>
      <c r="K212" s="1"/>
      <c r="L212" s="29"/>
      <c r="M212" s="1"/>
      <c r="N212" s="29"/>
      <c r="O212" s="9">
        <f t="shared" si="86"/>
        <v>5</v>
      </c>
      <c r="P212" s="16">
        <f t="shared" si="97"/>
        <v>0</v>
      </c>
      <c r="Q212" s="16">
        <f t="shared" si="97"/>
        <v>0</v>
      </c>
      <c r="R212" s="16">
        <f t="shared" si="97"/>
        <v>0</v>
      </c>
      <c r="S212" s="16">
        <f t="shared" si="97"/>
        <v>0</v>
      </c>
      <c r="T212" s="16">
        <f t="shared" si="97"/>
        <v>0</v>
      </c>
      <c r="U212" s="16">
        <f t="shared" si="97"/>
        <v>0</v>
      </c>
      <c r="V212" s="16">
        <f t="shared" si="97"/>
        <v>0</v>
      </c>
      <c r="W212" s="16">
        <f t="shared" si="97"/>
        <v>0</v>
      </c>
      <c r="X212" s="16">
        <f t="shared" si="97"/>
        <v>0</v>
      </c>
      <c r="Y212" s="16">
        <f t="shared" si="97"/>
        <v>0</v>
      </c>
      <c r="Z212" s="16">
        <f t="shared" si="97"/>
        <v>0</v>
      </c>
      <c r="AA212" s="16">
        <f t="shared" si="97"/>
        <v>0</v>
      </c>
      <c r="AB212" s="16">
        <f t="shared" si="97"/>
        <v>0</v>
      </c>
      <c r="AC212" s="16">
        <f t="shared" si="97"/>
        <v>0</v>
      </c>
      <c r="AD212" s="16">
        <f t="shared" si="97"/>
        <v>0</v>
      </c>
      <c r="AE212" s="16">
        <f t="shared" si="97"/>
        <v>0</v>
      </c>
      <c r="AF212" s="16">
        <f t="shared" si="95"/>
        <v>0</v>
      </c>
      <c r="AG212" s="16">
        <f t="shared" si="95"/>
        <v>0</v>
      </c>
      <c r="AH212" s="16">
        <f t="shared" si="95"/>
        <v>0</v>
      </c>
      <c r="AI212" s="16">
        <f t="shared" si="95"/>
        <v>0</v>
      </c>
      <c r="AJ212" s="16">
        <f t="shared" si="95"/>
        <v>0</v>
      </c>
      <c r="AK212" s="16">
        <f t="shared" si="95"/>
        <v>0</v>
      </c>
      <c r="AL212" s="16">
        <f t="shared" si="95"/>
        <v>0</v>
      </c>
      <c r="AM212" s="16">
        <f t="shared" si="95"/>
        <v>0</v>
      </c>
      <c r="AN212" s="16">
        <f t="shared" si="95"/>
        <v>0</v>
      </c>
      <c r="AO212" s="16">
        <f t="shared" si="95"/>
        <v>0</v>
      </c>
      <c r="AP212" s="16">
        <f t="shared" si="95"/>
        <v>0</v>
      </c>
      <c r="AQ212" s="16">
        <f t="shared" si="95"/>
        <v>0</v>
      </c>
      <c r="AR212" s="16">
        <f t="shared" si="95"/>
        <v>0</v>
      </c>
      <c r="AS212" s="16">
        <f t="shared" si="95"/>
        <v>0</v>
      </c>
      <c r="AT212" s="16">
        <f t="shared" si="95"/>
        <v>0</v>
      </c>
      <c r="AU212" s="16">
        <f t="shared" si="96"/>
        <v>0</v>
      </c>
      <c r="AV212" s="16">
        <f t="shared" si="96"/>
        <v>0</v>
      </c>
      <c r="AW212" s="16">
        <f t="shared" si="96"/>
        <v>0</v>
      </c>
      <c r="AX212" s="16">
        <f t="shared" si="96"/>
        <v>0</v>
      </c>
      <c r="AY212" s="16">
        <f t="shared" si="96"/>
        <v>0</v>
      </c>
      <c r="AZ212" s="16">
        <f t="shared" si="96"/>
        <v>0</v>
      </c>
      <c r="BA212" s="16">
        <f t="shared" si="96"/>
        <v>0</v>
      </c>
      <c r="BB212" s="16">
        <f t="shared" si="96"/>
        <v>0</v>
      </c>
      <c r="BC212" s="16">
        <f t="shared" si="96"/>
        <v>0</v>
      </c>
      <c r="BD212" s="16">
        <f t="shared" si="96"/>
        <v>0</v>
      </c>
      <c r="BE212" s="16">
        <f t="shared" si="96"/>
        <v>0</v>
      </c>
      <c r="BF212" s="16">
        <f t="shared" si="96"/>
        <v>0</v>
      </c>
      <c r="BG212" s="16">
        <f t="shared" si="96"/>
        <v>0</v>
      </c>
      <c r="BH212" s="16">
        <f t="shared" si="96"/>
        <v>-0.66843628897446972</v>
      </c>
      <c r="BI212" s="16">
        <f t="shared" si="96"/>
        <v>2.3243996025053897</v>
      </c>
      <c r="BJ212" s="16">
        <f t="shared" si="96"/>
        <v>-0.65596331353092008</v>
      </c>
      <c r="BK212" s="16">
        <f t="shared" si="94"/>
        <v>0</v>
      </c>
      <c r="BL212" s="16">
        <f t="shared" si="94"/>
        <v>0</v>
      </c>
      <c r="BM212" s="16">
        <f t="shared" si="94"/>
        <v>0</v>
      </c>
      <c r="BN212" s="16">
        <f t="shared" si="94"/>
        <v>0</v>
      </c>
    </row>
    <row r="213" spans="1:66" customFormat="1" x14ac:dyDescent="0.25">
      <c r="A213" s="29"/>
      <c r="B213" s="29"/>
      <c r="C213" s="1"/>
      <c r="D213" s="1"/>
      <c r="E213" s="1"/>
      <c r="F213" s="1"/>
      <c r="G213" s="1"/>
      <c r="H213" s="1"/>
      <c r="I213" s="1"/>
      <c r="J213" s="93"/>
      <c r="K213" s="1"/>
      <c r="L213" s="29"/>
      <c r="M213" s="1"/>
      <c r="N213" s="29"/>
      <c r="O213" s="9">
        <f t="shared" si="86"/>
        <v>4</v>
      </c>
      <c r="P213" s="16">
        <f t="shared" si="97"/>
        <v>0</v>
      </c>
      <c r="Q213" s="16">
        <f t="shared" si="97"/>
        <v>0</v>
      </c>
      <c r="R213" s="16">
        <f t="shared" si="97"/>
        <v>0</v>
      </c>
      <c r="S213" s="16">
        <f t="shared" si="97"/>
        <v>0</v>
      </c>
      <c r="T213" s="16">
        <f t="shared" si="97"/>
        <v>0</v>
      </c>
      <c r="U213" s="16">
        <f t="shared" si="97"/>
        <v>0</v>
      </c>
      <c r="V213" s="16">
        <f t="shared" si="97"/>
        <v>0</v>
      </c>
      <c r="W213" s="16">
        <f t="shared" si="97"/>
        <v>0</v>
      </c>
      <c r="X213" s="16">
        <f t="shared" si="97"/>
        <v>0</v>
      </c>
      <c r="Y213" s="16">
        <f t="shared" si="97"/>
        <v>0</v>
      </c>
      <c r="Z213" s="16">
        <f t="shared" si="97"/>
        <v>0</v>
      </c>
      <c r="AA213" s="16">
        <f t="shared" si="97"/>
        <v>0</v>
      </c>
      <c r="AB213" s="16">
        <f t="shared" si="97"/>
        <v>0</v>
      </c>
      <c r="AC213" s="16">
        <f t="shared" si="97"/>
        <v>0</v>
      </c>
      <c r="AD213" s="16">
        <f t="shared" si="97"/>
        <v>0</v>
      </c>
      <c r="AE213" s="16">
        <f t="shared" si="97"/>
        <v>0</v>
      </c>
      <c r="AF213" s="16">
        <f t="shared" si="95"/>
        <v>0</v>
      </c>
      <c r="AG213" s="16">
        <f t="shared" si="95"/>
        <v>0</v>
      </c>
      <c r="AH213" s="16">
        <f t="shared" si="95"/>
        <v>0</v>
      </c>
      <c r="AI213" s="16">
        <f t="shared" si="95"/>
        <v>0</v>
      </c>
      <c r="AJ213" s="16">
        <f t="shared" si="95"/>
        <v>0</v>
      </c>
      <c r="AK213" s="16">
        <f t="shared" si="95"/>
        <v>0</v>
      </c>
      <c r="AL213" s="16">
        <f t="shared" si="95"/>
        <v>0</v>
      </c>
      <c r="AM213" s="16">
        <f t="shared" si="95"/>
        <v>0</v>
      </c>
      <c r="AN213" s="16">
        <f t="shared" si="95"/>
        <v>0</v>
      </c>
      <c r="AO213" s="16">
        <f t="shared" si="95"/>
        <v>0</v>
      </c>
      <c r="AP213" s="16">
        <f t="shared" si="95"/>
        <v>0</v>
      </c>
      <c r="AQ213" s="16">
        <f t="shared" si="95"/>
        <v>0</v>
      </c>
      <c r="AR213" s="16">
        <f t="shared" si="95"/>
        <v>0</v>
      </c>
      <c r="AS213" s="16">
        <f t="shared" si="95"/>
        <v>0</v>
      </c>
      <c r="AT213" s="16">
        <f t="shared" si="95"/>
        <v>0</v>
      </c>
      <c r="AU213" s="16">
        <f t="shared" si="96"/>
        <v>0</v>
      </c>
      <c r="AV213" s="16">
        <f t="shared" si="96"/>
        <v>0</v>
      </c>
      <c r="AW213" s="16">
        <f t="shared" si="96"/>
        <v>0</v>
      </c>
      <c r="AX213" s="16">
        <f t="shared" si="96"/>
        <v>0</v>
      </c>
      <c r="AY213" s="16">
        <f t="shared" si="96"/>
        <v>0</v>
      </c>
      <c r="AZ213" s="16">
        <f t="shared" si="96"/>
        <v>0</v>
      </c>
      <c r="BA213" s="16">
        <f t="shared" si="96"/>
        <v>0</v>
      </c>
      <c r="BB213" s="16">
        <f t="shared" si="96"/>
        <v>0</v>
      </c>
      <c r="BC213" s="16">
        <f t="shared" si="96"/>
        <v>0</v>
      </c>
      <c r="BD213" s="16">
        <f t="shared" si="96"/>
        <v>0</v>
      </c>
      <c r="BE213" s="16">
        <f t="shared" si="96"/>
        <v>0</v>
      </c>
      <c r="BF213" s="16">
        <f t="shared" si="96"/>
        <v>0</v>
      </c>
      <c r="BG213" s="16">
        <f t="shared" si="96"/>
        <v>0</v>
      </c>
      <c r="BH213" s="16">
        <f t="shared" si="96"/>
        <v>0</v>
      </c>
      <c r="BI213" s="16">
        <f t="shared" si="96"/>
        <v>-0.61444162213068076</v>
      </c>
      <c r="BJ213" s="16">
        <f t="shared" si="96"/>
        <v>2.2169860839318067</v>
      </c>
      <c r="BK213" s="16">
        <f t="shared" si="94"/>
        <v>-0.60254446180112631</v>
      </c>
      <c r="BL213" s="16">
        <f t="shared" si="94"/>
        <v>0</v>
      </c>
      <c r="BM213" s="16">
        <f t="shared" si="94"/>
        <v>0</v>
      </c>
      <c r="BN213" s="16">
        <f t="shared" si="94"/>
        <v>0</v>
      </c>
    </row>
    <row r="214" spans="1:66" customFormat="1" x14ac:dyDescent="0.25">
      <c r="A214" s="29"/>
      <c r="B214" s="29"/>
      <c r="C214" s="1"/>
      <c r="D214" s="1"/>
      <c r="E214" s="1"/>
      <c r="F214" s="1"/>
      <c r="G214" s="1"/>
      <c r="H214" s="1"/>
      <c r="I214" s="1"/>
      <c r="J214" s="93"/>
      <c r="K214" s="1"/>
      <c r="L214" s="29"/>
      <c r="M214" s="1"/>
      <c r="N214" s="29"/>
      <c r="O214" s="9">
        <f t="shared" si="86"/>
        <v>3</v>
      </c>
      <c r="P214" s="16">
        <f t="shared" si="97"/>
        <v>0</v>
      </c>
      <c r="Q214" s="16">
        <f t="shared" si="97"/>
        <v>0</v>
      </c>
      <c r="R214" s="16">
        <f t="shared" si="97"/>
        <v>0</v>
      </c>
      <c r="S214" s="16">
        <f t="shared" si="97"/>
        <v>0</v>
      </c>
      <c r="T214" s="16">
        <f t="shared" si="97"/>
        <v>0</v>
      </c>
      <c r="U214" s="16">
        <f t="shared" si="97"/>
        <v>0</v>
      </c>
      <c r="V214" s="16">
        <f t="shared" si="97"/>
        <v>0</v>
      </c>
      <c r="W214" s="16">
        <f t="shared" si="97"/>
        <v>0</v>
      </c>
      <c r="X214" s="16">
        <f t="shared" si="97"/>
        <v>0</v>
      </c>
      <c r="Y214" s="16">
        <f t="shared" si="97"/>
        <v>0</v>
      </c>
      <c r="Z214" s="16">
        <f t="shared" si="97"/>
        <v>0</v>
      </c>
      <c r="AA214" s="16">
        <f t="shared" si="97"/>
        <v>0</v>
      </c>
      <c r="AB214" s="16">
        <f t="shared" si="97"/>
        <v>0</v>
      </c>
      <c r="AC214" s="16">
        <f t="shared" si="97"/>
        <v>0</v>
      </c>
      <c r="AD214" s="16">
        <f t="shared" si="97"/>
        <v>0</v>
      </c>
      <c r="AE214" s="16">
        <f t="shared" si="97"/>
        <v>0</v>
      </c>
      <c r="AF214" s="16">
        <f t="shared" si="95"/>
        <v>0</v>
      </c>
      <c r="AG214" s="16">
        <f t="shared" si="95"/>
        <v>0</v>
      </c>
      <c r="AH214" s="16">
        <f t="shared" si="95"/>
        <v>0</v>
      </c>
      <c r="AI214" s="16">
        <f t="shared" si="95"/>
        <v>0</v>
      </c>
      <c r="AJ214" s="16">
        <f t="shared" si="95"/>
        <v>0</v>
      </c>
      <c r="AK214" s="16">
        <f t="shared" si="95"/>
        <v>0</v>
      </c>
      <c r="AL214" s="16">
        <f t="shared" si="95"/>
        <v>0</v>
      </c>
      <c r="AM214" s="16">
        <f t="shared" si="95"/>
        <v>0</v>
      </c>
      <c r="AN214" s="16">
        <f t="shared" si="95"/>
        <v>0</v>
      </c>
      <c r="AO214" s="16">
        <f t="shared" si="95"/>
        <v>0</v>
      </c>
      <c r="AP214" s="16">
        <f t="shared" si="95"/>
        <v>0</v>
      </c>
      <c r="AQ214" s="16">
        <f t="shared" si="95"/>
        <v>0</v>
      </c>
      <c r="AR214" s="16">
        <f t="shared" si="95"/>
        <v>0</v>
      </c>
      <c r="AS214" s="16">
        <f t="shared" si="95"/>
        <v>0</v>
      </c>
      <c r="AT214" s="16">
        <f t="shared" si="95"/>
        <v>0</v>
      </c>
      <c r="AU214" s="16">
        <f t="shared" si="96"/>
        <v>0</v>
      </c>
      <c r="AV214" s="16">
        <f t="shared" si="96"/>
        <v>0</v>
      </c>
      <c r="AW214" s="16">
        <f t="shared" si="96"/>
        <v>0</v>
      </c>
      <c r="AX214" s="16">
        <f t="shared" si="96"/>
        <v>0</v>
      </c>
      <c r="AY214" s="16">
        <f t="shared" si="96"/>
        <v>0</v>
      </c>
      <c r="AZ214" s="16">
        <f t="shared" si="96"/>
        <v>0</v>
      </c>
      <c r="BA214" s="16">
        <f t="shared" si="96"/>
        <v>0</v>
      </c>
      <c r="BB214" s="16">
        <f t="shared" si="96"/>
        <v>0</v>
      </c>
      <c r="BC214" s="16">
        <f t="shared" si="96"/>
        <v>0</v>
      </c>
      <c r="BD214" s="16">
        <f t="shared" si="96"/>
        <v>0</v>
      </c>
      <c r="BE214" s="16">
        <f t="shared" si="96"/>
        <v>0</v>
      </c>
      <c r="BF214" s="16">
        <f t="shared" si="96"/>
        <v>0</v>
      </c>
      <c r="BG214" s="16">
        <f t="shared" si="96"/>
        <v>0</v>
      </c>
      <c r="BH214" s="16">
        <f t="shared" si="96"/>
        <v>0</v>
      </c>
      <c r="BI214" s="16">
        <f t="shared" si="96"/>
        <v>0</v>
      </c>
      <c r="BJ214" s="16">
        <f t="shared" si="96"/>
        <v>-0.61444162213068076</v>
      </c>
      <c r="BK214" s="16">
        <f t="shared" si="94"/>
        <v>2.2169860839318067</v>
      </c>
      <c r="BL214" s="16">
        <f t="shared" si="94"/>
        <v>-0.60254446180112631</v>
      </c>
      <c r="BM214" s="16">
        <f t="shared" si="94"/>
        <v>0</v>
      </c>
      <c r="BN214" s="16">
        <f t="shared" si="94"/>
        <v>0</v>
      </c>
    </row>
    <row r="215" spans="1:66" customFormat="1" x14ac:dyDescent="0.25">
      <c r="A215" s="29"/>
      <c r="B215" s="29"/>
      <c r="C215" s="1"/>
      <c r="D215" s="1"/>
      <c r="E215" s="1"/>
      <c r="F215" s="1"/>
      <c r="G215" s="1"/>
      <c r="H215" s="1"/>
      <c r="I215" s="1"/>
      <c r="J215" s="93"/>
      <c r="K215" s="1"/>
      <c r="L215" s="29"/>
      <c r="M215" s="1"/>
      <c r="N215" s="29"/>
      <c r="O215" s="9">
        <f t="shared" si="86"/>
        <v>2</v>
      </c>
      <c r="P215" s="16">
        <f t="shared" si="97"/>
        <v>0</v>
      </c>
      <c r="Q215" s="16">
        <f t="shared" si="97"/>
        <v>0</v>
      </c>
      <c r="R215" s="16">
        <f t="shared" si="97"/>
        <v>0</v>
      </c>
      <c r="S215" s="16">
        <f t="shared" si="97"/>
        <v>0</v>
      </c>
      <c r="T215" s="16">
        <f t="shared" si="97"/>
        <v>0</v>
      </c>
      <c r="U215" s="16">
        <f t="shared" si="97"/>
        <v>0</v>
      </c>
      <c r="V215" s="16">
        <f t="shared" si="97"/>
        <v>0</v>
      </c>
      <c r="W215" s="16">
        <f t="shared" si="97"/>
        <v>0</v>
      </c>
      <c r="X215" s="16">
        <f t="shared" si="97"/>
        <v>0</v>
      </c>
      <c r="Y215" s="16">
        <f t="shared" si="97"/>
        <v>0</v>
      </c>
      <c r="Z215" s="16">
        <f t="shared" si="97"/>
        <v>0</v>
      </c>
      <c r="AA215" s="16">
        <f t="shared" si="97"/>
        <v>0</v>
      </c>
      <c r="AB215" s="16">
        <f t="shared" si="97"/>
        <v>0</v>
      </c>
      <c r="AC215" s="16">
        <f t="shared" si="97"/>
        <v>0</v>
      </c>
      <c r="AD215" s="16">
        <f t="shared" si="97"/>
        <v>0</v>
      </c>
      <c r="AE215" s="16">
        <f t="shared" si="97"/>
        <v>0</v>
      </c>
      <c r="AF215" s="16">
        <f t="shared" si="95"/>
        <v>0</v>
      </c>
      <c r="AG215" s="16">
        <f t="shared" si="95"/>
        <v>0</v>
      </c>
      <c r="AH215" s="16">
        <f t="shared" si="95"/>
        <v>0</v>
      </c>
      <c r="AI215" s="16">
        <f t="shared" si="95"/>
        <v>0</v>
      </c>
      <c r="AJ215" s="16">
        <f t="shared" si="95"/>
        <v>0</v>
      </c>
      <c r="AK215" s="16">
        <f t="shared" si="95"/>
        <v>0</v>
      </c>
      <c r="AL215" s="16">
        <f t="shared" si="95"/>
        <v>0</v>
      </c>
      <c r="AM215" s="16">
        <f t="shared" si="95"/>
        <v>0</v>
      </c>
      <c r="AN215" s="16">
        <f t="shared" si="95"/>
        <v>0</v>
      </c>
      <c r="AO215" s="16">
        <f t="shared" si="95"/>
        <v>0</v>
      </c>
      <c r="AP215" s="16">
        <f t="shared" si="95"/>
        <v>0</v>
      </c>
      <c r="AQ215" s="16">
        <f t="shared" si="95"/>
        <v>0</v>
      </c>
      <c r="AR215" s="16">
        <f t="shared" si="95"/>
        <v>0</v>
      </c>
      <c r="AS215" s="16">
        <f t="shared" si="95"/>
        <v>0</v>
      </c>
      <c r="AT215" s="16">
        <f t="shared" si="95"/>
        <v>0</v>
      </c>
      <c r="AU215" s="16">
        <f t="shared" si="96"/>
        <v>0</v>
      </c>
      <c r="AV215" s="16">
        <f t="shared" si="96"/>
        <v>0</v>
      </c>
      <c r="AW215" s="16">
        <f t="shared" si="96"/>
        <v>0</v>
      </c>
      <c r="AX215" s="16">
        <f t="shared" si="96"/>
        <v>0</v>
      </c>
      <c r="AY215" s="16">
        <f t="shared" si="96"/>
        <v>0</v>
      </c>
      <c r="AZ215" s="16">
        <f t="shared" si="96"/>
        <v>0</v>
      </c>
      <c r="BA215" s="16">
        <f t="shared" si="96"/>
        <v>0</v>
      </c>
      <c r="BB215" s="16">
        <f t="shared" si="96"/>
        <v>0</v>
      </c>
      <c r="BC215" s="16">
        <f t="shared" si="96"/>
        <v>0</v>
      </c>
      <c r="BD215" s="16">
        <f t="shared" si="96"/>
        <v>0</v>
      </c>
      <c r="BE215" s="16">
        <f t="shared" si="96"/>
        <v>0</v>
      </c>
      <c r="BF215" s="16">
        <f t="shared" si="96"/>
        <v>0</v>
      </c>
      <c r="BG215" s="16">
        <f t="shared" si="96"/>
        <v>0</v>
      </c>
      <c r="BH215" s="16">
        <f t="shared" si="96"/>
        <v>0</v>
      </c>
      <c r="BI215" s="16">
        <f t="shared" si="96"/>
        <v>0</v>
      </c>
      <c r="BJ215" s="16">
        <f t="shared" si="96"/>
        <v>0</v>
      </c>
      <c r="BK215" s="16">
        <f t="shared" si="94"/>
        <v>-0.61444162213068076</v>
      </c>
      <c r="BL215" s="16">
        <f t="shared" si="94"/>
        <v>2.2169860839318067</v>
      </c>
      <c r="BM215" s="16">
        <f t="shared" si="94"/>
        <v>-0.60254446180112631</v>
      </c>
      <c r="BN215" s="16">
        <f t="shared" si="94"/>
        <v>0</v>
      </c>
    </row>
    <row r="216" spans="1:66" customFormat="1" x14ac:dyDescent="0.25">
      <c r="A216" s="29"/>
      <c r="B216" s="29"/>
      <c r="C216" s="1"/>
      <c r="D216" s="1"/>
      <c r="E216" s="1"/>
      <c r="F216" s="1"/>
      <c r="G216" s="1"/>
      <c r="H216" s="1"/>
      <c r="I216" s="1"/>
      <c r="J216" s="93"/>
      <c r="K216" s="1"/>
      <c r="L216" s="29"/>
      <c r="M216" s="1"/>
      <c r="N216" s="29"/>
      <c r="O216" s="9">
        <f t="shared" si="86"/>
        <v>1</v>
      </c>
      <c r="P216" s="16">
        <f t="shared" si="97"/>
        <v>0</v>
      </c>
      <c r="Q216" s="16">
        <f t="shared" si="97"/>
        <v>0</v>
      </c>
      <c r="R216" s="16">
        <f t="shared" si="97"/>
        <v>0</v>
      </c>
      <c r="S216" s="16">
        <f t="shared" si="97"/>
        <v>0</v>
      </c>
      <c r="T216" s="16">
        <f t="shared" si="97"/>
        <v>0</v>
      </c>
      <c r="U216" s="16">
        <f t="shared" si="97"/>
        <v>0</v>
      </c>
      <c r="V216" s="16">
        <f t="shared" si="97"/>
        <v>0</v>
      </c>
      <c r="W216" s="16">
        <f t="shared" si="97"/>
        <v>0</v>
      </c>
      <c r="X216" s="16">
        <f t="shared" si="97"/>
        <v>0</v>
      </c>
      <c r="Y216" s="16">
        <f t="shared" si="97"/>
        <v>0</v>
      </c>
      <c r="Z216" s="16">
        <f t="shared" si="97"/>
        <v>0</v>
      </c>
      <c r="AA216" s="16">
        <f t="shared" si="97"/>
        <v>0</v>
      </c>
      <c r="AB216" s="16">
        <f t="shared" si="97"/>
        <v>0</v>
      </c>
      <c r="AC216" s="16">
        <f t="shared" si="97"/>
        <v>0</v>
      </c>
      <c r="AD216" s="16">
        <f t="shared" si="97"/>
        <v>0</v>
      </c>
      <c r="AE216" s="16">
        <f t="shared" si="97"/>
        <v>0</v>
      </c>
      <c r="AF216" s="16">
        <f t="shared" si="95"/>
        <v>0</v>
      </c>
      <c r="AG216" s="16">
        <f t="shared" si="95"/>
        <v>0</v>
      </c>
      <c r="AH216" s="16">
        <f t="shared" si="95"/>
        <v>0</v>
      </c>
      <c r="AI216" s="16">
        <f t="shared" si="95"/>
        <v>0</v>
      </c>
      <c r="AJ216" s="16">
        <f t="shared" si="95"/>
        <v>0</v>
      </c>
      <c r="AK216" s="16">
        <f t="shared" si="95"/>
        <v>0</v>
      </c>
      <c r="AL216" s="16">
        <f t="shared" si="95"/>
        <v>0</v>
      </c>
      <c r="AM216" s="16">
        <f t="shared" si="95"/>
        <v>0</v>
      </c>
      <c r="AN216" s="16">
        <f t="shared" si="95"/>
        <v>0</v>
      </c>
      <c r="AO216" s="16">
        <f t="shared" si="95"/>
        <v>0</v>
      </c>
      <c r="AP216" s="16">
        <f t="shared" si="95"/>
        <v>0</v>
      </c>
      <c r="AQ216" s="16">
        <f t="shared" si="95"/>
        <v>0</v>
      </c>
      <c r="AR216" s="16">
        <f t="shared" si="95"/>
        <v>0</v>
      </c>
      <c r="AS216" s="16">
        <f t="shared" si="95"/>
        <v>0</v>
      </c>
      <c r="AT216" s="16">
        <f t="shared" si="95"/>
        <v>0</v>
      </c>
      <c r="AU216" s="16">
        <f t="shared" si="96"/>
        <v>0</v>
      </c>
      <c r="AV216" s="16">
        <f t="shared" si="96"/>
        <v>0</v>
      </c>
      <c r="AW216" s="16">
        <f t="shared" si="96"/>
        <v>0</v>
      </c>
      <c r="AX216" s="16">
        <f t="shared" si="96"/>
        <v>0</v>
      </c>
      <c r="AY216" s="16">
        <f t="shared" si="96"/>
        <v>0</v>
      </c>
      <c r="AZ216" s="16">
        <f t="shared" si="96"/>
        <v>0</v>
      </c>
      <c r="BA216" s="16">
        <f t="shared" si="96"/>
        <v>0</v>
      </c>
      <c r="BB216" s="16">
        <f t="shared" si="96"/>
        <v>0</v>
      </c>
      <c r="BC216" s="16">
        <f t="shared" si="96"/>
        <v>0</v>
      </c>
      <c r="BD216" s="16">
        <f t="shared" si="96"/>
        <v>0</v>
      </c>
      <c r="BE216" s="16">
        <f t="shared" si="96"/>
        <v>0</v>
      </c>
      <c r="BF216" s="16">
        <f t="shared" si="96"/>
        <v>0</v>
      </c>
      <c r="BG216" s="16">
        <f t="shared" si="96"/>
        <v>0</v>
      </c>
      <c r="BH216" s="16">
        <f t="shared" si="96"/>
        <v>0</v>
      </c>
      <c r="BI216" s="16">
        <f t="shared" si="96"/>
        <v>0</v>
      </c>
      <c r="BJ216" s="16">
        <f t="shared" si="96"/>
        <v>0</v>
      </c>
      <c r="BK216" s="16">
        <f t="shared" si="94"/>
        <v>0</v>
      </c>
      <c r="BL216" s="16">
        <f t="shared" si="94"/>
        <v>-0.61444162213068076</v>
      </c>
      <c r="BM216" s="16">
        <f t="shared" si="94"/>
        <v>2.2169860839318067</v>
      </c>
      <c r="BN216" s="16">
        <f t="shared" si="94"/>
        <v>-0.60254446180112631</v>
      </c>
    </row>
    <row r="217" spans="1:66" customFormat="1" x14ac:dyDescent="0.25">
      <c r="A217" s="29"/>
      <c r="B217" s="29"/>
      <c r="C217" s="1"/>
      <c r="D217" s="1"/>
      <c r="E217" s="1"/>
      <c r="F217" s="1"/>
      <c r="G217" s="1"/>
      <c r="H217" s="1"/>
      <c r="I217" s="1"/>
      <c r="J217" s="93"/>
      <c r="K217" s="1"/>
      <c r="L217" s="29"/>
      <c r="M217" s="1"/>
      <c r="N217" s="29"/>
      <c r="O217" s="9">
        <f t="shared" si="86"/>
        <v>0</v>
      </c>
      <c r="P217" s="16">
        <f t="shared" si="97"/>
        <v>0</v>
      </c>
      <c r="Q217" s="16">
        <f t="shared" si="97"/>
        <v>0</v>
      </c>
      <c r="R217" s="16">
        <f t="shared" si="97"/>
        <v>0</v>
      </c>
      <c r="S217" s="16">
        <f t="shared" si="97"/>
        <v>0</v>
      </c>
      <c r="T217" s="16">
        <f t="shared" si="97"/>
        <v>0</v>
      </c>
      <c r="U217" s="16">
        <f t="shared" si="97"/>
        <v>0</v>
      </c>
      <c r="V217" s="16">
        <f t="shared" si="97"/>
        <v>0</v>
      </c>
      <c r="W217" s="16">
        <f t="shared" si="97"/>
        <v>0</v>
      </c>
      <c r="X217" s="16">
        <f t="shared" si="97"/>
        <v>0</v>
      </c>
      <c r="Y217" s="16">
        <f t="shared" si="97"/>
        <v>0</v>
      </c>
      <c r="Z217" s="16">
        <f t="shared" si="97"/>
        <v>0</v>
      </c>
      <c r="AA217" s="16">
        <f t="shared" si="97"/>
        <v>0</v>
      </c>
      <c r="AB217" s="16">
        <f t="shared" si="97"/>
        <v>0</v>
      </c>
      <c r="AC217" s="16">
        <f t="shared" si="97"/>
        <v>0</v>
      </c>
      <c r="AD217" s="16">
        <f t="shared" si="97"/>
        <v>0</v>
      </c>
      <c r="AE217" s="16">
        <f t="shared" si="97"/>
        <v>0</v>
      </c>
      <c r="AF217" s="16">
        <f t="shared" si="95"/>
        <v>0</v>
      </c>
      <c r="AG217" s="16">
        <f t="shared" si="95"/>
        <v>0</v>
      </c>
      <c r="AH217" s="16">
        <f t="shared" si="95"/>
        <v>0</v>
      </c>
      <c r="AI217" s="16">
        <f t="shared" si="95"/>
        <v>0</v>
      </c>
      <c r="AJ217" s="16">
        <f t="shared" si="95"/>
        <v>0</v>
      </c>
      <c r="AK217" s="16">
        <f t="shared" si="95"/>
        <v>0</v>
      </c>
      <c r="AL217" s="16">
        <f t="shared" si="95"/>
        <v>0</v>
      </c>
      <c r="AM217" s="16">
        <f t="shared" si="95"/>
        <v>0</v>
      </c>
      <c r="AN217" s="16">
        <f t="shared" si="95"/>
        <v>0</v>
      </c>
      <c r="AO217" s="16">
        <f t="shared" si="95"/>
        <v>0</v>
      </c>
      <c r="AP217" s="16">
        <f t="shared" si="95"/>
        <v>0</v>
      </c>
      <c r="AQ217" s="16">
        <f t="shared" si="95"/>
        <v>0</v>
      </c>
      <c r="AR217" s="16">
        <f t="shared" si="95"/>
        <v>0</v>
      </c>
      <c r="AS217" s="16">
        <f t="shared" si="95"/>
        <v>0</v>
      </c>
      <c r="AT217" s="16">
        <f t="shared" si="95"/>
        <v>0</v>
      </c>
      <c r="AU217" s="16">
        <f t="shared" si="96"/>
        <v>0</v>
      </c>
      <c r="AV217" s="16">
        <f t="shared" si="96"/>
        <v>0</v>
      </c>
      <c r="AW217" s="16">
        <f t="shared" si="96"/>
        <v>0</v>
      </c>
      <c r="AX217" s="16">
        <f t="shared" si="96"/>
        <v>0</v>
      </c>
      <c r="AY217" s="16">
        <f t="shared" si="96"/>
        <v>0</v>
      </c>
      <c r="AZ217" s="16">
        <f t="shared" si="96"/>
        <v>0</v>
      </c>
      <c r="BA217" s="16">
        <f t="shared" si="96"/>
        <v>0</v>
      </c>
      <c r="BB217" s="16">
        <f t="shared" si="96"/>
        <v>0</v>
      </c>
      <c r="BC217" s="16">
        <f t="shared" si="96"/>
        <v>0</v>
      </c>
      <c r="BD217" s="16">
        <f t="shared" si="96"/>
        <v>0</v>
      </c>
      <c r="BE217" s="16">
        <f t="shared" si="96"/>
        <v>0</v>
      </c>
      <c r="BF217" s="16">
        <f t="shared" si="96"/>
        <v>0</v>
      </c>
      <c r="BG217" s="16">
        <f t="shared" si="96"/>
        <v>0</v>
      </c>
      <c r="BH217" s="16">
        <f t="shared" si="96"/>
        <v>0</v>
      </c>
      <c r="BI217" s="16">
        <f t="shared" si="96"/>
        <v>0</v>
      </c>
      <c r="BJ217" s="16">
        <f t="shared" si="96"/>
        <v>0</v>
      </c>
      <c r="BK217" s="16">
        <f t="shared" si="94"/>
        <v>0</v>
      </c>
      <c r="BL217" s="16">
        <f t="shared" si="94"/>
        <v>0</v>
      </c>
      <c r="BM217" s="16">
        <f t="shared" si="94"/>
        <v>-0.61444162213068076</v>
      </c>
      <c r="BN217" s="16">
        <f t="shared" si="94"/>
        <v>2.2169860839318067</v>
      </c>
    </row>
    <row r="218" spans="1:66" customFormat="1" x14ac:dyDescent="0.25">
      <c r="A218" s="29"/>
      <c r="B218" s="29"/>
      <c r="C218" s="1"/>
      <c r="D218" s="1"/>
      <c r="E218" s="1"/>
      <c r="F218" s="1"/>
      <c r="G218" s="1"/>
      <c r="H218" s="1"/>
      <c r="I218" s="1"/>
      <c r="J218" s="93"/>
      <c r="K218" s="1"/>
      <c r="L218" s="29"/>
      <c r="M218" s="1"/>
      <c r="N218" s="29"/>
      <c r="AN218" s="8"/>
    </row>
    <row r="219" spans="1:66" customFormat="1" x14ac:dyDescent="0.25">
      <c r="A219" s="29"/>
      <c r="B219" s="29"/>
      <c r="C219" s="1"/>
      <c r="D219" s="1"/>
      <c r="E219" s="1"/>
      <c r="F219" s="1"/>
      <c r="G219" s="1"/>
      <c r="H219" s="1"/>
      <c r="I219" s="1"/>
      <c r="J219" s="93"/>
      <c r="K219" s="1"/>
      <c r="L219" s="29"/>
      <c r="M219" s="1"/>
      <c r="N219" s="29"/>
      <c r="AN219" s="8"/>
    </row>
    <row r="220" spans="1:66" customFormat="1" x14ac:dyDescent="0.25">
      <c r="A220" s="29"/>
      <c r="B220" s="29"/>
      <c r="C220" s="1"/>
      <c r="D220" s="1"/>
      <c r="E220" s="1"/>
      <c r="F220" s="1"/>
      <c r="G220" s="1"/>
      <c r="H220" s="1"/>
      <c r="I220" s="1"/>
      <c r="J220" s="93"/>
      <c r="K220" s="1"/>
      <c r="L220" s="29"/>
      <c r="M220" s="1"/>
      <c r="N220" s="29"/>
      <c r="O220" s="1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N220" s="8"/>
    </row>
    <row r="221" spans="1:66" customFormat="1" x14ac:dyDescent="0.25">
      <c r="A221" s="29"/>
      <c r="B221" s="29"/>
      <c r="C221" s="1"/>
      <c r="D221" s="1"/>
      <c r="E221" s="1"/>
      <c r="F221" s="1"/>
      <c r="G221" s="1"/>
      <c r="H221" s="1"/>
      <c r="I221" s="1"/>
      <c r="J221" s="93"/>
      <c r="K221" s="1"/>
      <c r="L221" s="29"/>
      <c r="M221" s="1"/>
      <c r="N221" s="29"/>
      <c r="O221" s="11" t="s">
        <v>14</v>
      </c>
      <c r="P221" s="24">
        <f t="shared" ref="P221:AJ221" si="98">P166</f>
        <v>50</v>
      </c>
      <c r="Q221" s="24">
        <f t="shared" si="98"/>
        <v>49</v>
      </c>
      <c r="R221" s="24">
        <f t="shared" si="98"/>
        <v>48</v>
      </c>
      <c r="S221" s="24">
        <f t="shared" si="98"/>
        <v>47</v>
      </c>
      <c r="T221" s="24">
        <f t="shared" si="98"/>
        <v>46</v>
      </c>
      <c r="U221" s="24">
        <f t="shared" si="98"/>
        <v>45</v>
      </c>
      <c r="V221" s="24">
        <f t="shared" si="98"/>
        <v>44</v>
      </c>
      <c r="W221" s="24">
        <f t="shared" si="98"/>
        <v>43</v>
      </c>
      <c r="X221" s="24">
        <f t="shared" si="98"/>
        <v>42</v>
      </c>
      <c r="Y221" s="24">
        <f t="shared" si="98"/>
        <v>41</v>
      </c>
      <c r="Z221" s="24">
        <f t="shared" si="98"/>
        <v>40</v>
      </c>
      <c r="AA221" s="24">
        <f t="shared" si="98"/>
        <v>39</v>
      </c>
      <c r="AB221" s="24">
        <f t="shared" si="98"/>
        <v>38</v>
      </c>
      <c r="AC221" s="24">
        <f t="shared" si="98"/>
        <v>37</v>
      </c>
      <c r="AD221" s="24">
        <f t="shared" si="98"/>
        <v>36</v>
      </c>
      <c r="AE221" s="24">
        <f t="shared" si="98"/>
        <v>35</v>
      </c>
      <c r="AF221" s="24">
        <f t="shared" si="98"/>
        <v>34</v>
      </c>
      <c r="AG221" s="24">
        <f t="shared" si="98"/>
        <v>33</v>
      </c>
      <c r="AH221" s="24">
        <f t="shared" si="98"/>
        <v>32</v>
      </c>
      <c r="AI221" s="24">
        <f t="shared" si="98"/>
        <v>31</v>
      </c>
      <c r="AJ221" s="24">
        <f t="shared" si="98"/>
        <v>30</v>
      </c>
      <c r="AK221" s="24">
        <f t="shared" ref="AK221:BN221" si="99">AK166</f>
        <v>29</v>
      </c>
      <c r="AL221" s="24">
        <f t="shared" si="99"/>
        <v>28</v>
      </c>
      <c r="AM221" s="24">
        <f t="shared" si="99"/>
        <v>27</v>
      </c>
      <c r="AN221" s="24">
        <f t="shared" si="99"/>
        <v>26</v>
      </c>
      <c r="AO221" s="24">
        <f t="shared" si="99"/>
        <v>25</v>
      </c>
      <c r="AP221" s="24">
        <f t="shared" si="99"/>
        <v>24</v>
      </c>
      <c r="AQ221" s="24">
        <f t="shared" si="99"/>
        <v>23</v>
      </c>
      <c r="AR221" s="24">
        <f t="shared" si="99"/>
        <v>22</v>
      </c>
      <c r="AS221" s="24">
        <f t="shared" si="99"/>
        <v>21</v>
      </c>
      <c r="AT221" s="24">
        <f t="shared" si="99"/>
        <v>20</v>
      </c>
      <c r="AU221" s="24">
        <f t="shared" si="99"/>
        <v>19</v>
      </c>
      <c r="AV221" s="24">
        <f t="shared" si="99"/>
        <v>18</v>
      </c>
      <c r="AW221" s="24">
        <f t="shared" si="99"/>
        <v>17</v>
      </c>
      <c r="AX221" s="24">
        <f t="shared" si="99"/>
        <v>16</v>
      </c>
      <c r="AY221" s="24">
        <f t="shared" si="99"/>
        <v>15</v>
      </c>
      <c r="AZ221" s="24">
        <f t="shared" si="99"/>
        <v>14</v>
      </c>
      <c r="BA221" s="24">
        <f t="shared" si="99"/>
        <v>13</v>
      </c>
      <c r="BB221" s="24">
        <f t="shared" si="99"/>
        <v>12</v>
      </c>
      <c r="BC221" s="24">
        <f t="shared" si="99"/>
        <v>11</v>
      </c>
      <c r="BD221" s="24">
        <f t="shared" si="99"/>
        <v>10</v>
      </c>
      <c r="BE221" s="24">
        <f t="shared" si="99"/>
        <v>9</v>
      </c>
      <c r="BF221" s="24">
        <f t="shared" si="99"/>
        <v>8</v>
      </c>
      <c r="BG221" s="24">
        <f t="shared" si="99"/>
        <v>7</v>
      </c>
      <c r="BH221" s="24">
        <f t="shared" si="99"/>
        <v>6</v>
      </c>
      <c r="BI221" s="24">
        <f t="shared" si="99"/>
        <v>5</v>
      </c>
      <c r="BJ221" s="24">
        <f t="shared" si="99"/>
        <v>4</v>
      </c>
      <c r="BK221" s="24">
        <f t="shared" si="99"/>
        <v>3</v>
      </c>
      <c r="BL221" s="24">
        <f t="shared" si="99"/>
        <v>2</v>
      </c>
      <c r="BM221" s="24">
        <f t="shared" si="99"/>
        <v>1</v>
      </c>
      <c r="BN221" s="24">
        <f t="shared" si="99"/>
        <v>0</v>
      </c>
    </row>
    <row r="222" spans="1:66" customFormat="1" x14ac:dyDescent="0.25">
      <c r="A222" s="29"/>
      <c r="B222" s="29"/>
      <c r="C222" s="1"/>
      <c r="D222" s="1"/>
      <c r="E222" s="1"/>
      <c r="F222" s="1"/>
      <c r="G222" s="1"/>
      <c r="H222" s="1"/>
      <c r="I222" s="1"/>
      <c r="J222" s="93"/>
      <c r="K222" s="1"/>
      <c r="L222" s="29"/>
      <c r="M222" s="1"/>
      <c r="N222" s="29"/>
      <c r="O222" s="9">
        <f>P221</f>
        <v>50</v>
      </c>
      <c r="P222" s="32" cm="1">
        <f t="array" ref="P222:BN272">IF(Q109="Implicit",MINVERSE(P111:BN161),MMULT(MINVERSE(P167:BN217),P111:BN161))</f>
        <v>9.9947042996812313E-3</v>
      </c>
      <c r="Q222" s="16">
        <v>0.28931588860503621</v>
      </c>
      <c r="R222" s="16">
        <v>8.2870806462496963E-2</v>
      </c>
      <c r="S222" s="16">
        <v>2.3721664767236913E-2</v>
      </c>
      <c r="T222" s="16">
        <v>6.7368863049784601E-3</v>
      </c>
      <c r="U222" s="16">
        <v>2.0486813147798577E-3</v>
      </c>
      <c r="V222" s="16">
        <v>6.0083899375078806E-4</v>
      </c>
      <c r="W222" s="16">
        <v>1.4228466663745244E-4</v>
      </c>
      <c r="X222" s="16">
        <v>2.5087922831490453E-5</v>
      </c>
      <c r="Y222" s="16">
        <v>2.8885518714778496E-6</v>
      </c>
      <c r="Z222" s="16">
        <v>1.7201754159224345E-7</v>
      </c>
      <c r="AA222" s="16">
        <v>3.1304723791829591E-9</v>
      </c>
      <c r="AB222" s="16">
        <v>-4.5459566950959372E-12</v>
      </c>
      <c r="AC222" s="16">
        <v>-1.2443607995962315E-14</v>
      </c>
      <c r="AD222" s="16">
        <v>-3.3587711333599325E-16</v>
      </c>
      <c r="AE222" s="16">
        <v>-2.1716405240070738E-17</v>
      </c>
      <c r="AF222" s="16">
        <v>-2.3748145317812978E-18</v>
      </c>
      <c r="AG222" s="16">
        <v>-3.712593849341819E-19</v>
      </c>
      <c r="AH222" s="16">
        <v>-7.4612989876750075E-20</v>
      </c>
      <c r="AI222" s="16">
        <v>-1.9876980337073297E-20</v>
      </c>
      <c r="AJ222" s="16">
        <v>-5.7665716302617952E-21</v>
      </c>
      <c r="AK222" s="16">
        <v>-1.6847866969756636E-21</v>
      </c>
      <c r="AL222" s="16">
        <v>-4.9917265333624356E-22</v>
      </c>
      <c r="AM222" s="16">
        <v>-1.5110423816230931E-22</v>
      </c>
      <c r="AN222" s="16">
        <v>-4.4419843965025679E-23</v>
      </c>
      <c r="AO222" s="16">
        <v>-1.275520262778472E-23</v>
      </c>
      <c r="AP222" s="16">
        <v>-3.2811576768823419E-24</v>
      </c>
      <c r="AQ222" s="16">
        <v>-8.8902054333234583E-25</v>
      </c>
      <c r="AR222" s="16">
        <v>-2.6274158335449841E-25</v>
      </c>
      <c r="AS222" s="16">
        <v>-8.2673301968932749E-26</v>
      </c>
      <c r="AT222" s="16">
        <v>-2.7409620535691025E-26</v>
      </c>
      <c r="AU222" s="16">
        <v>-9.9429450848696517E-27</v>
      </c>
      <c r="AV222" s="16">
        <v>-3.8435869607011252E-27</v>
      </c>
      <c r="AW222" s="16">
        <v>-1.7878089688012154E-27</v>
      </c>
      <c r="AX222" s="16">
        <v>-8.3441209992916765E-28</v>
      </c>
      <c r="AY222" s="16">
        <v>-3.8111184647990036E-28</v>
      </c>
      <c r="AZ222" s="16">
        <v>-1.7013675471396532E-28</v>
      </c>
      <c r="BA222" s="16">
        <v>-7.4136593233426179E-29</v>
      </c>
      <c r="BB222" s="16">
        <v>-3.1486104387609296E-29</v>
      </c>
      <c r="BC222" s="16">
        <v>-1.3012538769835546E-29</v>
      </c>
      <c r="BD222" s="16">
        <v>-5.2239832115480439E-30</v>
      </c>
      <c r="BE222" s="16">
        <v>-2.0333151109488857E-30</v>
      </c>
      <c r="BF222" s="16">
        <v>-7.6569326987197251E-31</v>
      </c>
      <c r="BG222" s="16">
        <v>-2.7832023560393903E-31</v>
      </c>
      <c r="BH222" s="16">
        <v>-9.7405165696014937E-32</v>
      </c>
      <c r="BI222" s="16">
        <v>-3.2746898111238609E-32</v>
      </c>
      <c r="BJ222" s="16">
        <v>-1.0555285916824023E-32</v>
      </c>
      <c r="BK222" s="16">
        <v>-3.125045777260782E-33</v>
      </c>
      <c r="BL222" s="16">
        <v>-9.2466705943048422E-34</v>
      </c>
      <c r="BM222" s="16">
        <v>-2.7178330869735239E-34</v>
      </c>
      <c r="BN222" s="16">
        <v>-7.3866736761444085E-35</v>
      </c>
    </row>
    <row r="223" spans="1:66" customFormat="1" x14ac:dyDescent="0.25">
      <c r="A223" s="29"/>
      <c r="B223" s="29"/>
      <c r="C223" s="1"/>
      <c r="D223" s="1"/>
      <c r="E223" s="1"/>
      <c r="F223" s="1"/>
      <c r="G223" s="1"/>
      <c r="H223" s="1"/>
      <c r="I223" s="1"/>
      <c r="J223" s="93"/>
      <c r="K223" s="1"/>
      <c r="L223" s="29"/>
      <c r="M223" s="1"/>
      <c r="N223" s="29"/>
      <c r="O223" s="9">
        <f>O222-1</f>
        <v>49</v>
      </c>
      <c r="P223" s="16">
        <v>0.29518983872739563</v>
      </c>
      <c r="Q223" s="16">
        <v>9.4548028048413169E-2</v>
      </c>
      <c r="R223" s="16">
        <v>0.31351917184243017</v>
      </c>
      <c r="S223" s="16">
        <v>8.9744471063082518E-2</v>
      </c>
      <c r="T223" s="16">
        <v>2.5487178239170426E-2</v>
      </c>
      <c r="U223" s="16">
        <v>7.7506289198418033E-3</v>
      </c>
      <c r="V223" s="16">
        <v>2.2731110239241452E-3</v>
      </c>
      <c r="W223" s="16">
        <v>5.3829536303882897E-4</v>
      </c>
      <c r="X223" s="16">
        <v>9.4913337098212263E-5</v>
      </c>
      <c r="Y223" s="16">
        <v>1.092805089304244E-5</v>
      </c>
      <c r="Z223" s="16">
        <v>6.5078161399065478E-7</v>
      </c>
      <c r="AA223" s="16">
        <v>1.1843291379590987E-8</v>
      </c>
      <c r="AB223" s="16">
        <v>-1.7198391558105817E-11</v>
      </c>
      <c r="AC223" s="16">
        <v>-4.7077008661566222E-14</v>
      </c>
      <c r="AD223" s="16">
        <v>-1.2706997664078698E-15</v>
      </c>
      <c r="AE223" s="16">
        <v>-8.2158116674570665E-17</v>
      </c>
      <c r="AF223" s="16">
        <v>-8.9844653028734059E-18</v>
      </c>
      <c r="AG223" s="16">
        <v>-1.4045589740455818E-18</v>
      </c>
      <c r="AH223" s="16">
        <v>-2.8227796727708441E-19</v>
      </c>
      <c r="AI223" s="16">
        <v>-7.5199152512503729E-20</v>
      </c>
      <c r="AJ223" s="16">
        <v>-2.1816256400351383E-20</v>
      </c>
      <c r="AK223" s="16">
        <v>-6.3739325404778728E-21</v>
      </c>
      <c r="AL223" s="16">
        <v>-1.8884840580282206E-21</v>
      </c>
      <c r="AM223" s="16">
        <v>-5.7166181473046978E-22</v>
      </c>
      <c r="AN223" s="16">
        <v>-1.6805040626203175E-22</v>
      </c>
      <c r="AO223" s="16">
        <v>-4.8255842259182013E-23</v>
      </c>
      <c r="AP223" s="16">
        <v>-1.2413368246948617E-23</v>
      </c>
      <c r="AQ223" s="16">
        <v>-3.3633675885922602E-24</v>
      </c>
      <c r="AR223" s="16">
        <v>-9.9401136706868708E-25</v>
      </c>
      <c r="AS223" s="16">
        <v>-3.1277196727304493E-25</v>
      </c>
      <c r="AT223" s="16">
        <v>-1.0369684932116672E-25</v>
      </c>
      <c r="AU223" s="16">
        <v>-3.7616430221344902E-26</v>
      </c>
      <c r="AV223" s="16">
        <v>-1.4541166573161295E-26</v>
      </c>
      <c r="AW223" s="16">
        <v>-6.7636893043231725E-27</v>
      </c>
      <c r="AX223" s="16">
        <v>-3.1567713856324575E-27</v>
      </c>
      <c r="AY223" s="16">
        <v>-1.4418330843901085E-27</v>
      </c>
      <c r="AZ223" s="16">
        <v>-6.4366616803735958E-28</v>
      </c>
      <c r="BA223" s="16">
        <v>-2.8047565006238453E-28</v>
      </c>
      <c r="BB223" s="16">
        <v>-1.1911911798052674E-28</v>
      </c>
      <c r="BC223" s="16">
        <v>-4.9229403608285237E-29</v>
      </c>
      <c r="BD223" s="16">
        <v>-1.976352059448695E-29</v>
      </c>
      <c r="BE223" s="16">
        <v>-7.6924950642043701E-30</v>
      </c>
      <c r="BF223" s="16">
        <v>-2.896792369991255E-30</v>
      </c>
      <c r="BG223" s="16">
        <v>-1.0529489635535981E-30</v>
      </c>
      <c r="BH223" s="16">
        <v>-3.6850596954199288E-31</v>
      </c>
      <c r="BI223" s="16">
        <v>-1.2388898834826932E-31</v>
      </c>
      <c r="BJ223" s="16">
        <v>-3.9933055323895575E-32</v>
      </c>
      <c r="BK223" s="16">
        <v>-1.18227613061769E-32</v>
      </c>
      <c r="BL223" s="16">
        <v>-3.4982264934734853E-33</v>
      </c>
      <c r="BM223" s="16">
        <v>-1.0282182773489816E-33</v>
      </c>
      <c r="BN223" s="16">
        <v>-2.7945472144803061E-34</v>
      </c>
    </row>
    <row r="224" spans="1:66" customFormat="1" x14ac:dyDescent="0.25">
      <c r="A224" s="29"/>
      <c r="B224" s="29"/>
      <c r="C224" s="1"/>
      <c r="D224" s="1"/>
      <c r="E224" s="1"/>
      <c r="F224" s="1"/>
      <c r="G224" s="1"/>
      <c r="H224" s="1"/>
      <c r="I224" s="1"/>
      <c r="J224" s="93"/>
      <c r="K224" s="1"/>
      <c r="L224" s="29"/>
      <c r="M224" s="1"/>
      <c r="N224" s="29"/>
      <c r="O224" s="9">
        <f t="shared" ref="O224:O272" si="100">O223-1</f>
        <v>48</v>
      </c>
      <c r="P224" s="16">
        <v>8.627000100684748E-2</v>
      </c>
      <c r="Q224" s="16">
        <v>0.31988451868419987</v>
      </c>
      <c r="R224" s="16">
        <v>0.10156124793998651</v>
      </c>
      <c r="S224" s="16">
        <v>0.31532053034909197</v>
      </c>
      <c r="T224" s="16">
        <v>8.9550146814370374E-2</v>
      </c>
      <c r="U224" s="16">
        <v>2.7232122409253004E-2</v>
      </c>
      <c r="V224" s="16">
        <v>7.986659959278275E-3</v>
      </c>
      <c r="W224" s="16">
        <v>1.8913207392860032E-3</v>
      </c>
      <c r="X224" s="16">
        <v>3.3348153302918882E-4</v>
      </c>
      <c r="Y224" s="16">
        <v>3.8396112456375012E-5</v>
      </c>
      <c r="Z224" s="16">
        <v>2.2865453574374545E-6</v>
      </c>
      <c r="AA224" s="16">
        <v>4.1611843879122971E-8</v>
      </c>
      <c r="AB224" s="16">
        <v>-6.0427187134919688E-11</v>
      </c>
      <c r="AC224" s="16">
        <v>-1.6540681740694172E-13</v>
      </c>
      <c r="AD224" s="16">
        <v>-4.4646507970006912E-15</v>
      </c>
      <c r="AE224" s="16">
        <v>-2.8866559260345346E-16</v>
      </c>
      <c r="AF224" s="16">
        <v>-3.1567252340411204E-17</v>
      </c>
      <c r="AG224" s="16">
        <v>-4.9349700918212449E-18</v>
      </c>
      <c r="AH224" s="16">
        <v>-9.9179411604207918E-19</v>
      </c>
      <c r="AI224" s="16">
        <v>-2.6421501370683413E-19</v>
      </c>
      <c r="AJ224" s="16">
        <v>-7.6652226670935033E-20</v>
      </c>
      <c r="AK224" s="16">
        <v>-2.2395048578091038E-20</v>
      </c>
      <c r="AL224" s="16">
        <v>-6.6352588374463194E-21</v>
      </c>
      <c r="AM224" s="16">
        <v>-2.008555005850237E-21</v>
      </c>
      <c r="AN224" s="16">
        <v>-5.9045134034693959E-22</v>
      </c>
      <c r="AO224" s="16">
        <v>-1.6954869300986619E-22</v>
      </c>
      <c r="AP224" s="16">
        <v>-4.3614830113546299E-23</v>
      </c>
      <c r="AQ224" s="16">
        <v>-1.1817316869006806E-23</v>
      </c>
      <c r="AR224" s="16">
        <v>-3.4924958353903373E-24</v>
      </c>
      <c r="AS224" s="16">
        <v>-1.0989359169495993E-24</v>
      </c>
      <c r="AT224" s="16">
        <v>-3.6434272926402903E-25</v>
      </c>
      <c r="AU224" s="16">
        <v>-1.3216672388538205E-25</v>
      </c>
      <c r="AV224" s="16">
        <v>-5.1090928515482189E-26</v>
      </c>
      <c r="AW224" s="16">
        <v>-2.3764473435433586E-26</v>
      </c>
      <c r="AX224" s="16">
        <v>-1.1091433441161951E-26</v>
      </c>
      <c r="AY224" s="16">
        <v>-5.0659340621126863E-27</v>
      </c>
      <c r="AZ224" s="16">
        <v>-2.2615449739588307E-27</v>
      </c>
      <c r="BA224" s="16">
        <v>-9.8546160760713622E-28</v>
      </c>
      <c r="BB224" s="16">
        <v>-4.1852944266543001E-28</v>
      </c>
      <c r="BC224" s="16">
        <v>-1.7296933694804067E-28</v>
      </c>
      <c r="BD224" s="16">
        <v>-6.9439863220525141E-29</v>
      </c>
      <c r="BE224" s="16">
        <v>-2.7027866949571835E-29</v>
      </c>
      <c r="BF224" s="16">
        <v>-1.0177987519418243E-29</v>
      </c>
      <c r="BG224" s="16">
        <v>-3.6995752683735671E-30</v>
      </c>
      <c r="BH224" s="16">
        <v>-1.29475940273926E-30</v>
      </c>
      <c r="BI224" s="16">
        <v>-4.352885592576467E-31</v>
      </c>
      <c r="BJ224" s="16">
        <v>-1.40306272175135E-31</v>
      </c>
      <c r="BK224" s="16">
        <v>-4.1539710704116739E-32</v>
      </c>
      <c r="BL224" s="16">
        <v>-1.2291148637200694E-32</v>
      </c>
      <c r="BM224" s="16">
        <v>-3.6126830844031984E-33</v>
      </c>
      <c r="BN224" s="16">
        <v>-9.8187453702425487E-34</v>
      </c>
    </row>
    <row r="225" spans="1:66" customFormat="1" x14ac:dyDescent="0.25">
      <c r="A225" s="29"/>
      <c r="B225" s="29"/>
      <c r="C225" s="1"/>
      <c r="D225" s="1"/>
      <c r="E225" s="1"/>
      <c r="F225" s="1"/>
      <c r="G225" s="1"/>
      <c r="H225" s="1"/>
      <c r="I225" s="1"/>
      <c r="J225" s="93"/>
      <c r="K225" s="1"/>
      <c r="L225" s="29"/>
      <c r="M225" s="1"/>
      <c r="N225" s="29"/>
      <c r="O225" s="9">
        <f t="shared" si="100"/>
        <v>47</v>
      </c>
      <c r="P225" s="16">
        <v>2.5196053452236151E-2</v>
      </c>
      <c r="Q225" s="16">
        <v>9.3425609565835094E-2</v>
      </c>
      <c r="R225" s="16">
        <v>0.32172244998356808</v>
      </c>
      <c r="S225" s="16">
        <v>0.10136297834644731</v>
      </c>
      <c r="T225" s="16">
        <v>0.3127839988650476</v>
      </c>
      <c r="U225" s="16">
        <v>9.511734427867799E-2</v>
      </c>
      <c r="V225" s="16">
        <v>2.789609541139847E-2</v>
      </c>
      <c r="W225" s="16">
        <v>6.6060736359992477E-3</v>
      </c>
      <c r="X225" s="16">
        <v>1.1647963868192961E-3</v>
      </c>
      <c r="Y225" s="16">
        <v>1.3411133339481931E-4</v>
      </c>
      <c r="Z225" s="16">
        <v>7.9865285086369851E-6</v>
      </c>
      <c r="AA225" s="16">
        <v>1.453433566741121E-7</v>
      </c>
      <c r="AB225" s="16">
        <v>-2.1106226962872709E-10</v>
      </c>
      <c r="AC225" s="16">
        <v>-5.7773892761258615E-13</v>
      </c>
      <c r="AD225" s="16">
        <v>-1.5594294141322411E-14</v>
      </c>
      <c r="AE225" s="16">
        <v>-1.0082616455830061E-15</v>
      </c>
      <c r="AF225" s="16">
        <v>-1.1025924324482941E-16</v>
      </c>
      <c r="AG225" s="16">
        <v>-1.7237042422710546E-17</v>
      </c>
      <c r="AH225" s="16">
        <v>-3.4641744397082891E-18</v>
      </c>
      <c r="AI225" s="16">
        <v>-9.228597773124489E-19</v>
      </c>
      <c r="AJ225" s="16">
        <v>-2.6773367585588009E-19</v>
      </c>
      <c r="AK225" s="16">
        <v>-7.8222237463805348E-20</v>
      </c>
      <c r="AL225" s="16">
        <v>-2.3175872586599266E-20</v>
      </c>
      <c r="AM225" s="16">
        <v>-7.0155537318385493E-21</v>
      </c>
      <c r="AN225" s="16">
        <v>-2.0623498446270136E-21</v>
      </c>
      <c r="AO225" s="16">
        <v>-5.9220582085587432E-22</v>
      </c>
      <c r="AP225" s="16">
        <v>-1.5233945959925029E-22</v>
      </c>
      <c r="AQ225" s="16">
        <v>-4.1275952721834964E-23</v>
      </c>
      <c r="AR225" s="16">
        <v>-1.2198716052106065E-23</v>
      </c>
      <c r="AS225" s="16">
        <v>-3.8384032056635807E-24</v>
      </c>
      <c r="AT225" s="16">
        <v>-1.2725894917050077E-24</v>
      </c>
      <c r="AU225" s="16">
        <v>-4.6163672405200901E-25</v>
      </c>
      <c r="AV225" s="16">
        <v>-1.7845224709599674E-25</v>
      </c>
      <c r="AW225" s="16">
        <v>-8.3005414245331996E-26</v>
      </c>
      <c r="AX225" s="16">
        <v>-3.8740560772765065E-26</v>
      </c>
      <c r="AY225" s="16">
        <v>-1.7694478125411447E-26</v>
      </c>
      <c r="AZ225" s="16">
        <v>-7.8992062629927297E-27</v>
      </c>
      <c r="BA225" s="16">
        <v>-3.4420560247018464E-27</v>
      </c>
      <c r="BB225" s="16">
        <v>-1.46185480846856E-27</v>
      </c>
      <c r="BC225" s="16">
        <v>-6.0415356999685075E-28</v>
      </c>
      <c r="BD225" s="16">
        <v>-2.4254207135785927E-28</v>
      </c>
      <c r="BE225" s="16">
        <v>-9.4403913405119212E-29</v>
      </c>
      <c r="BF225" s="16">
        <v>-3.555004374611831E-29</v>
      </c>
      <c r="BG225" s="16">
        <v>-1.2922010601979513E-29</v>
      </c>
      <c r="BH225" s="16">
        <v>-4.5223825751664542E-30</v>
      </c>
      <c r="BI225" s="16">
        <v>-1.5203916583971848E-30</v>
      </c>
      <c r="BJ225" s="16">
        <v>-4.900668333660847E-31</v>
      </c>
      <c r="BK225" s="16">
        <v>-1.4509140730572016E-31</v>
      </c>
      <c r="BL225" s="16">
        <v>-4.2930969497543886E-32</v>
      </c>
      <c r="BM225" s="16">
        <v>-1.2618510432083556E-32</v>
      </c>
      <c r="BN225" s="16">
        <v>-3.4295269745434965E-33</v>
      </c>
    </row>
    <row r="226" spans="1:66" customFormat="1" x14ac:dyDescent="0.25">
      <c r="A226" s="29"/>
      <c r="B226" s="29"/>
      <c r="C226" s="1"/>
      <c r="D226" s="1"/>
      <c r="E226" s="1"/>
      <c r="F226" s="1"/>
      <c r="G226" s="1"/>
      <c r="H226" s="1"/>
      <c r="I226" s="1"/>
      <c r="J226" s="93"/>
      <c r="K226" s="1"/>
      <c r="L226" s="29"/>
      <c r="M226" s="1"/>
      <c r="N226" s="29"/>
      <c r="O226" s="9">
        <f t="shared" si="100"/>
        <v>46</v>
      </c>
      <c r="P226" s="16">
        <v>7.3008881285725278E-3</v>
      </c>
      <c r="Q226" s="16">
        <v>2.7071300077882714E-2</v>
      </c>
      <c r="R226" s="16">
        <v>9.3223314525546858E-2</v>
      </c>
      <c r="S226" s="16">
        <v>0.31913441956701466</v>
      </c>
      <c r="T226" s="16">
        <v>9.1964970503133917E-2</v>
      </c>
      <c r="U226" s="16">
        <v>0.33206560571027194</v>
      </c>
      <c r="V226" s="16">
        <v>9.7388482510587571E-2</v>
      </c>
      <c r="W226" s="16">
        <v>2.306256403540578E-2</v>
      </c>
      <c r="X226" s="16">
        <v>4.0664383625457308E-3</v>
      </c>
      <c r="Y226" s="16">
        <v>4.6819811354158896E-4</v>
      </c>
      <c r="Z226" s="16">
        <v>2.7881891014248941E-5</v>
      </c>
      <c r="AA226" s="16">
        <v>5.0741040065783399E-7</v>
      </c>
      <c r="AB226" s="16">
        <v>-7.36842696128123E-10</v>
      </c>
      <c r="AC226" s="16">
        <v>-2.0169531476614388E-12</v>
      </c>
      <c r="AD226" s="16">
        <v>-5.4441477197794022E-14</v>
      </c>
      <c r="AE226" s="16">
        <v>-3.519957549214387E-15</v>
      </c>
      <c r="AF226" s="16">
        <v>-3.8492771923887608E-16</v>
      </c>
      <c r="AG226" s="16">
        <v>-6.0176500680897525E-17</v>
      </c>
      <c r="AH226" s="16">
        <v>-1.2093832016981988E-17</v>
      </c>
      <c r="AI226" s="16">
        <v>-3.2218097894013681E-18</v>
      </c>
      <c r="AJ226" s="16">
        <v>-9.3468910340519121E-19</v>
      </c>
      <c r="AK226" s="16">
        <v>-2.7308284162485727E-19</v>
      </c>
      <c r="AL226" s="16">
        <v>-8.090964089352028E-20</v>
      </c>
      <c r="AM226" s="16">
        <v>-2.4492106219140385E-20</v>
      </c>
      <c r="AN226" s="16">
        <v>-7.1999008754502282E-21</v>
      </c>
      <c r="AO226" s="16">
        <v>-2.0674587384557273E-21</v>
      </c>
      <c r="AP226" s="16">
        <v>-5.3183460187019041E-22</v>
      </c>
      <c r="AQ226" s="16">
        <v>-1.4409910564457547E-22</v>
      </c>
      <c r="AR226" s="16">
        <v>-4.258712294218521E-23</v>
      </c>
      <c r="AS226" s="16">
        <v>-1.3400307747392056E-23</v>
      </c>
      <c r="AT226" s="16">
        <v>-4.4427565086915366E-24</v>
      </c>
      <c r="AU226" s="16">
        <v>-1.6116269808933172E-24</v>
      </c>
      <c r="AV226" s="16">
        <v>-6.2299735102649224E-25</v>
      </c>
      <c r="AW226" s="16">
        <v>-2.8978146275670281E-25</v>
      </c>
      <c r="AX226" s="16">
        <v>-1.3524776029146961E-25</v>
      </c>
      <c r="AY226" s="16">
        <v>-6.1773461412326704E-26</v>
      </c>
      <c r="AZ226" s="16">
        <v>-2.7577038995810687E-26</v>
      </c>
      <c r="BA226" s="16">
        <v>-1.20166140823123E-26</v>
      </c>
      <c r="BB226" s="16">
        <v>-5.1035035315152591E-27</v>
      </c>
      <c r="BC226" s="16">
        <v>-2.1091697070015772E-27</v>
      </c>
      <c r="BD226" s="16">
        <v>-8.467423102110914E-28</v>
      </c>
      <c r="BE226" s="16">
        <v>-3.295749363485769E-28</v>
      </c>
      <c r="BF226" s="16">
        <v>-1.2410929782684965E-28</v>
      </c>
      <c r="BG226" s="16">
        <v>-4.5112227534119302E-29</v>
      </c>
      <c r="BH226" s="16">
        <v>-1.5788158515826679E-29</v>
      </c>
      <c r="BI226" s="16">
        <v>-5.3078624176398536E-30</v>
      </c>
      <c r="BJ226" s="16">
        <v>-1.7108797674527086E-30</v>
      </c>
      <c r="BK226" s="16">
        <v>-5.0653081639002394E-31</v>
      </c>
      <c r="BL226" s="16">
        <v>-1.4987695985459507E-31</v>
      </c>
      <c r="BM226" s="16">
        <v>-4.4052673479977538E-32</v>
      </c>
      <c r="BN226" s="16">
        <v>-1.1972873724953107E-32</v>
      </c>
    </row>
    <row r="227" spans="1:66" customFormat="1" x14ac:dyDescent="0.25">
      <c r="A227" s="29"/>
      <c r="B227" s="29"/>
      <c r="C227" s="1"/>
      <c r="D227" s="1"/>
      <c r="E227" s="1"/>
      <c r="F227" s="1"/>
      <c r="G227" s="1"/>
      <c r="H227" s="1"/>
      <c r="I227" s="1"/>
      <c r="J227" s="93"/>
      <c r="K227" s="1"/>
      <c r="L227" s="29"/>
      <c r="M227" s="1"/>
      <c r="N227" s="29"/>
      <c r="O227" s="9">
        <f t="shared" si="100"/>
        <v>45</v>
      </c>
      <c r="P227" s="16">
        <v>1.9133195610780739E-3</v>
      </c>
      <c r="Q227" s="16">
        <v>7.0944859133123791E-3</v>
      </c>
      <c r="R227" s="16">
        <v>2.4430725151398353E-2</v>
      </c>
      <c r="S227" s="16">
        <v>8.3634499915320876E-2</v>
      </c>
      <c r="T227" s="16">
        <v>0.28616764170089865</v>
      </c>
      <c r="U227" s="16">
        <v>0.15923146154248491</v>
      </c>
      <c r="V227" s="16">
        <v>0.33998038633562977</v>
      </c>
      <c r="W227" s="16">
        <v>8.0510746533041466E-2</v>
      </c>
      <c r="X227" s="16">
        <v>1.4195819155083597E-2</v>
      </c>
      <c r="Y227" s="16">
        <v>1.634466123919504E-3</v>
      </c>
      <c r="Z227" s="16">
        <v>9.7334878154218491E-5</v>
      </c>
      <c r="AA227" s="16">
        <v>1.7713550883967486E-6</v>
      </c>
      <c r="AB227" s="16">
        <v>-2.5722966211224404E-9</v>
      </c>
      <c r="AC227" s="16">
        <v>-7.0411253228866384E-12</v>
      </c>
      <c r="AD227" s="16">
        <v>-1.9005362824475861E-13</v>
      </c>
      <c r="AE227" s="16">
        <v>-1.2288070381801287E-14</v>
      </c>
      <c r="AF227" s="16">
        <v>-1.3437715767251905E-15</v>
      </c>
      <c r="AG227" s="16">
        <v>-2.1007442997783281E-16</v>
      </c>
      <c r="AH227" s="16">
        <v>-4.2219219104936215E-17</v>
      </c>
      <c r="AI227" s="16">
        <v>-1.1247245142992241E-17</v>
      </c>
      <c r="AJ227" s="16">
        <v>-3.2629727282674653E-18</v>
      </c>
      <c r="AK227" s="16">
        <v>-9.5332433162368233E-19</v>
      </c>
      <c r="AL227" s="16">
        <v>-2.8245322506453063E-19</v>
      </c>
      <c r="AM227" s="16">
        <v>-8.5501237106260256E-20</v>
      </c>
      <c r="AN227" s="16">
        <v>-2.5134646501424768E-20</v>
      </c>
      <c r="AO227" s="16">
        <v>-7.2174388851036542E-21</v>
      </c>
      <c r="AP227" s="16">
        <v>-1.8566192710809112E-21</v>
      </c>
      <c r="AQ227" s="16">
        <v>-5.0304582579706442E-22</v>
      </c>
      <c r="AR227" s="16">
        <v>-1.4867041910456947E-22</v>
      </c>
      <c r="AS227" s="16">
        <v>-4.6780088235581627E-23</v>
      </c>
      <c r="AT227" s="16">
        <v>-1.5509534960213333E-23</v>
      </c>
      <c r="AU227" s="16">
        <v>-5.6261433535887301E-24</v>
      </c>
      <c r="AV227" s="16">
        <v>-2.1748658016622684E-24</v>
      </c>
      <c r="AW227" s="16">
        <v>-1.0116187368482421E-24</v>
      </c>
      <c r="AX227" s="16">
        <v>-4.7214603420813759E-25</v>
      </c>
      <c r="AY227" s="16">
        <v>-2.1564937387712916E-25</v>
      </c>
      <c r="AZ227" s="16">
        <v>-9.6270648541722304E-26</v>
      </c>
      <c r="BA227" s="16">
        <v>-4.1949653519927889E-26</v>
      </c>
      <c r="BB227" s="16">
        <v>-1.7816183778417309E-26</v>
      </c>
      <c r="BC227" s="16">
        <v>-7.3630506744557451E-27</v>
      </c>
      <c r="BD227" s="16">
        <v>-2.9559530072870179E-27</v>
      </c>
      <c r="BE227" s="16">
        <v>-1.1505366065658572E-27</v>
      </c>
      <c r="BF227" s="16">
        <v>-4.3326198268289972E-28</v>
      </c>
      <c r="BG227" s="16">
        <v>-1.574854864777601E-28</v>
      </c>
      <c r="BH227" s="16">
        <v>-5.5116006465706791E-29</v>
      </c>
      <c r="BI227" s="16">
        <v>-1.8529594761571354E-29</v>
      </c>
      <c r="BJ227" s="16">
        <v>-5.9726319716414994E-30</v>
      </c>
      <c r="BK227" s="16">
        <v>-1.7682844850617773E-30</v>
      </c>
      <c r="BL227" s="16">
        <v>-5.2321614836369693E-31</v>
      </c>
      <c r="BM227" s="16">
        <v>-1.5378661380427495E-31</v>
      </c>
      <c r="BN227" s="16">
        <v>-4.1796957192702323E-32</v>
      </c>
    </row>
    <row r="228" spans="1:66" customFormat="1" x14ac:dyDescent="0.25">
      <c r="A228" s="29"/>
      <c r="B228" s="29"/>
      <c r="C228" s="1"/>
      <c r="D228" s="1"/>
      <c r="E228" s="1"/>
      <c r="F228" s="1"/>
      <c r="G228" s="1"/>
      <c r="H228" s="1"/>
      <c r="I228" s="1"/>
      <c r="J228" s="93"/>
      <c r="K228" s="1"/>
      <c r="L228" s="29"/>
      <c r="M228" s="1"/>
      <c r="N228" s="29"/>
      <c r="O228" s="9">
        <f t="shared" si="100"/>
        <v>44</v>
      </c>
      <c r="P228" s="16">
        <v>4.0725955322859915E-4</v>
      </c>
      <c r="Q228" s="16">
        <v>1.5100964952316665E-3</v>
      </c>
      <c r="R228" s="16">
        <v>5.2002009557687232E-3</v>
      </c>
      <c r="S228" s="16">
        <v>1.7802017897532503E-2</v>
      </c>
      <c r="T228" s="16">
        <v>6.0912201118103859E-2</v>
      </c>
      <c r="U228" s="16">
        <v>0.24674816309844014</v>
      </c>
      <c r="V228" s="16">
        <v>0.29877023081204446</v>
      </c>
      <c r="W228" s="16">
        <v>0.30756174491295918</v>
      </c>
      <c r="X228" s="16">
        <v>5.4229914611641131E-2</v>
      </c>
      <c r="Y228" s="16">
        <v>6.2438776774662837E-3</v>
      </c>
      <c r="Z228" s="16">
        <v>3.7183216222837814E-4</v>
      </c>
      <c r="AA228" s="16">
        <v>6.7668117028845036E-6</v>
      </c>
      <c r="AB228" s="16">
        <v>-9.8265147361594065E-9</v>
      </c>
      <c r="AC228" s="16">
        <v>-2.6898033911151062E-11</v>
      </c>
      <c r="AD228" s="16">
        <v>-7.260301021554648E-13</v>
      </c>
      <c r="AE228" s="16">
        <v>-4.6942060917159944E-14</v>
      </c>
      <c r="AF228" s="16">
        <v>-5.1333858981474402E-15</v>
      </c>
      <c r="AG228" s="16">
        <v>-8.0251222386891338E-16</v>
      </c>
      <c r="AH228" s="16">
        <v>-1.6128302439038617E-16</v>
      </c>
      <c r="AI228" s="16">
        <v>-4.2965970266128879E-17</v>
      </c>
      <c r="AJ228" s="16">
        <v>-1.2464989198646656E-17</v>
      </c>
      <c r="AK228" s="16">
        <v>-3.6418255640174576E-18</v>
      </c>
      <c r="AL228" s="16">
        <v>-1.0790088341993917E-18</v>
      </c>
      <c r="AM228" s="16">
        <v>-3.2662608172221889E-19</v>
      </c>
      <c r="AN228" s="16">
        <v>-9.6017687931586136E-20</v>
      </c>
      <c r="AO228" s="16">
        <v>-2.7571575136172868E-20</v>
      </c>
      <c r="AP228" s="16">
        <v>-7.0925322052295693E-21</v>
      </c>
      <c r="AQ228" s="16">
        <v>-1.9217018673380425E-21</v>
      </c>
      <c r="AR228" s="16">
        <v>-5.6794074686634208E-22</v>
      </c>
      <c r="AS228" s="16">
        <v>-1.7870615022819302E-22</v>
      </c>
      <c r="AT228" s="16">
        <v>-5.9248483470391107E-23</v>
      </c>
      <c r="AU228" s="16">
        <v>-2.1492614855459705E-23</v>
      </c>
      <c r="AV228" s="16">
        <v>-8.3082762204453194E-24</v>
      </c>
      <c r="AW228" s="16">
        <v>-3.8645179344349981E-24</v>
      </c>
      <c r="AX228" s="16">
        <v>-1.8036605594657214E-24</v>
      </c>
      <c r="AY228" s="16">
        <v>-8.2380925000884321E-25</v>
      </c>
      <c r="AZ228" s="16">
        <v>-3.6776666376137486E-25</v>
      </c>
      <c r="BA228" s="16">
        <v>-1.6025324805289291E-25</v>
      </c>
      <c r="BB228" s="16">
        <v>-6.8060188316986705E-26</v>
      </c>
      <c r="BC228" s="16">
        <v>-2.8127831511148195E-26</v>
      </c>
      <c r="BD228" s="16">
        <v>-1.1292133087212098E-26</v>
      </c>
      <c r="BE228" s="16">
        <v>-4.3952026473435545E-27</v>
      </c>
      <c r="BF228" s="16">
        <v>-1.6551183181951168E-27</v>
      </c>
      <c r="BG228" s="16">
        <v>-6.0161547501845453E-28</v>
      </c>
      <c r="BH228" s="16">
        <v>-2.1055046501487627E-28</v>
      </c>
      <c r="BI228" s="16">
        <v>-7.0785513025395384E-29</v>
      </c>
      <c r="BJ228" s="16">
        <v>-2.2816247395831868E-29</v>
      </c>
      <c r="BK228" s="16">
        <v>-6.7550815903180815E-30</v>
      </c>
      <c r="BL228" s="16">
        <v>-1.9987551784945202E-30</v>
      </c>
      <c r="BM228" s="16">
        <v>-5.8748529013436483E-31</v>
      </c>
      <c r="BN228" s="16">
        <v>-1.5966992780229727E-31</v>
      </c>
    </row>
    <row r="229" spans="1:66" customFormat="1" x14ac:dyDescent="0.25">
      <c r="A229" s="29"/>
      <c r="B229" s="29"/>
      <c r="C229" s="1"/>
      <c r="D229" s="1"/>
      <c r="E229" s="1"/>
      <c r="F229" s="1"/>
      <c r="G229" s="1"/>
      <c r="H229" s="1"/>
      <c r="I229" s="1"/>
      <c r="J229" s="93"/>
      <c r="K229" s="1"/>
      <c r="L229" s="29"/>
      <c r="M229" s="1"/>
      <c r="N229" s="29"/>
      <c r="O229" s="9">
        <f t="shared" si="100"/>
        <v>43</v>
      </c>
      <c r="P229" s="16">
        <v>6.5545181071049115E-5</v>
      </c>
      <c r="Q229" s="16">
        <v>2.430380022519888E-4</v>
      </c>
      <c r="R229" s="16">
        <v>8.3693092169254027E-4</v>
      </c>
      <c r="S229" s="16">
        <v>2.8650929788474892E-3</v>
      </c>
      <c r="T229" s="16">
        <v>9.8033335745502919E-3</v>
      </c>
      <c r="U229" s="16">
        <v>3.971215138115583E-2</v>
      </c>
      <c r="V229" s="16">
        <v>0.20902672331047906</v>
      </c>
      <c r="W229" s="16">
        <v>0.45043466681295635</v>
      </c>
      <c r="X229" s="16">
        <v>0.25574360086066922</v>
      </c>
      <c r="Y229" s="16">
        <v>2.9445588694067375E-2</v>
      </c>
      <c r="Z229" s="16">
        <v>1.7535284125946393E-3</v>
      </c>
      <c r="AA229" s="16">
        <v>3.191170046338799E-5</v>
      </c>
      <c r="AB229" s="16">
        <v>-4.6340996118706284E-8</v>
      </c>
      <c r="AC229" s="16">
        <v>-1.2684880840718673E-10</v>
      </c>
      <c r="AD229" s="16">
        <v>-3.4238953534811578E-12</v>
      </c>
      <c r="AE229" s="16">
        <v>-2.2137471129630576E-13</v>
      </c>
      <c r="AF229" s="16">
        <v>-2.4208605224648306E-14</v>
      </c>
      <c r="AG229" s="16">
        <v>-3.7845784441431258E-15</v>
      </c>
      <c r="AH229" s="16">
        <v>-7.6059683498823508E-16</v>
      </c>
      <c r="AI229" s="16">
        <v>-2.026238106591721E-16</v>
      </c>
      <c r="AJ229" s="16">
        <v>-5.8783814158300976E-17</v>
      </c>
      <c r="AK229" s="16">
        <v>-1.7174535311702869E-17</v>
      </c>
      <c r="AL229" s="16">
        <v>-5.0885126151275403E-18</v>
      </c>
      <c r="AM229" s="16">
        <v>-1.5403404352165464E-18</v>
      </c>
      <c r="AN229" s="16">
        <v>-4.5281113632195576E-19</v>
      </c>
      <c r="AO229" s="16">
        <v>-1.3002517074241722E-19</v>
      </c>
      <c r="AP229" s="16">
        <v>-3.344777026435337E-20</v>
      </c>
      <c r="AQ229" s="16">
        <v>-9.0625802908456761E-21</v>
      </c>
      <c r="AR229" s="16">
        <v>-2.6783595865724815E-21</v>
      </c>
      <c r="AS229" s="16">
        <v>-8.4276279397819783E-22</v>
      </c>
      <c r="AT229" s="16">
        <v>-2.7941073882862056E-22</v>
      </c>
      <c r="AU229" s="16">
        <v>-1.0135731826999519E-22</v>
      </c>
      <c r="AV229" s="16">
        <v>-3.918111420196934E-23</v>
      </c>
      <c r="AW229" s="16">
        <v>-1.8224733326998176E-23</v>
      </c>
      <c r="AX229" s="16">
        <v>-8.5059076620621195E-24</v>
      </c>
      <c r="AY229" s="16">
        <v>-3.8850133828970254E-24</v>
      </c>
      <c r="AZ229" s="16">
        <v>-1.7343558724073505E-24</v>
      </c>
      <c r="BA229" s="16">
        <v>-7.5574049858207153E-25</v>
      </c>
      <c r="BB229" s="16">
        <v>-3.2096597901898622E-25</v>
      </c>
      <c r="BC229" s="16">
        <v>-1.3264842783873866E-25</v>
      </c>
      <c r="BD229" s="16">
        <v>-5.3252725876533178E-26</v>
      </c>
      <c r="BE229" s="16">
        <v>-2.0727396670152534E-26</v>
      </c>
      <c r="BF229" s="16">
        <v>-7.8053952615815179E-27</v>
      </c>
      <c r="BG229" s="16">
        <v>-2.8371667006404186E-27</v>
      </c>
      <c r="BH229" s="16">
        <v>-9.9293783645814347E-28</v>
      </c>
      <c r="BI229" s="16">
        <v>-3.3381837532892582E-28</v>
      </c>
      <c r="BJ229" s="16">
        <v>-1.0759945518861886E-28</v>
      </c>
      <c r="BK229" s="16">
        <v>-3.1856382264056109E-29</v>
      </c>
      <c r="BL229" s="16">
        <v>-9.4259570616651762E-30</v>
      </c>
      <c r="BM229" s="16">
        <v>-2.7705299672256037E-30</v>
      </c>
      <c r="BN229" s="16">
        <v>-7.52989610582144E-31</v>
      </c>
    </row>
    <row r="230" spans="1:66" customFormat="1" x14ac:dyDescent="0.25">
      <c r="A230" s="29"/>
      <c r="B230" s="29"/>
      <c r="C230" s="1"/>
      <c r="D230" s="1"/>
      <c r="E230" s="1"/>
      <c r="F230" s="1"/>
      <c r="G230" s="1"/>
      <c r="H230" s="1"/>
      <c r="I230" s="1"/>
      <c r="J230" s="93"/>
      <c r="K230" s="1"/>
      <c r="L230" s="29"/>
      <c r="M230" s="1"/>
      <c r="N230" s="29"/>
      <c r="O230" s="9">
        <f t="shared" si="100"/>
        <v>42</v>
      </c>
      <c r="P230" s="16">
        <v>7.120827642944018E-6</v>
      </c>
      <c r="Q230" s="16">
        <v>2.6403645492197156E-5</v>
      </c>
      <c r="R230" s="16">
        <v>9.0924164752291629E-5</v>
      </c>
      <c r="S230" s="16">
        <v>3.1126366500181017E-4</v>
      </c>
      <c r="T230" s="16">
        <v>1.0650340356065107E-3</v>
      </c>
      <c r="U230" s="16">
        <v>4.3143276240122479E-3</v>
      </c>
      <c r="V230" s="16">
        <v>2.270866057795827E-2</v>
      </c>
      <c r="W230" s="16">
        <v>0.15757520386632873</v>
      </c>
      <c r="X230" s="16">
        <v>0.61649345372234765</v>
      </c>
      <c r="Y230" s="16">
        <v>0.18611844521143159</v>
      </c>
      <c r="Z230" s="16">
        <v>1.1083629034454963E-2</v>
      </c>
      <c r="AA230" s="16">
        <v>2.0170614131736957E-4</v>
      </c>
      <c r="AB230" s="16">
        <v>-2.9291022967050835E-7</v>
      </c>
      <c r="AC230" s="16">
        <v>-8.01780641676389E-10</v>
      </c>
      <c r="AD230" s="16">
        <v>-2.1641614517455702E-11</v>
      </c>
      <c r="AE230" s="16">
        <v>-1.3992560143278518E-12</v>
      </c>
      <c r="AF230" s="16">
        <v>-1.5301673917820744E-13</v>
      </c>
      <c r="AG230" s="16">
        <v>-2.3921405108349351E-14</v>
      </c>
      <c r="AH230" s="16">
        <v>-4.8075486563210557E-15</v>
      </c>
      <c r="AI230" s="16">
        <v>-1.280736105992635E-15</v>
      </c>
      <c r="AJ230" s="16">
        <v>-3.7155827341108769E-16</v>
      </c>
      <c r="AK230" s="16">
        <v>-1.0855608433079112E-16</v>
      </c>
      <c r="AL230" s="16">
        <v>-3.216325766844343E-17</v>
      </c>
      <c r="AM230" s="16">
        <v>-9.736119385399288E-18</v>
      </c>
      <c r="AN230" s="16">
        <v>-2.8621096878814937E-18</v>
      </c>
      <c r="AO230" s="16">
        <v>-8.218576598472078E-19</v>
      </c>
      <c r="AP230" s="16">
        <v>-2.1141526705644875E-19</v>
      </c>
      <c r="AQ230" s="16">
        <v>-5.7282378384772981E-20</v>
      </c>
      <c r="AR230" s="16">
        <v>-1.6929263230197803E-20</v>
      </c>
      <c r="AS230" s="16">
        <v>-5.3268998126319238E-21</v>
      </c>
      <c r="AT230" s="16">
        <v>-1.7660877093157854E-21</v>
      </c>
      <c r="AU230" s="16">
        <v>-6.4065509721028259E-22</v>
      </c>
      <c r="AV230" s="16">
        <v>-2.4765434757265752E-22</v>
      </c>
      <c r="AW230" s="16">
        <v>-1.151941320126252E-22</v>
      </c>
      <c r="AX230" s="16">
        <v>-5.3763785320208753E-23</v>
      </c>
      <c r="AY230" s="16">
        <v>-2.4556230067700479E-23</v>
      </c>
      <c r="AZ230" s="16">
        <v>-1.0962444044489698E-23</v>
      </c>
      <c r="BA230" s="16">
        <v>-4.7768529283215374E-24</v>
      </c>
      <c r="BB230" s="16">
        <v>-2.0287483331183833E-24</v>
      </c>
      <c r="BC230" s="16">
        <v>-8.3843863356214564E-25</v>
      </c>
      <c r="BD230" s="16">
        <v>-3.365976019833434E-25</v>
      </c>
      <c r="BE230" s="16">
        <v>-1.310128617773787E-25</v>
      </c>
      <c r="BF230" s="16">
        <v>-4.9336015843993619E-26</v>
      </c>
      <c r="BG230" s="16">
        <v>-1.7933044593373405E-26</v>
      </c>
      <c r="BH230" s="16">
        <v>-6.2761199388221499E-27</v>
      </c>
      <c r="BI230" s="16">
        <v>-2.1099852220561492E-27</v>
      </c>
      <c r="BJ230" s="16">
        <v>-6.8011013511635737E-28</v>
      </c>
      <c r="BK230" s="16">
        <v>-2.0135648835717519E-28</v>
      </c>
      <c r="BL230" s="16">
        <v>-5.9579195076520819E-29</v>
      </c>
      <c r="BM230" s="16">
        <v>-1.7511849916439236E-29</v>
      </c>
      <c r="BN230" s="16">
        <v>-4.7594652305303062E-30</v>
      </c>
    </row>
    <row r="231" spans="1:66" customFormat="1" x14ac:dyDescent="0.25">
      <c r="A231" s="29"/>
      <c r="B231" s="29"/>
      <c r="C231" s="1"/>
      <c r="D231" s="1"/>
      <c r="E231" s="1"/>
      <c r="F231" s="1"/>
      <c r="G231" s="1"/>
      <c r="H231" s="1"/>
      <c r="I231" s="1"/>
      <c r="J231" s="93"/>
      <c r="K231" s="1"/>
      <c r="L231" s="29"/>
      <c r="M231" s="1"/>
      <c r="N231" s="29"/>
      <c r="O231" s="9">
        <f t="shared" si="100"/>
        <v>41</v>
      </c>
      <c r="P231" s="16">
        <v>4.2976722825721206E-7</v>
      </c>
      <c r="Q231" s="16">
        <v>1.5935537423534876E-6</v>
      </c>
      <c r="R231" s="16">
        <v>5.4875961372151511E-6</v>
      </c>
      <c r="S231" s="16">
        <v>1.8785867215528257E-5</v>
      </c>
      <c r="T231" s="16">
        <v>6.4278585079327336E-5</v>
      </c>
      <c r="U231" s="16">
        <v>2.603849886189197E-4</v>
      </c>
      <c r="V231" s="16">
        <v>1.3705482850288491E-3</v>
      </c>
      <c r="W231" s="16">
        <v>9.5102229689271005E-3</v>
      </c>
      <c r="X231" s="16">
        <v>9.7561118726215867E-2</v>
      </c>
      <c r="Y231" s="16">
        <v>0.78309154485752863</v>
      </c>
      <c r="Z231" s="16">
        <v>0.10618574206991166</v>
      </c>
      <c r="AA231" s="16">
        <v>1.9324281089940503E-3</v>
      </c>
      <c r="AB231" s="16">
        <v>-2.8062009293836557E-6</v>
      </c>
      <c r="AC231" s="16">
        <v>-7.6813895655507146E-9</v>
      </c>
      <c r="AD231" s="16">
        <v>-2.0733560190288459E-10</v>
      </c>
      <c r="AE231" s="16">
        <v>-1.3405450305608895E-11</v>
      </c>
      <c r="AF231" s="16">
        <v>-1.4659635348897336E-12</v>
      </c>
      <c r="AG231" s="16">
        <v>-2.291769369841564E-13</v>
      </c>
      <c r="AH231" s="16">
        <v>-4.60583009429241E-14</v>
      </c>
      <c r="AI231" s="16">
        <v>-1.2269980652347279E-14</v>
      </c>
      <c r="AJ231" s="16">
        <v>-3.5596816585725459E-15</v>
      </c>
      <c r="AK231" s="16">
        <v>-1.0400121056952901E-15</v>
      </c>
      <c r="AL231" s="16">
        <v>-3.081372871910981E-16</v>
      </c>
      <c r="AM231" s="16">
        <v>-9.3276043307300609E-17</v>
      </c>
      <c r="AN231" s="16">
        <v>-2.742019244314456E-17</v>
      </c>
      <c r="AO231" s="16">
        <v>-7.8737356885030637E-18</v>
      </c>
      <c r="AP231" s="16">
        <v>-2.0254455420251713E-18</v>
      </c>
      <c r="AQ231" s="16">
        <v>-5.4878883418130358E-19</v>
      </c>
      <c r="AR231" s="16">
        <v>-1.6218933105819364E-19</v>
      </c>
      <c r="AS231" s="16">
        <v>-5.1033899436549446E-20</v>
      </c>
      <c r="AT231" s="16">
        <v>-1.6919849391501133E-20</v>
      </c>
      <c r="AU231" s="16">
        <v>-6.1377403282507575E-21</v>
      </c>
      <c r="AV231" s="16">
        <v>-2.3726308948173514E-21</v>
      </c>
      <c r="AW231" s="16">
        <v>-1.10360734303135E-21</v>
      </c>
      <c r="AX231" s="16">
        <v>-5.150792599577948E-22</v>
      </c>
      <c r="AY231" s="16">
        <v>-2.3525882218472102E-22</v>
      </c>
      <c r="AZ231" s="16">
        <v>-1.0502473983434474E-22</v>
      </c>
      <c r="BA231" s="16">
        <v>-4.5764223195836703E-23</v>
      </c>
      <c r="BB231" s="16">
        <v>-1.9436246608001462E-23</v>
      </c>
      <c r="BC231" s="16">
        <v>-8.0325882622123696E-24</v>
      </c>
      <c r="BD231" s="16">
        <v>-3.2247439926440736E-24</v>
      </c>
      <c r="BE231" s="16">
        <v>-1.2551573050024791E-24</v>
      </c>
      <c r="BF231" s="16">
        <v>-4.7265940035361314E-25</v>
      </c>
      <c r="BG231" s="16">
        <v>-1.7180597093249906E-25</v>
      </c>
      <c r="BH231" s="16">
        <v>-6.0127820134713703E-26</v>
      </c>
      <c r="BI231" s="16">
        <v>-2.0214529542994323E-26</v>
      </c>
      <c r="BJ231" s="16">
        <v>-6.5157358805585108E-27</v>
      </c>
      <c r="BK231" s="16">
        <v>-1.9290782892797885E-27</v>
      </c>
      <c r="BL231" s="16">
        <v>-5.7079328633805127E-28</v>
      </c>
      <c r="BM231" s="16">
        <v>-1.6777075203559099E-28</v>
      </c>
      <c r="BN231" s="16">
        <v>-4.5597641872417289E-29</v>
      </c>
    </row>
    <row r="232" spans="1:66" customFormat="1" x14ac:dyDescent="0.25">
      <c r="A232" s="29"/>
      <c r="B232" s="29"/>
      <c r="C232" s="1"/>
      <c r="D232" s="1"/>
      <c r="E232" s="1"/>
      <c r="F232" s="1"/>
      <c r="G232" s="1"/>
      <c r="H232" s="1"/>
      <c r="I232" s="1"/>
      <c r="J232" s="93"/>
      <c r="K232" s="1"/>
      <c r="L232" s="29"/>
      <c r="M232" s="1"/>
      <c r="N232" s="29"/>
      <c r="O232" s="9">
        <f t="shared" si="100"/>
        <v>40</v>
      </c>
      <c r="P232" s="16">
        <v>9.8334501222591232E-9</v>
      </c>
      <c r="Q232" s="16">
        <v>3.6461903589340099E-8</v>
      </c>
      <c r="R232" s="16">
        <v>1.2556099990507238E-7</v>
      </c>
      <c r="S232" s="16">
        <v>4.2983707486584038E-7</v>
      </c>
      <c r="T232" s="16">
        <v>1.4707502544346174E-6</v>
      </c>
      <c r="U232" s="16">
        <v>5.9578363118853926E-6</v>
      </c>
      <c r="V232" s="16">
        <v>3.1359343651286893E-5</v>
      </c>
      <c r="W232" s="16">
        <v>2.1760222061542996E-4</v>
      </c>
      <c r="X232" s="16">
        <v>2.2322837382376536E-3</v>
      </c>
      <c r="Y232" s="16">
        <v>4.0798694309200689E-2</v>
      </c>
      <c r="Z232" s="16">
        <v>0.92178915072409029</v>
      </c>
      <c r="AA232" s="16">
        <v>3.4973804411273589E-2</v>
      </c>
      <c r="AB232" s="16">
        <v>-5.0787670695852162E-5</v>
      </c>
      <c r="AC232" s="16">
        <v>-1.3902065231922972E-7</v>
      </c>
      <c r="AD232" s="16">
        <v>-3.7524370271243522E-9</v>
      </c>
      <c r="AE232" s="16">
        <v>-2.4261683777590745E-10</v>
      </c>
      <c r="AF232" s="16">
        <v>-2.6531554630501723E-11</v>
      </c>
      <c r="AG232" s="16">
        <v>-4.1477296528412971E-12</v>
      </c>
      <c r="AH232" s="16">
        <v>-8.3358030303748015E-13</v>
      </c>
      <c r="AI232" s="16">
        <v>-2.2206668463785329E-13</v>
      </c>
      <c r="AJ232" s="16">
        <v>-6.4424445863666268E-14</v>
      </c>
      <c r="AK232" s="16">
        <v>-1.8822526851401673E-14</v>
      </c>
      <c r="AL232" s="16">
        <v>-5.576783510798683E-15</v>
      </c>
      <c r="AM232" s="16">
        <v>-1.6881446092114673E-15</v>
      </c>
      <c r="AN232" s="16">
        <v>-4.9626086629697878E-16</v>
      </c>
      <c r="AO232" s="16">
        <v>-1.4250180416756636E-16</v>
      </c>
      <c r="AP232" s="16">
        <v>-3.6657268595285394E-17</v>
      </c>
      <c r="AQ232" s="16">
        <v>-9.9321849337717618E-18</v>
      </c>
      <c r="AR232" s="16">
        <v>-2.9353629848498702E-18</v>
      </c>
      <c r="AS232" s="16">
        <v>-9.2363053969837521E-19</v>
      </c>
      <c r="AT232" s="16">
        <v>-3.0622174275585894E-19</v>
      </c>
      <c r="AU232" s="16">
        <v>-1.1108311288184078E-19</v>
      </c>
      <c r="AV232" s="16">
        <v>-4.2940758556179001E-20</v>
      </c>
      <c r="AW232" s="16">
        <v>-1.9973497167827938E-20</v>
      </c>
      <c r="AX232" s="16">
        <v>-9.3220964910539508E-21</v>
      </c>
      <c r="AY232" s="16">
        <v>-4.2578018787970131E-21</v>
      </c>
      <c r="AZ232" s="16">
        <v>-1.9007768993917985E-21</v>
      </c>
      <c r="BA232" s="16">
        <v>-8.2825797432549667E-22</v>
      </c>
      <c r="BB232" s="16">
        <v>-3.517644378043022E-22</v>
      </c>
      <c r="BC232" s="16">
        <v>-1.4537677727382527E-22</v>
      </c>
      <c r="BD232" s="16">
        <v>-5.836261910611162E-23</v>
      </c>
      <c r="BE232" s="16">
        <v>-2.2716304884112576E-23</v>
      </c>
      <c r="BF232" s="16">
        <v>-8.5543660559369458E-24</v>
      </c>
      <c r="BG232" s="16">
        <v>-3.1094085188038828E-24</v>
      </c>
      <c r="BH232" s="16">
        <v>-1.0882157071097489E-24</v>
      </c>
      <c r="BI232" s="16">
        <v>-3.6585009254011628E-25</v>
      </c>
      <c r="BJ232" s="16">
        <v>-1.1792421732097277E-25</v>
      </c>
      <c r="BK232" s="16">
        <v>-3.4913178125123879E-26</v>
      </c>
      <c r="BL232" s="16">
        <v>-1.0330429713137932E-26</v>
      </c>
      <c r="BM232" s="16">
        <v>-3.0363776226994968E-27</v>
      </c>
      <c r="BN232" s="16">
        <v>-8.2524312342536487E-28</v>
      </c>
    </row>
    <row r="233" spans="1:66" customFormat="1" x14ac:dyDescent="0.25">
      <c r="A233" s="29"/>
      <c r="B233" s="29"/>
      <c r="C233" s="1"/>
      <c r="D233" s="1"/>
      <c r="E233" s="1"/>
      <c r="F233" s="1"/>
      <c r="G233" s="1"/>
      <c r="H233" s="1"/>
      <c r="I233" s="1"/>
      <c r="J233" s="93"/>
      <c r="K233" s="1"/>
      <c r="L233" s="29"/>
      <c r="M233" s="1"/>
      <c r="N233" s="29"/>
      <c r="O233" s="9">
        <f t="shared" si="100"/>
        <v>39</v>
      </c>
      <c r="P233" s="16">
        <v>3.8432589283806255E-11</v>
      </c>
      <c r="Q233" s="16">
        <v>1.425059717324229E-10</v>
      </c>
      <c r="R233" s="16">
        <v>4.9073664679422283E-10</v>
      </c>
      <c r="S233" s="16">
        <v>1.6799548024225195E-9</v>
      </c>
      <c r="T233" s="16">
        <v>5.7482104210595507E-9</v>
      </c>
      <c r="U233" s="16">
        <v>2.3285324392557546E-8</v>
      </c>
      <c r="V233" s="16">
        <v>1.2256336888631727E-7</v>
      </c>
      <c r="W233" s="16">
        <v>8.5046618106359119E-7</v>
      </c>
      <c r="X233" s="16">
        <v>8.7245517097205349E-6</v>
      </c>
      <c r="Y233" s="16">
        <v>1.5945567854681343E-4</v>
      </c>
      <c r="Z233" s="16">
        <v>7.5110294150640862E-3</v>
      </c>
      <c r="AA233" s="16">
        <v>0.99522533941050839</v>
      </c>
      <c r="AB233" s="16">
        <v>-2.8973927545994037E-3</v>
      </c>
      <c r="AC233" s="16">
        <v>-7.9310081610479474E-6</v>
      </c>
      <c r="AD233" s="16">
        <v>-2.1407329191351488E-7</v>
      </c>
      <c r="AE233" s="16">
        <v>-1.3841081079017547E-8</v>
      </c>
      <c r="AF233" s="16">
        <v>-1.5136022798728618E-9</v>
      </c>
      <c r="AG233" s="16">
        <v>-2.3662439484866859E-10</v>
      </c>
      <c r="AH233" s="16">
        <v>-4.7555036435148448E-11</v>
      </c>
      <c r="AI233" s="16">
        <v>-1.2668712588942862E-11</v>
      </c>
      <c r="AJ233" s="16">
        <v>-3.6753590016427541E-12</v>
      </c>
      <c r="AK233" s="16">
        <v>-1.0738089023436537E-12</v>
      </c>
      <c r="AL233" s="16">
        <v>-3.1815068336018747E-13</v>
      </c>
      <c r="AM233" s="16">
        <v>-9.6307192128124399E-14</v>
      </c>
      <c r="AN233" s="16">
        <v>-2.8311253867319427E-14</v>
      </c>
      <c r="AO233" s="16">
        <v>-8.1296048677847769E-15</v>
      </c>
      <c r="AP233" s="16">
        <v>-2.0912655173228571E-15</v>
      </c>
      <c r="AQ233" s="16">
        <v>-5.6662257335621272E-16</v>
      </c>
      <c r="AR233" s="16">
        <v>-1.6745992340061955E-16</v>
      </c>
      <c r="AS233" s="16">
        <v>-5.2692324672164359E-17</v>
      </c>
      <c r="AT233" s="16">
        <v>-1.7469685980973525E-17</v>
      </c>
      <c r="AU233" s="16">
        <v>-6.3371956621054267E-18</v>
      </c>
      <c r="AV233" s="16">
        <v>-2.4497331933719986E-18</v>
      </c>
      <c r="AW233" s="16">
        <v>-1.1394707649548245E-18</v>
      </c>
      <c r="AX233" s="16">
        <v>-5.3181755455191865E-19</v>
      </c>
      <c r="AY233" s="16">
        <v>-2.4290392028460804E-19</v>
      </c>
      <c r="AZ233" s="16">
        <v>-1.0843768066050525E-19</v>
      </c>
      <c r="BA233" s="16">
        <v>-4.7251402178321693E-20</v>
      </c>
      <c r="BB233" s="16">
        <v>-2.0067857404280532E-20</v>
      </c>
      <c r="BC233" s="16">
        <v>-8.2936196007625391E-21</v>
      </c>
      <c r="BD233" s="16">
        <v>-3.3295370199228881E-21</v>
      </c>
      <c r="BE233" s="16">
        <v>-1.2959455765683347E-21</v>
      </c>
      <c r="BF233" s="16">
        <v>-4.8801919621580541E-22</v>
      </c>
      <c r="BG233" s="16">
        <v>-1.7738907081257056E-22</v>
      </c>
      <c r="BH233" s="16">
        <v>-6.2081766342526093E-23</v>
      </c>
      <c r="BI233" s="16">
        <v>-2.0871431843040314E-23</v>
      </c>
      <c r="BJ233" s="16">
        <v>-6.7274747626001393E-24</v>
      </c>
      <c r="BK233" s="16">
        <v>-1.9917666621405786E-24</v>
      </c>
      <c r="BL233" s="16">
        <v>-5.8934209410766972E-25</v>
      </c>
      <c r="BM233" s="16">
        <v>-1.7322272125694839E-25</v>
      </c>
      <c r="BN233" s="16">
        <v>-4.7079407537997432E-26</v>
      </c>
    </row>
    <row r="234" spans="1:66" customFormat="1" x14ac:dyDescent="0.25">
      <c r="A234" s="29"/>
      <c r="B234" s="29"/>
      <c r="C234" s="1"/>
      <c r="D234" s="1"/>
      <c r="E234" s="1"/>
      <c r="F234" s="1"/>
      <c r="G234" s="1"/>
      <c r="H234" s="1"/>
      <c r="I234" s="1"/>
      <c r="J234" s="93"/>
      <c r="K234" s="1"/>
      <c r="L234" s="29"/>
      <c r="M234" s="1"/>
      <c r="N234" s="29"/>
      <c r="O234" s="9">
        <f t="shared" si="100"/>
        <v>38</v>
      </c>
      <c r="P234" s="16">
        <v>3.1743958645608814E-13</v>
      </c>
      <c r="Q234" s="16">
        <v>1.1770488946297499E-12</v>
      </c>
      <c r="R234" s="16">
        <v>4.0533110342072069E-12</v>
      </c>
      <c r="S234" s="16">
        <v>1.3875832143597609E-11</v>
      </c>
      <c r="T234" s="16">
        <v>4.7478183825948196E-11</v>
      </c>
      <c r="U234" s="16">
        <v>1.9232853896689829E-10</v>
      </c>
      <c r="V234" s="16">
        <v>1.0123300526704546E-9</v>
      </c>
      <c r="W234" s="16">
        <v>7.0245496814722482E-9</v>
      </c>
      <c r="X234" s="16">
        <v>7.2061709563643467E-8</v>
      </c>
      <c r="Y234" s="16">
        <v>1.3170474745323317E-6</v>
      </c>
      <c r="Z234" s="16">
        <v>6.2038444866947646E-5</v>
      </c>
      <c r="AA234" s="16">
        <v>1.6479855207050816E-2</v>
      </c>
      <c r="AB234" s="16">
        <v>0.97788583545912544</v>
      </c>
      <c r="AC234" s="16">
        <v>5.4140498134904423E-3</v>
      </c>
      <c r="AD234" s="16">
        <v>1.4613570464470533E-4</v>
      </c>
      <c r="AE234" s="16">
        <v>9.4485216649253192E-6</v>
      </c>
      <c r="AF234" s="16">
        <v>1.0332504991347259E-6</v>
      </c>
      <c r="AG234" s="16">
        <v>1.6153006462528317E-7</v>
      </c>
      <c r="AH234" s="16">
        <v>3.2463128383444634E-8</v>
      </c>
      <c r="AI234" s="16">
        <v>8.6482121360302906E-9</v>
      </c>
      <c r="AJ234" s="16">
        <v>2.508959304200882E-9</v>
      </c>
      <c r="AK234" s="16">
        <v>7.3302848382012764E-10</v>
      </c>
      <c r="AL234" s="16">
        <v>2.1718344161689564E-10</v>
      </c>
      <c r="AM234" s="16">
        <v>6.5743462242278725E-11</v>
      </c>
      <c r="AN234" s="16">
        <v>1.9326488588531246E-11</v>
      </c>
      <c r="AO234" s="16">
        <v>5.5496205305083745E-12</v>
      </c>
      <c r="AP234" s="16">
        <v>1.4275884545962655E-12</v>
      </c>
      <c r="AQ234" s="16">
        <v>3.8680111977004079E-13</v>
      </c>
      <c r="AR234" s="16">
        <v>1.1431539958653271E-13</v>
      </c>
      <c r="AS234" s="16">
        <v>3.5970063927662709E-14</v>
      </c>
      <c r="AT234" s="16">
        <v>1.1925564594870992E-14</v>
      </c>
      <c r="AU234" s="16">
        <v>4.3260443433891078E-15</v>
      </c>
      <c r="AV234" s="16">
        <v>1.6722940223181588E-15</v>
      </c>
      <c r="AW234" s="16">
        <v>7.7785211630223967E-16</v>
      </c>
      <c r="AX234" s="16">
        <v>3.6304170586710266E-16</v>
      </c>
      <c r="AY234" s="16">
        <v>1.6581674077349734E-16</v>
      </c>
      <c r="AZ234" s="16">
        <v>7.40242593165824E-17</v>
      </c>
      <c r="BA234" s="16">
        <v>3.2255854483561904E-17</v>
      </c>
      <c r="BB234" s="16">
        <v>1.3699188984624848E-17</v>
      </c>
      <c r="BC234" s="16">
        <v>5.6615840938355633E-18</v>
      </c>
      <c r="BD234" s="16">
        <v>2.2728862353536115E-18</v>
      </c>
      <c r="BE234" s="16">
        <v>8.8466860260883504E-19</v>
      </c>
      <c r="BF234" s="16">
        <v>3.3314304872721515E-19</v>
      </c>
      <c r="BG234" s="16">
        <v>1.2109346583009199E-19</v>
      </c>
      <c r="BH234" s="16">
        <v>4.237970364709586E-20</v>
      </c>
      <c r="BI234" s="16">
        <v>1.4247743714609923E-20</v>
      </c>
      <c r="BJ234" s="16">
        <v>4.5924657677951853E-21</v>
      </c>
      <c r="BK234" s="16">
        <v>1.3596662248616099E-21</v>
      </c>
      <c r="BL234" s="16">
        <v>4.023104490494051E-22</v>
      </c>
      <c r="BM234" s="16">
        <v>1.1824933509960847E-22</v>
      </c>
      <c r="BN234" s="16">
        <v>3.2138443489718481E-23</v>
      </c>
    </row>
    <row r="235" spans="1:66" customFormat="1" x14ac:dyDescent="0.25">
      <c r="A235" s="29"/>
      <c r="B235" s="29"/>
      <c r="C235" s="1"/>
      <c r="D235" s="1"/>
      <c r="E235" s="1"/>
      <c r="F235" s="1"/>
      <c r="G235" s="1"/>
      <c r="H235" s="1"/>
      <c r="I235" s="1"/>
      <c r="J235" s="93"/>
      <c r="K235" s="1"/>
      <c r="L235" s="29"/>
      <c r="M235" s="1"/>
      <c r="N235" s="29"/>
      <c r="O235" s="9">
        <f t="shared" si="100"/>
        <v>37</v>
      </c>
      <c r="P235" s="16">
        <v>1.1059799114748858E-14</v>
      </c>
      <c r="Q235" s="16">
        <v>4.1009139622990957E-14</v>
      </c>
      <c r="R235" s="16">
        <v>1.4121996027148893E-13</v>
      </c>
      <c r="S235" s="16">
        <v>4.8344290569252446E-13</v>
      </c>
      <c r="T235" s="16">
        <v>1.6541704243958341E-12</v>
      </c>
      <c r="U235" s="16">
        <v>6.7008498491138565E-12</v>
      </c>
      <c r="V235" s="16">
        <v>3.5270229354041633E-11</v>
      </c>
      <c r="W235" s="16">
        <v>2.4473982346055988E-10</v>
      </c>
      <c r="X235" s="16">
        <v>2.5106762535098054E-9</v>
      </c>
      <c r="Y235" s="16">
        <v>4.5886780081632564E-8</v>
      </c>
      <c r="Z235" s="16">
        <v>2.1614592725497299E-6</v>
      </c>
      <c r="AA235" s="16">
        <v>5.7416874204296127E-4</v>
      </c>
      <c r="AB235" s="16">
        <v>6.8910813097695173E-2</v>
      </c>
      <c r="AC235" s="16">
        <v>0.87616763137191012</v>
      </c>
      <c r="AD235" s="16">
        <v>5.0641403069278564E-2</v>
      </c>
      <c r="AE235" s="16">
        <v>3.2742606962865191E-3</v>
      </c>
      <c r="AF235" s="16">
        <v>3.5805934713512672E-4</v>
      </c>
      <c r="AG235" s="16">
        <v>5.5976115695911511E-5</v>
      </c>
      <c r="AH235" s="16">
        <v>1.1249669431250252E-5</v>
      </c>
      <c r="AI235" s="16">
        <v>2.9969239733310045E-6</v>
      </c>
      <c r="AJ235" s="16">
        <v>8.6944679068926617E-7</v>
      </c>
      <c r="AK235" s="16">
        <v>2.5402136322981202E-7</v>
      </c>
      <c r="AL235" s="16">
        <v>7.5262060244856296E-8</v>
      </c>
      <c r="AM235" s="16">
        <v>2.2782530653105236E-8</v>
      </c>
      <c r="AN235" s="16">
        <v>6.6973399889175098E-9</v>
      </c>
      <c r="AO235" s="16">
        <v>1.9231478771755496E-9</v>
      </c>
      <c r="AP235" s="16">
        <v>4.9471197009674304E-10</v>
      </c>
      <c r="AQ235" s="16">
        <v>1.3404083185246836E-10</v>
      </c>
      <c r="AR235" s="16">
        <v>3.961449559203934E-11</v>
      </c>
      <c r="AS235" s="16">
        <v>1.2464951739324868E-11</v>
      </c>
      <c r="AT235" s="16">
        <v>4.1326472879840491E-12</v>
      </c>
      <c r="AU235" s="16">
        <v>1.4991336704590745E-12</v>
      </c>
      <c r="AV235" s="16">
        <v>5.7951146053222442E-13</v>
      </c>
      <c r="AW235" s="16">
        <v>2.6955440250364753E-13</v>
      </c>
      <c r="AX235" s="16">
        <v>1.2580732000076975E-13</v>
      </c>
      <c r="AY235" s="16">
        <v>5.7461606837018771E-14</v>
      </c>
      <c r="AZ235" s="16">
        <v>2.5652131777582445E-14</v>
      </c>
      <c r="BA235" s="16">
        <v>1.1177841392132621E-14</v>
      </c>
      <c r="BB235" s="16">
        <v>4.7472734522975673E-15</v>
      </c>
      <c r="BC235" s="16">
        <v>1.961947374897958E-15</v>
      </c>
      <c r="BD235" s="16">
        <v>7.8763877900340099E-16</v>
      </c>
      <c r="BE235" s="16">
        <v>3.0657024849862812E-16</v>
      </c>
      <c r="BF235" s="16">
        <v>1.1544633429140863E-16</v>
      </c>
      <c r="BG235" s="16">
        <v>4.1963345145985727E-17</v>
      </c>
      <c r="BH235" s="16">
        <v>1.4686127935449166E-17</v>
      </c>
      <c r="BI235" s="16">
        <v>4.9373678666248029E-18</v>
      </c>
      <c r="BJ235" s="16">
        <v>1.5914585049164853E-18</v>
      </c>
      <c r="BK235" s="16">
        <v>4.7117441627497455E-19</v>
      </c>
      <c r="BL235" s="16">
        <v>1.3941538557484579E-19</v>
      </c>
      <c r="BM235" s="16">
        <v>4.0977749113487615E-20</v>
      </c>
      <c r="BN235" s="16">
        <v>1.1137154159136103E-20</v>
      </c>
    </row>
    <row r="236" spans="1:66" customFormat="1" x14ac:dyDescent="0.25">
      <c r="A236" s="29"/>
      <c r="B236" s="29"/>
      <c r="C236" s="1"/>
      <c r="D236" s="1"/>
      <c r="E236" s="1"/>
      <c r="F236" s="1"/>
      <c r="G236" s="1"/>
      <c r="H236" s="1"/>
      <c r="I236" s="1"/>
      <c r="J236" s="93"/>
      <c r="K236" s="1"/>
      <c r="L236" s="29"/>
      <c r="M236" s="1"/>
      <c r="N236" s="29"/>
      <c r="O236" s="9">
        <f t="shared" si="100"/>
        <v>36</v>
      </c>
      <c r="P236" s="16">
        <v>8.5835341090648777E-16</v>
      </c>
      <c r="Q236" s="16">
        <v>3.1827282311839712E-15</v>
      </c>
      <c r="R236" s="16">
        <v>1.0960111782271169E-14</v>
      </c>
      <c r="S236" s="16">
        <v>3.7520108889350715E-14</v>
      </c>
      <c r="T236" s="16">
        <v>1.2838052583679664E-13</v>
      </c>
      <c r="U236" s="16">
        <v>5.2005441186439754E-13</v>
      </c>
      <c r="V236" s="16">
        <v>2.7373301590191881E-12</v>
      </c>
      <c r="W236" s="16">
        <v>1.899431084348348E-11</v>
      </c>
      <c r="X236" s="16">
        <v>1.9485412922267165E-10</v>
      </c>
      <c r="Y236" s="16">
        <v>3.5612829663479452E-9</v>
      </c>
      <c r="Z236" s="16">
        <v>1.677513234986679E-7</v>
      </c>
      <c r="AA236" s="16">
        <v>4.4561360749422097E-5</v>
      </c>
      <c r="AB236" s="16">
        <v>5.3481831683422285E-3</v>
      </c>
      <c r="AC236" s="16">
        <v>0.14560977727641067</v>
      </c>
      <c r="AD236" s="16">
        <v>0.7229830440454843</v>
      </c>
      <c r="AE236" s="16">
        <v>0.11140085620788473</v>
      </c>
      <c r="AF236" s="16">
        <v>1.2182328025782485E-2</v>
      </c>
      <c r="AG236" s="16">
        <v>1.904487087050959E-3</v>
      </c>
      <c r="AH236" s="16">
        <v>3.8274985498811377E-4</v>
      </c>
      <c r="AI236" s="16">
        <v>1.0196497090095936E-4</v>
      </c>
      <c r="AJ236" s="16">
        <v>2.9581369931793044E-5</v>
      </c>
      <c r="AK236" s="16">
        <v>8.6426219485178315E-6</v>
      </c>
      <c r="AL236" s="16">
        <v>2.5606568104840718E-6</v>
      </c>
      <c r="AM236" s="16">
        <v>7.7513480347388056E-7</v>
      </c>
      <c r="AN236" s="16">
        <v>2.2786499863217611E-7</v>
      </c>
      <c r="AO236" s="16">
        <v>6.5431662290883361E-8</v>
      </c>
      <c r="AP236" s="16">
        <v>1.6831688786287173E-8</v>
      </c>
      <c r="AQ236" s="16">
        <v>4.5604992455601993E-9</v>
      </c>
      <c r="AR236" s="16">
        <v>1.3478122655907436E-9</v>
      </c>
      <c r="AS236" s="16">
        <v>4.240976590305197E-10</v>
      </c>
      <c r="AT236" s="16">
        <v>1.4060592267706517E-10</v>
      </c>
      <c r="AU236" s="16">
        <v>5.1005338288614945E-11</v>
      </c>
      <c r="AV236" s="16">
        <v>1.9716839578103759E-11</v>
      </c>
      <c r="AW236" s="16">
        <v>9.1711057911692404E-12</v>
      </c>
      <c r="AX236" s="16">
        <v>4.2803687504785902E-12</v>
      </c>
      <c r="AY236" s="16">
        <v>1.9550282627112415E-12</v>
      </c>
      <c r="AZ236" s="16">
        <v>8.7276784246934861E-13</v>
      </c>
      <c r="BA236" s="16">
        <v>3.8030603459637992E-13</v>
      </c>
      <c r="BB236" s="16">
        <v>1.6151747716322701E-13</v>
      </c>
      <c r="BC236" s="16">
        <v>6.6751745713566935E-14</v>
      </c>
      <c r="BD236" s="16">
        <v>2.6797998846892562E-14</v>
      </c>
      <c r="BE236" s="16">
        <v>1.0430503658228757E-14</v>
      </c>
      <c r="BF236" s="16">
        <v>3.9278547675542812E-15</v>
      </c>
      <c r="BG236" s="16">
        <v>1.4277276650303483E-15</v>
      </c>
      <c r="BH236" s="16">
        <v>4.9966920112472528E-16</v>
      </c>
      <c r="BI236" s="16">
        <v>1.6798509916425099E-16</v>
      </c>
      <c r="BJ236" s="16">
        <v>5.4146525433386739E-17</v>
      </c>
      <c r="BK236" s="16">
        <v>1.6030865671695835E-17</v>
      </c>
      <c r="BL236" s="16">
        <v>4.7433588104956268E-18</v>
      </c>
      <c r="BM236" s="16">
        <v>1.3941945251615803E-18</v>
      </c>
      <c r="BN236" s="16">
        <v>3.7892172436180327E-19</v>
      </c>
    </row>
    <row r="237" spans="1:66" customFormat="1" x14ac:dyDescent="0.25">
      <c r="A237" s="29"/>
      <c r="B237" s="29"/>
      <c r="C237" s="1"/>
      <c r="D237" s="1"/>
      <c r="E237" s="1"/>
      <c r="F237" s="1"/>
      <c r="G237" s="1"/>
      <c r="H237" s="1"/>
      <c r="I237" s="1"/>
      <c r="J237" s="93"/>
      <c r="K237" s="1"/>
      <c r="L237" s="29"/>
      <c r="M237" s="1"/>
      <c r="N237" s="29"/>
      <c r="O237" s="9">
        <f t="shared" si="100"/>
        <v>35</v>
      </c>
      <c r="P237" s="16">
        <v>1.1088218563328659E-16</v>
      </c>
      <c r="Q237" s="16">
        <v>4.1114517408132031E-16</v>
      </c>
      <c r="R237" s="16">
        <v>1.4158284149182001E-15</v>
      </c>
      <c r="S237" s="16">
        <v>4.8468516883465286E-15</v>
      </c>
      <c r="T237" s="16">
        <v>1.6584210089526234E-14</v>
      </c>
      <c r="U237" s="16">
        <v>6.7180684672598119E-14</v>
      </c>
      <c r="V237" s="16">
        <v>3.5360860337400837E-13</v>
      </c>
      <c r="W237" s="16">
        <v>2.4536871108827377E-12</v>
      </c>
      <c r="X237" s="16">
        <v>2.5171277300643837E-11</v>
      </c>
      <c r="Y237" s="16">
        <v>4.6004691534950318E-10</v>
      </c>
      <c r="Z237" s="16">
        <v>2.1670133951894118E-8</v>
      </c>
      <c r="AA237" s="16">
        <v>5.7564413584273281E-6</v>
      </c>
      <c r="AB237" s="16">
        <v>6.9087887499237458E-4</v>
      </c>
      <c r="AC237" s="16">
        <v>1.880988663740912E-2</v>
      </c>
      <c r="AD237" s="16">
        <v>0.22257513432735704</v>
      </c>
      <c r="AE237" s="16">
        <v>0.55405905724570781</v>
      </c>
      <c r="AF237" s="16">
        <v>0.16994534738114084</v>
      </c>
      <c r="AG237" s="16">
        <v>2.6567887427328019E-2</v>
      </c>
      <c r="AH237" s="16">
        <v>5.3394192742448566E-3</v>
      </c>
      <c r="AI237" s="16">
        <v>1.4224270076948966E-3</v>
      </c>
      <c r="AJ237" s="16">
        <v>4.1266465477116386E-4</v>
      </c>
      <c r="AK237" s="16">
        <v>1.2056590384171619E-4</v>
      </c>
      <c r="AL237" s="16">
        <v>3.5721555868517847E-5</v>
      </c>
      <c r="AM237" s="16">
        <v>1.0813249582903083E-5</v>
      </c>
      <c r="AN237" s="16">
        <v>3.178751735020781E-6</v>
      </c>
      <c r="AO237" s="16">
        <v>9.1278174042070486E-7</v>
      </c>
      <c r="AP237" s="16">
        <v>2.3480464421438824E-7</v>
      </c>
      <c r="AQ237" s="16">
        <v>6.3619665049068287E-8</v>
      </c>
      <c r="AR237" s="16">
        <v>1.8802188152840265E-8</v>
      </c>
      <c r="AS237" s="16">
        <v>5.9162274923918677E-9</v>
      </c>
      <c r="AT237" s="16">
        <v>1.9614742209065449E-9</v>
      </c>
      <c r="AU237" s="16">
        <v>7.115323044500361E-10</v>
      </c>
      <c r="AV237" s="16">
        <v>2.7505294097052053E-10</v>
      </c>
      <c r="AW237" s="16">
        <v>1.279383346311872E-10</v>
      </c>
      <c r="AX237" s="16">
        <v>5.9711801609671421E-11</v>
      </c>
      <c r="AY237" s="16">
        <v>2.7272944591809219E-11</v>
      </c>
      <c r="AZ237" s="16">
        <v>1.2175245475054867E-11</v>
      </c>
      <c r="BA237" s="16">
        <v>5.3053276043660489E-12</v>
      </c>
      <c r="BB237" s="16">
        <v>2.2531936183738581E-12</v>
      </c>
      <c r="BC237" s="16">
        <v>9.3119710695534844E-13</v>
      </c>
      <c r="BD237" s="16">
        <v>3.7383620056167773E-13</v>
      </c>
      <c r="BE237" s="16">
        <v>1.455071283424983E-13</v>
      </c>
      <c r="BF237" s="16">
        <v>5.4794177395482413E-14</v>
      </c>
      <c r="BG237" s="16">
        <v>1.9917020251444338E-14</v>
      </c>
      <c r="BH237" s="16">
        <v>6.9704621137341525E-15</v>
      </c>
      <c r="BI237" s="16">
        <v>2.3434179388294989E-15</v>
      </c>
      <c r="BJ237" s="16">
        <v>7.5535234766161513E-16</v>
      </c>
      <c r="BK237" s="16">
        <v>2.2363303874521678E-16</v>
      </c>
      <c r="BL237" s="16">
        <v>6.6170584070387233E-17</v>
      </c>
      <c r="BM237" s="16">
        <v>1.9449227798990477E-17</v>
      </c>
      <c r="BN237" s="16">
        <v>5.2860162639391186E-18</v>
      </c>
    </row>
    <row r="238" spans="1:66" customFormat="1" x14ac:dyDescent="0.25">
      <c r="A238" s="29"/>
      <c r="B238" s="29"/>
      <c r="C238" s="1"/>
      <c r="D238" s="1"/>
      <c r="E238" s="1"/>
      <c r="F238" s="1"/>
      <c r="G238" s="1"/>
      <c r="H238" s="1"/>
      <c r="I238" s="1"/>
      <c r="J238" s="93"/>
      <c r="K238" s="1"/>
      <c r="L238" s="29"/>
      <c r="M238" s="1"/>
      <c r="N238" s="29"/>
      <c r="O238" s="9">
        <f t="shared" si="100"/>
        <v>34</v>
      </c>
      <c r="P238" s="16">
        <v>2.0351854250126486E-17</v>
      </c>
      <c r="Q238" s="16">
        <v>7.5463579751389605E-17</v>
      </c>
      <c r="R238" s="16">
        <v>2.5986801557916519E-16</v>
      </c>
      <c r="S238" s="16">
        <v>8.8961467137238489E-16</v>
      </c>
      <c r="T238" s="16">
        <v>3.0439463712572447E-15</v>
      </c>
      <c r="U238" s="16">
        <v>1.2330668764072206E-14</v>
      </c>
      <c r="V238" s="16">
        <v>6.4903038448930078E-14</v>
      </c>
      <c r="W238" s="16">
        <v>4.5036163537804954E-13</v>
      </c>
      <c r="X238" s="16">
        <v>4.6200583437853386E-12</v>
      </c>
      <c r="Y238" s="16">
        <v>8.4439242570293195E-11</v>
      </c>
      <c r="Z238" s="16">
        <v>3.9774415092091307E-9</v>
      </c>
      <c r="AA238" s="16">
        <v>1.0565651719165211E-6</v>
      </c>
      <c r="AB238" s="16">
        <v>1.268072602287809E-4</v>
      </c>
      <c r="AC238" s="16">
        <v>3.4524578418035036E-3</v>
      </c>
      <c r="AD238" s="16">
        <v>4.0852519885510377E-2</v>
      </c>
      <c r="AE238" s="16">
        <v>0.28523953824065817</v>
      </c>
      <c r="AF238" s="16">
        <v>0.39245281748215172</v>
      </c>
      <c r="AG238" s="16">
        <v>0.21768486323878544</v>
      </c>
      <c r="AH238" s="16">
        <v>4.3748708197738032E-2</v>
      </c>
      <c r="AI238" s="16">
        <v>1.1654702673827143E-2</v>
      </c>
      <c r="AJ238" s="16">
        <v>3.3811814802008101E-3</v>
      </c>
      <c r="AK238" s="16">
        <v>9.8786071571683467E-4</v>
      </c>
      <c r="AL238" s="16">
        <v>2.9268574797996252E-4</v>
      </c>
      <c r="AM238" s="16">
        <v>8.8598717645870634E-5</v>
      </c>
      <c r="AN238" s="16">
        <v>2.6045207342917557E-5</v>
      </c>
      <c r="AO238" s="16">
        <v>7.4789073415734963E-6</v>
      </c>
      <c r="AP238" s="16">
        <v>1.9238796085482121E-6</v>
      </c>
      <c r="AQ238" s="16">
        <v>5.2126982709428738E-7</v>
      </c>
      <c r="AR238" s="16">
        <v>1.5405634971303332E-7</v>
      </c>
      <c r="AS238" s="16">
        <v>4.8474805386526369E-8</v>
      </c>
      <c r="AT238" s="16">
        <v>1.6071403821338274E-8</v>
      </c>
      <c r="AU238" s="16">
        <v>5.8299634401816481E-9</v>
      </c>
      <c r="AV238" s="16">
        <v>2.2536553575202807E-9</v>
      </c>
      <c r="AW238" s="16">
        <v>1.0482669709199724E-9</v>
      </c>
      <c r="AX238" s="16">
        <v>4.8925061891720312E-10</v>
      </c>
      <c r="AY238" s="16">
        <v>2.2346177240574262E-10</v>
      </c>
      <c r="AZ238" s="16">
        <v>9.975827597830618E-11</v>
      </c>
      <c r="BA238" s="16">
        <v>4.3469376974453937E-11</v>
      </c>
      <c r="BB238" s="16">
        <v>1.8461616340699269E-11</v>
      </c>
      <c r="BC238" s="16">
        <v>7.6297942555801584E-12</v>
      </c>
      <c r="BD238" s="16">
        <v>3.0630392580355946E-12</v>
      </c>
      <c r="BE238" s="16">
        <v>1.1922174625342701E-12</v>
      </c>
      <c r="BF238" s="16">
        <v>4.4895790247696598E-13</v>
      </c>
      <c r="BG238" s="16">
        <v>1.6319076333860483E-13</v>
      </c>
      <c r="BH238" s="16">
        <v>5.7112711580469028E-14</v>
      </c>
      <c r="BI238" s="16">
        <v>1.9200872290684815E-14</v>
      </c>
      <c r="BJ238" s="16">
        <v>6.1890044117200301E-15</v>
      </c>
      <c r="BK238" s="16">
        <v>1.8323446901108204E-15</v>
      </c>
      <c r="BL238" s="16">
        <v>5.4217086635862302E-16</v>
      </c>
      <c r="BM238" s="16">
        <v>1.5935789042708345E-16</v>
      </c>
      <c r="BN238" s="16">
        <v>4.3311148868764585E-17</v>
      </c>
    </row>
    <row r="239" spans="1:66" customFormat="1" x14ac:dyDescent="0.25">
      <c r="A239" s="29"/>
      <c r="B239" s="29"/>
      <c r="C239" s="1"/>
      <c r="D239" s="1"/>
      <c r="E239" s="1"/>
      <c r="F239" s="1"/>
      <c r="G239" s="1"/>
      <c r="H239" s="1"/>
      <c r="I239" s="1"/>
      <c r="J239" s="93"/>
      <c r="K239" s="48"/>
      <c r="L239" s="29"/>
      <c r="M239" s="1"/>
      <c r="N239" s="29"/>
      <c r="O239" s="9">
        <f t="shared" si="100"/>
        <v>33</v>
      </c>
      <c r="P239" s="16">
        <v>4.8177463232188902E-18</v>
      </c>
      <c r="Q239" s="16">
        <v>1.7863943963824983E-17</v>
      </c>
      <c r="R239" s="16">
        <v>6.1516663847518057E-17</v>
      </c>
      <c r="S239" s="16">
        <v>2.1059200598683792E-16</v>
      </c>
      <c r="T239" s="16">
        <v>7.205712687387654E-16</v>
      </c>
      <c r="U239" s="16">
        <v>2.9189494662664313E-15</v>
      </c>
      <c r="V239" s="16">
        <v>1.5364023887460963E-14</v>
      </c>
      <c r="W239" s="16">
        <v>1.0661083193183543E-13</v>
      </c>
      <c r="X239" s="16">
        <v>1.0936727840752026E-12</v>
      </c>
      <c r="Y239" s="16">
        <v>1.9988687292505048E-11</v>
      </c>
      <c r="Z239" s="16">
        <v>9.4155077818972669E-10</v>
      </c>
      <c r="AA239" s="16">
        <v>2.5011298281139766E-7</v>
      </c>
      <c r="AB239" s="16">
        <v>3.0018159732097798E-5</v>
      </c>
      <c r="AC239" s="16">
        <v>8.172752157614184E-4</v>
      </c>
      <c r="AD239" s="16">
        <v>9.6707196825282435E-3</v>
      </c>
      <c r="AE239" s="16">
        <v>6.7522679737500813E-2</v>
      </c>
      <c r="AF239" s="16">
        <v>0.32962522034761182</v>
      </c>
      <c r="AG239" s="16">
        <v>0.24742141045981525</v>
      </c>
      <c r="AH239" s="16">
        <v>0.25069761155581272</v>
      </c>
      <c r="AI239" s="16">
        <v>6.6786111958219541E-2</v>
      </c>
      <c r="AJ239" s="16">
        <v>1.937552344384234E-2</v>
      </c>
      <c r="AK239" s="16">
        <v>5.660837363715138E-3</v>
      </c>
      <c r="AL239" s="16">
        <v>1.6772065045522174E-3</v>
      </c>
      <c r="AM239" s="16">
        <v>5.0770612015181809E-4</v>
      </c>
      <c r="AN239" s="16">
        <v>1.4924946455180003E-4</v>
      </c>
      <c r="AO239" s="16">
        <v>4.2857133040482554E-5</v>
      </c>
      <c r="AP239" s="16">
        <v>1.1024600328859676E-5</v>
      </c>
      <c r="AQ239" s="16">
        <v>2.9870847851778637E-6</v>
      </c>
      <c r="AR239" s="16">
        <v>8.8280455604541351E-7</v>
      </c>
      <c r="AS239" s="16">
        <v>2.7778004040958943E-7</v>
      </c>
      <c r="AT239" s="16">
        <v>9.2095577637348029E-8</v>
      </c>
      <c r="AU239" s="16">
        <v>3.3408024376518994E-8</v>
      </c>
      <c r="AV239" s="16">
        <v>1.2914347387050564E-8</v>
      </c>
      <c r="AW239" s="16">
        <v>6.0069893879991466E-9</v>
      </c>
      <c r="AX239" s="16">
        <v>2.803601904320631E-9</v>
      </c>
      <c r="AY239" s="16">
        <v>1.2805254126119503E-9</v>
      </c>
      <c r="AZ239" s="16">
        <v>5.7165485681655025E-10</v>
      </c>
      <c r="BA239" s="16">
        <v>2.4909693182388163E-10</v>
      </c>
      <c r="BB239" s="16">
        <v>1.0579245222862078E-10</v>
      </c>
      <c r="BC239" s="16">
        <v>4.3721775461134731E-11</v>
      </c>
      <c r="BD239" s="16">
        <v>1.7552441151414736E-11</v>
      </c>
      <c r="BE239" s="16">
        <v>6.8318833315386128E-12</v>
      </c>
      <c r="BF239" s="16">
        <v>2.5727085090458111E-12</v>
      </c>
      <c r="BG239" s="16">
        <v>9.3514840282926102E-13</v>
      </c>
      <c r="BH239" s="16">
        <v>3.2727870084721465E-13</v>
      </c>
      <c r="BI239" s="16">
        <v>1.1002868476266807E-13</v>
      </c>
      <c r="BJ239" s="16">
        <v>3.5465472875535584E-14</v>
      </c>
      <c r="BK239" s="16">
        <v>1.050006860274584E-14</v>
      </c>
      <c r="BL239" s="16">
        <v>3.1068561073142758E-15</v>
      </c>
      <c r="BM239" s="16">
        <v>9.1318450666180665E-16</v>
      </c>
      <c r="BN239" s="16">
        <v>2.4819022143604506E-16</v>
      </c>
    </row>
    <row r="240" spans="1:66" customFormat="1" x14ac:dyDescent="0.25">
      <c r="A240" s="29"/>
      <c r="B240" s="29"/>
      <c r="C240" s="1"/>
      <c r="D240" s="1"/>
      <c r="E240" s="1"/>
      <c r="F240" s="1"/>
      <c r="G240" s="1"/>
      <c r="H240" s="1"/>
      <c r="I240" s="1"/>
      <c r="J240" s="93"/>
      <c r="K240" s="48"/>
      <c r="L240" s="29"/>
      <c r="M240" s="1"/>
      <c r="N240" s="29"/>
      <c r="O240" s="9">
        <f t="shared" si="100"/>
        <v>32</v>
      </c>
      <c r="P240" s="16">
        <v>1.3696106932884274E-18</v>
      </c>
      <c r="Q240" s="16">
        <v>5.0784427065501863E-18</v>
      </c>
      <c r="R240" s="16">
        <v>1.7488235155706092E-17</v>
      </c>
      <c r="S240" s="16">
        <v>5.9868047001678803E-17</v>
      </c>
      <c r="T240" s="16">
        <v>2.0484725610908495E-16</v>
      </c>
      <c r="U240" s="16">
        <v>8.2981214326286437E-16</v>
      </c>
      <c r="V240" s="16">
        <v>4.3677541315928073E-15</v>
      </c>
      <c r="W240" s="16">
        <v>3.0307809012380625E-14</v>
      </c>
      <c r="X240" s="16">
        <v>3.1091424071226812E-13</v>
      </c>
      <c r="Y240" s="16">
        <v>5.6824743404758919E-12</v>
      </c>
      <c r="Z240" s="16">
        <v>2.676683095304809E-10</v>
      </c>
      <c r="AA240" s="16">
        <v>7.1103248865100317E-8</v>
      </c>
      <c r="AB240" s="16">
        <v>8.5336980828106713E-6</v>
      </c>
      <c r="AC240" s="16">
        <v>2.3233869111617572E-4</v>
      </c>
      <c r="AD240" s="16">
        <v>2.7492358875666283E-3</v>
      </c>
      <c r="AE240" s="16">
        <v>1.9195652490515989E-2</v>
      </c>
      <c r="AF240" s="16">
        <v>9.3707347020299231E-2</v>
      </c>
      <c r="AG240" s="16">
        <v>0.35462259491927844</v>
      </c>
      <c r="AH240" s="16">
        <v>0.11169680823265016</v>
      </c>
      <c r="AI240" s="16">
        <v>0.29615721919908183</v>
      </c>
      <c r="AJ240" s="16">
        <v>8.5919077715509204E-2</v>
      </c>
      <c r="AK240" s="16">
        <v>2.5102492162216751E-2</v>
      </c>
      <c r="AL240" s="16">
        <v>7.4374267320956771E-3</v>
      </c>
      <c r="AM240" s="16">
        <v>2.2513787418644905E-3</v>
      </c>
      <c r="AN240" s="16">
        <v>6.6183380185785856E-4</v>
      </c>
      <c r="AO240" s="16">
        <v>1.9004623823669543E-4</v>
      </c>
      <c r="AP240" s="16">
        <v>4.8887633677775889E-5</v>
      </c>
      <c r="AQ240" s="16">
        <v>1.3245968324126807E-5</v>
      </c>
      <c r="AR240" s="16">
        <v>3.9147202127629243E-6</v>
      </c>
      <c r="AS240" s="16">
        <v>1.2317914893470274E-6</v>
      </c>
      <c r="AT240" s="16">
        <v>4.0838984893555191E-7</v>
      </c>
      <c r="AU240" s="16">
        <v>1.4814498565921264E-7</v>
      </c>
      <c r="AV240" s="16">
        <v>5.7267553055229328E-8</v>
      </c>
      <c r="AW240" s="16">
        <v>2.6637473282186979E-8</v>
      </c>
      <c r="AX240" s="16">
        <v>1.2432329407710944E-8</v>
      </c>
      <c r="AY240" s="16">
        <v>5.6783788454425562E-9</v>
      </c>
      <c r="AZ240" s="16">
        <v>2.5349538664917396E-9</v>
      </c>
      <c r="BA240" s="16">
        <v>1.1045987328343753E-9</v>
      </c>
      <c r="BB240" s="16">
        <v>4.6912745098682184E-10</v>
      </c>
      <c r="BC240" s="16">
        <v>1.9388042003578124E-10</v>
      </c>
      <c r="BD240" s="16">
        <v>7.7834777458081278E-11</v>
      </c>
      <c r="BE240" s="16">
        <v>3.0295393908044682E-11</v>
      </c>
      <c r="BF240" s="16">
        <v>1.140845267838729E-11</v>
      </c>
      <c r="BG240" s="16">
        <v>4.1468344600391386E-12</v>
      </c>
      <c r="BH240" s="16">
        <v>1.451289004615732E-12</v>
      </c>
      <c r="BI240" s="16">
        <v>4.8791265662881187E-13</v>
      </c>
      <c r="BJ240" s="16">
        <v>1.5726856252644012E-13</v>
      </c>
      <c r="BK240" s="16">
        <v>4.6561643246041375E-14</v>
      </c>
      <c r="BL240" s="16">
        <v>1.3777083860930443E-14</v>
      </c>
      <c r="BM240" s="16">
        <v>4.0494374680447541E-15</v>
      </c>
      <c r="BN240" s="16">
        <v>1.1005780042845749E-15</v>
      </c>
    </row>
    <row r="241" spans="1:66" customFormat="1" x14ac:dyDescent="0.25">
      <c r="A241" s="29"/>
      <c r="B241" s="29"/>
      <c r="C241" s="1"/>
      <c r="D241" s="1"/>
      <c r="E241" s="1"/>
      <c r="F241" s="1"/>
      <c r="G241" s="1"/>
      <c r="H241" s="1"/>
      <c r="I241" s="1"/>
      <c r="J241" s="93"/>
      <c r="K241" s="1"/>
      <c r="L241" s="29"/>
      <c r="M241" s="1"/>
      <c r="N241" s="29"/>
      <c r="O241" s="9">
        <f t="shared" si="100"/>
        <v>31</v>
      </c>
      <c r="P241" s="16">
        <v>4.0807461679280707E-19</v>
      </c>
      <c r="Q241" s="16">
        <v>1.5131187070421545E-18</v>
      </c>
      <c r="R241" s="16">
        <v>5.2106083097325663E-18</v>
      </c>
      <c r="S241" s="16">
        <v>1.7837645732515448E-17</v>
      </c>
      <c r="T241" s="16">
        <v>6.1034106952733148E-17</v>
      </c>
      <c r="U241" s="16">
        <v>2.4724198929768432E-16</v>
      </c>
      <c r="V241" s="16">
        <v>1.3013695075755253E-15</v>
      </c>
      <c r="W241" s="16">
        <v>9.0301920167267958E-15</v>
      </c>
      <c r="X241" s="16">
        <v>9.2636696147177677E-14</v>
      </c>
      <c r="Y241" s="16">
        <v>1.6930895401795213E-12</v>
      </c>
      <c r="Z241" s="16">
        <v>7.9751599030650177E-11</v>
      </c>
      <c r="AA241" s="16">
        <v>2.1185166832834466E-8</v>
      </c>
      <c r="AB241" s="16">
        <v>2.5426098029413676E-6</v>
      </c>
      <c r="AC241" s="16">
        <v>6.9225162163223092E-5</v>
      </c>
      <c r="AD241" s="16">
        <v>8.1913304765321698E-4</v>
      </c>
      <c r="AE241" s="16">
        <v>5.7193321960327254E-3</v>
      </c>
      <c r="AF241" s="16">
        <v>2.7920043201594878E-2</v>
      </c>
      <c r="AG241" s="16">
        <v>0.10565957190382444</v>
      </c>
      <c r="AH241" s="16">
        <v>0.33122934220095918</v>
      </c>
      <c r="AI241" s="16">
        <v>8.3565987044439655E-2</v>
      </c>
      <c r="AJ241" s="16">
        <v>0.31435664645463512</v>
      </c>
      <c r="AK241" s="16">
        <v>9.1843807726811735E-2</v>
      </c>
      <c r="AL241" s="16">
        <v>2.721170417465529E-2</v>
      </c>
      <c r="AM241" s="16">
        <v>8.2372377591760863E-3</v>
      </c>
      <c r="AN241" s="16">
        <v>2.4214861238530563E-3</v>
      </c>
      <c r="AO241" s="16">
        <v>6.9533216268011905E-4</v>
      </c>
      <c r="AP241" s="16">
        <v>1.7886775538879202E-4</v>
      </c>
      <c r="AQ241" s="16">
        <v>4.8463720655897987E-5</v>
      </c>
      <c r="AR241" s="16">
        <v>1.4322992641600374E-5</v>
      </c>
      <c r="AS241" s="16">
        <v>4.5068202780835359E-6</v>
      </c>
      <c r="AT241" s="16">
        <v>1.4941974095972089E-6</v>
      </c>
      <c r="AU241" s="16">
        <v>5.4202584710116973E-7</v>
      </c>
      <c r="AV241" s="16">
        <v>2.0952780695241542E-7</v>
      </c>
      <c r="AW241" s="16">
        <v>9.7459923845315177E-8</v>
      </c>
      <c r="AX241" s="16">
        <v>4.5486817178926605E-8</v>
      </c>
      <c r="AY241" s="16">
        <v>2.077578319756625E-8</v>
      </c>
      <c r="AZ241" s="16">
        <v>9.2747689753623836E-9</v>
      </c>
      <c r="BA241" s="16">
        <v>4.0414534532320058E-9</v>
      </c>
      <c r="BB241" s="16">
        <v>1.7164212672339728E-9</v>
      </c>
      <c r="BC241" s="16">
        <v>7.0936048519364671E-10</v>
      </c>
      <c r="BD241" s="16">
        <v>2.8477819210632162E-10</v>
      </c>
      <c r="BE241" s="16">
        <v>1.1084335033819875E-10</v>
      </c>
      <c r="BF241" s="16">
        <v>4.174070556354289E-11</v>
      </c>
      <c r="BG241" s="16">
        <v>1.5172241240493579E-11</v>
      </c>
      <c r="BH241" s="16">
        <v>5.3099073763117772E-12</v>
      </c>
      <c r="BI241" s="16">
        <v>1.7851516866657309E-12</v>
      </c>
      <c r="BJ241" s="16">
        <v>5.7540675741714509E-13</v>
      </c>
      <c r="BK241" s="16">
        <v>1.703575319175077E-13</v>
      </c>
      <c r="BL241" s="16">
        <v>5.0406940991460384E-14</v>
      </c>
      <c r="BM241" s="16">
        <v>1.4815889745666055E-14</v>
      </c>
      <c r="BN241" s="16">
        <v>4.0267426023147663E-15</v>
      </c>
    </row>
    <row r="242" spans="1:66" customFormat="1" x14ac:dyDescent="0.25">
      <c r="A242" s="29"/>
      <c r="B242" s="29"/>
      <c r="C242" s="1"/>
      <c r="D242" s="1"/>
      <c r="E242" s="1"/>
      <c r="F242" s="1"/>
      <c r="G242" s="1"/>
      <c r="H242" s="1"/>
      <c r="I242" s="1"/>
      <c r="J242" s="93"/>
      <c r="K242" s="1"/>
      <c r="L242" s="29"/>
      <c r="M242" s="1"/>
      <c r="N242" s="29"/>
      <c r="O242" s="9">
        <f t="shared" si="100"/>
        <v>30</v>
      </c>
      <c r="P242" s="16">
        <v>1.2254938789922433E-19</v>
      </c>
      <c r="Q242" s="16">
        <v>4.5440653188441664E-19</v>
      </c>
      <c r="R242" s="16">
        <v>1.5648041624322697E-18</v>
      </c>
      <c r="S242" s="16">
        <v>5.3568452340001326E-18</v>
      </c>
      <c r="T242" s="16">
        <v>1.8329227401641905E-17</v>
      </c>
      <c r="U242" s="16">
        <v>7.4249544579739857E-17</v>
      </c>
      <c r="V242" s="16">
        <v>3.9081587048348551E-16</v>
      </c>
      <c r="W242" s="16">
        <v>2.7118680229606415E-15</v>
      </c>
      <c r="X242" s="16">
        <v>2.7819839663311211E-14</v>
      </c>
      <c r="Y242" s="16">
        <v>5.0845379317706382E-13</v>
      </c>
      <c r="Z242" s="16">
        <v>2.3950300369093732E-11</v>
      </c>
      <c r="AA242" s="16">
        <v>6.3621433950276887E-9</v>
      </c>
      <c r="AB242" s="16">
        <v>7.6357426361375277E-7</v>
      </c>
      <c r="AC242" s="16">
        <v>2.078909322271051E-5</v>
      </c>
      <c r="AD242" s="16">
        <v>2.4599484865508379E-4</v>
      </c>
      <c r="AE242" s="16">
        <v>1.7175796557128359E-3</v>
      </c>
      <c r="AF242" s="16">
        <v>8.3847023648927488E-3</v>
      </c>
      <c r="AG242" s="16">
        <v>3.1730755429667301E-2</v>
      </c>
      <c r="AH242" s="16">
        <v>9.9471889381446479E-2</v>
      </c>
      <c r="AI242" s="16">
        <v>0.3254070285095359</v>
      </c>
      <c r="AJ242" s="16">
        <v>8.2919442095263876E-2</v>
      </c>
      <c r="AK242" s="16">
        <v>0.31639046333247051</v>
      </c>
      <c r="AL242" s="16">
        <v>9.3740927178174352E-2</v>
      </c>
      <c r="AM242" s="16">
        <v>2.8376256774517702E-2</v>
      </c>
      <c r="AN242" s="16">
        <v>8.3417177014031875E-3</v>
      </c>
      <c r="AO242" s="16">
        <v>2.3953325821889737E-3</v>
      </c>
      <c r="AP242" s="16">
        <v>6.1617710984970537E-4</v>
      </c>
      <c r="AQ242" s="16">
        <v>1.6695147351407908E-4</v>
      </c>
      <c r="AR242" s="16">
        <v>4.9340923360482487E-5</v>
      </c>
      <c r="AS242" s="16">
        <v>1.5525433790597943E-5</v>
      </c>
      <c r="AT242" s="16">
        <v>5.1473237274615906E-6</v>
      </c>
      <c r="AU242" s="16">
        <v>1.8672114445931307E-6</v>
      </c>
      <c r="AV242" s="16">
        <v>7.2179716372275934E-7</v>
      </c>
      <c r="AW242" s="16">
        <v>3.3573728294765432E-7</v>
      </c>
      <c r="AX242" s="16">
        <v>1.5669641229997328E-7</v>
      </c>
      <c r="AY242" s="16">
        <v>7.1569982067000305E-8</v>
      </c>
      <c r="AZ242" s="16">
        <v>3.1950422418732981E-8</v>
      </c>
      <c r="BA242" s="16">
        <v>1.3922303117136618E-8</v>
      </c>
      <c r="BB242" s="16">
        <v>5.9128572024059166E-9</v>
      </c>
      <c r="BC242" s="16">
        <v>2.4436584037079865E-9</v>
      </c>
      <c r="BD242" s="16">
        <v>9.8102535573772182E-10</v>
      </c>
      <c r="BE242" s="16">
        <v>3.8184151810365566E-10</v>
      </c>
      <c r="BF242" s="16">
        <v>1.4379152498071206E-10</v>
      </c>
      <c r="BG242" s="16">
        <v>5.2266478869760807E-11</v>
      </c>
      <c r="BH242" s="16">
        <v>1.8291968687109933E-11</v>
      </c>
      <c r="BI242" s="16">
        <v>6.1496249256446017E-12</v>
      </c>
      <c r="BJ242" s="16">
        <v>1.9822045175365545E-12</v>
      </c>
      <c r="BK242" s="16">
        <v>5.8686045134234616E-13</v>
      </c>
      <c r="BL242" s="16">
        <v>1.7364562522166544E-13</v>
      </c>
      <c r="BM242" s="16">
        <v>5.1038892412402017E-14</v>
      </c>
      <c r="BN242" s="16">
        <v>1.3871626070388242E-14</v>
      </c>
    </row>
    <row r="243" spans="1:66" customFormat="1" x14ac:dyDescent="0.25">
      <c r="A243" s="29"/>
      <c r="B243" s="29"/>
      <c r="C243" s="1"/>
      <c r="D243" s="1"/>
      <c r="E243" s="1"/>
      <c r="F243" s="1"/>
      <c r="G243" s="1"/>
      <c r="H243" s="1"/>
      <c r="I243" s="1"/>
      <c r="J243" s="93"/>
      <c r="K243" s="1"/>
      <c r="L243" s="29"/>
      <c r="M243" s="1"/>
      <c r="N243" s="29"/>
      <c r="O243" s="9">
        <f t="shared" si="100"/>
        <v>29</v>
      </c>
      <c r="P243" s="16">
        <v>3.7054242902418474E-20</v>
      </c>
      <c r="Q243" s="16">
        <v>1.3739513756475736E-19</v>
      </c>
      <c r="R243" s="16">
        <v>4.7313686770236257E-19</v>
      </c>
      <c r="S243" s="16">
        <v>1.6197049034184526E-18</v>
      </c>
      <c r="T243" s="16">
        <v>5.5420566026213702E-18</v>
      </c>
      <c r="U243" s="16">
        <v>2.2450219518958879E-17</v>
      </c>
      <c r="V243" s="16">
        <v>1.1816775622676814E-16</v>
      </c>
      <c r="W243" s="16">
        <v>8.1996506196112122E-16</v>
      </c>
      <c r="X243" s="16">
        <v>8.4116543873589908E-15</v>
      </c>
      <c r="Y243" s="16">
        <v>1.5373696009425939E-13</v>
      </c>
      <c r="Z243" s="16">
        <v>7.2416538562564215E-12</v>
      </c>
      <c r="AA243" s="16">
        <v>1.9236685778735371E-9</v>
      </c>
      <c r="AB243" s="16">
        <v>2.3087562266117525E-7</v>
      </c>
      <c r="AC243" s="16">
        <v>6.2858258470356053E-6</v>
      </c>
      <c r="AD243" s="16">
        <v>7.437942392910833E-5</v>
      </c>
      <c r="AE243" s="16">
        <v>5.1933032761756082E-4</v>
      </c>
      <c r="AF243" s="16">
        <v>2.5352129734724279E-3</v>
      </c>
      <c r="AG243" s="16">
        <v>9.5941655794722046E-3</v>
      </c>
      <c r="AH243" s="16">
        <v>3.007649090939235E-2</v>
      </c>
      <c r="AI243" s="16">
        <v>9.8390626695434316E-2</v>
      </c>
      <c r="AJ243" s="16">
        <v>0.32743337799570832</v>
      </c>
      <c r="AK243" s="16">
        <v>7.6449017022327925E-2</v>
      </c>
      <c r="AL243" s="16">
        <v>0.31893290288484966</v>
      </c>
      <c r="AM243" s="16">
        <v>9.6543977305677278E-2</v>
      </c>
      <c r="AN243" s="16">
        <v>2.8380861184546562E-2</v>
      </c>
      <c r="AO243" s="16">
        <v>8.1495926785548397E-3</v>
      </c>
      <c r="AP243" s="16">
        <v>2.0964071964216591E-3</v>
      </c>
      <c r="AQ243" s="16">
        <v>5.6801569700225501E-4</v>
      </c>
      <c r="AR243" s="16">
        <v>1.6787164787123503E-4</v>
      </c>
      <c r="AS243" s="16">
        <v>5.2821876382451745E-5</v>
      </c>
      <c r="AT243" s="16">
        <v>1.7512637733645265E-5</v>
      </c>
      <c r="AU243" s="16">
        <v>6.3527765752945792E-6</v>
      </c>
      <c r="AV243" s="16">
        <v>2.4557562171600665E-6</v>
      </c>
      <c r="AW243" s="16">
        <v>1.1422723188308553E-6</v>
      </c>
      <c r="AX243" s="16">
        <v>5.3312510501931049E-7</v>
      </c>
      <c r="AY243" s="16">
        <v>2.4350113474618601E-7</v>
      </c>
      <c r="AZ243" s="16">
        <v>1.0870429040066322E-7</v>
      </c>
      <c r="BA243" s="16">
        <v>4.7367576592788386E-8</v>
      </c>
      <c r="BB243" s="16">
        <v>2.0117197137623154E-8</v>
      </c>
      <c r="BC243" s="16">
        <v>8.3140106655036842E-9</v>
      </c>
      <c r="BD243" s="16">
        <v>3.3377231688180042E-9</v>
      </c>
      <c r="BE243" s="16">
        <v>1.2991318464269588E-9</v>
      </c>
      <c r="BF243" s="16">
        <v>4.8921906207703257E-10</v>
      </c>
      <c r="BG243" s="16">
        <v>1.7782520752988262E-10</v>
      </c>
      <c r="BH243" s="16">
        <v>6.2234403354792605E-11</v>
      </c>
      <c r="BI243" s="16">
        <v>2.0922747280501753E-11</v>
      </c>
      <c r="BJ243" s="16">
        <v>6.7440152334719897E-12</v>
      </c>
      <c r="BK243" s="16">
        <v>1.996663708896043E-12</v>
      </c>
      <c r="BL243" s="16">
        <v>5.9079107698536632E-13</v>
      </c>
      <c r="BM243" s="16">
        <v>1.7364861440057206E-13</v>
      </c>
      <c r="BN243" s="16">
        <v>4.7195159078735321E-14</v>
      </c>
    </row>
    <row r="244" spans="1:66" customFormat="1" x14ac:dyDescent="0.25">
      <c r="A244" s="29"/>
      <c r="B244" s="29"/>
      <c r="C244" s="1"/>
      <c r="D244" s="1"/>
      <c r="E244" s="1"/>
      <c r="F244" s="1"/>
      <c r="G244" s="1"/>
      <c r="H244" s="1"/>
      <c r="I244" s="1"/>
      <c r="J244" s="93"/>
      <c r="K244" s="1"/>
      <c r="L244" s="29"/>
      <c r="M244" s="1"/>
      <c r="N244" s="29"/>
      <c r="O244" s="9">
        <f t="shared" si="100"/>
        <v>28</v>
      </c>
      <c r="P244" s="16">
        <v>1.1155693334361646E-20</v>
      </c>
      <c r="Q244" s="16">
        <v>4.136471022606767E-20</v>
      </c>
      <c r="R244" s="16">
        <v>1.4244441089156611E-19</v>
      </c>
      <c r="S244" s="16">
        <v>4.8763460752071594E-19</v>
      </c>
      <c r="T244" s="16">
        <v>1.6685129436684002E-18</v>
      </c>
      <c r="U244" s="16">
        <v>6.758949707922893E-18</v>
      </c>
      <c r="V244" s="16">
        <v>3.5576040615564417E-17</v>
      </c>
      <c r="W244" s="16">
        <v>2.4686184522021594E-16</v>
      </c>
      <c r="X244" s="16">
        <v>2.5324451244931502E-15</v>
      </c>
      <c r="Y244" s="16">
        <v>4.6284642368353819E-14</v>
      </c>
      <c r="Z244" s="16">
        <v>2.1802002503934933E-12</v>
      </c>
      <c r="AA244" s="16">
        <v>5.791470841333561E-10</v>
      </c>
      <c r="AB244" s="16">
        <v>6.9508305744381114E-8</v>
      </c>
      <c r="AC244" s="16">
        <v>1.8924349820720926E-6</v>
      </c>
      <c r="AD244" s="16">
        <v>2.2392956345775346E-5</v>
      </c>
      <c r="AE244" s="16">
        <v>1.5635159216158051E-4</v>
      </c>
      <c r="AF244" s="16">
        <v>7.632609993903723E-4</v>
      </c>
      <c r="AG244" s="16">
        <v>2.88845650646648E-3</v>
      </c>
      <c r="AH244" s="16">
        <v>9.0549443971232203E-3</v>
      </c>
      <c r="AI244" s="16">
        <v>2.962186169288273E-2</v>
      </c>
      <c r="AJ244" s="16">
        <v>9.8578356113594529E-2</v>
      </c>
      <c r="AK244" s="16">
        <v>0.32407989432142337</v>
      </c>
      <c r="AL244" s="16">
        <v>7.6030166432428478E-2</v>
      </c>
      <c r="AM244" s="16">
        <v>0.32572441108650296</v>
      </c>
      <c r="AN244" s="16">
        <v>9.5752625419551748E-2</v>
      </c>
      <c r="AO244" s="16">
        <v>2.7495462170699821E-2</v>
      </c>
      <c r="AP244" s="16">
        <v>7.0729528501805019E-3</v>
      </c>
      <c r="AQ244" s="16">
        <v>1.9163968955634597E-3</v>
      </c>
      <c r="AR244" s="16">
        <v>5.6637291281103454E-4</v>
      </c>
      <c r="AS244" s="16">
        <v>1.7821282132061478E-4</v>
      </c>
      <c r="AT244" s="16">
        <v>5.9084924524105281E-5</v>
      </c>
      <c r="AU244" s="16">
        <v>2.1433283219731985E-5</v>
      </c>
      <c r="AV244" s="16">
        <v>8.2853407320670097E-6</v>
      </c>
      <c r="AW244" s="16">
        <v>3.8538497038873812E-6</v>
      </c>
      <c r="AX244" s="16">
        <v>1.7986814477098754E-6</v>
      </c>
      <c r="AY244" s="16">
        <v>8.2153507580252334E-7</v>
      </c>
      <c r="AZ244" s="16">
        <v>3.667514221133096E-7</v>
      </c>
      <c r="BA244" s="16">
        <v>1.5981085947422976E-7</v>
      </c>
      <c r="BB244" s="16">
        <v>6.7872304137795828E-8</v>
      </c>
      <c r="BC244" s="16">
        <v>2.8050182967020188E-8</v>
      </c>
      <c r="BD244" s="16">
        <v>1.1260960485300927E-8</v>
      </c>
      <c r="BE244" s="16">
        <v>4.3830694302280268E-9</v>
      </c>
      <c r="BF244" s="16">
        <v>1.6505492660903886E-9</v>
      </c>
      <c r="BG244" s="16">
        <v>5.9995467988245065E-10</v>
      </c>
      <c r="BH244" s="16">
        <v>2.0996922799106246E-10</v>
      </c>
      <c r="BI244" s="16">
        <v>7.0590105426000563E-11</v>
      </c>
      <c r="BJ244" s="16">
        <v>2.275326179411393E-11</v>
      </c>
      <c r="BK244" s="16">
        <v>6.7364337876694444E-12</v>
      </c>
      <c r="BL244" s="16">
        <v>1.9932374964927315E-12</v>
      </c>
      <c r="BM244" s="16">
        <v>5.8586350221027697E-13</v>
      </c>
      <c r="BN244" s="16">
        <v>1.5922914951372009E-13</v>
      </c>
    </row>
    <row r="245" spans="1:66" customFormat="1" x14ac:dyDescent="0.25">
      <c r="A245" s="29"/>
      <c r="B245" s="29"/>
      <c r="C245" s="1"/>
      <c r="D245" s="1"/>
      <c r="E245" s="1"/>
      <c r="F245" s="1"/>
      <c r="G245" s="1"/>
      <c r="H245" s="1"/>
      <c r="I245" s="1"/>
      <c r="J245" s="93"/>
      <c r="K245" s="1"/>
      <c r="L245" s="29"/>
      <c r="M245" s="1"/>
      <c r="N245" s="29"/>
      <c r="O245" s="9">
        <f t="shared" si="100"/>
        <v>27</v>
      </c>
      <c r="P245" s="16">
        <v>3.2610626568003694E-21</v>
      </c>
      <c r="Q245" s="16">
        <v>1.2091844745507838E-20</v>
      </c>
      <c r="R245" s="16">
        <v>4.1639738123457038E-20</v>
      </c>
      <c r="S245" s="16">
        <v>1.4254667648949914E-19</v>
      </c>
      <c r="T245" s="16">
        <v>4.8774424770402966E-19</v>
      </c>
      <c r="U245" s="16">
        <v>1.9757945858737044E-18</v>
      </c>
      <c r="V245" s="16">
        <v>1.0399685080162617E-17</v>
      </c>
      <c r="W245" s="16">
        <v>7.2163326895767962E-17</v>
      </c>
      <c r="X245" s="16">
        <v>7.4029125562668078E-16</v>
      </c>
      <c r="Y245" s="16">
        <v>1.3530052708233203E-14</v>
      </c>
      <c r="Z245" s="16">
        <v>6.373220747298244E-13</v>
      </c>
      <c r="AA245" s="16">
        <v>1.6929785287703784E-10</v>
      </c>
      <c r="AB245" s="16">
        <v>2.0318857233397995E-8</v>
      </c>
      <c r="AC245" s="16">
        <v>5.5320174779715905E-7</v>
      </c>
      <c r="AD245" s="16">
        <v>6.5459699837426113E-6</v>
      </c>
      <c r="AE245" s="16">
        <v>4.5705123226981188E-5</v>
      </c>
      <c r="AF245" s="16">
        <v>2.2311853399890018E-4</v>
      </c>
      <c r="AG245" s="16">
        <v>8.4436147236283772E-4</v>
      </c>
      <c r="AH245" s="16">
        <v>2.6469660063089193E-3</v>
      </c>
      <c r="AI245" s="16">
        <v>8.659143281935051E-3</v>
      </c>
      <c r="AJ245" s="16">
        <v>2.8816693526400778E-2</v>
      </c>
      <c r="AK245" s="16">
        <v>9.4735917303868669E-2</v>
      </c>
      <c r="AL245" s="16">
        <v>0.3145480687009467</v>
      </c>
      <c r="AM245" s="16">
        <v>0.10004045798487853</v>
      </c>
      <c r="AN245" s="16">
        <v>0.32337693563840736</v>
      </c>
      <c r="AO245" s="16">
        <v>9.2858010542937283E-2</v>
      </c>
      <c r="AP245" s="16">
        <v>2.3886862721356573E-2</v>
      </c>
      <c r="AQ245" s="16">
        <v>6.4720789935408729E-3</v>
      </c>
      <c r="AR245" s="16">
        <v>1.9127615161561244E-3</v>
      </c>
      <c r="AS245" s="16">
        <v>6.018625160158584E-4</v>
      </c>
      <c r="AT245" s="16">
        <v>1.9954232848774035E-4</v>
      </c>
      <c r="AU245" s="16">
        <v>7.2384745774832612E-5</v>
      </c>
      <c r="AV245" s="16">
        <v>2.7981353878457992E-5</v>
      </c>
      <c r="AW245" s="16">
        <v>1.3015268272734102E-5</v>
      </c>
      <c r="AX245" s="16">
        <v>6.0745289458278014E-6</v>
      </c>
      <c r="AY245" s="16">
        <v>2.7744982883596261E-6</v>
      </c>
      <c r="AZ245" s="16">
        <v>1.2385973805352534E-6</v>
      </c>
      <c r="BA245" s="16">
        <v>5.3971518579337248E-7</v>
      </c>
      <c r="BB245" s="16">
        <v>2.2921917420675527E-7</v>
      </c>
      <c r="BC245" s="16">
        <v>9.4731420389017078E-8</v>
      </c>
      <c r="BD245" s="16">
        <v>3.8030653239281749E-8</v>
      </c>
      <c r="BE245" s="16">
        <v>1.4802555593928434E-8</v>
      </c>
      <c r="BF245" s="16">
        <v>5.5742551334738217E-9</v>
      </c>
      <c r="BG245" s="16">
        <v>2.0261742699192172E-9</v>
      </c>
      <c r="BH245" s="16">
        <v>7.0911064034644764E-10</v>
      </c>
      <c r="BI245" s="16">
        <v>2.3839776589970227E-10</v>
      </c>
      <c r="BJ245" s="16">
        <v>7.6842593532235491E-11</v>
      </c>
      <c r="BK245" s="16">
        <v>2.2750366434785669E-11</v>
      </c>
      <c r="BL245" s="16">
        <v>6.7315860091683311E-12</v>
      </c>
      <c r="BM245" s="16">
        <v>1.9785853726414885E-12</v>
      </c>
      <c r="BN245" s="16">
        <v>5.3775062781247413E-13</v>
      </c>
    </row>
    <row r="246" spans="1:66" customFormat="1" x14ac:dyDescent="0.25">
      <c r="A246" s="29"/>
      <c r="B246" s="29"/>
      <c r="C246" s="1"/>
      <c r="D246" s="1"/>
      <c r="E246" s="1"/>
      <c r="F246" s="1"/>
      <c r="G246" s="1"/>
      <c r="H246" s="1"/>
      <c r="I246" s="1"/>
      <c r="J246" s="93"/>
      <c r="K246" s="1"/>
      <c r="L246" s="29"/>
      <c r="M246" s="1"/>
      <c r="N246" s="29"/>
      <c r="O246" s="9">
        <f t="shared" si="100"/>
        <v>26</v>
      </c>
      <c r="P246" s="16">
        <v>9.2481062520250464E-22</v>
      </c>
      <c r="Q246" s="16">
        <v>3.4291480035273921E-21</v>
      </c>
      <c r="R246" s="16">
        <v>1.1808688240601391E-20</v>
      </c>
      <c r="S246" s="16">
        <v>4.0425068414397813E-20</v>
      </c>
      <c r="T246" s="16">
        <v>1.3832026861472897E-19</v>
      </c>
      <c r="U246" s="16">
        <v>5.6031914088593379E-19</v>
      </c>
      <c r="V246" s="16">
        <v>2.9492653999880231E-18</v>
      </c>
      <c r="W246" s="16">
        <v>2.0464927689751315E-17</v>
      </c>
      <c r="X246" s="16">
        <v>2.0994052890102695E-16</v>
      </c>
      <c r="Y246" s="16">
        <v>3.8370119868843631E-15</v>
      </c>
      <c r="Z246" s="16">
        <v>1.8073931365812677E-13</v>
      </c>
      <c r="AA246" s="16">
        <v>4.8011482649117203E-11</v>
      </c>
      <c r="AB246" s="16">
        <v>5.7622612746289077E-9</v>
      </c>
      <c r="AC246" s="16">
        <v>1.5688347881833645E-7</v>
      </c>
      <c r="AD246" s="16">
        <v>1.8563834033049744E-6</v>
      </c>
      <c r="AE246" s="16">
        <v>1.2961598115374543E-5</v>
      </c>
      <c r="AF246" s="16">
        <v>6.3274586427064966E-5</v>
      </c>
      <c r="AG246" s="16">
        <v>2.3945398887825954E-4</v>
      </c>
      <c r="AH246" s="16">
        <v>7.5065785138460198E-4</v>
      </c>
      <c r="AI246" s="16">
        <v>2.4556620203494126E-3</v>
      </c>
      <c r="AJ246" s="16">
        <v>8.1721779558101507E-3</v>
      </c>
      <c r="AK246" s="16">
        <v>2.6866329209658878E-2</v>
      </c>
      <c r="AL246" s="16">
        <v>8.9203252646786066E-2</v>
      </c>
      <c r="AM246" s="16">
        <v>0.31196245235447556</v>
      </c>
      <c r="AN246" s="16">
        <v>0.12265125022696441</v>
      </c>
      <c r="AO246" s="16">
        <v>0.3223704294921762</v>
      </c>
      <c r="AP246" s="16">
        <v>8.2926805664695125E-2</v>
      </c>
      <c r="AQ246" s="16">
        <v>2.2468787266234972E-2</v>
      </c>
      <c r="AR246" s="16">
        <v>6.6404368117948583E-3</v>
      </c>
      <c r="AS246" s="16">
        <v>2.0894554669955855E-3</v>
      </c>
      <c r="AT246" s="16">
        <v>6.9274094674597107E-4</v>
      </c>
      <c r="AU246" s="16">
        <v>2.5129443811769869E-4</v>
      </c>
      <c r="AV246" s="16">
        <v>9.7141442238847929E-5</v>
      </c>
      <c r="AW246" s="16">
        <v>4.5184444492239991E-5</v>
      </c>
      <c r="AX246" s="16">
        <v>2.1088632997620329E-5</v>
      </c>
      <c r="AY246" s="16">
        <v>9.6320845085327827E-6</v>
      </c>
      <c r="AZ246" s="16">
        <v>4.2999754915748995E-6</v>
      </c>
      <c r="BA246" s="16">
        <v>1.873701743450636E-6</v>
      </c>
      <c r="BB246" s="16">
        <v>7.9576854172107733E-7</v>
      </c>
      <c r="BC246" s="16">
        <v>3.2887425111364373E-7</v>
      </c>
      <c r="BD246" s="16">
        <v>1.320290834030555E-7</v>
      </c>
      <c r="BE246" s="16">
        <v>5.1389278926991528E-8</v>
      </c>
      <c r="BF246" s="16">
        <v>1.9351857863097411E-8</v>
      </c>
      <c r="BG246" s="16">
        <v>7.0341660972569147E-9</v>
      </c>
      <c r="BH246" s="16">
        <v>2.4617833221858021E-9</v>
      </c>
      <c r="BI246" s="16">
        <v>8.2763339138658318E-10</v>
      </c>
      <c r="BJ246" s="16">
        <v>2.6677052130925278E-10</v>
      </c>
      <c r="BK246" s="16">
        <v>7.8981289344929516E-11</v>
      </c>
      <c r="BL246" s="16">
        <v>2.3369704565614044E-11</v>
      </c>
      <c r="BM246" s="16">
        <v>6.868954144461664E-12</v>
      </c>
      <c r="BN246" s="16">
        <v>1.8668814874882097E-12</v>
      </c>
    </row>
    <row r="247" spans="1:66" customFormat="1" x14ac:dyDescent="0.25">
      <c r="A247" s="29"/>
      <c r="B247" s="29"/>
      <c r="C247" s="1"/>
      <c r="D247" s="1"/>
      <c r="E247" s="1"/>
      <c r="F247" s="1"/>
      <c r="G247" s="1"/>
      <c r="H247" s="1"/>
      <c r="I247" s="1"/>
      <c r="J247" s="93"/>
      <c r="K247" s="1"/>
      <c r="L247" s="29"/>
      <c r="M247" s="1"/>
      <c r="N247" s="29"/>
      <c r="O247" s="9">
        <f t="shared" si="100"/>
        <v>25</v>
      </c>
      <c r="P247" s="16">
        <v>2.5591404733387457E-22</v>
      </c>
      <c r="Q247" s="16">
        <v>9.4891550829383142E-22</v>
      </c>
      <c r="R247" s="16">
        <v>3.2677059702839246E-21</v>
      </c>
      <c r="S247" s="16">
        <v>1.1186444651208471E-20</v>
      </c>
      <c r="T247" s="16">
        <v>3.8276052204474757E-20</v>
      </c>
      <c r="U247" s="16">
        <v>1.5505178599279192E-19</v>
      </c>
      <c r="V247" s="16">
        <v>8.1612216015297739E-19</v>
      </c>
      <c r="W247" s="16">
        <v>5.663064773215102E-18</v>
      </c>
      <c r="X247" s="16">
        <v>5.8094845567665923E-17</v>
      </c>
      <c r="Y247" s="16">
        <v>1.0617798287267234E-15</v>
      </c>
      <c r="Z247" s="16">
        <v>5.0014271041133139E-14</v>
      </c>
      <c r="AA247" s="16">
        <v>1.328576089893566E-11</v>
      </c>
      <c r="AB247" s="16">
        <v>1.5945357507788518E-9</v>
      </c>
      <c r="AC247" s="16">
        <v>4.3412872787255627E-8</v>
      </c>
      <c r="AD247" s="16">
        <v>5.1369932091684394E-7</v>
      </c>
      <c r="AE247" s="16">
        <v>3.5867397532270887E-6</v>
      </c>
      <c r="AF247" s="16">
        <v>1.7509374421797452E-5</v>
      </c>
      <c r="AG247" s="16">
        <v>6.6261824609397917E-5</v>
      </c>
      <c r="AH247" s="16">
        <v>2.0772240681027956E-4</v>
      </c>
      <c r="AI247" s="16">
        <v>6.7953199215686939E-4</v>
      </c>
      <c r="AJ247" s="16">
        <v>2.2614090703662708E-3</v>
      </c>
      <c r="AK247" s="16">
        <v>7.4344637244436792E-3</v>
      </c>
      <c r="AL247" s="16">
        <v>2.4684367586268258E-2</v>
      </c>
      <c r="AM247" s="16">
        <v>8.6326401992573756E-2</v>
      </c>
      <c r="AN247" s="16">
        <v>0.31066060159841552</v>
      </c>
      <c r="AO247" s="16">
        <v>0.15480522317015444</v>
      </c>
      <c r="AP247" s="16">
        <v>0.29706294238358627</v>
      </c>
      <c r="AQ247" s="16">
        <v>8.0488377715726325E-2</v>
      </c>
      <c r="AR247" s="16">
        <v>2.3787576070398171E-2</v>
      </c>
      <c r="AS247" s="16">
        <v>7.4849113507989961E-3</v>
      </c>
      <c r="AT247" s="16">
        <v>2.4815578304321502E-3</v>
      </c>
      <c r="AU247" s="16">
        <v>9.0019463059644734E-4</v>
      </c>
      <c r="AV247" s="16">
        <v>3.4798304875672837E-4</v>
      </c>
      <c r="AW247" s="16">
        <v>1.6186110056023938E-4</v>
      </c>
      <c r="AX247" s="16">
        <v>7.5544346835823781E-5</v>
      </c>
      <c r="AY247" s="16">
        <v>3.4504348050756754E-5</v>
      </c>
      <c r="AZ247" s="16">
        <v>1.5403503866643763E-5</v>
      </c>
      <c r="BA247" s="16">
        <v>6.7120317561643259E-6</v>
      </c>
      <c r="BB247" s="16">
        <v>2.8506264357485054E-6</v>
      </c>
      <c r="BC247" s="16">
        <v>1.1781034121227487E-6</v>
      </c>
      <c r="BD247" s="16">
        <v>4.7295862515800876E-7</v>
      </c>
      <c r="BE247" s="16">
        <v>1.8408824845790654E-7</v>
      </c>
      <c r="BF247" s="16">
        <v>6.9322817770708968E-8</v>
      </c>
      <c r="BG247" s="16">
        <v>2.5198005172356693E-8</v>
      </c>
      <c r="BH247" s="16">
        <v>8.8186755939484693E-9</v>
      </c>
      <c r="BI247" s="16">
        <v>2.9647736758884414E-9</v>
      </c>
      <c r="BJ247" s="16">
        <v>9.5563352966661245E-10</v>
      </c>
      <c r="BK247" s="16">
        <v>2.8292919301536454E-10</v>
      </c>
      <c r="BL247" s="16">
        <v>8.3715671250701614E-11</v>
      </c>
      <c r="BM247" s="16">
        <v>2.4606177856437428E-11</v>
      </c>
      <c r="BN247" s="16">
        <v>6.6876000264266635E-12</v>
      </c>
    </row>
    <row r="248" spans="1:66" customFormat="1" x14ac:dyDescent="0.25">
      <c r="A248" s="29"/>
      <c r="B248" s="29"/>
      <c r="C248" s="1"/>
      <c r="D248" s="1"/>
      <c r="E248" s="1"/>
      <c r="F248" s="1"/>
      <c r="G248" s="1"/>
      <c r="H248" s="1"/>
      <c r="I248" s="1"/>
      <c r="J248" s="93"/>
      <c r="K248" s="1"/>
      <c r="L248" s="29"/>
      <c r="M248" s="1"/>
      <c r="N248" s="29"/>
      <c r="O248" s="9">
        <f t="shared" si="100"/>
        <v>24</v>
      </c>
      <c r="P248" s="16">
        <v>7.5985620139390226E-23</v>
      </c>
      <c r="Q248" s="16">
        <v>2.8175058817119993E-22</v>
      </c>
      <c r="R248" s="16">
        <v>9.7024241995310449E-22</v>
      </c>
      <c r="S248" s="16">
        <v>3.3214625880543735E-21</v>
      </c>
      <c r="T248" s="16">
        <v>1.1364868765684626E-20</v>
      </c>
      <c r="U248" s="16">
        <v>4.6037746794772382E-20</v>
      </c>
      <c r="V248" s="16">
        <v>2.4232178379726707E-19</v>
      </c>
      <c r="W248" s="16">
        <v>1.6814688101934676E-18</v>
      </c>
      <c r="X248" s="16">
        <v>1.7249435556001554E-17</v>
      </c>
      <c r="Y248" s="16">
        <v>3.1526209513633147E-16</v>
      </c>
      <c r="Z248" s="16">
        <v>1.485016332816602E-14</v>
      </c>
      <c r="AA248" s="16">
        <v>3.9447884609953594E-12</v>
      </c>
      <c r="AB248" s="16">
        <v>4.7344719494544668E-10</v>
      </c>
      <c r="AC248" s="16">
        <v>1.2890085929782528E-8</v>
      </c>
      <c r="AD248" s="16">
        <v>1.5252684200693829E-7</v>
      </c>
      <c r="AE248" s="16">
        <v>1.0649694585619896E-6</v>
      </c>
      <c r="AF248" s="16">
        <v>5.1988575365591015E-6</v>
      </c>
      <c r="AG248" s="16">
        <v>1.9674362884597105E-5</v>
      </c>
      <c r="AH248" s="16">
        <v>6.1676629566697952E-5</v>
      </c>
      <c r="AI248" s="16">
        <v>2.0176563329183154E-4</v>
      </c>
      <c r="AJ248" s="16">
        <v>6.714542339148798E-4</v>
      </c>
      <c r="AK248" s="16">
        <v>2.2074299648297499E-3</v>
      </c>
      <c r="AL248" s="16">
        <v>7.3292458867809142E-3</v>
      </c>
      <c r="AM248" s="16">
        <v>2.5631907502327005E-2</v>
      </c>
      <c r="AN248" s="16">
        <v>9.2240885997691091E-2</v>
      </c>
      <c r="AO248" s="16">
        <v>0.34288305756155368</v>
      </c>
      <c r="AP248" s="16">
        <v>9.9991104086627439E-2</v>
      </c>
      <c r="AQ248" s="16">
        <v>0.29803952912894616</v>
      </c>
      <c r="AR248" s="16">
        <v>8.8082753962069715E-2</v>
      </c>
      <c r="AS248" s="16">
        <v>2.771579596799563E-2</v>
      </c>
      <c r="AT248" s="16">
        <v>9.1889332134437972E-3</v>
      </c>
      <c r="AU248" s="16">
        <v>3.3333208028486555E-3</v>
      </c>
      <c r="AV248" s="16">
        <v>1.2885426062705495E-3</v>
      </c>
      <c r="AW248" s="16">
        <v>5.993536901147047E-4</v>
      </c>
      <c r="AX248" s="16">
        <v>2.7973233152770507E-4</v>
      </c>
      <c r="AY248" s="16">
        <v>1.2776577113119686E-4</v>
      </c>
      <c r="AZ248" s="16">
        <v>5.7037465155089315E-5</v>
      </c>
      <c r="BA248" s="16">
        <v>2.4853908612384524E-5</v>
      </c>
      <c r="BB248" s="16">
        <v>1.0555553295330122E-5</v>
      </c>
      <c r="BC248" s="16">
        <v>4.3623861752361353E-6</v>
      </c>
      <c r="BD248" s="16">
        <v>1.75131329441648E-6</v>
      </c>
      <c r="BE248" s="16">
        <v>6.8165835174793092E-7</v>
      </c>
      <c r="BF248" s="16">
        <v>2.566946999384854E-7</v>
      </c>
      <c r="BG248" s="16">
        <v>9.3305416380514107E-8</v>
      </c>
      <c r="BH248" s="16">
        <v>3.2654576923443128E-8</v>
      </c>
      <c r="BI248" s="16">
        <v>1.097822785615716E-8</v>
      </c>
      <c r="BJ248" s="16">
        <v>3.5386048928405802E-9</v>
      </c>
      <c r="BK248" s="16">
        <v>1.0476553989068186E-9</v>
      </c>
      <c r="BL248" s="16">
        <v>3.0998983888574211E-10</v>
      </c>
      <c r="BM248" s="16">
        <v>9.1113945517662286E-11</v>
      </c>
      <c r="BN248" s="16">
        <v>2.4763440628888365E-11</v>
      </c>
    </row>
    <row r="249" spans="1:66" customFormat="1" x14ac:dyDescent="0.25">
      <c r="A249" s="29"/>
      <c r="B249" s="29"/>
      <c r="C249" s="1"/>
      <c r="D249" s="1"/>
      <c r="E249" s="1"/>
      <c r="F249" s="1"/>
      <c r="G249" s="1"/>
      <c r="H249" s="1"/>
      <c r="I249" s="1"/>
      <c r="J249" s="93"/>
      <c r="K249" s="1"/>
      <c r="L249" s="29"/>
      <c r="M249" s="1"/>
      <c r="N249" s="29"/>
      <c r="O249" s="9">
        <f t="shared" si="100"/>
        <v>23</v>
      </c>
      <c r="P249" s="16">
        <v>2.4504724148569341E-23</v>
      </c>
      <c r="Q249" s="16">
        <v>9.0862197731190664E-23</v>
      </c>
      <c r="R249" s="16">
        <v>3.1289502954080902E-22</v>
      </c>
      <c r="S249" s="16">
        <v>1.0711437814254679E-21</v>
      </c>
      <c r="T249" s="16">
        <v>3.6650747019885853E-21</v>
      </c>
      <c r="U249" s="16">
        <v>1.4846786583541501E-20</v>
      </c>
      <c r="V249" s="16">
        <v>7.8146739557410967E-20</v>
      </c>
      <c r="W249" s="16">
        <v>5.4225956546289078E-19</v>
      </c>
      <c r="X249" s="16">
        <v>5.5627980563025254E-18</v>
      </c>
      <c r="Y249" s="16">
        <v>1.0166937720116135E-16</v>
      </c>
      <c r="Z249" s="16">
        <v>4.7890529188333475E-15</v>
      </c>
      <c r="AA249" s="16">
        <v>1.2721611389605537E-12</v>
      </c>
      <c r="AB249" s="16">
        <v>1.5268274299491963E-10</v>
      </c>
      <c r="AC249" s="16">
        <v>4.1569444242376179E-9</v>
      </c>
      <c r="AD249" s="16">
        <v>4.9188625186923893E-8</v>
      </c>
      <c r="AE249" s="16">
        <v>3.4344370370130707E-7</v>
      </c>
      <c r="AF249" s="16">
        <v>1.6765878805409706E-6</v>
      </c>
      <c r="AG249" s="16">
        <v>6.3448167482412807E-6</v>
      </c>
      <c r="AH249" s="16">
        <v>1.9890194897046707E-5</v>
      </c>
      <c r="AI249" s="16">
        <v>6.5067721726925787E-5</v>
      </c>
      <c r="AJ249" s="16">
        <v>2.1653834962838698E-4</v>
      </c>
      <c r="AK249" s="16">
        <v>7.1187761929441856E-4</v>
      </c>
      <c r="AL249" s="16">
        <v>2.3636202263420006E-3</v>
      </c>
      <c r="AM249" s="16">
        <v>8.2660748388176351E-3</v>
      </c>
      <c r="AN249" s="16">
        <v>2.9746910829267746E-2</v>
      </c>
      <c r="AO249" s="16">
        <v>0.11057690554279292</v>
      </c>
      <c r="AP249" s="16">
        <v>0.35473789017021951</v>
      </c>
      <c r="AQ249" s="16">
        <v>3.8024312565573495E-2</v>
      </c>
      <c r="AR249" s="16">
        <v>0.30677823306720525</v>
      </c>
      <c r="AS249" s="16">
        <v>9.6529712488034491E-2</v>
      </c>
      <c r="AT249" s="16">
        <v>3.2003593986250141E-2</v>
      </c>
      <c r="AU249" s="16">
        <v>1.1609426592002533E-2</v>
      </c>
      <c r="AV249" s="16">
        <v>4.4877891097014743E-3</v>
      </c>
      <c r="AW249" s="16">
        <v>2.0874536474515333E-3</v>
      </c>
      <c r="AX249" s="16">
        <v>9.7426325288141108E-4</v>
      </c>
      <c r="AY249" s="16">
        <v>4.4498787504959305E-4</v>
      </c>
      <c r="AZ249" s="16">
        <v>1.9865242617692826E-4</v>
      </c>
      <c r="BA249" s="16">
        <v>8.6562213667892938E-5</v>
      </c>
      <c r="BB249" s="16">
        <v>3.6763314534676489E-5</v>
      </c>
      <c r="BC249" s="16">
        <v>1.5193497734778357E-5</v>
      </c>
      <c r="BD249" s="16">
        <v>6.0995458684176878E-6</v>
      </c>
      <c r="BE249" s="16">
        <v>2.3741077032489738E-6</v>
      </c>
      <c r="BF249" s="16">
        <v>8.9402684342448813E-7</v>
      </c>
      <c r="BG249" s="16">
        <v>3.2496793623346648E-7</v>
      </c>
      <c r="BH249" s="16">
        <v>1.1373070163592815E-7</v>
      </c>
      <c r="BI249" s="16">
        <v>3.8235422854414237E-8</v>
      </c>
      <c r="BJ249" s="16">
        <v>1.2324398451665901E-8</v>
      </c>
      <c r="BK249" s="16">
        <v>3.6488172506317478E-9</v>
      </c>
      <c r="BL249" s="16">
        <v>1.0796453421870399E-9</v>
      </c>
      <c r="BM249" s="16">
        <v>3.1733539150838391E-10</v>
      </c>
      <c r="BN249" s="16">
        <v>8.6247128059442759E-11</v>
      </c>
    </row>
    <row r="250" spans="1:66" customFormat="1" x14ac:dyDescent="0.25">
      <c r="A250" s="29"/>
      <c r="B250" s="29"/>
      <c r="C250" s="1"/>
      <c r="D250" s="1"/>
      <c r="E250" s="1"/>
      <c r="F250" s="1"/>
      <c r="G250" s="1"/>
      <c r="H250" s="1"/>
      <c r="I250" s="1"/>
      <c r="J250" s="93"/>
      <c r="K250" s="1"/>
      <c r="L250" s="29"/>
      <c r="M250" s="1"/>
      <c r="N250" s="29"/>
      <c r="O250" s="9">
        <f t="shared" si="100"/>
        <v>22</v>
      </c>
      <c r="P250" s="16">
        <v>8.5142678221636154E-24</v>
      </c>
      <c r="Q250" s="16">
        <v>3.1570446649525393E-23</v>
      </c>
      <c r="R250" s="16">
        <v>1.0871667298037229E-22</v>
      </c>
      <c r="S250" s="16">
        <v>3.7217333995714345E-22</v>
      </c>
      <c r="T250" s="16">
        <v>1.273445373707224E-21</v>
      </c>
      <c r="U250" s="16">
        <v>5.1585774442663154E-21</v>
      </c>
      <c r="V250" s="16">
        <v>2.7152408082076318E-20</v>
      </c>
      <c r="W250" s="16">
        <v>1.8841033024853154E-19</v>
      </c>
      <c r="X250" s="16">
        <v>1.9328172071970092E-18</v>
      </c>
      <c r="Y250" s="16">
        <v>3.5325445883617589E-17</v>
      </c>
      <c r="Z250" s="16">
        <v>1.6639762569146121E-15</v>
      </c>
      <c r="AA250" s="16">
        <v>4.4201765277538283E-13</v>
      </c>
      <c r="AB250" s="16">
        <v>5.3050250955680247E-11</v>
      </c>
      <c r="AC250" s="16">
        <v>1.4443475443846277E-9</v>
      </c>
      <c r="AD250" s="16">
        <v>1.7090791396235491E-8</v>
      </c>
      <c r="AE250" s="16">
        <v>1.1933093624804E-7</v>
      </c>
      <c r="AF250" s="16">
        <v>5.8253739792263271E-7</v>
      </c>
      <c r="AG250" s="16">
        <v>2.2045328382212972E-6</v>
      </c>
      <c r="AH250" s="16">
        <v>6.910930535750387E-6</v>
      </c>
      <c r="AI250" s="16">
        <v>2.2608049207254805E-5</v>
      </c>
      <c r="AJ250" s="16">
        <v>7.5237145757179599E-5</v>
      </c>
      <c r="AK250" s="16">
        <v>2.4734482504389977E-4</v>
      </c>
      <c r="AL250" s="16">
        <v>8.2124962986509305E-4</v>
      </c>
      <c r="AM250" s="16">
        <v>2.872081913227752E-3</v>
      </c>
      <c r="AN250" s="16">
        <v>1.0335687280005215E-2</v>
      </c>
      <c r="AO250" s="16">
        <v>3.8420403471156564E-2</v>
      </c>
      <c r="AP250" s="16">
        <v>0.12325514807947135</v>
      </c>
      <c r="AQ250" s="16">
        <v>0.36066584343152303</v>
      </c>
      <c r="AR250" s="16">
        <v>-1.3973717571867383E-2</v>
      </c>
      <c r="AS250" s="16">
        <v>0.31025940985709405</v>
      </c>
      <c r="AT250" s="16">
        <v>0.1028638325708349</v>
      </c>
      <c r="AU250" s="16">
        <v>3.7314250196906401E-2</v>
      </c>
      <c r="AV250" s="16">
        <v>1.4424354583172174E-2</v>
      </c>
      <c r="AW250" s="16">
        <v>6.709355286255843E-3</v>
      </c>
      <c r="AX250" s="16">
        <v>3.1314124334712815E-3</v>
      </c>
      <c r="AY250" s="16">
        <v>1.4302505616968731E-3</v>
      </c>
      <c r="AZ250" s="16">
        <v>6.384954738156254E-4</v>
      </c>
      <c r="BA250" s="16">
        <v>2.782225351790331E-4</v>
      </c>
      <c r="BB250" s="16">
        <v>1.1816221117755142E-4</v>
      </c>
      <c r="BC250" s="16">
        <v>4.8833934333345791E-5</v>
      </c>
      <c r="BD250" s="16">
        <v>1.96047564294375E-5</v>
      </c>
      <c r="BE250" s="16">
        <v>7.6306997706899035E-6</v>
      </c>
      <c r="BF250" s="16">
        <v>2.8735218793039014E-6</v>
      </c>
      <c r="BG250" s="16">
        <v>1.0444904218560778E-6</v>
      </c>
      <c r="BH250" s="16">
        <v>3.6554569015804578E-7</v>
      </c>
      <c r="BI250" s="16">
        <v>1.2289376425851769E-7</v>
      </c>
      <c r="BJ250" s="16">
        <v>3.9612265404100585E-8</v>
      </c>
      <c r="BK250" s="16">
        <v>1.1727786788940442E-8</v>
      </c>
      <c r="BL250" s="16">
        <v>3.4701245667071994E-9</v>
      </c>
      <c r="BM250" s="16">
        <v>1.0199584020139434E-9</v>
      </c>
      <c r="BN250" s="16">
        <v>2.7720980788074838E-10</v>
      </c>
    </row>
    <row r="251" spans="1:66" customFormat="1" x14ac:dyDescent="0.25">
      <c r="A251" s="29"/>
      <c r="B251" s="29"/>
      <c r="C251" s="1"/>
      <c r="D251" s="1"/>
      <c r="E251" s="1"/>
      <c r="F251" s="1"/>
      <c r="G251" s="1"/>
      <c r="H251" s="1"/>
      <c r="I251" s="1"/>
      <c r="J251" s="93"/>
      <c r="K251" s="1"/>
      <c r="L251" s="29"/>
      <c r="M251" s="1"/>
      <c r="N251" s="29"/>
      <c r="O251" s="9">
        <f t="shared" si="100"/>
        <v>21</v>
      </c>
      <c r="P251" s="16">
        <v>3.2064616745272777E-24</v>
      </c>
      <c r="Q251" s="16">
        <v>1.1889387243128461E-23</v>
      </c>
      <c r="R251" s="16">
        <v>4.0942551088919694E-23</v>
      </c>
      <c r="S251" s="16">
        <v>1.4015997332700058E-22</v>
      </c>
      <c r="T251" s="16">
        <v>4.7957779467156312E-22</v>
      </c>
      <c r="U251" s="16">
        <v>1.9427132450618083E-21</v>
      </c>
      <c r="V251" s="16">
        <v>1.0225559931256451E-20</v>
      </c>
      <c r="W251" s="16">
        <v>7.0955073958834456E-20</v>
      </c>
      <c r="X251" s="16">
        <v>7.2789632980668551E-19</v>
      </c>
      <c r="Y251" s="16">
        <v>1.3303514844406604E-17</v>
      </c>
      <c r="Z251" s="16">
        <v>6.2665119380332406E-16</v>
      </c>
      <c r="AA251" s="16">
        <v>1.664632464813173E-13</v>
      </c>
      <c r="AB251" s="16">
        <v>1.997865231237425E-11</v>
      </c>
      <c r="AC251" s="16">
        <v>5.4393931956324321E-10</v>
      </c>
      <c r="AD251" s="16">
        <v>6.4363687804976518E-9</v>
      </c>
      <c r="AE251" s="16">
        <v>4.4939868190282671E-8</v>
      </c>
      <c r="AF251" s="16">
        <v>2.1938279126661385E-7</v>
      </c>
      <c r="AG251" s="16">
        <v>8.3022406666521146E-7</v>
      </c>
      <c r="AH251" s="16">
        <v>2.6026470344895431E-6</v>
      </c>
      <c r="AI251" s="16">
        <v>8.5141605635407364E-6</v>
      </c>
      <c r="AJ251" s="16">
        <v>2.8334206699868007E-5</v>
      </c>
      <c r="AK251" s="16">
        <v>9.3149724493207111E-5</v>
      </c>
      <c r="AL251" s="16">
        <v>3.0928149294615054E-4</v>
      </c>
      <c r="AM251" s="16">
        <v>1.0816221398268803E-3</v>
      </c>
      <c r="AN251" s="16">
        <v>3.892405763530954E-3</v>
      </c>
      <c r="AO251" s="16">
        <v>1.4469071659861501E-2</v>
      </c>
      <c r="AP251" s="16">
        <v>4.6417721025432707E-2</v>
      </c>
      <c r="AQ251" s="16">
        <v>0.13582626579631812</v>
      </c>
      <c r="AR251" s="16">
        <v>0.37133615605234593</v>
      </c>
      <c r="AS251" s="16">
        <v>-7.2609483660659169E-2</v>
      </c>
      <c r="AT251" s="16">
        <v>0.30746833059615875</v>
      </c>
      <c r="AU251" s="16">
        <v>0.11153531740701575</v>
      </c>
      <c r="AV251" s="16">
        <v>4.3115564652531427E-2</v>
      </c>
      <c r="AW251" s="16">
        <v>2.0054806608737014E-2</v>
      </c>
      <c r="AX251" s="16">
        <v>9.3600455015561673E-3</v>
      </c>
      <c r="AY251" s="16">
        <v>4.2751348219144687E-3</v>
      </c>
      <c r="AZ251" s="16">
        <v>1.9085147084336397E-3</v>
      </c>
      <c r="BA251" s="16">
        <v>8.3162970198315278E-4</v>
      </c>
      <c r="BB251" s="16">
        <v>3.5319642387710828E-4</v>
      </c>
      <c r="BC251" s="16">
        <v>1.4596858672922381E-4</v>
      </c>
      <c r="BD251" s="16">
        <v>5.8600205538253865E-5</v>
      </c>
      <c r="BE251" s="16">
        <v>2.2808779929124829E-5</v>
      </c>
      <c r="BF251" s="16">
        <v>8.5891897383144158E-6</v>
      </c>
      <c r="BG251" s="16">
        <v>3.1220665058402771E-6</v>
      </c>
      <c r="BH251" s="16">
        <v>1.0926456879984284E-6</v>
      </c>
      <c r="BI251" s="16">
        <v>3.673394194331994E-7</v>
      </c>
      <c r="BJ251" s="16">
        <v>1.184042710691693E-7</v>
      </c>
      <c r="BK251" s="16">
        <v>3.5055305013062426E-8</v>
      </c>
      <c r="BL251" s="16">
        <v>1.0372483513595002E-8</v>
      </c>
      <c r="BM251" s="16">
        <v>3.0487383107060091E-9</v>
      </c>
      <c r="BN251" s="16">
        <v>8.2860257802742873E-10</v>
      </c>
    </row>
    <row r="252" spans="1:66" customFormat="1" x14ac:dyDescent="0.25">
      <c r="A252" s="29"/>
      <c r="B252" s="29"/>
      <c r="C252" s="1"/>
      <c r="D252" s="1"/>
      <c r="E252" s="1"/>
      <c r="F252" s="1"/>
      <c r="G252" s="1"/>
      <c r="H252" s="1"/>
      <c r="I252" s="1"/>
      <c r="J252" s="93"/>
      <c r="K252" s="1"/>
      <c r="L252" s="29"/>
      <c r="M252" s="1"/>
      <c r="N252" s="29"/>
      <c r="O252" s="9">
        <f t="shared" si="100"/>
        <v>20</v>
      </c>
      <c r="P252" s="16">
        <v>1.3182674409509151E-24</v>
      </c>
      <c r="Q252" s="16">
        <v>4.8880646913654783E-24</v>
      </c>
      <c r="R252" s="16">
        <v>1.6832645304562842E-23</v>
      </c>
      <c r="S252" s="16">
        <v>5.7623744836673802E-23</v>
      </c>
      <c r="T252" s="16">
        <v>1.9716804886238686E-22</v>
      </c>
      <c r="U252" s="16">
        <v>7.9870457782616234E-22</v>
      </c>
      <c r="V252" s="16">
        <v>4.2040180395591326E-21</v>
      </c>
      <c r="W252" s="16">
        <v>2.9171645653299669E-20</v>
      </c>
      <c r="X252" s="16">
        <v>2.9925884958949002E-19</v>
      </c>
      <c r="Y252" s="16">
        <v>5.4694527019955548E-18</v>
      </c>
      <c r="Z252" s="16">
        <v>2.5763409935212575E-16</v>
      </c>
      <c r="AA252" s="16">
        <v>6.843776730425435E-14</v>
      </c>
      <c r="AB252" s="16">
        <v>8.2137912536766977E-12</v>
      </c>
      <c r="AC252" s="16">
        <v>2.2362889927225874E-10</v>
      </c>
      <c r="AD252" s="16">
        <v>2.6461739644943391E-9</v>
      </c>
      <c r="AE252" s="16">
        <v>1.847605586759724E-8</v>
      </c>
      <c r="AF252" s="16">
        <v>9.019449480067302E-8</v>
      </c>
      <c r="AG252" s="16">
        <v>3.4132868777855086E-7</v>
      </c>
      <c r="AH252" s="16">
        <v>1.0700220972891694E-6</v>
      </c>
      <c r="AI252" s="16">
        <v>3.5004131648006586E-6</v>
      </c>
      <c r="AJ252" s="16">
        <v>1.1648996915927904E-5</v>
      </c>
      <c r="AK252" s="16">
        <v>3.8296496698669113E-5</v>
      </c>
      <c r="AL252" s="16">
        <v>1.2715440370878879E-4</v>
      </c>
      <c r="AM252" s="16">
        <v>4.4468557403095965E-4</v>
      </c>
      <c r="AN252" s="16">
        <v>1.6002785331245325E-3</v>
      </c>
      <c r="AO252" s="16">
        <v>5.9486462044780544E-3</v>
      </c>
      <c r="AP252" s="16">
        <v>1.9083643131331655E-2</v>
      </c>
      <c r="AQ252" s="16">
        <v>5.5842034616437108E-2</v>
      </c>
      <c r="AR252" s="16">
        <v>0.15266683773597414</v>
      </c>
      <c r="AS252" s="16">
        <v>0.381276574252848</v>
      </c>
      <c r="AT252" s="16">
        <v>-0.14811046099429631</v>
      </c>
      <c r="AU252" s="16">
        <v>0.30902620098950956</v>
      </c>
      <c r="AV252" s="16">
        <v>0.1194584769904575</v>
      </c>
      <c r="AW252" s="16">
        <v>5.5565007048498143E-2</v>
      </c>
      <c r="AX252" s="16">
        <v>2.5933483399518325E-2</v>
      </c>
      <c r="AY252" s="16">
        <v>1.1844935787586594E-2</v>
      </c>
      <c r="AZ252" s="16">
        <v>5.2878412290486825E-3</v>
      </c>
      <c r="BA252" s="16">
        <v>2.3041613491452369E-3</v>
      </c>
      <c r="BB252" s="16">
        <v>9.7858643890816354E-4</v>
      </c>
      <c r="BC252" s="16">
        <v>4.0442900840216182E-4</v>
      </c>
      <c r="BD252" s="16">
        <v>1.6236111857383681E-4</v>
      </c>
      <c r="BE252" s="16">
        <v>6.3195324804444903E-5</v>
      </c>
      <c r="BF252" s="16">
        <v>2.3797705839876188E-5</v>
      </c>
      <c r="BG252" s="16">
        <v>8.6501780240213432E-6</v>
      </c>
      <c r="BH252" s="16">
        <v>3.0273473357102228E-6</v>
      </c>
      <c r="BI252" s="16">
        <v>1.0177718403479717E-6</v>
      </c>
      <c r="BJ252" s="16">
        <v>3.2805772126789951E-7</v>
      </c>
      <c r="BK252" s="16">
        <v>9.7126255472813809E-8</v>
      </c>
      <c r="BL252" s="16">
        <v>2.8738602709449583E-8</v>
      </c>
      <c r="BM252" s="16">
        <v>8.4470106856878923E-9</v>
      </c>
      <c r="BN252" s="16">
        <v>2.2957742244415161E-9</v>
      </c>
    </row>
    <row r="253" spans="1:66" customFormat="1" x14ac:dyDescent="0.25">
      <c r="A253" s="29"/>
      <c r="B253" s="29"/>
      <c r="C253" s="1"/>
      <c r="D253" s="1"/>
      <c r="E253" s="1"/>
      <c r="F253" s="1"/>
      <c r="G253" s="1"/>
      <c r="H253" s="1"/>
      <c r="I253" s="1"/>
      <c r="J253" s="93"/>
      <c r="K253" s="1"/>
      <c r="L253" s="29"/>
      <c r="M253" s="1"/>
      <c r="N253" s="29"/>
      <c r="O253" s="9">
        <f t="shared" si="100"/>
        <v>19</v>
      </c>
      <c r="P253" s="16">
        <v>5.8186022004642851E-25</v>
      </c>
      <c r="Q253" s="16">
        <v>2.1575063667410987E-24</v>
      </c>
      <c r="R253" s="16">
        <v>7.4296355933750922E-24</v>
      </c>
      <c r="S253" s="16">
        <v>2.5434114360270161E-23</v>
      </c>
      <c r="T253" s="16">
        <v>8.7026532502720799E-23</v>
      </c>
      <c r="U253" s="16">
        <v>3.5253424833946472E-22</v>
      </c>
      <c r="V253" s="16">
        <v>1.8555801240244031E-21</v>
      </c>
      <c r="W253" s="16">
        <v>1.287585480128489E-20</v>
      </c>
      <c r="X253" s="16">
        <v>1.3208762855235017E-19</v>
      </c>
      <c r="Y253" s="16">
        <v>2.4141208785533251E-18</v>
      </c>
      <c r="Z253" s="16">
        <v>1.1371519092693193E-16</v>
      </c>
      <c r="AA253" s="16">
        <v>3.0207234970784982E-14</v>
      </c>
      <c r="AB253" s="16">
        <v>3.6254239752991869E-12</v>
      </c>
      <c r="AC253" s="16">
        <v>9.8705889637565625E-11</v>
      </c>
      <c r="AD253" s="16">
        <v>1.1679749627671613E-9</v>
      </c>
      <c r="AE253" s="16">
        <v>8.1550083076887003E-9</v>
      </c>
      <c r="AF253" s="16">
        <v>3.9810274426439497E-8</v>
      </c>
      <c r="AG253" s="16">
        <v>1.5065652022454923E-7</v>
      </c>
      <c r="AH253" s="16">
        <v>4.7228906187208118E-7</v>
      </c>
      <c r="AI253" s="16">
        <v>1.5450212233529354E-6</v>
      </c>
      <c r="AJ253" s="16">
        <v>5.141663746115652E-6</v>
      </c>
      <c r="AK253" s="16">
        <v>1.690340465362721E-5</v>
      </c>
      <c r="AL253" s="16">
        <v>5.612373257773806E-5</v>
      </c>
      <c r="AM253" s="16">
        <v>1.9627644430820834E-4</v>
      </c>
      <c r="AN253" s="16">
        <v>7.0633498977093132E-4</v>
      </c>
      <c r="AO253" s="16">
        <v>2.6256285196721556E-3</v>
      </c>
      <c r="AP253" s="16">
        <v>8.4231867121548672E-3</v>
      </c>
      <c r="AQ253" s="16">
        <v>2.4647698593179626E-2</v>
      </c>
      <c r="AR253" s="16">
        <v>6.7384475288845322E-2</v>
      </c>
      <c r="AS253" s="16">
        <v>0.16828881947754259</v>
      </c>
      <c r="AT253" s="16">
        <v>0.37600916113315858</v>
      </c>
      <c r="AU253" s="16">
        <v>-0.21348410305476687</v>
      </c>
      <c r="AV253" s="16">
        <v>0.30403891604340283</v>
      </c>
      <c r="AW253" s="16">
        <v>0.14142089317210124</v>
      </c>
      <c r="AX253" s="16">
        <v>6.6004425811062167E-2</v>
      </c>
      <c r="AY253" s="16">
        <v>3.0147056351214112E-2</v>
      </c>
      <c r="AZ253" s="16">
        <v>1.345831251153488E-2</v>
      </c>
      <c r="BA253" s="16">
        <v>5.8644203126680021E-3</v>
      </c>
      <c r="BB253" s="16">
        <v>2.4906425030362524E-3</v>
      </c>
      <c r="BC253" s="16">
        <v>1.0293296920311802E-3</v>
      </c>
      <c r="BD253" s="16">
        <v>4.1323227737724295E-4</v>
      </c>
      <c r="BE253" s="16">
        <v>1.6084114360581558E-4</v>
      </c>
      <c r="BF253" s="16">
        <v>6.0568566335009345E-5</v>
      </c>
      <c r="BG253" s="16">
        <v>2.2015940737432969E-5</v>
      </c>
      <c r="BH253" s="16">
        <v>7.7050321218287818E-6</v>
      </c>
      <c r="BI253" s="16">
        <v>2.5903749563424876E-6</v>
      </c>
      <c r="BJ253" s="16">
        <v>8.349538390810763E-7</v>
      </c>
      <c r="BK253" s="16">
        <v>2.4720021698977317E-7</v>
      </c>
      <c r="BL253" s="16">
        <v>7.3143855810927678E-8</v>
      </c>
      <c r="BM253" s="16">
        <v>2.1498850792219117E-8</v>
      </c>
      <c r="BN253" s="16">
        <v>5.8430738802683685E-9</v>
      </c>
    </row>
    <row r="254" spans="1:66" customFormat="1" x14ac:dyDescent="0.25">
      <c r="A254" s="29"/>
      <c r="B254" s="29"/>
      <c r="C254" s="1"/>
      <c r="D254" s="1"/>
      <c r="E254" s="1"/>
      <c r="F254" s="1"/>
      <c r="G254" s="1"/>
      <c r="H254" s="1"/>
      <c r="I254" s="1"/>
      <c r="J254" s="93"/>
      <c r="K254" s="1"/>
      <c r="L254" s="29"/>
      <c r="M254" s="1"/>
      <c r="N254" s="29"/>
      <c r="O254" s="9">
        <f t="shared" si="100"/>
        <v>18</v>
      </c>
      <c r="P254" s="16">
        <v>2.6940517322151154E-25</v>
      </c>
      <c r="Q254" s="16">
        <v>9.989398766803825E-25</v>
      </c>
      <c r="R254" s="16">
        <v>3.4399709673333761E-24</v>
      </c>
      <c r="S254" s="16">
        <v>1.1776165045992601E-23</v>
      </c>
      <c r="T254" s="16">
        <v>4.0293866561099867E-23</v>
      </c>
      <c r="U254" s="16">
        <v>1.6322571464471402E-22</v>
      </c>
      <c r="V254" s="16">
        <v>8.5914600709307673E-22</v>
      </c>
      <c r="W254" s="16">
        <v>5.9616068835886353E-21</v>
      </c>
      <c r="X254" s="16">
        <v>6.1157455389758587E-20</v>
      </c>
      <c r="Y254" s="16">
        <v>1.1177541118250536E-18</v>
      </c>
      <c r="Z254" s="16">
        <v>5.2650893898783538E-17</v>
      </c>
      <c r="AA254" s="16">
        <v>1.3986151810133837E-14</v>
      </c>
      <c r="AB254" s="16">
        <v>1.6785955465196842E-12</v>
      </c>
      <c r="AC254" s="16">
        <v>4.5701487023240589E-11</v>
      </c>
      <c r="AD254" s="16">
        <v>5.4078021889444159E-10</v>
      </c>
      <c r="AE254" s="16">
        <v>3.7758233851773438E-9</v>
      </c>
      <c r="AF254" s="16">
        <v>1.8432423300900433E-8</v>
      </c>
      <c r="AG254" s="16">
        <v>6.9754976418230178E-8</v>
      </c>
      <c r="AH254" s="16">
        <v>2.1867299420146051E-7</v>
      </c>
      <c r="AI254" s="16">
        <v>7.1535515913958905E-7</v>
      </c>
      <c r="AJ254" s="16">
        <v>2.380624700651514E-6</v>
      </c>
      <c r="AK254" s="16">
        <v>7.8263894004996154E-6</v>
      </c>
      <c r="AL254" s="16">
        <v>2.5985663525402777E-5</v>
      </c>
      <c r="AM254" s="16">
        <v>9.087730636395099E-5</v>
      </c>
      <c r="AN254" s="16">
        <v>3.2703782406102343E-4</v>
      </c>
      <c r="AO254" s="16">
        <v>1.2156835641748726E-3</v>
      </c>
      <c r="AP254" s="16">
        <v>3.8999917799572991E-3</v>
      </c>
      <c r="AQ254" s="16">
        <v>1.1412049286471789E-2</v>
      </c>
      <c r="AR254" s="16">
        <v>3.1199462709761278E-2</v>
      </c>
      <c r="AS254" s="16">
        <v>7.7918848892906553E-2</v>
      </c>
      <c r="AT254" s="16">
        <v>0.17409475626271698</v>
      </c>
      <c r="AU254" s="16">
        <v>0.36416212031318368</v>
      </c>
      <c r="AV254" s="16">
        <v>-0.28141704994286953</v>
      </c>
      <c r="AW254" s="16">
        <v>0.33424222115308361</v>
      </c>
      <c r="AX254" s="16">
        <v>0.15599863212697845</v>
      </c>
      <c r="AY254" s="16">
        <v>7.1251275890292565E-2</v>
      </c>
      <c r="AZ254" s="16">
        <v>3.1808144934804876E-2</v>
      </c>
      <c r="BA254" s="16">
        <v>1.3860306119662515E-2</v>
      </c>
      <c r="BB254" s="16">
        <v>5.8865268323544957E-3</v>
      </c>
      <c r="BC254" s="16">
        <v>2.4327766205283208E-3</v>
      </c>
      <c r="BD254" s="16">
        <v>9.7665678065427712E-4</v>
      </c>
      <c r="BE254" s="16">
        <v>3.8014115089901954E-4</v>
      </c>
      <c r="BF254" s="16">
        <v>1.4315121118090311E-4</v>
      </c>
      <c r="BG254" s="16">
        <v>5.2033732553924552E-5</v>
      </c>
      <c r="BH254" s="16">
        <v>1.8210513260737629E-5</v>
      </c>
      <c r="BI254" s="16">
        <v>6.1222402122265603E-6</v>
      </c>
      <c r="BJ254" s="16">
        <v>1.9733776210501829E-6</v>
      </c>
      <c r="BK254" s="16">
        <v>5.8424712037164374E-7</v>
      </c>
      <c r="BL254" s="16">
        <v>1.7287236900840244E-7</v>
      </c>
      <c r="BM254" s="16">
        <v>5.0811612625620369E-8</v>
      </c>
      <c r="BN254" s="16">
        <v>1.3809854741376672E-8</v>
      </c>
    </row>
    <row r="255" spans="1:66" customFormat="1" x14ac:dyDescent="0.25">
      <c r="A255" s="29"/>
      <c r="B255" s="29"/>
      <c r="C255" s="1"/>
      <c r="D255" s="1"/>
      <c r="E255" s="1"/>
      <c r="F255" s="1"/>
      <c r="G255" s="1"/>
      <c r="H255" s="1"/>
      <c r="I255" s="1"/>
      <c r="J255" s="93"/>
      <c r="K255" s="1"/>
      <c r="L255" s="29"/>
      <c r="M255" s="1"/>
      <c r="N255" s="29"/>
      <c r="O255" s="9">
        <f t="shared" si="100"/>
        <v>17</v>
      </c>
      <c r="P255" s="16">
        <v>1.2300320635880889E-25</v>
      </c>
      <c r="Q255" s="16">
        <v>4.5608926629753763E-25</v>
      </c>
      <c r="R255" s="16">
        <v>1.5705988630564007E-24</v>
      </c>
      <c r="S255" s="16">
        <v>5.3766824220432572E-24</v>
      </c>
      <c r="T255" s="16">
        <v>1.8397103234295006E-23</v>
      </c>
      <c r="U255" s="16">
        <v>7.4524501595222798E-23</v>
      </c>
      <c r="V255" s="16">
        <v>3.9226311929773381E-22</v>
      </c>
      <c r="W255" s="16">
        <v>2.7219104702537169E-21</v>
      </c>
      <c r="X255" s="16">
        <v>2.7922860633046904E-20</v>
      </c>
      <c r="Y255" s="16">
        <v>5.1033667257079272E-19</v>
      </c>
      <c r="Z255" s="16">
        <v>2.4038991864060867E-17</v>
      </c>
      <c r="AA255" s="16">
        <v>6.3857033504438832E-15</v>
      </c>
      <c r="AB255" s="16">
        <v>7.6640189174010937E-13</v>
      </c>
      <c r="AC255" s="16">
        <v>2.0866078301332439E-11</v>
      </c>
      <c r="AD255" s="16">
        <v>2.4690580386421294E-10</v>
      </c>
      <c r="AE255" s="16">
        <v>1.7239401065231684E-9</v>
      </c>
      <c r="AF255" s="16">
        <v>8.4157521545044239E-9</v>
      </c>
      <c r="AG255" s="16">
        <v>3.1848259097350954E-8</v>
      </c>
      <c r="AH255" s="16">
        <v>9.9840248460058718E-8</v>
      </c>
      <c r="AI255" s="16">
        <v>3.2661205873406563E-7</v>
      </c>
      <c r="AJ255" s="16">
        <v>1.0869296525213656E-6</v>
      </c>
      <c r="AK255" s="16">
        <v>3.5733203596744491E-6</v>
      </c>
      <c r="AL255" s="16">
        <v>1.1864359896153881E-5</v>
      </c>
      <c r="AM255" s="16">
        <v>4.1492150779253119E-5</v>
      </c>
      <c r="AN255" s="16">
        <v>1.493167353807216E-4</v>
      </c>
      <c r="AO255" s="16">
        <v>5.5504864484641687E-4</v>
      </c>
      <c r="AP255" s="16">
        <v>1.7806320790778414E-3</v>
      </c>
      <c r="AQ255" s="16">
        <v>5.2104368916725116E-3</v>
      </c>
      <c r="AR255" s="16">
        <v>1.4244841344666134E-2</v>
      </c>
      <c r="AS255" s="16">
        <v>3.557566521461937E-2</v>
      </c>
      <c r="AT255" s="16">
        <v>7.9487015689049964E-2</v>
      </c>
      <c r="AU255" s="16">
        <v>0.16626669747025954</v>
      </c>
      <c r="AV255" s="16">
        <v>0.32808578185365467</v>
      </c>
      <c r="AW255" s="16">
        <v>-0.25867826461141208</v>
      </c>
      <c r="AX255" s="16">
        <v>0.34599212597277429</v>
      </c>
      <c r="AY255" s="16">
        <v>0.15802946530639236</v>
      </c>
      <c r="AZ255" s="16">
        <v>7.0547847370130881E-2</v>
      </c>
      <c r="BA255" s="16">
        <v>3.0741018146056835E-2</v>
      </c>
      <c r="BB255" s="16">
        <v>1.305583200027231E-2</v>
      </c>
      <c r="BC255" s="16">
        <v>5.3956983050230684E-3</v>
      </c>
      <c r="BD255" s="16">
        <v>2.1661443518892222E-3</v>
      </c>
      <c r="BE255" s="16">
        <v>8.4312178367199227E-4</v>
      </c>
      <c r="BF255" s="16">
        <v>3.1749760377221069E-4</v>
      </c>
      <c r="BG255" s="16">
        <v>1.1540653596229595E-4</v>
      </c>
      <c r="BH255" s="16">
        <v>4.0389419523944442E-5</v>
      </c>
      <c r="BI255" s="16">
        <v>1.3578624875505863E-5</v>
      </c>
      <c r="BJ255" s="16">
        <v>4.3767891368335259E-6</v>
      </c>
      <c r="BK255" s="16">
        <v>1.2958120242125989E-6</v>
      </c>
      <c r="BL255" s="16">
        <v>3.83416685516072E-7</v>
      </c>
      <c r="BM255" s="16">
        <v>1.1269597455273513E-7</v>
      </c>
      <c r="BN255" s="16">
        <v>3.0629121141619202E-8</v>
      </c>
    </row>
    <row r="256" spans="1:66" customFormat="1" x14ac:dyDescent="0.25">
      <c r="A256" s="29"/>
      <c r="B256" s="29"/>
      <c r="C256" s="1"/>
      <c r="D256" s="1"/>
      <c r="E256" s="1"/>
      <c r="F256" s="1"/>
      <c r="G256" s="1"/>
      <c r="H256" s="1"/>
      <c r="I256" s="1"/>
      <c r="J256" s="93"/>
      <c r="K256" s="1"/>
      <c r="L256" s="29"/>
      <c r="M256" s="1"/>
      <c r="N256" s="29"/>
      <c r="O256" s="9">
        <f t="shared" si="100"/>
        <v>16</v>
      </c>
      <c r="P256" s="16">
        <v>5.4942424602724827E-26</v>
      </c>
      <c r="Q256" s="16">
        <v>2.0372355215332135E-25</v>
      </c>
      <c r="R256" s="16">
        <v>7.0154683092471928E-25</v>
      </c>
      <c r="S256" s="16">
        <v>2.40162819596899E-24</v>
      </c>
      <c r="T256" s="16">
        <v>8.2175212116851557E-24</v>
      </c>
      <c r="U256" s="16">
        <v>3.3288211999995096E-23</v>
      </c>
      <c r="V256" s="16">
        <v>1.7521402485701913E-22</v>
      </c>
      <c r="W256" s="16">
        <v>1.2158086379556579E-21</v>
      </c>
      <c r="X256" s="16">
        <v>1.24724363733117E-20</v>
      </c>
      <c r="Y256" s="16">
        <v>2.2795449797409467E-19</v>
      </c>
      <c r="Z256" s="16">
        <v>1.0737610320205228E-17</v>
      </c>
      <c r="AA256" s="16">
        <v>2.8523323517574668E-15</v>
      </c>
      <c r="AB256" s="16">
        <v>3.4233236188563045E-13</v>
      </c>
      <c r="AC256" s="16">
        <v>9.3203499954406531E-12</v>
      </c>
      <c r="AD256" s="16">
        <v>1.1028658450750364E-10</v>
      </c>
      <c r="AE256" s="16">
        <v>7.7004049021263078E-10</v>
      </c>
      <c r="AF256" s="16">
        <v>3.7591038633194533E-9</v>
      </c>
      <c r="AG256" s="16">
        <v>1.4225812692068384E-8</v>
      </c>
      <c r="AH256" s="16">
        <v>4.4596116521813319E-8</v>
      </c>
      <c r="AI256" s="16">
        <v>1.4588935477820586E-7</v>
      </c>
      <c r="AJ256" s="16">
        <v>4.8550401448819051E-7</v>
      </c>
      <c r="AK256" s="16">
        <v>1.5961119246769541E-6</v>
      </c>
      <c r="AL256" s="16">
        <v>5.2995098123907086E-6</v>
      </c>
      <c r="AM256" s="16">
        <v>1.853349545331381E-5</v>
      </c>
      <c r="AN256" s="16">
        <v>6.6696013205128898E-5</v>
      </c>
      <c r="AO256" s="16">
        <v>2.4792620634100162E-4</v>
      </c>
      <c r="AP256" s="16">
        <v>7.953633620293118E-4</v>
      </c>
      <c r="AQ256" s="16">
        <v>2.3273705177480637E-3</v>
      </c>
      <c r="AR256" s="16">
        <v>6.3628107325435362E-3</v>
      </c>
      <c r="AS256" s="16">
        <v>1.589075083168371E-2</v>
      </c>
      <c r="AT256" s="16">
        <v>3.5504841667718653E-2</v>
      </c>
      <c r="AU256" s="16">
        <v>7.4267133029492644E-2</v>
      </c>
      <c r="AV256" s="16">
        <v>0.14654762966209076</v>
      </c>
      <c r="AW256" s="16">
        <v>0.33112968969391215</v>
      </c>
      <c r="AX256" s="16">
        <v>-0.23503777463236475</v>
      </c>
      <c r="AY256" s="16">
        <v>0.34939110569223708</v>
      </c>
      <c r="AZ256" s="16">
        <v>0.15597591467557889</v>
      </c>
      <c r="BA256" s="16">
        <v>6.7966048605756169E-2</v>
      </c>
      <c r="BB256" s="16">
        <v>2.8865449677141414E-2</v>
      </c>
      <c r="BC256" s="16">
        <v>1.1929477791490584E-2</v>
      </c>
      <c r="BD256" s="16">
        <v>4.7891800983329369E-3</v>
      </c>
      <c r="BE256" s="16">
        <v>1.8640780164586976E-3</v>
      </c>
      <c r="BF256" s="16">
        <v>7.0196300811074938E-4</v>
      </c>
      <c r="BG256" s="16">
        <v>2.5515505684841711E-4</v>
      </c>
      <c r="BH256" s="16">
        <v>8.9297928828515466E-5</v>
      </c>
      <c r="BI256" s="16">
        <v>3.0021304886622313E-5</v>
      </c>
      <c r="BJ256" s="16">
        <v>9.676747263145871E-6</v>
      </c>
      <c r="BK256" s="16">
        <v>2.8649416425673498E-6</v>
      </c>
      <c r="BL256" s="16">
        <v>8.477050747060543E-7</v>
      </c>
      <c r="BM256" s="16">
        <v>2.4916221212103033E-7</v>
      </c>
      <c r="BN256" s="16">
        <v>6.771865285567682E-8</v>
      </c>
    </row>
    <row r="257" spans="1:66" customFormat="1" x14ac:dyDescent="0.25">
      <c r="A257" s="29"/>
      <c r="B257" s="29"/>
      <c r="C257" s="1"/>
      <c r="D257" s="1"/>
      <c r="E257" s="1"/>
      <c r="F257" s="1"/>
      <c r="G257" s="1"/>
      <c r="H257" s="1"/>
      <c r="I257" s="1"/>
      <c r="J257" s="93"/>
      <c r="K257" s="1"/>
      <c r="L257" s="29"/>
      <c r="M257" s="1"/>
      <c r="N257" s="29"/>
      <c r="O257" s="9">
        <f t="shared" si="100"/>
        <v>15</v>
      </c>
      <c r="P257" s="16">
        <v>2.3979958492307158E-26</v>
      </c>
      <c r="Q257" s="16">
        <v>8.8916394932809993E-26</v>
      </c>
      <c r="R257" s="16">
        <v>3.0619442093478465E-25</v>
      </c>
      <c r="S257" s="16">
        <v>1.0482053689788332E-24</v>
      </c>
      <c r="T257" s="16">
        <v>3.5865875776456142E-24</v>
      </c>
      <c r="U257" s="16">
        <v>1.4528844473372856E-23</v>
      </c>
      <c r="V257" s="16">
        <v>7.6473236733222299E-23</v>
      </c>
      <c r="W257" s="16">
        <v>5.3064714350664557E-22</v>
      </c>
      <c r="X257" s="16">
        <v>5.4436714195376707E-21</v>
      </c>
      <c r="Y257" s="16">
        <v>9.9492139982522845E-20</v>
      </c>
      <c r="Z257" s="16">
        <v>4.6864959391020475E-18</v>
      </c>
      <c r="AA257" s="16">
        <v>1.2449179645052784E-15</v>
      </c>
      <c r="AB257" s="16">
        <v>1.494130608168276E-13</v>
      </c>
      <c r="AC257" s="16">
        <v>4.0679239702384307E-12</v>
      </c>
      <c r="AD257" s="16">
        <v>4.8135256823323776E-11</v>
      </c>
      <c r="AE257" s="16">
        <v>3.3608889899225448E-10</v>
      </c>
      <c r="AF257" s="16">
        <v>1.6406839571146516E-9</v>
      </c>
      <c r="AG257" s="16">
        <v>6.2089432772906386E-9</v>
      </c>
      <c r="AH257" s="16">
        <v>1.9464248817627535E-8</v>
      </c>
      <c r="AI257" s="16">
        <v>6.3674304462299739E-8</v>
      </c>
      <c r="AJ257" s="16">
        <v>2.1190120748143875E-7</v>
      </c>
      <c r="AK257" s="16">
        <v>6.9663284755969138E-7</v>
      </c>
      <c r="AL257" s="16">
        <v>2.3130035896595857E-6</v>
      </c>
      <c r="AM257" s="16">
        <v>8.0890578619602301E-6</v>
      </c>
      <c r="AN257" s="16">
        <v>2.9109884389449415E-5</v>
      </c>
      <c r="AO257" s="16">
        <v>1.0820891469936235E-4</v>
      </c>
      <c r="AP257" s="16">
        <v>3.4714122184587503E-4</v>
      </c>
      <c r="AQ257" s="16">
        <v>1.0157951494745303E-3</v>
      </c>
      <c r="AR257" s="16">
        <v>2.7770878035337635E-3</v>
      </c>
      <c r="AS257" s="16">
        <v>6.9356157488628997E-3</v>
      </c>
      <c r="AT257" s="16">
        <v>1.5496306099050568E-2</v>
      </c>
      <c r="AU257" s="16">
        <v>3.2414346113541617E-2</v>
      </c>
      <c r="AV257" s="16">
        <v>6.3961612576315968E-2</v>
      </c>
      <c r="AW257" s="16">
        <v>0.14452358576903351</v>
      </c>
      <c r="AX257" s="16">
        <v>0.33387245912676844</v>
      </c>
      <c r="AY257" s="16">
        <v>-0.21426521363911621</v>
      </c>
      <c r="AZ257" s="16">
        <v>0.35076938135629937</v>
      </c>
      <c r="BA257" s="16">
        <v>0.15284673196025145</v>
      </c>
      <c r="BB257" s="16">
        <v>6.4914611636559122E-2</v>
      </c>
      <c r="BC257" s="16">
        <v>2.682783142210373E-2</v>
      </c>
      <c r="BD257" s="16">
        <v>1.0770238108814669E-2</v>
      </c>
      <c r="BE257" s="16">
        <v>4.1920670508205707E-3</v>
      </c>
      <c r="BF257" s="16">
        <v>1.57862276750967E-3</v>
      </c>
      <c r="BG257" s="16">
        <v>5.738102682507543E-4</v>
      </c>
      <c r="BH257" s="16">
        <v>2.0081933365627156E-4</v>
      </c>
      <c r="BI257" s="16">
        <v>6.7513978452970219E-5</v>
      </c>
      <c r="BJ257" s="16">
        <v>2.1761735830143433E-5</v>
      </c>
      <c r="BK257" s="16">
        <v>6.442878117916188E-6</v>
      </c>
      <c r="BL257" s="16">
        <v>1.906377566342261E-6</v>
      </c>
      <c r="BM257" s="16">
        <v>5.6033314620943093E-7</v>
      </c>
      <c r="BN257" s="16">
        <v>1.5229037135556449E-7</v>
      </c>
    </row>
    <row r="258" spans="1:66" customFormat="1" x14ac:dyDescent="0.25">
      <c r="A258" s="29"/>
      <c r="B258" s="29"/>
      <c r="C258" s="1"/>
      <c r="D258" s="1"/>
      <c r="E258" s="1"/>
      <c r="F258" s="1"/>
      <c r="G258" s="1"/>
      <c r="H258" s="1"/>
      <c r="I258" s="1"/>
      <c r="J258" s="93"/>
      <c r="K258" s="1"/>
      <c r="L258" s="29"/>
      <c r="M258" s="1"/>
      <c r="N258" s="29"/>
      <c r="O258" s="9">
        <f t="shared" si="100"/>
        <v>14</v>
      </c>
      <c r="P258" s="16">
        <v>1.021319896596889E-26</v>
      </c>
      <c r="Q258" s="16">
        <v>3.7869991854939387E-26</v>
      </c>
      <c r="R258" s="16">
        <v>1.3040992311474637E-25</v>
      </c>
      <c r="S258" s="16">
        <v>4.4643655217385066E-25</v>
      </c>
      <c r="T258" s="16">
        <v>1.5275477875042296E-24</v>
      </c>
      <c r="U258" s="16">
        <v>6.1879164386284132E-24</v>
      </c>
      <c r="V258" s="16">
        <v>3.2570380911151245E-23</v>
      </c>
      <c r="W258" s="16">
        <v>2.2600559792858034E-22</v>
      </c>
      <c r="X258" s="16">
        <v>2.3184902230307162E-21</v>
      </c>
      <c r="Y258" s="16">
        <v>4.2374261052933549E-20</v>
      </c>
      <c r="Z258" s="16">
        <v>1.9960049344793231E-18</v>
      </c>
      <c r="AA258" s="16">
        <v>5.3021755112212901E-16</v>
      </c>
      <c r="AB258" s="16">
        <v>6.3635861535215392E-14</v>
      </c>
      <c r="AC258" s="16">
        <v>1.7325516597456771E-12</v>
      </c>
      <c r="AD258" s="16">
        <v>2.0501076153752682E-11</v>
      </c>
      <c r="AE258" s="16">
        <v>1.4314214917271379E-10</v>
      </c>
      <c r="AF258" s="16">
        <v>6.9877650954486362E-10</v>
      </c>
      <c r="AG258" s="16">
        <v>2.6444238041415869E-9</v>
      </c>
      <c r="AH258" s="16">
        <v>8.289932860447939E-9</v>
      </c>
      <c r="AI258" s="16">
        <v>2.7119243792760192E-8</v>
      </c>
      <c r="AJ258" s="16">
        <v>9.0249914061830768E-8</v>
      </c>
      <c r="AK258" s="16">
        <v>2.9669984127116262E-7</v>
      </c>
      <c r="AL258" s="16">
        <v>9.8512121602595752E-7</v>
      </c>
      <c r="AM258" s="16">
        <v>3.4451751623314084E-6</v>
      </c>
      <c r="AN258" s="16">
        <v>1.2398063209374406E-5</v>
      </c>
      <c r="AO258" s="16">
        <v>4.6086784348299918E-5</v>
      </c>
      <c r="AP258" s="16">
        <v>1.4784939553330964E-4</v>
      </c>
      <c r="AQ258" s="16">
        <v>4.3263285770814243E-4</v>
      </c>
      <c r="AR258" s="16">
        <v>1.1827772884825788E-3</v>
      </c>
      <c r="AS258" s="16">
        <v>2.953917689947968E-3</v>
      </c>
      <c r="AT258" s="16">
        <v>6.599963777165551E-3</v>
      </c>
      <c r="AU258" s="16">
        <v>1.3805452011753237E-2</v>
      </c>
      <c r="AV258" s="16">
        <v>2.7241609931714372E-2</v>
      </c>
      <c r="AW258" s="16">
        <v>6.1553406658644998E-2</v>
      </c>
      <c r="AX258" s="16">
        <v>0.14219815498900507</v>
      </c>
      <c r="AY258" s="16">
        <v>0.334648857301449</v>
      </c>
      <c r="AZ258" s="16">
        <v>-0.19334766364632705</v>
      </c>
      <c r="BA258" s="16">
        <v>0.35149639618779183</v>
      </c>
      <c r="BB258" s="16">
        <v>0.14928190977687616</v>
      </c>
      <c r="BC258" s="16">
        <v>6.1695045366461296E-2</v>
      </c>
      <c r="BD258" s="16">
        <v>2.4767947817930878E-2</v>
      </c>
      <c r="BE258" s="16">
        <v>9.6403530650835609E-3</v>
      </c>
      <c r="BF258" s="16">
        <v>3.6303047281635481E-3</v>
      </c>
      <c r="BG258" s="16">
        <v>1.3195718272742743E-3</v>
      </c>
      <c r="BH258" s="16">
        <v>4.6181734577988715E-4</v>
      </c>
      <c r="BI258" s="16">
        <v>1.552595846451634E-4</v>
      </c>
      <c r="BJ258" s="16">
        <v>5.0044718791078677E-5</v>
      </c>
      <c r="BK258" s="16">
        <v>1.4816466210829133E-5</v>
      </c>
      <c r="BL258" s="16">
        <v>4.3840312170810203E-6</v>
      </c>
      <c r="BM258" s="16">
        <v>1.2885789511574323E-6</v>
      </c>
      <c r="BN258" s="16">
        <v>3.5021695275435826E-7</v>
      </c>
    </row>
    <row r="259" spans="1:66" customFormat="1" x14ac:dyDescent="0.25">
      <c r="A259" s="29"/>
      <c r="B259" s="29"/>
      <c r="C259" s="1"/>
      <c r="D259" s="1"/>
      <c r="E259" s="1"/>
      <c r="F259" s="1"/>
      <c r="G259" s="1"/>
      <c r="H259" s="1"/>
      <c r="I259" s="1"/>
      <c r="J259" s="93"/>
      <c r="K259" s="1"/>
      <c r="L259" s="8"/>
      <c r="M259" s="1"/>
      <c r="N259" s="29"/>
      <c r="O259" s="9">
        <f t="shared" si="100"/>
        <v>13</v>
      </c>
      <c r="P259" s="16">
        <v>4.2385919691642143E-27</v>
      </c>
      <c r="Q259" s="16">
        <v>1.5716470802488943E-26</v>
      </c>
      <c r="R259" s="16">
        <v>5.4121578817303362E-26</v>
      </c>
      <c r="S259" s="16">
        <v>1.8527616969870048E-25</v>
      </c>
      <c r="T259" s="16">
        <v>6.3394944191374266E-25</v>
      </c>
      <c r="U259" s="16">
        <v>2.5680546330315665E-24</v>
      </c>
      <c r="V259" s="16">
        <v>1.3517072899747287E-23</v>
      </c>
      <c r="W259" s="16">
        <v>9.3794854634496008E-23</v>
      </c>
      <c r="X259" s="16">
        <v>9.6219941202246791E-22</v>
      </c>
      <c r="Y259" s="16">
        <v>1.7585792972084083E-20</v>
      </c>
      <c r="Z259" s="16">
        <v>8.2836440510817069E-19</v>
      </c>
      <c r="AA259" s="16">
        <v>2.200462226952192E-16</v>
      </c>
      <c r="AB259" s="16">
        <v>2.6409595323929131E-14</v>
      </c>
      <c r="AC259" s="16">
        <v>7.1902834514724424E-13</v>
      </c>
      <c r="AD259" s="16">
        <v>8.5081762368541699E-12</v>
      </c>
      <c r="AE259" s="16">
        <v>5.9405595245329984E-11</v>
      </c>
      <c r="AF259" s="16">
        <v>2.9000007847359914E-10</v>
      </c>
      <c r="AG259" s="16">
        <v>1.0974654989733559E-9</v>
      </c>
      <c r="AH259" s="16">
        <v>3.4404149928231408E-9</v>
      </c>
      <c r="AI259" s="16">
        <v>1.12547899372971E-8</v>
      </c>
      <c r="AJ259" s="16">
        <v>3.745472522711662E-8</v>
      </c>
      <c r="AK259" s="16">
        <v>1.2313375746958674E-7</v>
      </c>
      <c r="AL259" s="16">
        <v>4.0883633901719361E-7</v>
      </c>
      <c r="AM259" s="16">
        <v>1.4297862818573438E-6</v>
      </c>
      <c r="AN259" s="16">
        <v>5.1453351028944136E-6</v>
      </c>
      <c r="AO259" s="16">
        <v>1.9126531723723794E-5</v>
      </c>
      <c r="AP259" s="16">
        <v>6.13591552109569E-5</v>
      </c>
      <c r="AQ259" s="16">
        <v>1.7954748187991803E-4</v>
      </c>
      <c r="AR259" s="16">
        <v>4.908658230371103E-4</v>
      </c>
      <c r="AS259" s="16">
        <v>1.2259089282314589E-3</v>
      </c>
      <c r="AT259" s="16">
        <v>2.7390588938766233E-3</v>
      </c>
      <c r="AU259" s="16">
        <v>5.729417220077436E-3</v>
      </c>
      <c r="AV259" s="16">
        <v>1.130557325558915E-2</v>
      </c>
      <c r="AW259" s="16">
        <v>2.5545353224525291E-2</v>
      </c>
      <c r="AX259" s="16">
        <v>5.9013827085389332E-2</v>
      </c>
      <c r="AY259" s="16">
        <v>0.13888302418999632</v>
      </c>
      <c r="AZ259" s="16">
        <v>0.33476975491898436</v>
      </c>
      <c r="BA259" s="16">
        <v>-0.1715865310085819</v>
      </c>
      <c r="BB259" s="16">
        <v>0.35183047700396619</v>
      </c>
      <c r="BC259" s="16">
        <v>0.14540406987361376</v>
      </c>
      <c r="BD259" s="16">
        <v>5.8373575929035873E-2</v>
      </c>
      <c r="BE259" s="16">
        <v>2.2720569575004082E-2</v>
      </c>
      <c r="BF259" s="16">
        <v>8.5559720269426879E-3</v>
      </c>
      <c r="BG259" s="16">
        <v>3.109992269825705E-3</v>
      </c>
      <c r="BH259" s="16">
        <v>1.0884200054601105E-3</v>
      </c>
      <c r="BI259" s="16">
        <v>3.6591877613831916E-4</v>
      </c>
      <c r="BJ259" s="16">
        <v>1.1794635605956008E-4</v>
      </c>
      <c r="BK259" s="16">
        <v>3.4919732620386403E-5</v>
      </c>
      <c r="BL259" s="16">
        <v>1.033236911700347E-5</v>
      </c>
      <c r="BM259" s="16">
        <v>3.0369476631201007E-6</v>
      </c>
      <c r="BN259" s="16">
        <v>8.2539805209222822E-7</v>
      </c>
    </row>
    <row r="260" spans="1:66" customFormat="1" x14ac:dyDescent="0.25">
      <c r="A260" s="29"/>
      <c r="B260" s="29"/>
      <c r="C260" s="8"/>
      <c r="D260" s="29"/>
      <c r="E260" s="29"/>
      <c r="F260" s="29"/>
      <c r="G260" s="29"/>
      <c r="H260" s="29"/>
      <c r="I260" s="29"/>
      <c r="J260" s="88"/>
      <c r="K260" s="1"/>
      <c r="L260" s="8"/>
      <c r="M260" s="1"/>
      <c r="N260" s="29"/>
      <c r="O260" s="9">
        <f t="shared" si="100"/>
        <v>12</v>
      </c>
      <c r="P260" s="16">
        <v>1.7113780183524118E-27</v>
      </c>
      <c r="Q260" s="16">
        <v>6.345697546055772E-27</v>
      </c>
      <c r="R260" s="16">
        <v>2.1852181332926052E-26</v>
      </c>
      <c r="S260" s="16">
        <v>7.4807286583287239E-26</v>
      </c>
      <c r="T260" s="16">
        <v>2.5596404360948415E-25</v>
      </c>
      <c r="U260" s="16">
        <v>1.0368802377938969E-24</v>
      </c>
      <c r="V260" s="16">
        <v>5.4576665084504555E-24</v>
      </c>
      <c r="W260" s="16">
        <v>3.7870701785831036E-23</v>
      </c>
      <c r="X260" s="16">
        <v>3.8849857098454519E-22</v>
      </c>
      <c r="Y260" s="16">
        <v>7.1004568844251077E-21</v>
      </c>
      <c r="Z260" s="16">
        <v>3.3446121834823208E-19</v>
      </c>
      <c r="AA260" s="16">
        <v>8.8846077018433533E-17</v>
      </c>
      <c r="AB260" s="16">
        <v>1.0663163909091035E-14</v>
      </c>
      <c r="AC260" s="16">
        <v>2.9031558437552233E-13</v>
      </c>
      <c r="AD260" s="16">
        <v>3.4352695173184408E-12</v>
      </c>
      <c r="AE260" s="16">
        <v>2.3985660948167456E-11</v>
      </c>
      <c r="AF260" s="16">
        <v>1.1709071390470612E-10</v>
      </c>
      <c r="AG260" s="16">
        <v>4.4311373788912043E-10</v>
      </c>
      <c r="AH260" s="16">
        <v>1.3891053056207687E-9</v>
      </c>
      <c r="AI260" s="16">
        <v>4.5442449379391884E-9</v>
      </c>
      <c r="AJ260" s="16">
        <v>1.512275630762267E-8</v>
      </c>
      <c r="AK260" s="16">
        <v>4.971660574635124E-8</v>
      </c>
      <c r="AL260" s="16">
        <v>1.6507215811001137E-7</v>
      </c>
      <c r="AM260" s="16">
        <v>5.7729190059192601E-7</v>
      </c>
      <c r="AN260" s="16">
        <v>2.0774855084451251E-6</v>
      </c>
      <c r="AO260" s="16">
        <v>7.722547062192296E-6</v>
      </c>
      <c r="AP260" s="16">
        <v>2.4774432221040514E-5</v>
      </c>
      <c r="AQ260" s="16">
        <v>7.2494266014572133E-5</v>
      </c>
      <c r="AR260" s="16">
        <v>1.9819246240676048E-4</v>
      </c>
      <c r="AS260" s="16">
        <v>4.9497418188403151E-4</v>
      </c>
      <c r="AT260" s="16">
        <v>1.1059250845694027E-3</v>
      </c>
      <c r="AU260" s="16">
        <v>2.3133150724918066E-3</v>
      </c>
      <c r="AV260" s="16">
        <v>4.5647492599537338E-3</v>
      </c>
      <c r="AW260" s="16">
        <v>1.0314216677978785E-2</v>
      </c>
      <c r="AX260" s="16">
        <v>2.3827480254651666E-2</v>
      </c>
      <c r="AY260" s="16">
        <v>5.607554500414276E-2</v>
      </c>
      <c r="AZ260" s="16">
        <v>0.13516696203492889</v>
      </c>
      <c r="BA260" s="16">
        <v>0.33448102842947985</v>
      </c>
      <c r="BB260" s="16">
        <v>-0.14878572129886991</v>
      </c>
      <c r="BC260" s="16">
        <v>0.35178879758128967</v>
      </c>
      <c r="BD260" s="16">
        <v>0.14122830333734784</v>
      </c>
      <c r="BE260" s="16">
        <v>5.496986334770515E-2</v>
      </c>
      <c r="BF260" s="16">
        <v>2.0700212271317721E-2</v>
      </c>
      <c r="BG260" s="16">
        <v>7.5242766040871881E-3</v>
      </c>
      <c r="BH260" s="16">
        <v>2.6333098194366031E-3</v>
      </c>
      <c r="BI260" s="16">
        <v>8.8529933434467172E-4</v>
      </c>
      <c r="BJ260" s="16">
        <v>2.8535794639966141E-4</v>
      </c>
      <c r="BK260" s="16">
        <v>8.4484366641618297E-5</v>
      </c>
      <c r="BL260" s="16">
        <v>2.4998005289646339E-5</v>
      </c>
      <c r="BM260" s="16">
        <v>7.3475533914212826E-6</v>
      </c>
      <c r="BN260" s="16">
        <v>1.9969577778933675E-6</v>
      </c>
    </row>
    <row r="261" spans="1:66" customFormat="1" x14ac:dyDescent="0.25">
      <c r="A261" s="29"/>
      <c r="B261" s="29"/>
      <c r="C261" s="8"/>
      <c r="D261" s="29"/>
      <c r="E261" s="29"/>
      <c r="F261" s="29"/>
      <c r="G261" s="29"/>
      <c r="H261" s="29"/>
      <c r="I261" s="29"/>
      <c r="J261" s="88"/>
      <c r="K261" s="1"/>
      <c r="L261" s="8"/>
      <c r="M261" s="1"/>
      <c r="N261" s="29"/>
      <c r="O261" s="9">
        <f t="shared" si="100"/>
        <v>11</v>
      </c>
      <c r="P261" s="16">
        <v>6.7110524038236958E-28</v>
      </c>
      <c r="Q261" s="16">
        <v>2.4884220969131452E-27</v>
      </c>
      <c r="R261" s="16">
        <v>8.5691841598099723E-27</v>
      </c>
      <c r="S261" s="16">
        <v>2.9335168213251965E-26</v>
      </c>
      <c r="T261" s="16">
        <v>1.0037455732963202E-25</v>
      </c>
      <c r="U261" s="16">
        <v>4.0660552710751786E-25</v>
      </c>
      <c r="V261" s="16">
        <v>2.1401867704287781E-24</v>
      </c>
      <c r="W261" s="16">
        <v>1.4850737915809549E-23</v>
      </c>
      <c r="X261" s="16">
        <v>1.5234707006450598E-22</v>
      </c>
      <c r="Y261" s="16">
        <v>2.7843958337353785E-21</v>
      </c>
      <c r="Z261" s="16">
        <v>1.3115669006562486E-19</v>
      </c>
      <c r="AA261" s="16">
        <v>3.4840384318999826E-17</v>
      </c>
      <c r="AB261" s="16">
        <v>4.1814871417692483E-15</v>
      </c>
      <c r="AC261" s="16">
        <v>1.1384528020679683E-13</v>
      </c>
      <c r="AD261" s="16">
        <v>1.347117557006905E-12</v>
      </c>
      <c r="AE261" s="16">
        <v>9.4058136681262527E-12</v>
      </c>
      <c r="AF261" s="16">
        <v>4.5916326409995774E-11</v>
      </c>
      <c r="AG261" s="16">
        <v>1.7376403599544891E-10</v>
      </c>
      <c r="AH261" s="16">
        <v>5.4472818982596176E-10</v>
      </c>
      <c r="AI261" s="16">
        <v>1.7819947193011388E-9</v>
      </c>
      <c r="AJ261" s="16">
        <v>5.9302859439796821E-9</v>
      </c>
      <c r="AK261" s="16">
        <v>1.9496028517721629E-8</v>
      </c>
      <c r="AL261" s="16">
        <v>6.473192314080746E-8</v>
      </c>
      <c r="AM261" s="16">
        <v>2.263810891357144E-7</v>
      </c>
      <c r="AN261" s="16">
        <v>8.1467180049338165E-7</v>
      </c>
      <c r="AO261" s="16">
        <v>3.0283442623191969E-6</v>
      </c>
      <c r="AP261" s="16">
        <v>9.7151249535416129E-6</v>
      </c>
      <c r="AQ261" s="16">
        <v>2.8428132942183476E-5</v>
      </c>
      <c r="AR261" s="16">
        <v>7.7719825017685454E-5</v>
      </c>
      <c r="AS261" s="16">
        <v>1.9410075608903034E-4</v>
      </c>
      <c r="AT261" s="16">
        <v>4.3368099377562953E-4</v>
      </c>
      <c r="AU261" s="16">
        <v>9.0715075871979696E-4</v>
      </c>
      <c r="AV261" s="16">
        <v>1.7900353496042528E-3</v>
      </c>
      <c r="AW261" s="16">
        <v>4.044649860405895E-3</v>
      </c>
      <c r="AX261" s="16">
        <v>9.3437841859152077E-3</v>
      </c>
      <c r="AY261" s="16">
        <v>2.1989643261754337E-2</v>
      </c>
      <c r="AZ261" s="16">
        <v>5.3004804067505587E-2</v>
      </c>
      <c r="BA261" s="16">
        <v>0.13116445845413699</v>
      </c>
      <c r="BB261" s="16">
        <v>0.33379788509530395</v>
      </c>
      <c r="BC261" s="16">
        <v>-0.12485087139310011</v>
      </c>
      <c r="BD261" s="16">
        <v>0.35133531098798265</v>
      </c>
      <c r="BE261" s="16">
        <v>0.13674917546875048</v>
      </c>
      <c r="BF261" s="16">
        <v>5.1496161491712808E-2</v>
      </c>
      <c r="BG261" s="16">
        <v>1.8718231389794573E-2</v>
      </c>
      <c r="BH261" s="16">
        <v>6.5509158042459104E-3</v>
      </c>
      <c r="BI261" s="16">
        <v>2.2023695647357226E-3</v>
      </c>
      <c r="BJ261" s="16">
        <v>7.0988831892809649E-4</v>
      </c>
      <c r="BK261" s="16">
        <v>2.1017275238911841E-4</v>
      </c>
      <c r="BL261" s="16">
        <v>6.2187831723349419E-5</v>
      </c>
      <c r="BM261" s="16">
        <v>1.8278594975467196E-5</v>
      </c>
      <c r="BN261" s="16">
        <v>4.9678553473105301E-6</v>
      </c>
    </row>
    <row r="262" spans="1:66" customFormat="1" x14ac:dyDescent="0.25">
      <c r="A262" s="29"/>
      <c r="B262" s="29"/>
      <c r="C262" s="8"/>
      <c r="D262" s="29"/>
      <c r="E262" s="29"/>
      <c r="F262" s="29"/>
      <c r="G262" s="29"/>
      <c r="H262" s="29"/>
      <c r="I262" s="29"/>
      <c r="J262" s="88"/>
      <c r="K262" s="1"/>
      <c r="L262" s="8"/>
      <c r="M262" s="1"/>
      <c r="N262" s="29"/>
      <c r="O262" s="9">
        <f t="shared" si="100"/>
        <v>10</v>
      </c>
      <c r="P262" s="16">
        <v>2.5511830611062903E-28</v>
      </c>
      <c r="Q262" s="16">
        <v>9.459649426832563E-28</v>
      </c>
      <c r="R262" s="16">
        <v>3.2575453387238759E-27</v>
      </c>
      <c r="S262" s="16">
        <v>1.1151661429094416E-26</v>
      </c>
      <c r="T262" s="16">
        <v>3.8157036335984889E-26</v>
      </c>
      <c r="U262" s="16">
        <v>1.5456966670650144E-25</v>
      </c>
      <c r="V262" s="16">
        <v>8.1358450326073681E-25</v>
      </c>
      <c r="W262" s="16">
        <v>5.6454559934825948E-24</v>
      </c>
      <c r="X262" s="16">
        <v>5.7914204981664965E-23</v>
      </c>
      <c r="Y262" s="16">
        <v>1.0584783218788943E-21</v>
      </c>
      <c r="Z262" s="16">
        <v>4.9858756259382682E-20</v>
      </c>
      <c r="AA262" s="16">
        <v>1.3244450045781619E-17</v>
      </c>
      <c r="AB262" s="16">
        <v>1.5895776883276016E-15</v>
      </c>
      <c r="AC262" s="16">
        <v>4.3277884447005339E-14</v>
      </c>
      <c r="AD262" s="16">
        <v>5.1210202006421244E-13</v>
      </c>
      <c r="AE262" s="16">
        <v>3.5755871154237693E-12</v>
      </c>
      <c r="AF262" s="16">
        <v>1.7454930630353339E-11</v>
      </c>
      <c r="AG262" s="16">
        <v>6.6055789552243065E-11</v>
      </c>
      <c r="AH262" s="16">
        <v>2.070765130666076E-10</v>
      </c>
      <c r="AI262" s="16">
        <v>6.7741904984554732E-10</v>
      </c>
      <c r="AJ262" s="16">
        <v>2.2543774265832942E-9</v>
      </c>
      <c r="AK262" s="16">
        <v>7.4113469423838618E-9</v>
      </c>
      <c r="AL262" s="16">
        <v>2.4607613812636941E-8</v>
      </c>
      <c r="AM262" s="16">
        <v>8.6057977975074125E-8</v>
      </c>
      <c r="AN262" s="16">
        <v>3.0969463099341927E-7</v>
      </c>
      <c r="AO262" s="16">
        <v>1.1512144624031346E-6</v>
      </c>
      <c r="AP262" s="16">
        <v>3.6931707169928883E-6</v>
      </c>
      <c r="AQ262" s="16">
        <v>1.0806855148330252E-5</v>
      </c>
      <c r="AR262" s="16">
        <v>2.9544919211820383E-5</v>
      </c>
      <c r="AS262" s="16">
        <v>7.378672245207321E-5</v>
      </c>
      <c r="AT262" s="16">
        <v>1.6486231050941359E-4</v>
      </c>
      <c r="AU262" s="16">
        <v>3.4485018299023625E-4</v>
      </c>
      <c r="AV262" s="16">
        <v>6.8047566728728201E-4</v>
      </c>
      <c r="AW262" s="16">
        <v>1.5375594751866762E-3</v>
      </c>
      <c r="AX262" s="16">
        <v>3.5520068250633713E-3</v>
      </c>
      <c r="AY262" s="16">
        <v>8.3592858516786991E-3</v>
      </c>
      <c r="AZ262" s="16">
        <v>2.0149590579449528E-2</v>
      </c>
      <c r="BA262" s="16">
        <v>4.9861709385061299E-2</v>
      </c>
      <c r="BB262" s="16">
        <v>0.12689209665581608</v>
      </c>
      <c r="BC262" s="16">
        <v>0.33268487541116021</v>
      </c>
      <c r="BD262" s="16">
        <v>-9.9704595699811216E-2</v>
      </c>
      <c r="BE262" s="16">
        <v>0.35041924442535544</v>
      </c>
      <c r="BF262" s="16">
        <v>0.13195871886522439</v>
      </c>
      <c r="BG262" s="16">
        <v>4.7965397071733584E-2</v>
      </c>
      <c r="BH262" s="16">
        <v>1.6786696947525999E-2</v>
      </c>
      <c r="BI262" s="16">
        <v>5.6435636717710926E-3</v>
      </c>
      <c r="BJ262" s="16">
        <v>1.8190861297150192E-3</v>
      </c>
      <c r="BK262" s="16">
        <v>5.3856688231237017E-4</v>
      </c>
      <c r="BL262" s="16">
        <v>1.5935608335661993E-4</v>
      </c>
      <c r="BM262" s="16">
        <v>4.6838830424421862E-5</v>
      </c>
      <c r="BN262" s="16">
        <v>1.2730110519875329E-5</v>
      </c>
    </row>
    <row r="263" spans="1:66" customFormat="1" x14ac:dyDescent="0.25">
      <c r="A263" s="29"/>
      <c r="B263" s="29"/>
      <c r="C263" s="8"/>
      <c r="D263" s="29"/>
      <c r="E263" s="29"/>
      <c r="F263" s="29"/>
      <c r="G263" s="29"/>
      <c r="H263" s="29"/>
      <c r="I263" s="29"/>
      <c r="J263" s="88"/>
      <c r="K263" s="1"/>
      <c r="L263" s="8"/>
      <c r="M263" s="1"/>
      <c r="N263" s="29"/>
      <c r="O263" s="9">
        <f t="shared" si="100"/>
        <v>9</v>
      </c>
      <c r="P263" s="16">
        <v>9.3822347120735292E-29</v>
      </c>
      <c r="Q263" s="16">
        <v>3.4788821143233993E-28</v>
      </c>
      <c r="R263" s="16">
        <v>1.1979953700333508E-27</v>
      </c>
      <c r="S263" s="16">
        <v>4.1011367060414187E-27</v>
      </c>
      <c r="T263" s="16">
        <v>1.4032637495879528E-26</v>
      </c>
      <c r="U263" s="16">
        <v>5.6844564175591088E-26</v>
      </c>
      <c r="V263" s="16">
        <v>2.9920396086307973E-25</v>
      </c>
      <c r="W263" s="16">
        <v>2.0761737562089112E-24</v>
      </c>
      <c r="X263" s="16">
        <v>2.1298536846881346E-23</v>
      </c>
      <c r="Y263" s="16">
        <v>3.8926614890595439E-22</v>
      </c>
      <c r="Z263" s="16">
        <v>1.8336063797583517E-20</v>
      </c>
      <c r="AA263" s="16">
        <v>4.8707809665360185E-18</v>
      </c>
      <c r="AB263" s="16">
        <v>5.8458333282040662E-16</v>
      </c>
      <c r="AC263" s="16">
        <v>1.5915881377313818E-14</v>
      </c>
      <c r="AD263" s="16">
        <v>1.8833071691397734E-13</v>
      </c>
      <c r="AE263" s="16">
        <v>1.3149584622839449E-12</v>
      </c>
      <c r="AF263" s="16">
        <v>6.4192279477553944E-12</v>
      </c>
      <c r="AG263" s="16">
        <v>2.4292687228870643E-11</v>
      </c>
      <c r="AH263" s="16">
        <v>7.6154489992034675E-11</v>
      </c>
      <c r="AI263" s="16">
        <v>2.4912773297125475E-10</v>
      </c>
      <c r="AJ263" s="16">
        <v>8.2907018583891242E-10</v>
      </c>
      <c r="AK263" s="16">
        <v>2.7255980805979812E-9</v>
      </c>
      <c r="AL263" s="16">
        <v>9.0496998045332891E-9</v>
      </c>
      <c r="AM263" s="16">
        <v>3.1648695090444563E-8</v>
      </c>
      <c r="AN263" s="16">
        <v>1.1389334467395179E-7</v>
      </c>
      <c r="AO263" s="16">
        <v>4.2337080607285179E-7</v>
      </c>
      <c r="AP263" s="16">
        <v>1.3582010255100441E-6</v>
      </c>
      <c r="AQ263" s="16">
        <v>3.9743306956987635E-6</v>
      </c>
      <c r="AR263" s="16">
        <v>1.0865443990300954E-5</v>
      </c>
      <c r="AS263" s="16">
        <v>2.7135816289865753E-5</v>
      </c>
      <c r="AT263" s="16">
        <v>6.0629788428562392E-5</v>
      </c>
      <c r="AU263" s="16">
        <v>1.2682215583200375E-4</v>
      </c>
      <c r="AV263" s="16">
        <v>2.5025183506728133E-4</v>
      </c>
      <c r="AW263" s="16">
        <v>5.6545310683108873E-4</v>
      </c>
      <c r="AX263" s="16">
        <v>1.3062865711087124E-3</v>
      </c>
      <c r="AY263" s="16">
        <v>3.0742122382921176E-3</v>
      </c>
      <c r="AZ263" s="16">
        <v>7.4102165011476146E-3</v>
      </c>
      <c r="BA263" s="16">
        <v>1.8337149839532971E-2</v>
      </c>
      <c r="BB263" s="16">
        <v>4.6665856797266717E-2</v>
      </c>
      <c r="BC263" s="16">
        <v>0.12234824046342319</v>
      </c>
      <c r="BD263" s="16">
        <v>0.33109277503914814</v>
      </c>
      <c r="BE263" s="16">
        <v>-7.3269423734584893E-2</v>
      </c>
      <c r="BF263" s="16">
        <v>0.34898248747084709</v>
      </c>
      <c r="BG263" s="16">
        <v>0.1268509100919423</v>
      </c>
      <c r="BH263" s="16">
        <v>4.4394666055755039E-2</v>
      </c>
      <c r="BI263" s="16">
        <v>1.4925159211240378E-2</v>
      </c>
      <c r="BJ263" s="16">
        <v>4.8108166548664674E-3</v>
      </c>
      <c r="BK263" s="16">
        <v>1.4243121778921817E-3</v>
      </c>
      <c r="BL263" s="16">
        <v>4.2143848350183292E-4</v>
      </c>
      <c r="BM263" s="16">
        <v>1.2387155386401407E-4</v>
      </c>
      <c r="BN263" s="16">
        <v>3.3666480496391535E-5</v>
      </c>
    </row>
    <row r="264" spans="1:66" customFormat="1" x14ac:dyDescent="0.25">
      <c r="A264" s="29"/>
      <c r="B264" s="29"/>
      <c r="C264" s="8"/>
      <c r="D264" s="29"/>
      <c r="E264" s="29"/>
      <c r="F264" s="29"/>
      <c r="G264" s="29"/>
      <c r="H264" s="29"/>
      <c r="I264" s="29"/>
      <c r="J264" s="88"/>
      <c r="K264" s="1"/>
      <c r="L264" s="8"/>
      <c r="M264" s="1"/>
      <c r="N264" s="29"/>
      <c r="O264" s="9">
        <f t="shared" si="100"/>
        <v>8</v>
      </c>
      <c r="P264" s="16">
        <v>3.3304542185174615E-29</v>
      </c>
      <c r="Q264" s="16">
        <v>1.2349144920094076E-28</v>
      </c>
      <c r="R264" s="16">
        <v>4.252578257030383E-28</v>
      </c>
      <c r="S264" s="16">
        <v>1.4557990140425521E-27</v>
      </c>
      <c r="T264" s="16">
        <v>4.9812286922365385E-27</v>
      </c>
      <c r="U264" s="16">
        <v>2.0178371610631285E-26</v>
      </c>
      <c r="V264" s="16">
        <v>1.0620978095668943E-25</v>
      </c>
      <c r="W264" s="16">
        <v>7.3698877260479933E-25</v>
      </c>
      <c r="X264" s="16">
        <v>7.5604377919329194E-24</v>
      </c>
      <c r="Y264" s="16">
        <v>1.3817956249608286E-22</v>
      </c>
      <c r="Z264" s="16">
        <v>6.5088353574317142E-21</v>
      </c>
      <c r="AA264" s="16">
        <v>1.7290031122968257E-18</v>
      </c>
      <c r="AB264" s="16">
        <v>2.0751218516856295E-16</v>
      </c>
      <c r="AC264" s="16">
        <v>5.6497322760734298E-15</v>
      </c>
      <c r="AD264" s="16">
        <v>6.6852604935946329E-14</v>
      </c>
      <c r="AE264" s="16">
        <v>4.6677674267231422E-13</v>
      </c>
      <c r="AF264" s="16">
        <v>2.2786623287856624E-12</v>
      </c>
      <c r="AG264" s="16">
        <v>8.6232848722494681E-12</v>
      </c>
      <c r="AH264" s="16">
        <v>2.7032903166090608E-11</v>
      </c>
      <c r="AI264" s="16">
        <v>8.8433996237175434E-11</v>
      </c>
      <c r="AJ264" s="16">
        <v>2.9429878729435725E-10</v>
      </c>
      <c r="AK264" s="16">
        <v>9.6751785732127212E-10</v>
      </c>
      <c r="AL264" s="16">
        <v>3.2124128009225121E-9</v>
      </c>
      <c r="AM264" s="16">
        <v>1.1234480196802597E-8</v>
      </c>
      <c r="AN264" s="16">
        <v>4.0429234811435977E-8</v>
      </c>
      <c r="AO264" s="16">
        <v>1.5028584664035177E-7</v>
      </c>
      <c r="AP264" s="16">
        <v>4.8212675058999514E-7</v>
      </c>
      <c r="AQ264" s="16">
        <v>1.4107861119952815E-6</v>
      </c>
      <c r="AR264" s="16">
        <v>3.8569557130132284E-6</v>
      </c>
      <c r="AS264" s="16">
        <v>9.6325232323595275E-6</v>
      </c>
      <c r="AT264" s="16">
        <v>2.1522029754796041E-5</v>
      </c>
      <c r="AU264" s="16">
        <v>4.5018633284524642E-5</v>
      </c>
      <c r="AV264" s="16">
        <v>8.8833023833760548E-5</v>
      </c>
      <c r="AW264" s="16">
        <v>2.0072144247212109E-4</v>
      </c>
      <c r="AX264" s="16">
        <v>4.6369844230642035E-4</v>
      </c>
      <c r="AY264" s="16">
        <v>1.0912669989445634E-3</v>
      </c>
      <c r="AZ264" s="16">
        <v>2.6304380101060702E-3</v>
      </c>
      <c r="BA264" s="16">
        <v>6.5092208746462196E-3</v>
      </c>
      <c r="BB264" s="16">
        <v>1.6565189893532343E-2</v>
      </c>
      <c r="BC264" s="16">
        <v>4.3430507345466121E-2</v>
      </c>
      <c r="BD264" s="16">
        <v>0.11752949730950432</v>
      </c>
      <c r="BE264" s="16">
        <v>0.32896573704135679</v>
      </c>
      <c r="BF264" s="16">
        <v>-4.5464234209855098E-2</v>
      </c>
      <c r="BG264" s="16">
        <v>0.34696219710997356</v>
      </c>
      <c r="BH264" s="16">
        <v>0.12142814634521702</v>
      </c>
      <c r="BI264" s="16">
        <v>4.0823246978636096E-2</v>
      </c>
      <c r="BJ264" s="16">
        <v>1.3158530082723864E-2</v>
      </c>
      <c r="BK264" s="16">
        <v>3.8957740409885622E-3</v>
      </c>
      <c r="BL264" s="16">
        <v>1.1527171707046314E-3</v>
      </c>
      <c r="BM264" s="16">
        <v>3.3881307163609244E-4</v>
      </c>
      <c r="BN264" s="16">
        <v>9.2084448062072438E-5</v>
      </c>
    </row>
    <row r="265" spans="1:66" customFormat="1" x14ac:dyDescent="0.25">
      <c r="A265" s="29"/>
      <c r="B265" s="29"/>
      <c r="C265" s="8"/>
      <c r="D265" s="29"/>
      <c r="E265" s="29"/>
      <c r="F265" s="29"/>
      <c r="G265" s="29"/>
      <c r="H265" s="29"/>
      <c r="I265" s="29"/>
      <c r="J265" s="88"/>
      <c r="K265" s="1"/>
      <c r="L265" s="8"/>
      <c r="M265" s="1"/>
      <c r="N265" s="29"/>
      <c r="O265" s="9">
        <f t="shared" si="100"/>
        <v>7</v>
      </c>
      <c r="P265" s="16">
        <v>1.1382918791113218E-29</v>
      </c>
      <c r="Q265" s="16">
        <v>4.2207249985166622E-29</v>
      </c>
      <c r="R265" s="16">
        <v>1.4534579903091632E-28</v>
      </c>
      <c r="S265" s="16">
        <v>4.9756702436839633E-28</v>
      </c>
      <c r="T265" s="16">
        <v>1.702498156810929E-27</v>
      </c>
      <c r="U265" s="16">
        <v>6.8966198095035026E-27</v>
      </c>
      <c r="V265" s="16">
        <v>3.6300673485615135E-26</v>
      </c>
      <c r="W265" s="16">
        <v>2.5189006658247967E-25</v>
      </c>
      <c r="X265" s="16">
        <v>2.5840273957930266E-24</v>
      </c>
      <c r="Y265" s="16">
        <v>4.7227394081538502E-23</v>
      </c>
      <c r="Z265" s="16">
        <v>2.2246077993335169E-21</v>
      </c>
      <c r="AA265" s="16">
        <v>5.9094347874320095E-19</v>
      </c>
      <c r="AB265" s="16">
        <v>7.0924090137821425E-17</v>
      </c>
      <c r="AC265" s="16">
        <v>1.9309811656472078E-15</v>
      </c>
      <c r="AD265" s="16">
        <v>2.2849068716488707E-14</v>
      </c>
      <c r="AE265" s="16">
        <v>1.5953624961656102E-13</v>
      </c>
      <c r="AF265" s="16">
        <v>7.7880753011768585E-13</v>
      </c>
      <c r="AG265" s="16">
        <v>2.9472902184839374E-12</v>
      </c>
      <c r="AH265" s="16">
        <v>9.239380614113777E-12</v>
      </c>
      <c r="AI265" s="16">
        <v>3.0225216486821433E-11</v>
      </c>
      <c r="AJ265" s="16">
        <v>1.0058625569655781E-10</v>
      </c>
      <c r="AK265" s="16">
        <v>3.3068093648026123E-10</v>
      </c>
      <c r="AL265" s="16">
        <v>1.0979473560429542E-9</v>
      </c>
      <c r="AM265" s="16">
        <v>3.8397517981045663E-9</v>
      </c>
      <c r="AN265" s="16">
        <v>1.3818015995736478E-8</v>
      </c>
      <c r="AO265" s="16">
        <v>5.1365113450570928E-8</v>
      </c>
      <c r="AP265" s="16">
        <v>1.6478261789264815E-7</v>
      </c>
      <c r="AQ265" s="16">
        <v>4.8218238987297013E-7</v>
      </c>
      <c r="AR265" s="16">
        <v>1.3182410200399987E-6</v>
      </c>
      <c r="AS265" s="16">
        <v>3.2922305041102914E-6</v>
      </c>
      <c r="AT265" s="16">
        <v>7.3558590163662178E-6</v>
      </c>
      <c r="AU265" s="16">
        <v>1.5386593333589269E-5</v>
      </c>
      <c r="AV265" s="16">
        <v>3.0361597245400477E-5</v>
      </c>
      <c r="AW265" s="16">
        <v>6.8603131266350986E-5</v>
      </c>
      <c r="AX265" s="16">
        <v>1.5848413958049451E-4</v>
      </c>
      <c r="AY265" s="16">
        <v>3.729762612961939E-4</v>
      </c>
      <c r="AZ265" s="16">
        <v>8.990383980544078E-4</v>
      </c>
      <c r="BA265" s="16">
        <v>2.2247395624762408E-3</v>
      </c>
      <c r="BB265" s="16">
        <v>5.6616965418424181E-3</v>
      </c>
      <c r="BC265" s="16">
        <v>1.4843799245808338E-2</v>
      </c>
      <c r="BD265" s="16">
        <v>4.0169557533505935E-2</v>
      </c>
      <c r="BE265" s="16">
        <v>0.11243482192249918</v>
      </c>
      <c r="BF265" s="16">
        <v>0.32624388123368281</v>
      </c>
      <c r="BG265" s="16">
        <v>-1.6199411122957169E-2</v>
      </c>
      <c r="BH265" s="16">
        <v>0.34430575686839948</v>
      </c>
      <c r="BI265" s="16">
        <v>0.11575305538178089</v>
      </c>
      <c r="BJ265" s="16">
        <v>3.7310605454913125E-2</v>
      </c>
      <c r="BK265" s="16">
        <v>1.1046346914968487E-2</v>
      </c>
      <c r="BL265" s="16">
        <v>3.2684939189166103E-3</v>
      </c>
      <c r="BM265" s="16">
        <v>9.6069399540139671E-4</v>
      </c>
      <c r="BN265" s="16">
        <v>2.6110260709805784E-4</v>
      </c>
    </row>
    <row r="266" spans="1:66" customFormat="1" x14ac:dyDescent="0.25">
      <c r="A266" s="29"/>
      <c r="B266" s="29"/>
      <c r="C266" s="8"/>
      <c r="D266" s="29"/>
      <c r="E266" s="29"/>
      <c r="F266" s="29"/>
      <c r="G266" s="29"/>
      <c r="H266" s="29"/>
      <c r="I266" s="29"/>
      <c r="J266" s="88"/>
      <c r="K266" s="1"/>
      <c r="L266" s="8"/>
      <c r="M266" s="1"/>
      <c r="N266" s="29"/>
      <c r="O266" s="9">
        <f t="shared" si="100"/>
        <v>6</v>
      </c>
      <c r="P266" s="16">
        <v>3.7358057573601983E-30</v>
      </c>
      <c r="Q266" s="16">
        <v>1.3852166600716486E-29</v>
      </c>
      <c r="R266" s="16">
        <v>4.7701620541449313E-29</v>
      </c>
      <c r="S266" s="16">
        <v>1.6329851670023641E-28</v>
      </c>
      <c r="T266" s="16">
        <v>5.587496961741378E-28</v>
      </c>
      <c r="U266" s="16">
        <v>2.2634293069702108E-27</v>
      </c>
      <c r="V266" s="16">
        <v>1.1913663577173883E-26</v>
      </c>
      <c r="W266" s="16">
        <v>8.2668810893681406E-26</v>
      </c>
      <c r="X266" s="16">
        <v>8.480623115678041E-25</v>
      </c>
      <c r="Y266" s="16">
        <v>1.5499747819748426E-23</v>
      </c>
      <c r="Z266" s="16">
        <v>7.3010295312893019E-22</v>
      </c>
      <c r="AA266" s="16">
        <v>1.9394410965022899E-19</v>
      </c>
      <c r="AB266" s="16">
        <v>2.3276861509304919E-17</v>
      </c>
      <c r="AC266" s="16">
        <v>6.3373645093654037E-16</v>
      </c>
      <c r="AD266" s="16">
        <v>7.49892747438545E-15</v>
      </c>
      <c r="AE266" s="16">
        <v>5.2358841415130192E-14</v>
      </c>
      <c r="AF266" s="16">
        <v>2.5559996590334882E-13</v>
      </c>
      <c r="AG266" s="16">
        <v>9.6728299383280551E-13</v>
      </c>
      <c r="AH266" s="16">
        <v>3.0323093686301205E-12</v>
      </c>
      <c r="AI266" s="16">
        <v>9.9197349854661558E-12</v>
      </c>
      <c r="AJ266" s="16">
        <v>3.3011806553155276E-11</v>
      </c>
      <c r="AK266" s="16">
        <v>1.0852750239390991E-10</v>
      </c>
      <c r="AL266" s="16">
        <v>3.6033974495064805E-10</v>
      </c>
      <c r="AM266" s="16">
        <v>1.260183537933363E-9</v>
      </c>
      <c r="AN266" s="16">
        <v>4.5349900723590442E-9</v>
      </c>
      <c r="AO266" s="16">
        <v>1.685772252947228E-8</v>
      </c>
      <c r="AP266" s="16">
        <v>5.4080668054738637E-8</v>
      </c>
      <c r="AQ266" s="16">
        <v>1.5824937182117734E-7</v>
      </c>
      <c r="AR266" s="16">
        <v>4.3263880579544985E-7</v>
      </c>
      <c r="AS266" s="16">
        <v>1.0804903291951954E-6</v>
      </c>
      <c r="AT266" s="16">
        <v>2.4141488635695833E-6</v>
      </c>
      <c r="AU266" s="16">
        <v>5.0497877580097673E-6</v>
      </c>
      <c r="AV266" s="16">
        <v>9.964494333436774E-6</v>
      </c>
      <c r="AW266" s="16">
        <v>2.2515136711496057E-5</v>
      </c>
      <c r="AX266" s="16">
        <v>5.2013545204005279E-5</v>
      </c>
      <c r="AY266" s="16">
        <v>1.2240857462646762E-4</v>
      </c>
      <c r="AZ266" s="16">
        <v>2.9505901651179938E-4</v>
      </c>
      <c r="BA266" s="16">
        <v>7.301461970030393E-4</v>
      </c>
      <c r="BB266" s="16">
        <v>1.8581348883868057E-3</v>
      </c>
      <c r="BC266" s="16">
        <v>4.8716459900322775E-3</v>
      </c>
      <c r="BD266" s="16">
        <v>1.3183408144969048E-2</v>
      </c>
      <c r="BE266" s="16">
        <v>3.690043500914434E-2</v>
      </c>
      <c r="BF266" s="16">
        <v>0.10707128744236044</v>
      </c>
      <c r="BG266" s="16">
        <v>0.32287745976810023</v>
      </c>
      <c r="BH266" s="16">
        <v>1.466807579181785E-2</v>
      </c>
      <c r="BI266" s="16">
        <v>0.34112392148048637</v>
      </c>
      <c r="BJ266" s="16">
        <v>0.10995424702711096</v>
      </c>
      <c r="BK266" s="16">
        <v>3.2553552605929917E-2</v>
      </c>
      <c r="BL266" s="16">
        <v>9.6322421838330834E-3</v>
      </c>
      <c r="BM266" s="16">
        <v>2.8311624429540722E-3</v>
      </c>
      <c r="BN266" s="16">
        <v>7.6946863258425216E-4</v>
      </c>
    </row>
    <row r="267" spans="1:66" customFormat="1" x14ac:dyDescent="0.25">
      <c r="A267" s="29"/>
      <c r="B267" s="29"/>
      <c r="C267" s="8"/>
      <c r="D267" s="29"/>
      <c r="E267" s="29"/>
      <c r="F267" s="29"/>
      <c r="G267" s="29"/>
      <c r="H267" s="29"/>
      <c r="I267" s="29"/>
      <c r="J267" s="88"/>
      <c r="K267" s="1"/>
      <c r="L267" s="8"/>
      <c r="M267" s="1"/>
      <c r="N267" s="29"/>
      <c r="O267" s="9">
        <f t="shared" si="100"/>
        <v>5</v>
      </c>
      <c r="P267" s="16">
        <v>1.174384090076847E-30</v>
      </c>
      <c r="Q267" s="16">
        <v>4.3545529734582554E-30</v>
      </c>
      <c r="R267" s="16">
        <v>1.4995432812423834E-29</v>
      </c>
      <c r="S267" s="16">
        <v>5.1334355264075212E-29</v>
      </c>
      <c r="T267" s="16">
        <v>1.7564798497067885E-28</v>
      </c>
      <c r="U267" s="16">
        <v>7.1152932988619209E-28</v>
      </c>
      <c r="V267" s="16">
        <v>3.7451671388416953E-27</v>
      </c>
      <c r="W267" s="16">
        <v>2.5987683130429491E-26</v>
      </c>
      <c r="X267" s="16">
        <v>2.6659600385721974E-25</v>
      </c>
      <c r="Y267" s="16">
        <v>4.8724849261376608E-24</v>
      </c>
      <c r="Z267" s="16">
        <v>2.2951442017119493E-22</v>
      </c>
      <c r="AA267" s="16">
        <v>6.0968072627601527E-20</v>
      </c>
      <c r="AB267" s="16">
        <v>7.3172904585826327E-18</v>
      </c>
      <c r="AC267" s="16">
        <v>1.9922074476579393E-16</v>
      </c>
      <c r="AD267" s="16">
        <v>2.3573551973915728E-15</v>
      </c>
      <c r="AE267" s="16">
        <v>1.6459472019293465E-14</v>
      </c>
      <c r="AF267" s="16">
        <v>8.0350144755166793E-14</v>
      </c>
      <c r="AG267" s="16">
        <v>3.0407409601559234E-13</v>
      </c>
      <c r="AH267" s="16">
        <v>9.532336823707157E-13</v>
      </c>
      <c r="AI267" s="16">
        <v>3.1183577791105456E-12</v>
      </c>
      <c r="AJ267" s="16">
        <v>1.0377557859998282E-11</v>
      </c>
      <c r="AK267" s="16">
        <v>3.4116595033368588E-11</v>
      </c>
      <c r="AL267" s="16">
        <v>1.1327603493801999E-10</v>
      </c>
      <c r="AM267" s="16">
        <v>3.9615001251335181E-10</v>
      </c>
      <c r="AN267" s="16">
        <v>1.4256148567526839E-9</v>
      </c>
      <c r="AO267" s="16">
        <v>5.2993764717391437E-9</v>
      </c>
      <c r="AP267" s="16">
        <v>1.7000743686708925E-8</v>
      </c>
      <c r="AQ267" s="16">
        <v>4.9747111226352549E-8</v>
      </c>
      <c r="AR267" s="16">
        <v>1.3600389401269254E-7</v>
      </c>
      <c r="AS267" s="16">
        <v>3.3966183857090382E-7</v>
      </c>
      <c r="AT267" s="16">
        <v>7.5890937607435739E-7</v>
      </c>
      <c r="AU267" s="16">
        <v>1.5874461324943313E-6</v>
      </c>
      <c r="AV267" s="16">
        <v>3.1324282821165828E-6</v>
      </c>
      <c r="AW267" s="16">
        <v>7.0778354275491536E-6</v>
      </c>
      <c r="AX267" s="16">
        <v>1.6350925054315433E-5</v>
      </c>
      <c r="AY267" s="16">
        <v>3.8480234751789714E-5</v>
      </c>
      <c r="AZ267" s="16">
        <v>9.2754451684884279E-5</v>
      </c>
      <c r="BA267" s="16">
        <v>2.2952801427138253E-4</v>
      </c>
      <c r="BB267" s="16">
        <v>5.8412138956607509E-4</v>
      </c>
      <c r="BC267" s="16">
        <v>1.5314456678880675E-3</v>
      </c>
      <c r="BD267" s="16">
        <v>4.1443227469571018E-3</v>
      </c>
      <c r="BE267" s="16">
        <v>1.1599983137848009E-2</v>
      </c>
      <c r="BF267" s="16">
        <v>3.3658820785480451E-2</v>
      </c>
      <c r="BG267" s="16">
        <v>0.10149942915233971</v>
      </c>
      <c r="BH267" s="16">
        <v>0.31897002208188069</v>
      </c>
      <c r="BI267" s="16">
        <v>4.7815602790381079E-2</v>
      </c>
      <c r="BJ267" s="16">
        <v>0.33774170726008534</v>
      </c>
      <c r="BK267" s="16">
        <v>9.9993340246301299E-2</v>
      </c>
      <c r="BL267" s="16">
        <v>2.9586941913287507E-2</v>
      </c>
      <c r="BM267" s="16">
        <v>8.6963592845865738E-3</v>
      </c>
      <c r="BN267" s="16">
        <v>2.3635435345031345E-3</v>
      </c>
    </row>
    <row r="268" spans="1:66" customFormat="1" x14ac:dyDescent="0.25">
      <c r="A268" s="29"/>
      <c r="B268" s="29"/>
      <c r="C268" s="8"/>
      <c r="D268" s="29"/>
      <c r="E268" s="29"/>
      <c r="F268" s="29"/>
      <c r="G268" s="29"/>
      <c r="H268" s="29"/>
      <c r="I268" s="29"/>
      <c r="J268" s="88"/>
      <c r="K268" s="1"/>
      <c r="L268" s="8"/>
      <c r="M268" s="1"/>
      <c r="N268" s="29"/>
      <c r="O268" s="9">
        <f t="shared" si="100"/>
        <v>4</v>
      </c>
      <c r="P268" s="16">
        <v>3.5457741398979055E-31</v>
      </c>
      <c r="Q268" s="16">
        <v>1.3147539595068478E-30</v>
      </c>
      <c r="R268" s="16">
        <v>4.5275151743063613E-30</v>
      </c>
      <c r="S268" s="16">
        <v>1.5499190675495197E-29</v>
      </c>
      <c r="T268" s="16">
        <v>5.3032741851386522E-29</v>
      </c>
      <c r="U268" s="16">
        <v>2.1482940027944826E-28</v>
      </c>
      <c r="V268" s="16">
        <v>1.1307643642916989E-27</v>
      </c>
      <c r="W268" s="16">
        <v>7.8463643690632969E-27</v>
      </c>
      <c r="X268" s="16">
        <v>8.0492338432070871E-26</v>
      </c>
      <c r="Y268" s="16">
        <v>1.4711312247946707E-24</v>
      </c>
      <c r="Z268" s="16">
        <v>6.9296433990640398E-23</v>
      </c>
      <c r="AA268" s="16">
        <v>1.8407863075548041E-20</v>
      </c>
      <c r="AB268" s="16">
        <v>2.2092822528331609E-18</v>
      </c>
      <c r="AC268" s="16">
        <v>6.0149977412886231E-17</v>
      </c>
      <c r="AD268" s="16">
        <v>7.1174747410942893E-16</v>
      </c>
      <c r="AE268" s="16">
        <v>4.9695470788066414E-15</v>
      </c>
      <c r="AF268" s="16">
        <v>2.4259819918990962E-14</v>
      </c>
      <c r="AG268" s="16">
        <v>9.1807959199648916E-14</v>
      </c>
      <c r="AH268" s="16">
        <v>2.8780629512858665E-13</v>
      </c>
      <c r="AI268" s="16">
        <v>9.4151414903757017E-13</v>
      </c>
      <c r="AJ268" s="16">
        <v>3.1332573905074232E-12</v>
      </c>
      <c r="AK268" s="16">
        <v>1.0300696461476405E-11</v>
      </c>
      <c r="AL268" s="16">
        <v>3.4201011300069672E-11</v>
      </c>
      <c r="AM268" s="16">
        <v>1.1960809770491346E-10</v>
      </c>
      <c r="AN268" s="16">
        <v>4.3043058359187669E-10</v>
      </c>
      <c r="AO268" s="16">
        <v>1.6000209990793117E-9</v>
      </c>
      <c r="AP268" s="16">
        <v>5.1329712172293254E-9</v>
      </c>
      <c r="AQ268" s="16">
        <v>1.5019959995326848E-8</v>
      </c>
      <c r="AR268" s="16">
        <v>4.1063149134118886E-8</v>
      </c>
      <c r="AS268" s="16">
        <v>1.0255283375271874E-7</v>
      </c>
      <c r="AT268" s="16">
        <v>2.291346811446012E-7</v>
      </c>
      <c r="AU268" s="16">
        <v>4.7929169788999982E-7</v>
      </c>
      <c r="AV268" s="16">
        <v>9.4576240360059761E-7</v>
      </c>
      <c r="AW268" s="16">
        <v>2.1369844872314994E-6</v>
      </c>
      <c r="AX268" s="16">
        <v>4.936773897984827E-6</v>
      </c>
      <c r="AY268" s="16">
        <v>1.1618193948043728E-5</v>
      </c>
      <c r="AZ268" s="16">
        <v>2.8005006106916117E-5</v>
      </c>
      <c r="BA268" s="16">
        <v>6.930053840667496E-5</v>
      </c>
      <c r="BB268" s="16">
        <v>1.7636159542565761E-4</v>
      </c>
      <c r="BC268" s="16">
        <v>4.6238368620106713E-4</v>
      </c>
      <c r="BD268" s="16">
        <v>1.2512799302815459E-3</v>
      </c>
      <c r="BE268" s="16">
        <v>3.5023397013784281E-3</v>
      </c>
      <c r="BF268" s="16">
        <v>1.0162482387921749E-2</v>
      </c>
      <c r="BG268" s="16">
        <v>3.0645344580512462E-2</v>
      </c>
      <c r="BH268" s="16">
        <v>9.6305430672735726E-2</v>
      </c>
      <c r="BI268" s="16">
        <v>0.31636306206366888</v>
      </c>
      <c r="BJ268" s="16">
        <v>8.4739445922549339E-2</v>
      </c>
      <c r="BK268" s="16">
        <v>0.32115287559433897</v>
      </c>
      <c r="BL268" s="16">
        <v>9.5025643228739201E-2</v>
      </c>
      <c r="BM268" s="16">
        <v>2.7930468014841749E-2</v>
      </c>
      <c r="BN268" s="16">
        <v>7.5910935751160348E-3</v>
      </c>
    </row>
    <row r="269" spans="1:66" customFormat="1" x14ac:dyDescent="0.25">
      <c r="A269" s="29"/>
      <c r="B269" s="29"/>
      <c r="C269" s="8"/>
      <c r="D269" s="29"/>
      <c r="E269" s="29"/>
      <c r="F269" s="29"/>
      <c r="G269" s="29"/>
      <c r="H269" s="29"/>
      <c r="I269" s="29"/>
      <c r="J269" s="88"/>
      <c r="K269" s="1"/>
      <c r="L269" s="8"/>
      <c r="M269" s="1"/>
      <c r="N269" s="29"/>
      <c r="O269" s="9">
        <f t="shared" si="100"/>
        <v>3</v>
      </c>
      <c r="P269" s="16">
        <v>1.0705056849713579E-31</v>
      </c>
      <c r="Q269" s="16">
        <v>3.9693774404683544E-31</v>
      </c>
      <c r="R269" s="16">
        <v>1.3669034015315486E-30</v>
      </c>
      <c r="S269" s="16">
        <v>4.6793650909334033E-30</v>
      </c>
      <c r="T269" s="16">
        <v>1.6011130264253768E-29</v>
      </c>
      <c r="U269" s="16">
        <v>6.4859205697957534E-29</v>
      </c>
      <c r="V269" s="16">
        <v>3.413893927186634E-28</v>
      </c>
      <c r="W269" s="16">
        <v>2.3688981113954457E-27</v>
      </c>
      <c r="X269" s="16">
        <v>2.4301464923722252E-26</v>
      </c>
      <c r="Y269" s="16">
        <v>4.441496489471597E-25</v>
      </c>
      <c r="Z269" s="16">
        <v>2.092130621082338E-23</v>
      </c>
      <c r="AA269" s="16">
        <v>5.5575232073625299E-21</v>
      </c>
      <c r="AB269" s="16">
        <v>6.6700503699661047E-19</v>
      </c>
      <c r="AC269" s="16">
        <v>1.8159896888764466E-17</v>
      </c>
      <c r="AD269" s="16">
        <v>2.1488388352905255E-16</v>
      </c>
      <c r="AE269" s="16">
        <v>1.5003573802781733E-15</v>
      </c>
      <c r="AF269" s="16">
        <v>7.3242891721267342E-15</v>
      </c>
      <c r="AG269" s="16">
        <v>2.7717767226897442E-14</v>
      </c>
      <c r="AH269" s="16">
        <v>8.6891680899496776E-14</v>
      </c>
      <c r="AI269" s="16">
        <v>2.8425280608953557E-13</v>
      </c>
      <c r="AJ269" s="16">
        <v>9.4596263514779182E-13</v>
      </c>
      <c r="AK269" s="16">
        <v>3.1098862155648589E-12</v>
      </c>
      <c r="AL269" s="16">
        <v>1.0325637106019513E-11</v>
      </c>
      <c r="AM269" s="16">
        <v>3.611091499624006E-11</v>
      </c>
      <c r="AN269" s="16">
        <v>1.2995142063219811E-10</v>
      </c>
      <c r="AO269" s="16">
        <v>4.8306279757493893E-10</v>
      </c>
      <c r="AP269" s="16">
        <v>1.5496968086626516E-9</v>
      </c>
      <c r="AQ269" s="16">
        <v>4.5346804191827978E-9</v>
      </c>
      <c r="AR269" s="16">
        <v>1.2397387102655856E-8</v>
      </c>
      <c r="AS269" s="16">
        <v>3.0961755377168215E-8</v>
      </c>
      <c r="AT269" s="16">
        <v>6.9178117136490161E-8</v>
      </c>
      <c r="AU269" s="16">
        <v>1.4470309362840378E-7</v>
      </c>
      <c r="AV269" s="16">
        <v>2.8553539784002352E-7</v>
      </c>
      <c r="AW269" s="16">
        <v>6.4517759790046625E-7</v>
      </c>
      <c r="AX269" s="16">
        <v>1.4904628198803252E-6</v>
      </c>
      <c r="AY269" s="16">
        <v>3.5076522586514062E-6</v>
      </c>
      <c r="AZ269" s="16">
        <v>8.4549994055669071E-6</v>
      </c>
      <c r="BA269" s="16">
        <v>2.0922545376242587E-5</v>
      </c>
      <c r="BB269" s="16">
        <v>5.3245379729466108E-5</v>
      </c>
      <c r="BC269" s="16">
        <v>1.395983909822601E-4</v>
      </c>
      <c r="BD269" s="16">
        <v>3.7777428172442134E-4</v>
      </c>
      <c r="BE269" s="16">
        <v>1.0573923812119768E-3</v>
      </c>
      <c r="BF269" s="16">
        <v>3.0681579650769231E-3</v>
      </c>
      <c r="BG269" s="16">
        <v>9.2521447494930912E-3</v>
      </c>
      <c r="BH269" s="16">
        <v>2.9075600125998725E-2</v>
      </c>
      <c r="BI269" s="16">
        <v>9.5513262574546107E-2</v>
      </c>
      <c r="BJ269" s="16">
        <v>0.32749399644676891</v>
      </c>
      <c r="BK269" s="16">
        <v>7.9673662387504493E-2</v>
      </c>
      <c r="BL269" s="16">
        <v>0.31946369483888781</v>
      </c>
      <c r="BM269" s="16">
        <v>9.3898554194707648E-2</v>
      </c>
      <c r="BN269" s="16">
        <v>2.5520256627327719E-2</v>
      </c>
    </row>
    <row r="270" spans="1:66" customFormat="1" x14ac:dyDescent="0.25">
      <c r="A270" s="29"/>
      <c r="B270" s="29"/>
      <c r="C270" s="8"/>
      <c r="D270" s="29"/>
      <c r="E270" s="29"/>
      <c r="F270" s="29"/>
      <c r="G270" s="29"/>
      <c r="H270" s="29"/>
      <c r="I270" s="29"/>
      <c r="J270" s="88"/>
      <c r="K270" s="1"/>
      <c r="L270" s="8"/>
      <c r="M270" s="1"/>
      <c r="N270" s="29"/>
      <c r="O270" s="9">
        <f t="shared" si="100"/>
        <v>2</v>
      </c>
      <c r="P270" s="16">
        <v>3.2300519623352835E-32</v>
      </c>
      <c r="Q270" s="16">
        <v>1.1976858760144988E-31</v>
      </c>
      <c r="R270" s="16">
        <v>4.1243769897007918E-31</v>
      </c>
      <c r="S270" s="16">
        <v>1.4119114551789667E-30</v>
      </c>
      <c r="T270" s="16">
        <v>4.8310610074567209E-30</v>
      </c>
      <c r="U270" s="16">
        <v>1.9570059980185986E-29</v>
      </c>
      <c r="V270" s="16">
        <v>1.030079048950472E-28</v>
      </c>
      <c r="W270" s="16">
        <v>7.1477098166834434E-28</v>
      </c>
      <c r="X270" s="16">
        <v>7.3325154239224166E-27</v>
      </c>
      <c r="Y270" s="16">
        <v>1.3401390252221641E-25</v>
      </c>
      <c r="Z270" s="16">
        <v>6.3126153489502956E-24</v>
      </c>
      <c r="AA270" s="16">
        <v>1.6768793471793208E-21</v>
      </c>
      <c r="AB270" s="16">
        <v>2.0125637433640204E-19</v>
      </c>
      <c r="AC270" s="16">
        <v>5.479411403866529E-18</v>
      </c>
      <c r="AD270" s="16">
        <v>6.4837218467066216E-17</v>
      </c>
      <c r="AE270" s="16">
        <v>4.5270495695699226E-16</v>
      </c>
      <c r="AF270" s="16">
        <v>2.2099681435855253E-15</v>
      </c>
      <c r="AG270" s="16">
        <v>8.3633211555703379E-15</v>
      </c>
      <c r="AH270" s="16">
        <v>2.6217949922194044E-14</v>
      </c>
      <c r="AI270" s="16">
        <v>8.5768001702240491E-14</v>
      </c>
      <c r="AJ270" s="16">
        <v>2.8542664544903691E-13</v>
      </c>
      <c r="AK270" s="16">
        <v>9.3835037162773121E-13</v>
      </c>
      <c r="AL270" s="16">
        <v>3.1155691057869274E-12</v>
      </c>
      <c r="AM270" s="16">
        <v>1.0895797517268545E-11</v>
      </c>
      <c r="AN270" s="16">
        <v>3.9210426167192201E-11</v>
      </c>
      <c r="AO270" s="16">
        <v>1.4575522196127817E-10</v>
      </c>
      <c r="AP270" s="16">
        <v>4.6759221255134715E-10</v>
      </c>
      <c r="AQ270" s="16">
        <v>1.3682555442885559E-9</v>
      </c>
      <c r="AR270" s="16">
        <v>3.7406811660075499E-9</v>
      </c>
      <c r="AS270" s="16">
        <v>9.3421342938541242E-9</v>
      </c>
      <c r="AT270" s="16">
        <v>2.0873211244399772E-8</v>
      </c>
      <c r="AU270" s="16">
        <v>4.3661469349685638E-8</v>
      </c>
      <c r="AV270" s="16">
        <v>8.6154999927350268E-8</v>
      </c>
      <c r="AW270" s="16">
        <v>1.9467035022881955E-7</v>
      </c>
      <c r="AX270" s="16">
        <v>4.4971945723679502E-7</v>
      </c>
      <c r="AY270" s="16">
        <v>1.0583688830713598E-6</v>
      </c>
      <c r="AZ270" s="16">
        <v>2.5511389434821866E-6</v>
      </c>
      <c r="BA270" s="16">
        <v>6.3129892440869758E-6</v>
      </c>
      <c r="BB270" s="16">
        <v>1.6065803824764457E-5</v>
      </c>
      <c r="BC270" s="16">
        <v>4.212122019166688E-5</v>
      </c>
      <c r="BD270" s="16">
        <v>1.1398636897817296E-4</v>
      </c>
      <c r="BE270" s="16">
        <v>3.1904850052090169E-4</v>
      </c>
      <c r="BF270" s="16">
        <v>9.2575964751803307E-4</v>
      </c>
      <c r="BG270" s="16">
        <v>2.791662736915764E-3</v>
      </c>
      <c r="BH270" s="16">
        <v>8.7730219989976994E-3</v>
      </c>
      <c r="BI270" s="16">
        <v>2.8819351969738713E-2</v>
      </c>
      <c r="BJ270" s="16">
        <v>9.8815227301124825E-2</v>
      </c>
      <c r="BK270" s="16">
        <v>0.32577146304176707</v>
      </c>
      <c r="BL270" s="16">
        <v>7.8524319130268402E-2</v>
      </c>
      <c r="BM270" s="16">
        <v>0.31700589414780667</v>
      </c>
      <c r="BN270" s="16">
        <v>8.6157575485688226E-2</v>
      </c>
    </row>
    <row r="271" spans="1:66" customFormat="1" x14ac:dyDescent="0.25">
      <c r="A271" s="29"/>
      <c r="B271" s="29"/>
      <c r="C271" s="8"/>
      <c r="D271" s="29"/>
      <c r="E271" s="29"/>
      <c r="F271" s="29"/>
      <c r="G271" s="29"/>
      <c r="H271" s="29"/>
      <c r="I271" s="29"/>
      <c r="J271" s="88"/>
      <c r="K271" s="1"/>
      <c r="L271" s="8"/>
      <c r="M271" s="1"/>
      <c r="N271" s="29"/>
      <c r="O271" s="9">
        <f t="shared" si="100"/>
        <v>1</v>
      </c>
      <c r="P271" s="16">
        <v>9.6814059727814814E-33</v>
      </c>
      <c r="Q271" s="16">
        <v>3.5898132069614E-32</v>
      </c>
      <c r="R271" s="16">
        <v>1.2361958410484233E-31</v>
      </c>
      <c r="S271" s="16">
        <v>4.2319096270282699E-31</v>
      </c>
      <c r="T271" s="16">
        <v>1.4480096121626503E-30</v>
      </c>
      <c r="U271" s="16">
        <v>5.8657166444741446E-30</v>
      </c>
      <c r="V271" s="16">
        <v>3.0874467572763453E-29</v>
      </c>
      <c r="W271" s="16">
        <v>2.1423766960367212E-28</v>
      </c>
      <c r="X271" s="16">
        <v>2.1977683160660582E-27</v>
      </c>
      <c r="Y271" s="16">
        <v>4.016786762081399E-26</v>
      </c>
      <c r="Z271" s="16">
        <v>1.8920745751413284E-24</v>
      </c>
      <c r="AA271" s="16">
        <v>5.0260955293358273E-22</v>
      </c>
      <c r="AB271" s="16">
        <v>6.032239379678863E-20</v>
      </c>
      <c r="AC271" s="16">
        <v>1.6423390989155208E-18</v>
      </c>
      <c r="AD271" s="16">
        <v>1.9433601732888625E-17</v>
      </c>
      <c r="AE271" s="16">
        <v>1.3568885347040945E-16</v>
      </c>
      <c r="AF271" s="16">
        <v>6.6239178299462977E-16</v>
      </c>
      <c r="AG271" s="16">
        <v>2.5067307997512559E-15</v>
      </c>
      <c r="AH271" s="16">
        <v>7.8582827747235972E-15</v>
      </c>
      <c r="AI271" s="16">
        <v>2.5707166746421884E-14</v>
      </c>
      <c r="AJ271" s="16">
        <v>8.5550674176877235E-14</v>
      </c>
      <c r="AK271" s="16">
        <v>2.8125092098736489E-13</v>
      </c>
      <c r="AL271" s="16">
        <v>9.338267526684467E-13</v>
      </c>
      <c r="AM271" s="16">
        <v>3.2657876836642571E-12</v>
      </c>
      <c r="AN271" s="16">
        <v>1.1752506105688391E-11</v>
      </c>
      <c r="AO271" s="16">
        <v>4.3687082836890074E-11</v>
      </c>
      <c r="AP271" s="16">
        <v>1.4015099732785094E-10</v>
      </c>
      <c r="AQ271" s="16">
        <v>4.1010601542117175E-10</v>
      </c>
      <c r="AR271" s="16">
        <v>1.1211910336164905E-9</v>
      </c>
      <c r="AS271" s="16">
        <v>2.8001095897434274E-9</v>
      </c>
      <c r="AT271" s="16">
        <v>6.2563090120246534E-9</v>
      </c>
      <c r="AU271" s="16">
        <v>1.3086613313702009E-8</v>
      </c>
      <c r="AV271" s="16">
        <v>2.5823161379688548E-8</v>
      </c>
      <c r="AW271" s="16">
        <v>5.8348370657980282E-8</v>
      </c>
      <c r="AX271" s="16">
        <v>1.3479401229881546E-7</v>
      </c>
      <c r="AY271" s="16">
        <v>3.1722396250755824E-7</v>
      </c>
      <c r="AZ271" s="16">
        <v>7.6465060292612509E-7</v>
      </c>
      <c r="BA271" s="16">
        <v>1.8921866423975722E-6</v>
      </c>
      <c r="BB271" s="16">
        <v>4.8153890686686413E-6</v>
      </c>
      <c r="BC271" s="16">
        <v>1.2624955805652712E-5</v>
      </c>
      <c r="BD271" s="16">
        <v>3.4165032832571117E-5</v>
      </c>
      <c r="BE271" s="16">
        <v>9.5628122846570102E-5</v>
      </c>
      <c r="BF271" s="16">
        <v>2.7747711446602508E-4</v>
      </c>
      <c r="BG271" s="16">
        <v>8.3674258526873551E-4</v>
      </c>
      <c r="BH271" s="16">
        <v>2.6295300685823231E-3</v>
      </c>
      <c r="BI271" s="16">
        <v>8.6379986930550309E-3</v>
      </c>
      <c r="BJ271" s="16">
        <v>2.9617800052455196E-2</v>
      </c>
      <c r="BK271" s="16">
        <v>9.7643190414004363E-2</v>
      </c>
      <c r="BL271" s="16">
        <v>0.32326513340264357</v>
      </c>
      <c r="BM271" s="16">
        <v>7.0630495825294098E-2</v>
      </c>
      <c r="BN271" s="16">
        <v>0.29098174344461414</v>
      </c>
    </row>
    <row r="272" spans="1:66" customFormat="1" x14ac:dyDescent="0.25">
      <c r="A272" s="29"/>
      <c r="B272" s="29"/>
      <c r="C272" s="8"/>
      <c r="D272" s="29"/>
      <c r="E272" s="29"/>
      <c r="F272" s="29"/>
      <c r="G272" s="29"/>
      <c r="H272" s="29"/>
      <c r="I272" s="29"/>
      <c r="J272" s="88"/>
      <c r="K272" s="1"/>
      <c r="L272" s="8"/>
      <c r="M272" s="1"/>
      <c r="N272" s="29"/>
      <c r="O272" s="9">
        <f t="shared" si="100"/>
        <v>0</v>
      </c>
      <c r="P272" s="16">
        <v>2.6832188228586524E-33</v>
      </c>
      <c r="Q272" s="16">
        <v>9.9492309221881032E-33</v>
      </c>
      <c r="R272" s="16">
        <v>3.4261386814747298E-32</v>
      </c>
      <c r="S272" s="16">
        <v>1.1728812529712196E-31</v>
      </c>
      <c r="T272" s="16">
        <v>4.0131843019065339E-31</v>
      </c>
      <c r="U272" s="16">
        <v>1.6256937633084797E-30</v>
      </c>
      <c r="V272" s="16">
        <v>8.5569134038882849E-30</v>
      </c>
      <c r="W272" s="16">
        <v>5.9376349805191733E-29</v>
      </c>
      <c r="X272" s="16">
        <v>6.0911538370873284E-28</v>
      </c>
      <c r="Y272" s="16">
        <v>1.1132595697079065E-26</v>
      </c>
      <c r="Z272" s="16">
        <v>5.243918216573777E-25</v>
      </c>
      <c r="AA272" s="16">
        <v>1.392991283261416E-22</v>
      </c>
      <c r="AB272" s="16">
        <v>1.6718458344840293E-20</v>
      </c>
      <c r="AC272" s="16">
        <v>4.5517719183722809E-19</v>
      </c>
      <c r="AD272" s="16">
        <v>5.3860571607291094E-18</v>
      </c>
      <c r="AE272" s="16">
        <v>3.7606406208716255E-17</v>
      </c>
      <c r="AF272" s="16">
        <v>1.8358305655552019E-16</v>
      </c>
      <c r="AG272" s="16">
        <v>6.9474488360905603E-16</v>
      </c>
      <c r="AH272" s="16">
        <v>2.1779369975563974E-15</v>
      </c>
      <c r="AI272" s="16">
        <v>7.1247868223160295E-15</v>
      </c>
      <c r="AJ272" s="16">
        <v>2.371052096203897E-14</v>
      </c>
      <c r="AK272" s="8">
        <v>7.7949191187859537E-14</v>
      </c>
      <c r="AL272" s="8">
        <v>2.5881173944088487E-13</v>
      </c>
      <c r="AM272" s="8">
        <v>9.0511884419513931E-13</v>
      </c>
      <c r="AN272" s="8">
        <v>3.2572278951219732E-12</v>
      </c>
      <c r="AO272">
        <v>1.2107952431009414E-11</v>
      </c>
      <c r="AP272">
        <v>3.8843097286670333E-11</v>
      </c>
      <c r="AQ272">
        <v>1.1366160896871272E-10</v>
      </c>
      <c r="AR272">
        <v>3.1074008195483174E-10</v>
      </c>
      <c r="AS272">
        <v>7.760553351847508E-10</v>
      </c>
      <c r="AT272">
        <v>1.7339471301875196E-9</v>
      </c>
      <c r="AU272">
        <v>3.6269780721435336E-9</v>
      </c>
      <c r="AV272">
        <v>7.1569349404929476E-9</v>
      </c>
      <c r="AW272">
        <v>1.6171354333532385E-8</v>
      </c>
      <c r="AX272">
        <v>3.735839939216089E-8</v>
      </c>
      <c r="AY272">
        <v>8.7919183397031113E-8</v>
      </c>
      <c r="AZ272">
        <v>2.1192426972382521E-7</v>
      </c>
      <c r="BA272">
        <v>5.2442288129605273E-7</v>
      </c>
      <c r="BB272">
        <v>1.3345936142710211E-6</v>
      </c>
      <c r="BC272">
        <v>3.4990288756327706E-6</v>
      </c>
      <c r="BD272">
        <v>9.4688993972226845E-6</v>
      </c>
      <c r="BE272">
        <v>2.6503503720218162E-5</v>
      </c>
      <c r="BF272">
        <v>7.6903274022485616E-5</v>
      </c>
      <c r="BG272">
        <v>2.3190469039234424E-4</v>
      </c>
      <c r="BH272">
        <v>7.2877891859190417E-4</v>
      </c>
      <c r="BI272">
        <v>2.3940366461437336E-3</v>
      </c>
      <c r="BJ272">
        <v>8.208625773553798E-3</v>
      </c>
      <c r="BK272">
        <v>2.7061983267659167E-2</v>
      </c>
      <c r="BL272">
        <v>8.9593504616838585E-2</v>
      </c>
      <c r="BM272">
        <v>0.29672713930201805</v>
      </c>
      <c r="BN272">
        <v>-1.7228249539368551E-2</v>
      </c>
    </row>
    <row r="273" spans="1:40" customFormat="1" x14ac:dyDescent="0.25">
      <c r="A273" s="29"/>
      <c r="B273" s="29"/>
      <c r="C273" s="8"/>
      <c r="D273" s="29"/>
      <c r="E273" s="29"/>
      <c r="F273" s="29"/>
      <c r="G273" s="29"/>
      <c r="H273" s="29"/>
      <c r="I273" s="29"/>
      <c r="J273" s="88"/>
      <c r="K273" s="1"/>
      <c r="L273" s="8"/>
      <c r="M273" s="1"/>
      <c r="N273" s="29"/>
      <c r="O273" s="9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8"/>
      <c r="AL273" s="8"/>
      <c r="AM273" s="8"/>
      <c r="AN273" s="8"/>
    </row>
    <row r="274" spans="1:40" customFormat="1" x14ac:dyDescent="0.25">
      <c r="A274" s="29"/>
      <c r="B274" s="29"/>
      <c r="C274" s="8"/>
      <c r="D274" s="29"/>
      <c r="E274" s="29"/>
      <c r="F274" s="29"/>
      <c r="G274" s="29"/>
      <c r="H274" s="29"/>
      <c r="I274" s="29"/>
      <c r="J274" s="88"/>
      <c r="K274" s="1"/>
      <c r="L274" s="8"/>
      <c r="M274" s="1"/>
      <c r="N274" s="29"/>
      <c r="O274" s="9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8"/>
      <c r="AL274" s="8"/>
      <c r="AM274" s="8"/>
      <c r="AN274" s="8"/>
    </row>
    <row r="275" spans="1:40" customFormat="1" x14ac:dyDescent="0.25">
      <c r="A275" s="29"/>
      <c r="B275" s="29"/>
      <c r="C275" s="8"/>
      <c r="D275" s="29"/>
      <c r="E275" s="29"/>
      <c r="F275" s="29"/>
      <c r="G275" s="29"/>
      <c r="H275" s="29"/>
      <c r="I275" s="29"/>
      <c r="J275" s="88"/>
      <c r="K275" s="1"/>
      <c r="L275" s="8"/>
      <c r="M275" s="1"/>
      <c r="N275" s="29"/>
      <c r="O275" s="9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8"/>
      <c r="AL275" s="8"/>
      <c r="AM275" s="8"/>
      <c r="AN275" s="8"/>
    </row>
    <row r="276" spans="1:40" customFormat="1" x14ac:dyDescent="0.25">
      <c r="A276" s="29"/>
      <c r="B276" s="29"/>
      <c r="C276" s="8"/>
      <c r="D276" s="29"/>
      <c r="E276" s="29"/>
      <c r="F276" s="29"/>
      <c r="G276" s="29"/>
      <c r="H276" s="29"/>
      <c r="I276" s="29"/>
      <c r="J276" s="88"/>
      <c r="K276" s="1"/>
      <c r="L276" s="8"/>
      <c r="M276" s="1"/>
      <c r="N276" s="29"/>
      <c r="O276" s="9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8"/>
      <c r="AL276" s="8"/>
      <c r="AM276" s="8"/>
      <c r="AN276" s="8"/>
    </row>
    <row r="277" spans="1:40" customFormat="1" x14ac:dyDescent="0.25">
      <c r="A277" s="29"/>
      <c r="B277" s="29"/>
      <c r="C277" s="8"/>
      <c r="D277" s="29"/>
      <c r="E277" s="29"/>
      <c r="F277" s="29"/>
      <c r="G277" s="29"/>
      <c r="H277" s="29"/>
      <c r="I277" s="29"/>
      <c r="J277" s="88"/>
      <c r="K277" s="1"/>
      <c r="L277" s="8"/>
      <c r="M277" s="1"/>
      <c r="N277" s="29"/>
      <c r="O277" s="9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8"/>
      <c r="AL277" s="8"/>
      <c r="AM277" s="8"/>
      <c r="AN277" s="8"/>
    </row>
    <row r="278" spans="1:40" customFormat="1" x14ac:dyDescent="0.25">
      <c r="A278" s="29"/>
      <c r="B278" s="29"/>
      <c r="C278" s="8"/>
      <c r="D278" s="29"/>
      <c r="E278" s="29"/>
      <c r="F278" s="29"/>
      <c r="G278" s="29"/>
      <c r="H278" s="29"/>
      <c r="I278" s="29"/>
      <c r="J278" s="88"/>
      <c r="K278" s="1"/>
      <c r="L278" s="8"/>
      <c r="M278" s="1"/>
      <c r="N278" s="29"/>
      <c r="O278" s="9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8"/>
      <c r="AL278" s="8"/>
      <c r="AM278" s="8"/>
      <c r="AN278" s="8"/>
    </row>
    <row r="279" spans="1:40" customFormat="1" x14ac:dyDescent="0.25">
      <c r="A279" s="29"/>
      <c r="B279" s="29"/>
      <c r="C279" s="8"/>
      <c r="D279" s="29"/>
      <c r="E279" s="29"/>
      <c r="F279" s="29"/>
      <c r="G279" s="29"/>
      <c r="H279" s="29"/>
      <c r="I279" s="29"/>
      <c r="J279" s="88"/>
      <c r="K279" s="1"/>
      <c r="L279" s="8"/>
      <c r="M279" s="1"/>
      <c r="N279" s="29"/>
      <c r="O279" s="9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8"/>
      <c r="AL279" s="8"/>
      <c r="AM279" s="8"/>
      <c r="AN279" s="8"/>
    </row>
    <row r="280" spans="1:40" customFormat="1" x14ac:dyDescent="0.25">
      <c r="A280" s="29"/>
      <c r="B280" s="29"/>
      <c r="C280" s="8"/>
      <c r="D280" s="29"/>
      <c r="E280" s="29"/>
      <c r="F280" s="29"/>
      <c r="G280" s="29"/>
      <c r="H280" s="29"/>
      <c r="I280" s="29"/>
      <c r="J280" s="88"/>
      <c r="K280" s="1"/>
      <c r="L280" s="8"/>
      <c r="M280" s="1"/>
      <c r="N280" s="29"/>
      <c r="O280" s="9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8"/>
      <c r="AL280" s="8"/>
      <c r="AM280" s="8"/>
      <c r="AN280" s="8"/>
    </row>
    <row r="281" spans="1:40" customFormat="1" x14ac:dyDescent="0.25">
      <c r="A281" s="29"/>
      <c r="B281" s="29"/>
      <c r="C281" s="8"/>
      <c r="D281" s="29"/>
      <c r="E281" s="29"/>
      <c r="F281" s="29"/>
      <c r="G281" s="29"/>
      <c r="H281" s="29"/>
      <c r="I281" s="29"/>
      <c r="J281" s="88"/>
      <c r="K281" s="1"/>
      <c r="L281" s="8"/>
      <c r="M281" s="1"/>
      <c r="N281" s="29"/>
      <c r="O281" s="9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8"/>
      <c r="AL281" s="8"/>
      <c r="AM281" s="8"/>
      <c r="AN281" s="8"/>
    </row>
    <row r="282" spans="1:40" customFormat="1" x14ac:dyDescent="0.25">
      <c r="A282" s="29"/>
      <c r="B282" s="29"/>
      <c r="C282" s="8"/>
      <c r="D282" s="29"/>
      <c r="E282" s="29"/>
      <c r="F282" s="29"/>
      <c r="G282" s="29"/>
      <c r="H282" s="29"/>
      <c r="I282" s="29"/>
      <c r="J282" s="88"/>
      <c r="K282" s="1"/>
      <c r="L282" s="8"/>
      <c r="M282" s="1"/>
      <c r="N282" s="29"/>
      <c r="O282" s="9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8"/>
      <c r="AL282" s="8"/>
      <c r="AM282" s="8"/>
      <c r="AN282" s="8"/>
    </row>
    <row r="283" spans="1:40" customFormat="1" x14ac:dyDescent="0.25">
      <c r="A283" s="29"/>
      <c r="B283" s="29"/>
      <c r="C283" s="8"/>
      <c r="D283" s="29"/>
      <c r="E283" s="29"/>
      <c r="F283" s="29"/>
      <c r="G283" s="29"/>
      <c r="H283" s="29"/>
      <c r="I283" s="29"/>
      <c r="J283" s="88"/>
      <c r="K283" s="1"/>
      <c r="L283" s="8"/>
      <c r="M283" s="1"/>
      <c r="N283" s="29"/>
      <c r="O283" s="8"/>
      <c r="P283" s="8"/>
      <c r="Q283" s="8"/>
      <c r="R283" s="29"/>
      <c r="S283" s="29"/>
      <c r="T283" s="29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</row>
    <row r="284" spans="1:40" customFormat="1" x14ac:dyDescent="0.25">
      <c r="A284" s="29"/>
      <c r="B284" s="29"/>
      <c r="C284" s="8"/>
      <c r="D284" s="29"/>
      <c r="E284" s="29"/>
      <c r="F284" s="29"/>
      <c r="G284" s="29"/>
      <c r="H284" s="29"/>
      <c r="I284" s="29"/>
      <c r="J284" s="88"/>
      <c r="K284" s="1"/>
      <c r="L284" s="8"/>
      <c r="M284" s="1"/>
      <c r="N284" s="29"/>
      <c r="O284" s="8"/>
      <c r="P284" s="8"/>
      <c r="Q284" s="8"/>
      <c r="R284" s="29"/>
      <c r="S284" s="29"/>
      <c r="T284" s="29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</row>
    <row r="285" spans="1:40" customFormat="1" x14ac:dyDescent="0.25">
      <c r="A285" s="29"/>
      <c r="B285" s="29"/>
      <c r="C285" s="8"/>
      <c r="D285" s="29"/>
      <c r="E285" s="29"/>
      <c r="F285" s="29"/>
      <c r="G285" s="29"/>
      <c r="H285" s="29"/>
      <c r="I285" s="29"/>
      <c r="J285" s="88"/>
      <c r="K285" s="1"/>
      <c r="L285" s="8"/>
      <c r="M285" s="1"/>
      <c r="N285" s="29"/>
      <c r="O285" s="8"/>
      <c r="P285" s="8"/>
      <c r="Q285" s="8"/>
      <c r="R285" s="29"/>
      <c r="S285" s="29"/>
      <c r="T285" s="29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</row>
    <row r="286" spans="1:40" customFormat="1" x14ac:dyDescent="0.25">
      <c r="A286" s="29"/>
      <c r="B286" s="29"/>
      <c r="C286" s="8"/>
      <c r="D286" s="29"/>
      <c r="E286" s="29"/>
      <c r="F286" s="29"/>
      <c r="G286" s="29"/>
      <c r="H286" s="29"/>
      <c r="I286" s="29"/>
      <c r="J286" s="88"/>
      <c r="K286" s="1"/>
      <c r="L286" s="8"/>
      <c r="M286" s="1"/>
      <c r="N286" s="29"/>
      <c r="O286" s="8"/>
      <c r="P286" s="8"/>
      <c r="Q286" s="8"/>
      <c r="R286" s="29"/>
      <c r="S286" s="29"/>
      <c r="T286" s="29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</row>
    <row r="287" spans="1:40" customFormat="1" x14ac:dyDescent="0.25">
      <c r="A287" s="29"/>
      <c r="B287" s="29"/>
      <c r="C287" s="8"/>
      <c r="D287" s="29"/>
      <c r="E287" s="29"/>
      <c r="F287" s="29"/>
      <c r="G287" s="29"/>
      <c r="H287" s="29"/>
      <c r="I287" s="29"/>
      <c r="J287" s="88"/>
      <c r="K287" s="1"/>
      <c r="L287" s="8"/>
      <c r="M287" s="1"/>
      <c r="N287" s="29"/>
      <c r="O287" s="8"/>
      <c r="P287" s="8"/>
      <c r="Q287" s="8"/>
      <c r="R287" s="29"/>
      <c r="S287" s="29"/>
      <c r="T287" s="29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</row>
    <row r="288" spans="1:40" customFormat="1" x14ac:dyDescent="0.25">
      <c r="A288" s="29"/>
      <c r="B288" s="29"/>
      <c r="C288" s="8"/>
      <c r="D288" s="29"/>
      <c r="E288" s="29"/>
      <c r="F288" s="29"/>
      <c r="G288" s="29"/>
      <c r="H288" s="29"/>
      <c r="I288" s="29"/>
      <c r="J288" s="88"/>
      <c r="K288" s="1"/>
      <c r="L288" s="8"/>
      <c r="M288" s="1"/>
      <c r="N288" s="29"/>
      <c r="O288" s="8"/>
      <c r="P288" s="8"/>
      <c r="Q288" s="8"/>
      <c r="R288" s="29"/>
      <c r="S288" s="29"/>
      <c r="T288" s="29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</row>
    <row r="289" spans="1:40" customFormat="1" x14ac:dyDescent="0.25">
      <c r="A289" s="29"/>
      <c r="B289" s="29"/>
      <c r="C289" s="8"/>
      <c r="D289" s="29"/>
      <c r="E289" s="29"/>
      <c r="F289" s="29"/>
      <c r="G289" s="29"/>
      <c r="H289" s="29"/>
      <c r="I289" s="29"/>
      <c r="J289" s="88"/>
      <c r="K289" s="1"/>
      <c r="L289" s="8"/>
      <c r="M289" s="1"/>
      <c r="N289" s="29"/>
      <c r="O289" s="8"/>
      <c r="P289" s="8"/>
      <c r="Q289" s="8"/>
      <c r="R289" s="29"/>
      <c r="S289" s="29"/>
      <c r="T289" s="29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</row>
    <row r="290" spans="1:40" customFormat="1" x14ac:dyDescent="0.25">
      <c r="A290" s="29"/>
      <c r="B290" s="29"/>
      <c r="C290" s="8"/>
      <c r="D290" s="29"/>
      <c r="E290" s="29"/>
      <c r="F290" s="29"/>
      <c r="G290" s="29"/>
      <c r="H290" s="29"/>
      <c r="I290" s="29"/>
      <c r="J290" s="88"/>
      <c r="K290" s="1"/>
      <c r="L290" s="8"/>
      <c r="M290" s="1"/>
      <c r="N290" s="29"/>
      <c r="O290" s="8"/>
      <c r="P290" s="8"/>
      <c r="Q290" s="8"/>
      <c r="R290" s="29"/>
      <c r="S290" s="29"/>
      <c r="T290" s="29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</row>
    <row r="291" spans="1:40" customFormat="1" x14ac:dyDescent="0.25">
      <c r="A291" s="29"/>
      <c r="B291" s="29"/>
      <c r="C291" s="8"/>
      <c r="D291" s="29"/>
      <c r="E291" s="29"/>
      <c r="F291" s="29"/>
      <c r="G291" s="29"/>
      <c r="H291" s="29"/>
      <c r="I291" s="29"/>
      <c r="J291" s="88"/>
      <c r="K291" s="1"/>
      <c r="L291" s="8"/>
      <c r="M291" s="1"/>
      <c r="N291" s="29"/>
      <c r="O291" s="8"/>
      <c r="P291" s="8"/>
      <c r="Q291" s="8"/>
      <c r="R291" s="29"/>
      <c r="S291" s="29"/>
      <c r="T291" s="29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</row>
    <row r="292" spans="1:40" customFormat="1" x14ac:dyDescent="0.25">
      <c r="A292" s="29"/>
      <c r="B292" s="29"/>
      <c r="C292" s="8"/>
      <c r="D292" s="29"/>
      <c r="E292" s="29"/>
      <c r="F292" s="29"/>
      <c r="G292" s="29"/>
      <c r="H292" s="29"/>
      <c r="I292" s="29"/>
      <c r="J292" s="88"/>
      <c r="K292" s="1"/>
      <c r="L292" s="8"/>
      <c r="M292" s="1"/>
      <c r="N292" s="29"/>
      <c r="O292" s="8"/>
      <c r="P292" s="8"/>
      <c r="Q292" s="8"/>
      <c r="R292" s="29"/>
      <c r="S292" s="29"/>
      <c r="T292" s="29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</row>
    <row r="293" spans="1:40" customFormat="1" x14ac:dyDescent="0.25">
      <c r="A293" s="29"/>
      <c r="B293" s="29"/>
      <c r="C293" s="8"/>
      <c r="D293" s="29"/>
      <c r="E293" s="29"/>
      <c r="F293" s="29"/>
      <c r="G293" s="29"/>
      <c r="H293" s="29"/>
      <c r="I293" s="29"/>
      <c r="J293" s="88"/>
      <c r="K293" s="1"/>
      <c r="L293" s="8"/>
      <c r="M293" s="1"/>
      <c r="N293" s="29"/>
      <c r="O293" s="8"/>
      <c r="P293" s="8"/>
      <c r="Q293" s="8"/>
      <c r="R293" s="29"/>
      <c r="S293" s="29"/>
      <c r="T293" s="29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</row>
    <row r="294" spans="1:40" customFormat="1" x14ac:dyDescent="0.25">
      <c r="A294" s="29"/>
      <c r="B294" s="29"/>
      <c r="C294" s="8"/>
      <c r="D294" s="29"/>
      <c r="E294" s="29"/>
      <c r="F294" s="29"/>
      <c r="G294" s="29"/>
      <c r="H294" s="29"/>
      <c r="I294" s="29"/>
      <c r="J294" s="88"/>
      <c r="K294" s="1"/>
      <c r="L294" s="8"/>
      <c r="M294" s="1"/>
      <c r="N294" s="29"/>
      <c r="O294" s="8"/>
      <c r="P294" s="8"/>
      <c r="Q294" s="8"/>
      <c r="R294" s="29"/>
      <c r="S294" s="29"/>
      <c r="T294" s="29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</row>
    <row r="295" spans="1:40" customFormat="1" x14ac:dyDescent="0.25">
      <c r="A295" s="29"/>
      <c r="B295" s="29"/>
      <c r="C295" s="8"/>
      <c r="D295" s="29"/>
      <c r="E295" s="29"/>
      <c r="F295" s="29"/>
      <c r="G295" s="29"/>
      <c r="H295" s="29"/>
      <c r="I295" s="29"/>
      <c r="J295" s="88"/>
      <c r="K295" s="1"/>
      <c r="L295" s="8"/>
      <c r="M295" s="1"/>
      <c r="N295" s="29"/>
      <c r="O295" s="8"/>
      <c r="P295" s="8"/>
      <c r="Q295" s="8"/>
      <c r="R295" s="29"/>
      <c r="S295" s="29"/>
      <c r="T295" s="29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</row>
    <row r="296" spans="1:40" customFormat="1" x14ac:dyDescent="0.25">
      <c r="A296" s="29"/>
      <c r="B296" s="29"/>
      <c r="C296" s="8"/>
      <c r="D296" s="29"/>
      <c r="E296" s="29"/>
      <c r="F296" s="29"/>
      <c r="G296" s="29"/>
      <c r="H296" s="29"/>
      <c r="I296" s="29"/>
      <c r="J296" s="88"/>
      <c r="K296" s="1"/>
      <c r="L296" s="8"/>
      <c r="M296" s="1"/>
      <c r="N296" s="29"/>
      <c r="O296" s="8"/>
      <c r="P296" s="8"/>
      <c r="Q296" s="8"/>
      <c r="R296" s="29"/>
      <c r="S296" s="29"/>
      <c r="T296" s="29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</row>
    <row r="297" spans="1:40" customFormat="1" x14ac:dyDescent="0.25">
      <c r="A297" s="29"/>
      <c r="B297" s="29"/>
      <c r="C297" s="8"/>
      <c r="D297" s="29"/>
      <c r="E297" s="29"/>
      <c r="F297" s="29"/>
      <c r="G297" s="29"/>
      <c r="H297" s="29"/>
      <c r="I297" s="29"/>
      <c r="J297" s="88"/>
      <c r="K297" s="1"/>
      <c r="L297" s="8"/>
      <c r="M297" s="1"/>
      <c r="N297" s="29"/>
      <c r="O297" s="8"/>
      <c r="P297" s="8"/>
      <c r="Q297" s="8"/>
      <c r="R297" s="29"/>
      <c r="S297" s="29"/>
      <c r="T297" s="29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</row>
    <row r="298" spans="1:40" customFormat="1" x14ac:dyDescent="0.25">
      <c r="A298" s="8"/>
      <c r="B298" s="8"/>
      <c r="C298" s="8"/>
      <c r="D298" s="29"/>
      <c r="E298" s="29"/>
      <c r="F298" s="29"/>
      <c r="G298" s="29"/>
      <c r="H298" s="29"/>
      <c r="I298" s="29"/>
      <c r="J298" s="88"/>
      <c r="K298" s="1"/>
      <c r="L298" s="8"/>
      <c r="M298" s="1"/>
      <c r="N298" s="29"/>
      <c r="O298" s="8"/>
      <c r="P298" s="8"/>
      <c r="Q298" s="8"/>
      <c r="R298" s="29"/>
      <c r="S298" s="29"/>
      <c r="T298" s="29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</row>
    <row r="299" spans="1:40" customFormat="1" x14ac:dyDescent="0.25">
      <c r="A299" s="8"/>
      <c r="B299" s="8"/>
      <c r="C299" s="8"/>
      <c r="D299" s="29"/>
      <c r="E299" s="29"/>
      <c r="F299" s="29"/>
      <c r="G299" s="29"/>
      <c r="H299" s="29"/>
      <c r="I299" s="29"/>
      <c r="J299" s="88"/>
      <c r="K299" s="1"/>
      <c r="L299" s="8"/>
      <c r="M299" s="1"/>
      <c r="N299" s="29"/>
      <c r="O299" s="8"/>
      <c r="P299" s="8"/>
      <c r="Q299" s="8"/>
      <c r="R299" s="29"/>
      <c r="S299" s="29"/>
      <c r="T299" s="29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</row>
    <row r="300" spans="1:40" customFormat="1" x14ac:dyDescent="0.25">
      <c r="A300" s="8"/>
      <c r="B300" s="8"/>
      <c r="C300" s="8"/>
      <c r="D300" s="29"/>
      <c r="E300" s="29"/>
      <c r="F300" s="29"/>
      <c r="G300" s="29"/>
      <c r="H300" s="29"/>
      <c r="I300" s="29"/>
      <c r="J300" s="88"/>
      <c r="K300" s="1"/>
      <c r="L300" s="8"/>
      <c r="M300" s="1"/>
      <c r="N300" s="29"/>
      <c r="O300" s="8"/>
      <c r="P300" s="8"/>
      <c r="Q300" s="8"/>
      <c r="R300" s="29"/>
      <c r="S300" s="29"/>
      <c r="T300" s="29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</row>
    <row r="301" spans="1:40" customFormat="1" x14ac:dyDescent="0.25">
      <c r="A301" s="8"/>
      <c r="B301" s="8"/>
      <c r="C301" s="8"/>
      <c r="D301" s="29"/>
      <c r="E301" s="29"/>
      <c r="F301" s="29"/>
      <c r="G301" s="29"/>
      <c r="H301" s="29"/>
      <c r="I301" s="29"/>
      <c r="J301" s="88"/>
      <c r="K301" s="1"/>
      <c r="L301" s="8"/>
      <c r="M301" s="1"/>
      <c r="N301" s="29"/>
      <c r="O301" s="8"/>
      <c r="P301" s="8"/>
      <c r="Q301" s="8"/>
      <c r="R301" s="29"/>
      <c r="S301" s="29"/>
      <c r="T301" s="29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</row>
    <row r="302" spans="1:40" customFormat="1" x14ac:dyDescent="0.25">
      <c r="A302" s="8"/>
      <c r="B302" s="8"/>
      <c r="C302" s="8"/>
      <c r="D302" s="29"/>
      <c r="E302" s="29"/>
      <c r="F302" s="29"/>
      <c r="G302" s="29"/>
      <c r="H302" s="29"/>
      <c r="I302" s="29"/>
      <c r="J302" s="88"/>
      <c r="K302" s="1"/>
      <c r="L302" s="8"/>
      <c r="M302" s="1"/>
      <c r="N302" s="29"/>
      <c r="O302" s="8"/>
      <c r="P302" s="8"/>
      <c r="Q302" s="8"/>
      <c r="R302" s="29"/>
      <c r="S302" s="29"/>
      <c r="T302" s="29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</row>
    <row r="303" spans="1:40" customFormat="1" x14ac:dyDescent="0.25">
      <c r="A303" s="8"/>
      <c r="B303" s="8"/>
      <c r="C303" s="8"/>
      <c r="D303" s="29"/>
      <c r="E303" s="29"/>
      <c r="F303" s="29"/>
      <c r="G303" s="29"/>
      <c r="H303" s="29"/>
      <c r="I303" s="29"/>
      <c r="J303" s="88"/>
      <c r="K303" s="1"/>
      <c r="L303" s="8"/>
      <c r="M303" s="1"/>
      <c r="N303" s="29"/>
      <c r="O303" s="8"/>
      <c r="P303" s="8"/>
      <c r="Q303" s="8"/>
      <c r="R303" s="29"/>
      <c r="S303" s="29"/>
      <c r="T303" s="29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</row>
    <row r="304" spans="1:40" customFormat="1" x14ac:dyDescent="0.25">
      <c r="A304" s="8"/>
      <c r="B304" s="8"/>
      <c r="C304" s="8"/>
      <c r="D304" s="29"/>
      <c r="E304" s="29"/>
      <c r="F304" s="29"/>
      <c r="G304" s="29"/>
      <c r="H304" s="29"/>
      <c r="I304" s="29"/>
      <c r="J304" s="88"/>
      <c r="K304" s="1"/>
      <c r="L304" s="8"/>
      <c r="M304" s="1"/>
      <c r="N304" s="29"/>
      <c r="O304" s="8"/>
      <c r="P304" s="8"/>
      <c r="Q304" s="8"/>
      <c r="R304" s="29"/>
      <c r="S304" s="29"/>
      <c r="T304" s="29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</row>
    <row r="305" spans="1:40" customFormat="1" x14ac:dyDescent="0.25">
      <c r="A305" s="8"/>
      <c r="B305" s="8"/>
      <c r="C305" s="8"/>
      <c r="D305" s="29"/>
      <c r="E305" s="29"/>
      <c r="F305" s="29"/>
      <c r="G305" s="29"/>
      <c r="H305" s="29"/>
      <c r="I305" s="29"/>
      <c r="J305" s="88"/>
      <c r="K305" s="1"/>
      <c r="L305" s="8"/>
      <c r="M305" s="1"/>
      <c r="N305" s="29"/>
      <c r="O305" s="8"/>
      <c r="P305" s="8"/>
      <c r="Q305" s="8"/>
      <c r="R305" s="29"/>
      <c r="S305" s="29"/>
      <c r="T305" s="29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</row>
    <row r="306" spans="1:40" customFormat="1" x14ac:dyDescent="0.25">
      <c r="A306" s="8"/>
      <c r="B306" s="8"/>
      <c r="C306" s="8"/>
      <c r="D306" s="29"/>
      <c r="E306" s="29"/>
      <c r="F306" s="29"/>
      <c r="G306" s="29"/>
      <c r="H306" s="29"/>
      <c r="I306" s="29"/>
      <c r="J306" s="88"/>
      <c r="K306" s="1"/>
      <c r="L306" s="8"/>
      <c r="M306" s="1"/>
      <c r="N306" s="29"/>
      <c r="O306" s="8"/>
      <c r="P306" s="8"/>
      <c r="Q306" s="8"/>
      <c r="R306" s="29"/>
      <c r="S306" s="29"/>
      <c r="T306" s="29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</row>
    <row r="307" spans="1:40" customFormat="1" x14ac:dyDescent="0.25">
      <c r="A307" s="8"/>
      <c r="B307" s="8"/>
      <c r="C307" s="8"/>
      <c r="D307" s="29"/>
      <c r="E307" s="29"/>
      <c r="F307" s="29"/>
      <c r="G307" s="29"/>
      <c r="H307" s="29"/>
      <c r="I307" s="29"/>
      <c r="J307" s="88"/>
      <c r="K307" s="1"/>
      <c r="L307" s="8"/>
      <c r="M307" s="1"/>
      <c r="N307" s="29"/>
      <c r="O307" s="8"/>
      <c r="P307" s="8"/>
      <c r="Q307" s="8"/>
      <c r="R307" s="29"/>
      <c r="S307" s="29"/>
      <c r="T307" s="29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</row>
  </sheetData>
  <mergeCells count="1">
    <mergeCell ref="O1:Z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26E02-61FB-4540-8320-4F9BC3217C43}">
  <sheetPr codeName="Sheet2"/>
  <dimension ref="A1:DR307"/>
  <sheetViews>
    <sheetView zoomScaleNormal="100" workbookViewId="0">
      <selection activeCell="G45" sqref="G45"/>
    </sheetView>
  </sheetViews>
  <sheetFormatPr defaultColWidth="10.140625" defaultRowHeight="15" x14ac:dyDescent="0.25"/>
  <cols>
    <col min="1" max="1" width="13.28515625" style="29" bestFit="1" customWidth="1"/>
    <col min="2" max="2" width="15" style="29" bestFit="1" customWidth="1"/>
    <col min="3" max="3" width="17.7109375" style="29" customWidth="1"/>
    <col min="4" max="4" width="16.42578125" style="29" customWidth="1"/>
    <col min="5" max="9" width="17.7109375" style="29" customWidth="1"/>
    <col min="10" max="10" width="4.28515625" style="88" customWidth="1"/>
    <col min="11" max="11" width="16.5703125" style="1" bestFit="1" customWidth="1"/>
    <col min="12" max="12" width="14.85546875" style="29" customWidth="1"/>
    <col min="13" max="13" width="12.140625" style="1" customWidth="1"/>
    <col min="14" max="14" width="12.140625" style="29" customWidth="1"/>
    <col min="15" max="15" width="13.85546875" style="29" bestFit="1" customWidth="1"/>
    <col min="16" max="36" width="15.7109375" style="29" customWidth="1"/>
    <col min="37" max="37" width="12.7109375" style="29" customWidth="1"/>
    <col min="38" max="38" width="11.28515625" style="29" customWidth="1"/>
    <col min="39" max="39" width="10.85546875" style="29" customWidth="1"/>
    <col min="40" max="44" width="13" style="29" bestFit="1" customWidth="1"/>
    <col min="45" max="60" width="13.28515625" style="29" bestFit="1" customWidth="1"/>
    <col min="61" max="61" width="15.42578125" style="1" bestFit="1" customWidth="1"/>
    <col min="62" max="62" width="16.7109375" style="1" bestFit="1" customWidth="1"/>
    <col min="63" max="63" width="16.7109375" style="29" bestFit="1" customWidth="1"/>
    <col min="64" max="64" width="12.85546875" style="29" bestFit="1" customWidth="1"/>
    <col min="65" max="66" width="16.7109375" style="29" bestFit="1" customWidth="1"/>
    <col min="67" max="69" width="10.140625" style="29"/>
    <col min="70" max="70" width="16.5703125" style="29" bestFit="1" customWidth="1"/>
    <col min="71" max="71" width="17.85546875" style="29" bestFit="1" customWidth="1"/>
    <col min="72" max="72" width="10.140625" style="29"/>
    <col min="73" max="75" width="11" style="29" bestFit="1" customWidth="1"/>
    <col min="76" max="76" width="11.28515625" style="29" bestFit="1" customWidth="1"/>
    <col min="77" max="77" width="11" style="29" bestFit="1" customWidth="1"/>
    <col min="78" max="78" width="11.5703125" style="29" bestFit="1" customWidth="1"/>
    <col min="79" max="87" width="11" style="29" bestFit="1" customWidth="1"/>
    <col min="88" max="88" width="10.85546875" style="29" bestFit="1" customWidth="1"/>
    <col min="89" max="91" width="11" style="29" bestFit="1" customWidth="1"/>
    <col min="92" max="92" width="10.85546875" style="29" bestFit="1" customWidth="1"/>
    <col min="93" max="94" width="16" style="29" bestFit="1" customWidth="1"/>
    <col min="95" max="16384" width="10.140625" style="29"/>
  </cols>
  <sheetData>
    <row r="1" spans="1:122" x14ac:dyDescent="0.25">
      <c r="A1" s="79" t="s">
        <v>29</v>
      </c>
      <c r="B1" s="82">
        <v>44896</v>
      </c>
      <c r="C1" s="80" t="s">
        <v>44</v>
      </c>
      <c r="D1" s="29">
        <f>MAX($D$63:$D$71)</f>
        <v>48.39</v>
      </c>
      <c r="O1" s="131" t="s">
        <v>16</v>
      </c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S1" s="11"/>
      <c r="BT1" s="107">
        <f>P2</f>
        <v>3.1628753098998414</v>
      </c>
      <c r="BU1" s="107">
        <f t="shared" ref="BU1:DR1" si="0">Q2</f>
        <v>3.1918695100182117</v>
      </c>
      <c r="BV1" s="107">
        <f t="shared" si="0"/>
        <v>3.220863710136582</v>
      </c>
      <c r="BW1" s="107">
        <f t="shared" si="0"/>
        <v>3.2498579102549527</v>
      </c>
      <c r="BX1" s="107">
        <f t="shared" si="0"/>
        <v>3.278852110373323</v>
      </c>
      <c r="BY1" s="107">
        <f t="shared" si="0"/>
        <v>3.3078463104916933</v>
      </c>
      <c r="BZ1" s="107">
        <f t="shared" si="0"/>
        <v>3.3368405106100636</v>
      </c>
      <c r="CA1" s="107">
        <f t="shared" si="0"/>
        <v>3.3658347107284343</v>
      </c>
      <c r="CB1" s="107">
        <f t="shared" si="0"/>
        <v>3.3948289108468046</v>
      </c>
      <c r="CC1" s="107">
        <f t="shared" si="0"/>
        <v>3.4238231109651749</v>
      </c>
      <c r="CD1" s="107">
        <f t="shared" si="0"/>
        <v>3.4528173110835452</v>
      </c>
      <c r="CE1" s="107">
        <f t="shared" si="0"/>
        <v>3.4818115112019159</v>
      </c>
      <c r="CF1" s="107">
        <f t="shared" si="0"/>
        <v>3.5108057113202862</v>
      </c>
      <c r="CG1" s="107">
        <f t="shared" si="0"/>
        <v>3.5397999114386565</v>
      </c>
      <c r="CH1" s="107">
        <f t="shared" si="0"/>
        <v>3.5687941115570267</v>
      </c>
      <c r="CI1" s="107">
        <f t="shared" si="0"/>
        <v>3.5977883116753975</v>
      </c>
      <c r="CJ1" s="107">
        <f t="shared" si="0"/>
        <v>3.6267825117937678</v>
      </c>
      <c r="CK1" s="107">
        <f t="shared" si="0"/>
        <v>3.655776711912138</v>
      </c>
      <c r="CL1" s="107">
        <f t="shared" si="0"/>
        <v>3.6847709120305083</v>
      </c>
      <c r="CM1" s="107">
        <f t="shared" si="0"/>
        <v>3.7137651121488791</v>
      </c>
      <c r="CN1" s="107">
        <f t="shared" si="0"/>
        <v>3.7427593122672493</v>
      </c>
      <c r="CO1" s="107">
        <f t="shared" si="0"/>
        <v>3.7717535123856196</v>
      </c>
      <c r="CP1" s="107">
        <f t="shared" si="0"/>
        <v>3.8007477125039899</v>
      </c>
      <c r="CQ1" s="107">
        <f t="shared" si="0"/>
        <v>3.8297419126223606</v>
      </c>
      <c r="CR1" s="107">
        <f t="shared" si="0"/>
        <v>3.8587361127407309</v>
      </c>
      <c r="CS1" s="107">
        <f t="shared" si="0"/>
        <v>3.8877303128591012</v>
      </c>
      <c r="CT1" s="107">
        <f t="shared" si="0"/>
        <v>3.9167245129774715</v>
      </c>
      <c r="CU1" s="107">
        <f t="shared" si="0"/>
        <v>3.9457187130958422</v>
      </c>
      <c r="CV1" s="107">
        <f t="shared" si="0"/>
        <v>3.9747129132142125</v>
      </c>
      <c r="CW1" s="107">
        <f t="shared" si="0"/>
        <v>4.0037071133325828</v>
      </c>
      <c r="CX1" s="107">
        <f t="shared" si="0"/>
        <v>4.0327013134509535</v>
      </c>
      <c r="CY1" s="107">
        <f t="shared" si="0"/>
        <v>4.0616955135693233</v>
      </c>
      <c r="CZ1" s="107">
        <f t="shared" si="0"/>
        <v>4.0906897136876941</v>
      </c>
      <c r="DA1" s="107">
        <f t="shared" si="0"/>
        <v>4.1196839138060639</v>
      </c>
      <c r="DB1" s="107">
        <f t="shared" si="0"/>
        <v>4.1486781139244346</v>
      </c>
      <c r="DC1" s="107">
        <f t="shared" si="0"/>
        <v>4.1776723140428054</v>
      </c>
      <c r="DD1" s="107">
        <f t="shared" si="0"/>
        <v>4.2066665141611752</v>
      </c>
      <c r="DE1" s="107">
        <f t="shared" si="0"/>
        <v>4.2356607142795459</v>
      </c>
      <c r="DF1" s="107">
        <f t="shared" si="0"/>
        <v>4.2646549143979167</v>
      </c>
      <c r="DG1" s="107">
        <f t="shared" si="0"/>
        <v>4.2936491145162865</v>
      </c>
      <c r="DH1" s="107">
        <f t="shared" si="0"/>
        <v>4.3226433146346572</v>
      </c>
      <c r="DI1" s="107">
        <f t="shared" si="0"/>
        <v>4.3516375147530271</v>
      </c>
      <c r="DJ1" s="107">
        <f t="shared" si="0"/>
        <v>4.3806317148713978</v>
      </c>
      <c r="DK1" s="107">
        <f t="shared" si="0"/>
        <v>4.4096259149897685</v>
      </c>
      <c r="DL1" s="107">
        <f t="shared" si="0"/>
        <v>4.4386201151081384</v>
      </c>
      <c r="DM1" s="107">
        <f t="shared" si="0"/>
        <v>4.4676143152265091</v>
      </c>
      <c r="DN1" s="107">
        <f t="shared" si="0"/>
        <v>4.4966085153448798</v>
      </c>
      <c r="DO1" s="107">
        <f t="shared" si="0"/>
        <v>4.5256027154632497</v>
      </c>
      <c r="DP1" s="107">
        <f t="shared" si="0"/>
        <v>4.5545969155816204</v>
      </c>
      <c r="DQ1" s="107">
        <f t="shared" si="0"/>
        <v>4.5835911156999902</v>
      </c>
      <c r="DR1" s="107">
        <f t="shared" si="0"/>
        <v>4.612585315818361</v>
      </c>
    </row>
    <row r="2" spans="1:122" x14ac:dyDescent="0.25">
      <c r="A2" s="79" t="s">
        <v>30</v>
      </c>
      <c r="B2" s="82">
        <v>44926</v>
      </c>
      <c r="C2" s="80" t="s">
        <v>45</v>
      </c>
      <c r="D2" s="29">
        <f>B5*EXP(-3*D1%*SQRT(B7))</f>
        <v>32.186298776842669</v>
      </c>
      <c r="K2" s="2"/>
      <c r="O2" s="11" t="s">
        <v>55</v>
      </c>
      <c r="P2" s="99" cm="1">
        <f t="array" ref="P2:BN2">TRANSPOSE(linspace(D30,D31,B11))</f>
        <v>3.1628753098998414</v>
      </c>
      <c r="Q2" s="99">
        <v>3.1918695100182117</v>
      </c>
      <c r="R2" s="99">
        <v>3.220863710136582</v>
      </c>
      <c r="S2" s="99">
        <v>3.2498579102549527</v>
      </c>
      <c r="T2" s="99">
        <v>3.278852110373323</v>
      </c>
      <c r="U2" s="99">
        <v>3.3078463104916933</v>
      </c>
      <c r="V2" s="99">
        <v>3.3368405106100636</v>
      </c>
      <c r="W2" s="99">
        <v>3.3658347107284343</v>
      </c>
      <c r="X2" s="99">
        <v>3.3948289108468046</v>
      </c>
      <c r="Y2" s="99">
        <v>3.4238231109651749</v>
      </c>
      <c r="Z2" s="99">
        <v>3.4528173110835452</v>
      </c>
      <c r="AA2" s="99">
        <v>3.4818115112019159</v>
      </c>
      <c r="AB2" s="99">
        <v>3.5108057113202862</v>
      </c>
      <c r="AC2" s="99">
        <v>3.5397999114386565</v>
      </c>
      <c r="AD2" s="99">
        <v>3.5687941115570267</v>
      </c>
      <c r="AE2" s="99">
        <v>3.5977883116753975</v>
      </c>
      <c r="AF2" s="99">
        <v>3.6267825117937678</v>
      </c>
      <c r="AG2" s="99">
        <v>3.655776711912138</v>
      </c>
      <c r="AH2" s="99">
        <v>3.6847709120305083</v>
      </c>
      <c r="AI2" s="99">
        <v>3.7137651121488791</v>
      </c>
      <c r="AJ2" s="99">
        <v>3.7427593122672493</v>
      </c>
      <c r="AK2" s="99">
        <v>3.7717535123856196</v>
      </c>
      <c r="AL2" s="99">
        <v>3.8007477125039899</v>
      </c>
      <c r="AM2" s="99">
        <v>3.8297419126223606</v>
      </c>
      <c r="AN2" s="99">
        <v>3.8587361127407309</v>
      </c>
      <c r="AO2" s="99">
        <v>3.8877303128591012</v>
      </c>
      <c r="AP2" s="99">
        <v>3.9167245129774715</v>
      </c>
      <c r="AQ2" s="99">
        <v>3.9457187130958422</v>
      </c>
      <c r="AR2" s="99">
        <v>3.9747129132142125</v>
      </c>
      <c r="AS2" s="99">
        <v>4.0037071133325828</v>
      </c>
      <c r="AT2" s="99">
        <v>4.0327013134509535</v>
      </c>
      <c r="AU2" s="99">
        <v>4.0616955135693233</v>
      </c>
      <c r="AV2" s="99">
        <v>4.0906897136876941</v>
      </c>
      <c r="AW2" s="99">
        <v>4.1196839138060639</v>
      </c>
      <c r="AX2" s="99">
        <v>4.1486781139244346</v>
      </c>
      <c r="AY2" s="99">
        <v>4.1776723140428054</v>
      </c>
      <c r="AZ2" s="99">
        <v>4.2066665141611752</v>
      </c>
      <c r="BA2" s="99">
        <v>4.2356607142795459</v>
      </c>
      <c r="BB2" s="99">
        <v>4.2646549143979167</v>
      </c>
      <c r="BC2" s="99">
        <v>4.2936491145162865</v>
      </c>
      <c r="BD2" s="99">
        <v>4.3226433146346572</v>
      </c>
      <c r="BE2" s="99">
        <v>4.3516375147530271</v>
      </c>
      <c r="BF2" s="99">
        <v>4.3806317148713978</v>
      </c>
      <c r="BG2" s="99">
        <v>4.4096259149897685</v>
      </c>
      <c r="BH2" s="99">
        <v>4.4386201151081384</v>
      </c>
      <c r="BI2" s="99">
        <v>4.4676143152265091</v>
      </c>
      <c r="BJ2" s="99">
        <v>4.4966085153448798</v>
      </c>
      <c r="BK2" s="99">
        <v>4.5256027154632497</v>
      </c>
      <c r="BL2" s="99">
        <v>4.5545969155816204</v>
      </c>
      <c r="BM2" s="99">
        <v>4.5835911156999902</v>
      </c>
      <c r="BN2" s="99">
        <v>4.612585315818361</v>
      </c>
      <c r="BR2" s="4"/>
      <c r="BS2" s="105">
        <f t="shared" ref="BS2:BS20" si="1">K7</f>
        <v>0</v>
      </c>
      <c r="BT2" s="108">
        <f>MAX($B$5-EXP(BT1),0)</f>
        <v>25.161533775805392</v>
      </c>
      <c r="BU2" s="108">
        <f t="shared" ref="BU2:DR2" si="2">MAX($B$5-EXP(BU1),0)</f>
        <v>24.466122627162026</v>
      </c>
      <c r="BV2" s="108">
        <f t="shared" si="2"/>
        <v>23.750253439444933</v>
      </c>
      <c r="BW2" s="108">
        <f t="shared" si="2"/>
        <v>23.013324365295805</v>
      </c>
      <c r="BX2" s="108">
        <f t="shared" si="2"/>
        <v>22.254715851835257</v>
      </c>
      <c r="BY2" s="108">
        <f t="shared" si="2"/>
        <v>21.473790119790696</v>
      </c>
      <c r="BZ2" s="108">
        <f t="shared" si="2"/>
        <v>20.669890627300944</v>
      </c>
      <c r="CA2" s="108">
        <f t="shared" si="2"/>
        <v>19.842341517946704</v>
      </c>
      <c r="CB2" s="108">
        <f t="shared" si="2"/>
        <v>18.990447052542862</v>
      </c>
      <c r="CC2" s="108">
        <f t="shared" si="2"/>
        <v>18.113491024214809</v>
      </c>
      <c r="CD2" s="108">
        <f t="shared" si="2"/>
        <v>17.210736156267242</v>
      </c>
      <c r="CE2" s="108">
        <f t="shared" si="2"/>
        <v>16.281423482338994</v>
      </c>
      <c r="CF2" s="108">
        <f t="shared" si="2"/>
        <v>15.324771708322956</v>
      </c>
      <c r="CG2" s="108">
        <f t="shared" si="2"/>
        <v>14.339976555514461</v>
      </c>
      <c r="CH2" s="108">
        <f t="shared" si="2"/>
        <v>13.326210084436084</v>
      </c>
      <c r="CI2" s="108">
        <f t="shared" si="2"/>
        <v>12.282619998770251</v>
      </c>
      <c r="CJ2" s="108">
        <f t="shared" si="2"/>
        <v>11.208328928814559</v>
      </c>
      <c r="CK2" s="108">
        <f t="shared" si="2"/>
        <v>10.102433693857222</v>
      </c>
      <c r="CL2" s="108">
        <f t="shared" si="2"/>
        <v>8.9640045428527486</v>
      </c>
      <c r="CM2" s="108">
        <f t="shared" si="2"/>
        <v>7.7920843727592697</v>
      </c>
      <c r="CN2" s="108">
        <f t="shared" si="2"/>
        <v>6.5856879238804709</v>
      </c>
      <c r="CO2" s="108">
        <f t="shared" si="2"/>
        <v>5.3438009515354992</v>
      </c>
      <c r="CP2" s="108">
        <f t="shared" si="2"/>
        <v>4.0653793733606562</v>
      </c>
      <c r="CQ2" s="108">
        <f t="shared" si="2"/>
        <v>2.7493483915257926</v>
      </c>
      <c r="CR2" s="108">
        <f t="shared" si="2"/>
        <v>1.3946015891276247</v>
      </c>
      <c r="CS2" s="108">
        <f t="shared" si="2"/>
        <v>1.4210854715202004E-14</v>
      </c>
      <c r="CT2" s="108">
        <f t="shared" si="2"/>
        <v>0</v>
      </c>
      <c r="CU2" s="108">
        <f t="shared" si="2"/>
        <v>0</v>
      </c>
      <c r="CV2" s="108">
        <f t="shared" si="2"/>
        <v>0</v>
      </c>
      <c r="CW2" s="108">
        <f t="shared" si="2"/>
        <v>0</v>
      </c>
      <c r="CX2" s="108">
        <f t="shared" si="2"/>
        <v>0</v>
      </c>
      <c r="CY2" s="108">
        <f t="shared" si="2"/>
        <v>0</v>
      </c>
      <c r="CZ2" s="108">
        <f t="shared" si="2"/>
        <v>0</v>
      </c>
      <c r="DA2" s="108">
        <f t="shared" si="2"/>
        <v>0</v>
      </c>
      <c r="DB2" s="108">
        <f t="shared" si="2"/>
        <v>0</v>
      </c>
      <c r="DC2" s="108">
        <f t="shared" si="2"/>
        <v>0</v>
      </c>
      <c r="DD2" s="108">
        <f t="shared" si="2"/>
        <v>0</v>
      </c>
      <c r="DE2" s="108">
        <f t="shared" si="2"/>
        <v>0</v>
      </c>
      <c r="DF2" s="108">
        <f t="shared" si="2"/>
        <v>0</v>
      </c>
      <c r="DG2" s="108">
        <f t="shared" si="2"/>
        <v>0</v>
      </c>
      <c r="DH2" s="108">
        <f t="shared" si="2"/>
        <v>0</v>
      </c>
      <c r="DI2" s="108">
        <f t="shared" si="2"/>
        <v>0</v>
      </c>
      <c r="DJ2" s="108">
        <f t="shared" si="2"/>
        <v>0</v>
      </c>
      <c r="DK2" s="108">
        <f t="shared" si="2"/>
        <v>0</v>
      </c>
      <c r="DL2" s="108">
        <f t="shared" si="2"/>
        <v>0</v>
      </c>
      <c r="DM2" s="108">
        <f t="shared" si="2"/>
        <v>0</v>
      </c>
      <c r="DN2" s="108">
        <f t="shared" si="2"/>
        <v>0</v>
      </c>
      <c r="DO2" s="108">
        <f t="shared" si="2"/>
        <v>0</v>
      </c>
      <c r="DP2" s="108">
        <f t="shared" si="2"/>
        <v>0</v>
      </c>
      <c r="DQ2" s="108">
        <f t="shared" si="2"/>
        <v>0</v>
      </c>
      <c r="DR2" s="108">
        <f t="shared" si="2"/>
        <v>0</v>
      </c>
    </row>
    <row r="3" spans="1:122" x14ac:dyDescent="0.25">
      <c r="A3" s="79" t="s">
        <v>31</v>
      </c>
      <c r="B3" s="83">
        <v>0</v>
      </c>
      <c r="C3" s="80" t="s">
        <v>46</v>
      </c>
      <c r="D3" s="29">
        <f>B5*EXP(3*D1%*SQRT(B7))</f>
        <v>73.989246682609959</v>
      </c>
      <c r="O3" s="47" t="s">
        <v>5</v>
      </c>
      <c r="P3" s="9">
        <f>Q3+1</f>
        <v>50</v>
      </c>
      <c r="Q3" s="9">
        <f t="shared" ref="Q3:BL3" si="3">R3+1</f>
        <v>49</v>
      </c>
      <c r="R3" s="9">
        <f t="shared" si="3"/>
        <v>48</v>
      </c>
      <c r="S3" s="9">
        <f t="shared" si="3"/>
        <v>47</v>
      </c>
      <c r="T3" s="9">
        <f t="shared" si="3"/>
        <v>46</v>
      </c>
      <c r="U3" s="9">
        <f t="shared" si="3"/>
        <v>45</v>
      </c>
      <c r="V3" s="9">
        <f t="shared" si="3"/>
        <v>44</v>
      </c>
      <c r="W3" s="9">
        <f t="shared" si="3"/>
        <v>43</v>
      </c>
      <c r="X3" s="9">
        <f t="shared" si="3"/>
        <v>42</v>
      </c>
      <c r="Y3" s="9">
        <f t="shared" si="3"/>
        <v>41</v>
      </c>
      <c r="Z3" s="9">
        <f t="shared" si="3"/>
        <v>40</v>
      </c>
      <c r="AA3" s="9">
        <f t="shared" si="3"/>
        <v>39</v>
      </c>
      <c r="AB3" s="9">
        <f t="shared" si="3"/>
        <v>38</v>
      </c>
      <c r="AC3" s="9">
        <f t="shared" si="3"/>
        <v>37</v>
      </c>
      <c r="AD3" s="9">
        <f t="shared" si="3"/>
        <v>36</v>
      </c>
      <c r="AE3" s="9">
        <f t="shared" si="3"/>
        <v>35</v>
      </c>
      <c r="AF3" s="9">
        <f t="shared" si="3"/>
        <v>34</v>
      </c>
      <c r="AG3" s="9">
        <f t="shared" si="3"/>
        <v>33</v>
      </c>
      <c r="AH3" s="9">
        <f t="shared" si="3"/>
        <v>32</v>
      </c>
      <c r="AI3" s="9">
        <f t="shared" si="3"/>
        <v>31</v>
      </c>
      <c r="AJ3" s="9">
        <f t="shared" si="3"/>
        <v>30</v>
      </c>
      <c r="AK3" s="9">
        <f t="shared" si="3"/>
        <v>29</v>
      </c>
      <c r="AL3" s="9">
        <f t="shared" si="3"/>
        <v>28</v>
      </c>
      <c r="AM3" s="9">
        <f t="shared" si="3"/>
        <v>27</v>
      </c>
      <c r="AN3" s="9">
        <f t="shared" si="3"/>
        <v>26</v>
      </c>
      <c r="AO3" s="9">
        <f t="shared" si="3"/>
        <v>25</v>
      </c>
      <c r="AP3" s="9">
        <f t="shared" si="3"/>
        <v>24</v>
      </c>
      <c r="AQ3" s="9">
        <f t="shared" si="3"/>
        <v>23</v>
      </c>
      <c r="AR3" s="9">
        <f t="shared" si="3"/>
        <v>22</v>
      </c>
      <c r="AS3" s="9">
        <f t="shared" si="3"/>
        <v>21</v>
      </c>
      <c r="AT3" s="9">
        <f t="shared" si="3"/>
        <v>20</v>
      </c>
      <c r="AU3" s="9">
        <f t="shared" si="3"/>
        <v>19</v>
      </c>
      <c r="AV3" s="9">
        <f t="shared" si="3"/>
        <v>18</v>
      </c>
      <c r="AW3" s="9">
        <f t="shared" si="3"/>
        <v>17</v>
      </c>
      <c r="AX3" s="9">
        <f t="shared" si="3"/>
        <v>16</v>
      </c>
      <c r="AY3" s="9">
        <f t="shared" si="3"/>
        <v>15</v>
      </c>
      <c r="AZ3" s="9">
        <f t="shared" si="3"/>
        <v>14</v>
      </c>
      <c r="BA3" s="9">
        <f t="shared" si="3"/>
        <v>13</v>
      </c>
      <c r="BB3" s="9">
        <f t="shared" si="3"/>
        <v>12</v>
      </c>
      <c r="BC3" s="9">
        <f t="shared" si="3"/>
        <v>11</v>
      </c>
      <c r="BD3" s="9">
        <f t="shared" si="3"/>
        <v>10</v>
      </c>
      <c r="BE3" s="9">
        <f t="shared" si="3"/>
        <v>9</v>
      </c>
      <c r="BF3" s="9">
        <f t="shared" si="3"/>
        <v>8</v>
      </c>
      <c r="BG3" s="9">
        <f t="shared" si="3"/>
        <v>7</v>
      </c>
      <c r="BH3" s="9">
        <f t="shared" si="3"/>
        <v>6</v>
      </c>
      <c r="BI3" s="9">
        <f t="shared" si="3"/>
        <v>5</v>
      </c>
      <c r="BJ3" s="9">
        <f t="shared" si="3"/>
        <v>4</v>
      </c>
      <c r="BK3" s="9">
        <f t="shared" si="3"/>
        <v>3</v>
      </c>
      <c r="BL3" s="9">
        <f t="shared" si="3"/>
        <v>2</v>
      </c>
      <c r="BM3" s="9">
        <f>BN3+1</f>
        <v>1</v>
      </c>
      <c r="BN3" s="29">
        <v>0</v>
      </c>
      <c r="BR3" s="4"/>
      <c r="BS3" s="105">
        <f t="shared" si="1"/>
        <v>4.5662100456621002E-3</v>
      </c>
      <c r="BT3" s="109" cm="1">
        <f t="array" aca="1" ref="BT3:DR3" ca="1">TRANSPOSE(MMULT(OFFSET(_xlfn.ANCHORARRAY($P$222),0,0),TRANSPOSE(BT2:DR2)))</f>
        <v>24.479568879144708</v>
      </c>
      <c r="BU3" s="109">
        <f ca="1"/>
        <v>24.457122493533728</v>
      </c>
      <c r="BV3" s="109">
        <f ca="1"/>
        <v>23.750134699875414</v>
      </c>
      <c r="BW3" s="109">
        <f ca="1"/>
        <v>23.013322838283287</v>
      </c>
      <c r="BX3" s="109">
        <f ca="1"/>
        <v>22.254715872903088</v>
      </c>
      <c r="BY3" s="109">
        <f ca="1"/>
        <v>21.473790162501832</v>
      </c>
      <c r="BZ3" s="109">
        <f ca="1"/>
        <v>20.669890671546039</v>
      </c>
      <c r="CA3" s="109">
        <f ca="1"/>
        <v>19.842341563497094</v>
      </c>
      <c r="CB3" s="109">
        <f ca="1"/>
        <v>18.990447099433332</v>
      </c>
      <c r="CC3" s="109">
        <f ca="1"/>
        <v>18.11349107248472</v>
      </c>
      <c r="CD3" s="109">
        <f ca="1"/>
        <v>17.210736205957311</v>
      </c>
      <c r="CE3" s="109">
        <f ca="1"/>
        <v>16.281423533499758</v>
      </c>
      <c r="CF3" s="109">
        <f ca="1"/>
        <v>15.324771761682085</v>
      </c>
      <c r="CG3" s="109">
        <f ca="1"/>
        <v>14.339976664520616</v>
      </c>
      <c r="CH3" s="109">
        <f ca="1"/>
        <v>13.326210314382164</v>
      </c>
      <c r="CI3" s="109">
        <f ca="1"/>
        <v>12.282620410101371</v>
      </c>
      <c r="CJ3" s="109">
        <f ca="1"/>
        <v>11.208329695368837</v>
      </c>
      <c r="CK3" s="109">
        <f ca="1"/>
        <v>10.102435898618248</v>
      </c>
      <c r="CL3" s="109">
        <f ca="1"/>
        <v>8.9640149388627908</v>
      </c>
      <c r="CM3" s="109">
        <f ca="1"/>
        <v>7.792138267521195</v>
      </c>
      <c r="CN3" s="109">
        <f ca="1"/>
        <v>6.5859414664098663</v>
      </c>
      <c r="CO3" s="110">
        <f ca="1"/>
        <v>5.3448537976000958</v>
      </c>
      <c r="CP3" s="34">
        <f ca="1"/>
        <v>4.0694583936178121</v>
      </c>
      <c r="CQ3" s="9">
        <f ca="1"/>
        <v>2.7669770824283622</v>
      </c>
      <c r="CR3" s="9">
        <f ca="1"/>
        <v>1.4818941834581849</v>
      </c>
      <c r="CS3" s="9">
        <f ca="1"/>
        <v>0.47943200493864663</v>
      </c>
      <c r="CT3" s="9">
        <f ca="1"/>
        <v>8.0541783570198408E-2</v>
      </c>
      <c r="CU3" s="9">
        <f ca="1"/>
        <v>1.3637659351029589E-2</v>
      </c>
      <c r="CV3" s="9">
        <f ca="1"/>
        <v>2.3313871837603501E-3</v>
      </c>
      <c r="CW3" s="9">
        <f ca="1"/>
        <v>4.0239305312929059E-4</v>
      </c>
      <c r="CX3" s="9">
        <f ca="1"/>
        <v>6.9854058164493281E-5</v>
      </c>
      <c r="CY3" s="9">
        <f ca="1"/>
        <v>1.2183316530033116E-5</v>
      </c>
      <c r="CZ3" s="9">
        <f ca="1"/>
        <v>2.1348240268561127E-6</v>
      </c>
      <c r="DA3" s="9">
        <f ca="1"/>
        <v>3.758125902941656E-7</v>
      </c>
      <c r="DB3" s="9">
        <f ca="1"/>
        <v>6.6463521658370084E-8</v>
      </c>
      <c r="DC3" s="9">
        <f ca="1"/>
        <v>1.1808324924581116E-8</v>
      </c>
      <c r="DD3" s="9">
        <f ca="1"/>
        <v>2.1075395878160144E-9</v>
      </c>
      <c r="DE3" s="9">
        <f ca="1"/>
        <v>3.7784613940547455E-10</v>
      </c>
      <c r="DF3" s="9">
        <f ca="1"/>
        <v>6.7940191286195962E-11</v>
      </c>
      <c r="DG3" s="9">
        <f ca="1"/>
        <v>1.2216267709570302E-11</v>
      </c>
      <c r="DH3" s="9">
        <f ca="1"/>
        <v>2.1965966525356537E-12</v>
      </c>
      <c r="DI3" s="9">
        <f ca="1"/>
        <v>3.9496816610779341E-13</v>
      </c>
      <c r="DJ3" s="9">
        <f ca="1"/>
        <v>7.1018888269027363E-14</v>
      </c>
      <c r="DK3" s="9">
        <f ca="1"/>
        <v>1.2769845581903445E-14</v>
      </c>
      <c r="DL3" s="9">
        <f ca="1"/>
        <v>2.2961350164103397E-15</v>
      </c>
      <c r="DM3" s="9">
        <f ca="1"/>
        <v>4.1286607383175464E-16</v>
      </c>
      <c r="DN3" s="9">
        <f ca="1"/>
        <v>7.4237093557591518E-17</v>
      </c>
      <c r="DO3" s="9">
        <f ca="1"/>
        <v>1.3348495742980518E-17</v>
      </c>
      <c r="DP3" s="9">
        <f ca="1"/>
        <v>2.4001095831520346E-18</v>
      </c>
      <c r="DQ3" s="9">
        <f ca="1"/>
        <v>4.3114930901305435E-19</v>
      </c>
      <c r="DR3" s="9">
        <f ca="1"/>
        <v>7.5163893441815976E-20</v>
      </c>
    </row>
    <row r="4" spans="1:122" x14ac:dyDescent="0.25">
      <c r="A4" s="79" t="s">
        <v>32</v>
      </c>
      <c r="B4" s="83">
        <v>0</v>
      </c>
      <c r="C4" s="80" t="s">
        <v>51</v>
      </c>
      <c r="D4" s="29">
        <f>LN(D2)</f>
        <v>3.4715408581731606</v>
      </c>
      <c r="L4" s="33"/>
      <c r="M4" s="40"/>
      <c r="N4" s="132" t="s">
        <v>77</v>
      </c>
      <c r="O4" s="81" t="s">
        <v>76</v>
      </c>
      <c r="P4" s="100" cm="1">
        <f t="array" ref="P4">[1]!Interp_Lin_Range($C$15:$C$23,$E$15:$E$23,P2,1)</f>
        <v>9.9167393232187351</v>
      </c>
      <c r="Q4" s="100" cm="1">
        <f t="array" ref="Q4">[1]!Interp_Lin_Range($C$15:$C$23,$E$15:$E$23,Q2,1)</f>
        <v>9.9167393232187351</v>
      </c>
      <c r="R4" s="100" cm="1">
        <f t="array" ref="R4">[1]!Interp_Lin_Range($C$15:$C$23,$E$15:$E$23,R2,1)</f>
        <v>9.9167393232187351</v>
      </c>
      <c r="S4" s="100" cm="1">
        <f t="array" ref="S4">[1]!Interp_Lin_Range($C$15:$C$23,$E$15:$E$23,S2,1)</f>
        <v>9.9167393232187351</v>
      </c>
      <c r="T4" s="100" cm="1">
        <f t="array" ref="T4">[1]!Interp_Lin_Range($C$15:$C$23,$E$15:$E$23,T2,1)</f>
        <v>9.9167393232187351</v>
      </c>
      <c r="U4" s="100" cm="1">
        <f t="array" ref="U4">[1]!Interp_Lin_Range($C$15:$C$23,$E$15:$E$23,U2,1)</f>
        <v>9.9167393232187351</v>
      </c>
      <c r="V4" s="100" cm="1">
        <f t="array" ref="V4">[1]!Interp_Lin_Range($C$15:$C$23,$E$15:$E$23,V2,1)</f>
        <v>9.9167393232187351</v>
      </c>
      <c r="W4" s="100" cm="1">
        <f t="array" ref="W4">[1]!Interp_Lin_Range($C$15:$C$23,$E$15:$E$23,W2,1)</f>
        <v>9.9167393232187351</v>
      </c>
      <c r="X4" s="100" cm="1">
        <f t="array" ref="X4">[1]!Interp_Lin_Range($C$15:$C$23,$E$15:$E$23,X2,1)</f>
        <v>9.9167393232187351</v>
      </c>
      <c r="Y4" s="100" cm="1">
        <f t="array" ref="Y4">[1]!Interp_Lin_Range($C$15:$C$23,$E$15:$E$23,Y2,1)</f>
        <v>9.9167393232187351</v>
      </c>
      <c r="Z4" s="100" cm="1">
        <f t="array" ref="Z4">[1]!Interp_Lin_Range($C$15:$C$23,$E$15:$E$23,Z2,1)</f>
        <v>9.9167393232187351</v>
      </c>
      <c r="AA4" s="100" cm="1">
        <f t="array" ref="AA4">[1]!Interp_Lin_Range($C$15:$C$23,$E$15:$E$23,AA2,1)</f>
        <v>9.9167393232187351</v>
      </c>
      <c r="AB4" s="100" cm="1">
        <f t="array" ref="AB4">[1]!Interp_Lin_Range($C$15:$C$23,$E$15:$E$23,AB2,1)</f>
        <v>9.9167393232187351</v>
      </c>
      <c r="AC4" s="100" cm="1">
        <f t="array" ref="AC4">[1]!Interp_Lin_Range($C$15:$C$23,$E$15:$E$23,AC2,1)</f>
        <v>13.955384702350216</v>
      </c>
      <c r="AD4" s="100" cm="1">
        <f t="array" ref="AD4">[1]!Interp_Lin_Range($C$15:$C$23,$E$15:$E$23,AD2,1)</f>
        <v>19.997217019105605</v>
      </c>
      <c r="AE4" s="100" cm="1">
        <f t="array" ref="AE4">[1]!Interp_Lin_Range($C$15:$C$23,$E$15:$E$23,AE2,1)</f>
        <v>26.03904933586109</v>
      </c>
      <c r="AF4" s="100" cm="1">
        <f t="array" ref="AF4">[1]!Interp_Lin_Range($C$15:$C$23,$E$15:$E$23,AF2,1)</f>
        <v>32.080881652616483</v>
      </c>
      <c r="AG4" s="100" cm="1">
        <f t="array" ref="AG4">[1]!Interp_Lin_Range($C$15:$C$23,$E$15:$E$23,AG2,1)</f>
        <v>38.122713969371873</v>
      </c>
      <c r="AH4" s="100" cm="1">
        <f t="array" ref="AH4">[1]!Interp_Lin_Range($C$15:$C$23,$E$15:$E$23,AH2,1)</f>
        <v>44.164546286127262</v>
      </c>
      <c r="AI4" s="100" cm="1">
        <f t="array" ref="AI4">[1]!Interp_Lin_Range($C$15:$C$23,$E$15:$E$23,AI2,1)</f>
        <v>50.206378602882751</v>
      </c>
      <c r="AJ4" s="100" cm="1">
        <f t="array" ref="AJ4">[1]!Interp_Lin_Range($C$15:$C$23,$E$15:$E$23,AJ2,1)</f>
        <v>56.248210919638161</v>
      </c>
      <c r="AK4" s="100" cm="1">
        <f t="array" ref="AK4">[1]!Interp_Lin_Range($C$15:$C$23,$E$15:$E$23,AK2,1)</f>
        <v>59.684722901243923</v>
      </c>
      <c r="AL4" s="100" cm="1">
        <f t="array" ref="AL4">[1]!Interp_Lin_Range($C$15:$C$23,$E$15:$E$23,AL2,1)</f>
        <v>54.033841113108863</v>
      </c>
      <c r="AM4" s="100" cm="1">
        <f t="array" ref="AM4">[1]!Interp_Lin_Range($C$15:$C$23,$E$15:$E$23,AM2,1)</f>
        <v>48.622181295603966</v>
      </c>
      <c r="AN4" s="100" cm="1">
        <f t="array" ref="AN4">[1]!Interp_Lin_Range($C$15:$C$23,$E$15:$E$23,AN2,1)</f>
        <v>45.118562607863915</v>
      </c>
      <c r="AO4" s="100" cm="1">
        <f t="array" ref="AO4">[1]!Interp_Lin_Range($C$15:$C$23,$E$15:$E$23,AO2,1)</f>
        <v>41.614943920123871</v>
      </c>
      <c r="AP4" s="100" cm="1">
        <f t="array" ref="AP4">[1]!Interp_Lin_Range($C$15:$C$23,$E$15:$E$23,AP2,1)</f>
        <v>41.84478656306301</v>
      </c>
      <c r="AQ4" s="100" cm="1">
        <f t="array" ref="AQ4">[1]!Interp_Lin_Range($C$15:$C$23,$E$15:$E$23,AQ2,1)</f>
        <v>42.074629206002214</v>
      </c>
      <c r="AR4" s="100" cm="1">
        <f t="array" ref="AR4">[1]!Interp_Lin_Range($C$15:$C$23,$E$15:$E$23,AR2,1)</f>
        <v>42.357828075426674</v>
      </c>
      <c r="AS4" s="100" cm="1">
        <f t="array" ref="AS4">[1]!Interp_Lin_Range($C$15:$C$23,$E$15:$E$23,AS2,1)</f>
        <v>42.647716518490874</v>
      </c>
      <c r="AT4" s="100" cm="1">
        <f t="array" ref="AT4">[1]!Interp_Lin_Range($C$15:$C$23,$E$15:$E$23,AT2,1)</f>
        <v>42.822606119664499</v>
      </c>
      <c r="AU4" s="100" cm="1">
        <f t="array" ref="AU4">[1]!Interp_Lin_Range($C$15:$C$23,$E$15:$E$23,AU2,1)</f>
        <v>42.964526001588816</v>
      </c>
      <c r="AV4" s="100" cm="1">
        <f t="array" ref="AV4">[1]!Interp_Lin_Range($C$15:$C$23,$E$15:$E$23,AV2,1)</f>
        <v>43.106445883513139</v>
      </c>
      <c r="AW4" s="100" cm="1">
        <f t="array" ref="AW4">[1]!Interp_Lin_Range($C$15:$C$23,$E$15:$E$23,AW2,1)</f>
        <v>43.248365765437455</v>
      </c>
      <c r="AX4" s="100" cm="1">
        <f t="array" ref="AX4">[1]!Interp_Lin_Range($C$15:$C$23,$E$15:$E$23,AX2,1)</f>
        <v>43.390285647361779</v>
      </c>
      <c r="AY4" s="100" cm="1">
        <f t="array" ref="AY4">[1]!Interp_Lin_Range($C$15:$C$23,$E$15:$E$23,AY2,1)</f>
        <v>43.532205529286102</v>
      </c>
      <c r="AZ4" s="100" cm="1">
        <f t="array" ref="AZ4">[1]!Interp_Lin_Range($C$15:$C$23,$E$15:$E$23,AZ2,1)</f>
        <v>43.674125411210419</v>
      </c>
      <c r="BA4" s="100" cm="1">
        <f t="array" ref="BA4">[1]!Interp_Lin_Range($C$15:$C$23,$E$15:$E$23,BA2,1)</f>
        <v>43.816045293134735</v>
      </c>
      <c r="BB4" s="100" cm="1">
        <f t="array" ref="BB4">[1]!Interp_Lin_Range($C$15:$C$23,$E$15:$E$23,BB2,1)</f>
        <v>43.910911228713758</v>
      </c>
      <c r="BC4" s="100" cm="1">
        <f t="array" ref="BC4">[1]!Interp_Lin_Range($C$15:$C$23,$E$15:$E$23,BC2,1)</f>
        <v>43.910911228713758</v>
      </c>
      <c r="BD4" s="100" cm="1">
        <f t="array" ref="BD4">[1]!Interp_Lin_Range($C$15:$C$23,$E$15:$E$23,BD2,1)</f>
        <v>43.910911228713758</v>
      </c>
      <c r="BE4" s="100" cm="1">
        <f t="array" ref="BE4">[1]!Interp_Lin_Range($C$15:$C$23,$E$15:$E$23,BE2,1)</f>
        <v>43.910911228713758</v>
      </c>
      <c r="BF4" s="100" cm="1">
        <f t="array" ref="BF4">[1]!Interp_Lin_Range($C$15:$C$23,$E$15:$E$23,BF2,1)</f>
        <v>43.910911228713758</v>
      </c>
      <c r="BG4" s="100" cm="1">
        <f t="array" ref="BG4">[1]!Interp_Lin_Range($C$15:$C$23,$E$15:$E$23,BG2,1)</f>
        <v>43.910911228713758</v>
      </c>
      <c r="BH4" s="100" cm="1">
        <f t="array" ref="BH4">[1]!Interp_Lin_Range($C$15:$C$23,$E$15:$E$23,BH2,1)</f>
        <v>43.910911228713758</v>
      </c>
      <c r="BI4" s="100" cm="1">
        <f t="array" ref="BI4">[1]!Interp_Lin_Range($C$15:$C$23,$E$15:$E$23,BI2,1)</f>
        <v>43.910911228713758</v>
      </c>
      <c r="BJ4" s="100" cm="1">
        <f t="array" ref="BJ4">[1]!Interp_Lin_Range($C$15:$C$23,$E$15:$E$23,BJ2,1)</f>
        <v>43.910911228713758</v>
      </c>
      <c r="BK4" s="100" cm="1">
        <f t="array" ref="BK4">[1]!Interp_Lin_Range($C$15:$C$23,$E$15:$E$23,BK2,1)</f>
        <v>43.910911228713758</v>
      </c>
      <c r="BL4" s="100" cm="1">
        <f t="array" ref="BL4">[1]!Interp_Lin_Range($C$15:$C$23,$E$15:$E$23,BL2,1)</f>
        <v>43.910911228713758</v>
      </c>
      <c r="BM4" s="100" cm="1">
        <f t="array" ref="BM4">[1]!Interp_Lin_Range($C$15:$C$23,$E$15:$E$23,BM2,1)</f>
        <v>43.910911228713758</v>
      </c>
      <c r="BN4" s="100" cm="1">
        <f t="array" ref="BN4">[1]!Interp_Lin_Range($C$15:$C$23,$E$15:$E$23,BN2,1)</f>
        <v>43.910911228713758</v>
      </c>
      <c r="BR4" s="4"/>
      <c r="BS4" s="105">
        <f t="shared" si="1"/>
        <v>9.1324200913242004E-3</v>
      </c>
      <c r="BT4" s="109" cm="1">
        <f t="array" aca="1" ref="BT4:DR4" ca="1">TRANSPOSE(MMULT(OFFSET(_xlfn.ANCHORARRAY($P$222),0,0),TRANSPOSE(BT3:DR3)))</f>
        <v>23.832634611409205</v>
      </c>
      <c r="BU4" s="109">
        <f ca="1"/>
        <v>24.431046643361658</v>
      </c>
      <c r="BV4" s="109">
        <f ca="1"/>
        <v>23.749559148444654</v>
      </c>
      <c r="BW4" s="109">
        <f ca="1"/>
        <v>23.013312227908589</v>
      </c>
      <c r="BX4" s="109">
        <f ca="1"/>
        <v>22.25471573378087</v>
      </c>
      <c r="BY4" s="109">
        <f ca="1"/>
        <v>21.473790202566846</v>
      </c>
      <c r="BZ4" s="109">
        <f ca="1"/>
        <v>20.669890715749187</v>
      </c>
      <c r="CA4" s="109">
        <f ca="1"/>
        <v>19.842341609046837</v>
      </c>
      <c r="CB4" s="109">
        <f ca="1"/>
        <v>18.990447146323785</v>
      </c>
      <c r="CC4" s="109">
        <f ca="1"/>
        <v>18.113491120754652</v>
      </c>
      <c r="CD4" s="109">
        <f ca="1"/>
        <v>17.210736255648062</v>
      </c>
      <c r="CE4" s="109">
        <f ca="1"/>
        <v>16.281423584696199</v>
      </c>
      <c r="CF4" s="109">
        <f ca="1"/>
        <v>15.324771816455238</v>
      </c>
      <c r="CG4" s="109">
        <f ca="1"/>
        <v>14.339976777037039</v>
      </c>
      <c r="CH4" s="109">
        <f ca="1"/>
        <v>13.326210557371693</v>
      </c>
      <c r="CI4" s="109">
        <f ca="1"/>
        <v>12.282620974252866</v>
      </c>
      <c r="CJ4" s="109">
        <f ca="1"/>
        <v>11.208332105852064</v>
      </c>
      <c r="CK4" s="109">
        <f ca="1"/>
        <v>10.102451073223859</v>
      </c>
      <c r="CL4" s="109">
        <f ca="1"/>
        <v>8.964103228536521</v>
      </c>
      <c r="CM4" s="109">
        <f ca="1"/>
        <v>7.7925651734986934</v>
      </c>
      <c r="CN4" s="109">
        <f ca="1"/>
        <v>6.5876678715250998</v>
      </c>
      <c r="CO4" s="110">
        <f ca="1"/>
        <v>5.350802822341616</v>
      </c>
      <c r="CP4" s="34">
        <f ca="1"/>
        <v>4.0878215996804901</v>
      </c>
      <c r="CQ4" s="9">
        <f ca="1"/>
        <v>2.8242440682520682</v>
      </c>
      <c r="CR4" s="9">
        <f ca="1"/>
        <v>1.6487833984149369</v>
      </c>
      <c r="CS4" s="9">
        <f ca="1"/>
        <v>0.73092407946485105</v>
      </c>
      <c r="CT4" s="9">
        <f ca="1"/>
        <v>0.23815647802150577</v>
      </c>
      <c r="CU4" s="9">
        <f ca="1"/>
        <v>5.9809203329062886E-2</v>
      </c>
      <c r="CV4" s="9">
        <f ca="1"/>
        <v>1.3544309244371422E-2</v>
      </c>
      <c r="CW4" s="9">
        <f ca="1"/>
        <v>2.9086769924208311E-3</v>
      </c>
      <c r="CX4" s="9">
        <f ca="1"/>
        <v>6.0384529841500298E-4</v>
      </c>
      <c r="CY4" s="9">
        <f ca="1"/>
        <v>1.2253957834341216E-4</v>
      </c>
      <c r="CZ4" s="9">
        <f ca="1"/>
        <v>2.4484820610847914E-5</v>
      </c>
      <c r="DA4" s="9">
        <f ca="1"/>
        <v>4.8397814216008463E-6</v>
      </c>
      <c r="DB4" s="9">
        <f ca="1"/>
        <v>9.4941702780018896E-7</v>
      </c>
      <c r="DC4" s="9">
        <f ca="1"/>
        <v>1.8526158888872602E-7</v>
      </c>
      <c r="DD4" s="9">
        <f ca="1"/>
        <v>3.6020003619617967E-8</v>
      </c>
      <c r="DE4" s="9">
        <f ca="1"/>
        <v>6.9865786967668261E-9</v>
      </c>
      <c r="DF4" s="9">
        <f ca="1"/>
        <v>1.3512145255500223E-9</v>
      </c>
      <c r="DG4" s="9">
        <f ca="1"/>
        <v>2.6003608529658085E-10</v>
      </c>
      <c r="DH4" s="9">
        <f ca="1"/>
        <v>4.9827171465006819E-11</v>
      </c>
      <c r="DI4" s="9">
        <f ca="1"/>
        <v>9.5114500698310654E-12</v>
      </c>
      <c r="DJ4" s="9">
        <f ca="1"/>
        <v>1.8095127544651571E-12</v>
      </c>
      <c r="DK4" s="9">
        <f ca="1"/>
        <v>3.4321606458893763E-13</v>
      </c>
      <c r="DL4" s="9">
        <f ca="1"/>
        <v>6.4922822729733066E-14</v>
      </c>
      <c r="DM4" s="9">
        <f ca="1"/>
        <v>1.225080310129383E-14</v>
      </c>
      <c r="DN4" s="9">
        <f ca="1"/>
        <v>2.3065716498030814E-15</v>
      </c>
      <c r="DO4" s="9">
        <f ca="1"/>
        <v>4.334000806914738E-16</v>
      </c>
      <c r="DP4" s="9">
        <f ca="1"/>
        <v>8.1281128610908137E-17</v>
      </c>
      <c r="DQ4" s="9">
        <f ca="1"/>
        <v>1.5201499213935348E-17</v>
      </c>
      <c r="DR4" s="9">
        <f ca="1"/>
        <v>2.7487973436841313E-18</v>
      </c>
    </row>
    <row r="5" spans="1:122" x14ac:dyDescent="0.25">
      <c r="A5" s="79" t="s">
        <v>33</v>
      </c>
      <c r="B5" s="29">
        <v>48.8</v>
      </c>
      <c r="C5" s="80" t="s">
        <v>52</v>
      </c>
      <c r="D5" s="29">
        <f>LN(D3)</f>
        <v>4.3039197675450422</v>
      </c>
      <c r="N5" s="132"/>
      <c r="O5" s="81" t="s">
        <v>2</v>
      </c>
      <c r="P5" s="115">
        <f>(P4%^2)/(2*$D$10)</f>
        <v>5.8490527047001946</v>
      </c>
      <c r="Q5" s="115">
        <f t="shared" ref="Q5:BN5" si="4">(Q4%^2)/(2*$D$10)</f>
        <v>5.8490527047001946</v>
      </c>
      <c r="R5" s="115">
        <f t="shared" si="4"/>
        <v>5.8490527047001946</v>
      </c>
      <c r="S5" s="115">
        <f t="shared" si="4"/>
        <v>5.8490527047001946</v>
      </c>
      <c r="T5" s="115">
        <f t="shared" si="4"/>
        <v>5.8490527047001946</v>
      </c>
      <c r="U5" s="115">
        <f t="shared" si="4"/>
        <v>5.8490527047001946</v>
      </c>
      <c r="V5" s="115">
        <f t="shared" si="4"/>
        <v>5.8490527047001946</v>
      </c>
      <c r="W5" s="115">
        <f t="shared" si="4"/>
        <v>5.8490527047001946</v>
      </c>
      <c r="X5" s="115">
        <f t="shared" si="4"/>
        <v>5.8490527047001946</v>
      </c>
      <c r="Y5" s="115">
        <f t="shared" si="4"/>
        <v>5.8490527047001946</v>
      </c>
      <c r="Z5" s="115">
        <f t="shared" si="4"/>
        <v>5.8490527047001946</v>
      </c>
      <c r="AA5" s="115">
        <f t="shared" si="4"/>
        <v>5.8490527047001946</v>
      </c>
      <c r="AB5" s="115">
        <f t="shared" si="4"/>
        <v>5.8490527047001946</v>
      </c>
      <c r="AC5" s="115">
        <f t="shared" si="4"/>
        <v>11.583274975102233</v>
      </c>
      <c r="AD5" s="115">
        <f t="shared" si="4"/>
        <v>23.784107533746429</v>
      </c>
      <c r="AE5" s="115">
        <f t="shared" si="4"/>
        <v>40.327192568292027</v>
      </c>
      <c r="AF5" s="115">
        <f t="shared" si="4"/>
        <v>61.21253007873851</v>
      </c>
      <c r="AG5" s="115">
        <f t="shared" si="4"/>
        <v>86.440120065086106</v>
      </c>
      <c r="AH5" s="115">
        <f t="shared" si="4"/>
        <v>116.00996252733476</v>
      </c>
      <c r="AI5" s="115">
        <f t="shared" si="4"/>
        <v>149.92205746548518</v>
      </c>
      <c r="AJ5" s="115">
        <f t="shared" si="4"/>
        <v>188.17640487953631</v>
      </c>
      <c r="AK5" s="115">
        <f t="shared" si="4"/>
        <v>211.87226235109682</v>
      </c>
      <c r="AL5" s="115">
        <f t="shared" si="4"/>
        <v>173.6518534146382</v>
      </c>
      <c r="AM5" s="115">
        <f t="shared" si="4"/>
        <v>140.61013228340286</v>
      </c>
      <c r="AN5" s="115">
        <f t="shared" si="4"/>
        <v>121.07605192601402</v>
      </c>
      <c r="AO5" s="115">
        <f t="shared" si="4"/>
        <v>103.00216840807934</v>
      </c>
      <c r="AP5" s="115">
        <f t="shared" si="4"/>
        <v>104.14308875416098</v>
      </c>
      <c r="AQ5" s="115">
        <f t="shared" si="4"/>
        <v>105.29029314037126</v>
      </c>
      <c r="AR5" s="115">
        <f t="shared" si="4"/>
        <v>106.71245387700614</v>
      </c>
      <c r="AS5" s="115">
        <f t="shared" si="4"/>
        <v>108.17808910772568</v>
      </c>
      <c r="AT5" s="115">
        <f t="shared" si="4"/>
        <v>109.06714091859051</v>
      </c>
      <c r="AU5" s="115">
        <f t="shared" si="4"/>
        <v>109.79126523387394</v>
      </c>
      <c r="AV5" s="115">
        <f t="shared" si="4"/>
        <v>110.517785424501</v>
      </c>
      <c r="AW5" s="115">
        <f t="shared" si="4"/>
        <v>111.24670149047161</v>
      </c>
      <c r="AX5" s="115">
        <f t="shared" si="4"/>
        <v>111.97801343178587</v>
      </c>
      <c r="AY5" s="115">
        <f t="shared" si="4"/>
        <v>112.71172124844368</v>
      </c>
      <c r="AZ5" s="115">
        <f t="shared" si="4"/>
        <v>113.44782494044509</v>
      </c>
      <c r="BA5" s="115">
        <f t="shared" si="4"/>
        <v>114.18632450779008</v>
      </c>
      <c r="BB5" s="115">
        <f t="shared" si="4"/>
        <v>114.68130843506893</v>
      </c>
      <c r="BC5" s="115">
        <f t="shared" si="4"/>
        <v>114.68130843506893</v>
      </c>
      <c r="BD5" s="115">
        <f t="shared" si="4"/>
        <v>114.68130843506893</v>
      </c>
      <c r="BE5" s="115">
        <f t="shared" si="4"/>
        <v>114.68130843506893</v>
      </c>
      <c r="BF5" s="115">
        <f t="shared" si="4"/>
        <v>114.68130843506893</v>
      </c>
      <c r="BG5" s="115">
        <f t="shared" si="4"/>
        <v>114.68130843506893</v>
      </c>
      <c r="BH5" s="115">
        <f t="shared" si="4"/>
        <v>114.68130843506893</v>
      </c>
      <c r="BI5" s="115">
        <f t="shared" si="4"/>
        <v>114.68130843506893</v>
      </c>
      <c r="BJ5" s="115">
        <f t="shared" si="4"/>
        <v>114.68130843506893</v>
      </c>
      <c r="BK5" s="115">
        <f t="shared" si="4"/>
        <v>114.68130843506893</v>
      </c>
      <c r="BL5" s="115">
        <f t="shared" si="4"/>
        <v>114.68130843506893</v>
      </c>
      <c r="BM5" s="115">
        <f t="shared" si="4"/>
        <v>114.68130843506893</v>
      </c>
      <c r="BN5" s="115">
        <f t="shared" si="4"/>
        <v>114.68130843506893</v>
      </c>
      <c r="BR5" s="4"/>
      <c r="BS5" s="105">
        <f t="shared" si="1"/>
        <v>1.3698630136986301E-2</v>
      </c>
      <c r="BT5" s="109" cm="1">
        <f t="array" aca="1" ref="BT5:DR5" ca="1">TRANSPOSE(MMULT(OFFSET(_xlfn.ANCHORARRAY($P$222),0,0),TRANSPOSE(BT4:DR4)))</f>
        <v>23.218493339377964</v>
      </c>
      <c r="BU5" s="109">
        <f ca="1"/>
        <v>24.389661521489554</v>
      </c>
      <c r="BV5" s="109">
        <f ca="1"/>
        <v>23.748122775957576</v>
      </c>
      <c r="BW5" s="109">
        <f ca="1"/>
        <v>23.01327561040743</v>
      </c>
      <c r="BX5" s="109">
        <f ca="1"/>
        <v>22.2547149795802</v>
      </c>
      <c r="BY5" s="109">
        <f ca="1"/>
        <v>21.473790229889946</v>
      </c>
      <c r="BZ5" s="109">
        <f ca="1"/>
        <v>20.669890759709467</v>
      </c>
      <c r="CA5" s="109">
        <f ca="1"/>
        <v>19.842341654592204</v>
      </c>
      <c r="CB5" s="109">
        <f ca="1"/>
        <v>18.990447193214163</v>
      </c>
      <c r="CC5" s="109">
        <f ca="1"/>
        <v>18.11349116902462</v>
      </c>
      <c r="CD5" s="109">
        <f ca="1"/>
        <v>17.210736305340816</v>
      </c>
      <c r="CE5" s="109">
        <f ca="1"/>
        <v>16.281423635963243</v>
      </c>
      <c r="CF5" s="109">
        <f ca="1"/>
        <v>15.324771872680751</v>
      </c>
      <c r="CG5" s="109">
        <f ca="1"/>
        <v>14.339976894664042</v>
      </c>
      <c r="CH5" s="109">
        <f ca="1"/>
        <v>13.326210863265722</v>
      </c>
      <c r="CI5" s="109">
        <f ca="1"/>
        <v>12.282622462571149</v>
      </c>
      <c r="CJ5" s="109">
        <f ca="1"/>
        <v>11.208343480838199</v>
      </c>
      <c r="CK5" s="109">
        <f ca="1"/>
        <v>10.102526850454113</v>
      </c>
      <c r="CL5" s="109">
        <f ca="1"/>
        <v>8.9644969236432743</v>
      </c>
      <c r="CM5" s="109">
        <f ca="1"/>
        <v>7.7941928215438221</v>
      </c>
      <c r="CN5" s="109">
        <f ca="1"/>
        <v>6.5931744492166944</v>
      </c>
      <c r="CO5" s="110">
        <f ca="1"/>
        <v>5.3663457366485927</v>
      </c>
      <c r="CP5" s="34">
        <f ca="1"/>
        <v>4.1257538405064098</v>
      </c>
      <c r="CQ5" s="9">
        <f ca="1"/>
        <v>2.9091848091369563</v>
      </c>
      <c r="CR5" s="9">
        <f ca="1"/>
        <v>1.8000135134123714</v>
      </c>
      <c r="CS5" s="9">
        <f ca="1"/>
        <v>0.92115732581287624</v>
      </c>
      <c r="CT5" s="9">
        <f ca="1"/>
        <v>0.38518450137123289</v>
      </c>
      <c r="CU5" s="9">
        <f ca="1"/>
        <v>0.13198481569968379</v>
      </c>
      <c r="CV5" s="9">
        <f ca="1"/>
        <v>3.8668369685125444E-2</v>
      </c>
      <c r="CW5" s="9">
        <f ca="1"/>
        <v>1.0254439565998745E-2</v>
      </c>
      <c r="CX5" s="9">
        <f ca="1"/>
        <v>2.5404641078160344E-3</v>
      </c>
      <c r="CY5" s="9">
        <f ca="1"/>
        <v>5.9982685700694363E-4</v>
      </c>
      <c r="CZ5" s="9">
        <f ca="1"/>
        <v>1.3677744417348877E-4</v>
      </c>
      <c r="DA5" s="9">
        <f ca="1"/>
        <v>3.0390808563807775E-5</v>
      </c>
      <c r="DB5" s="9">
        <f ca="1"/>
        <v>6.6207953101819303E-6</v>
      </c>
      <c r="DC5" s="9">
        <f ca="1"/>
        <v>1.4206070319994523E-6</v>
      </c>
      <c r="DD5" s="9">
        <f ca="1"/>
        <v>3.0122491364369679E-7</v>
      </c>
      <c r="DE5" s="9">
        <f ca="1"/>
        <v>6.327742802150202E-8</v>
      </c>
      <c r="DF5" s="9">
        <f ca="1"/>
        <v>1.3175868192609695E-8</v>
      </c>
      <c r="DG5" s="9">
        <f ca="1"/>
        <v>2.7163070444494531E-9</v>
      </c>
      <c r="DH5" s="9">
        <f ca="1"/>
        <v>5.5513190643724124E-10</v>
      </c>
      <c r="DI5" s="9">
        <f ca="1"/>
        <v>1.1258542871753042E-10</v>
      </c>
      <c r="DJ5" s="9">
        <f ca="1"/>
        <v>2.2678378332557316E-11</v>
      </c>
      <c r="DK5" s="9">
        <f ca="1"/>
        <v>4.5404718539243401E-12</v>
      </c>
      <c r="DL5" s="9">
        <f ca="1"/>
        <v>9.0410062789911488E-13</v>
      </c>
      <c r="DM5" s="9">
        <f ca="1"/>
        <v>1.7913825879146024E-13</v>
      </c>
      <c r="DN5" s="9">
        <f ca="1"/>
        <v>3.5335656214987237E-14</v>
      </c>
      <c r="DO5" s="9">
        <f ca="1"/>
        <v>6.9416381691899149E-15</v>
      </c>
      <c r="DP5" s="9">
        <f ca="1"/>
        <v>1.3585192890640735E-15</v>
      </c>
      <c r="DQ5" s="9">
        <f ca="1"/>
        <v>2.6463103219017531E-16</v>
      </c>
      <c r="DR5" s="9">
        <f ca="1"/>
        <v>4.9643621712962934E-17</v>
      </c>
    </row>
    <row r="6" spans="1:122" x14ac:dyDescent="0.25">
      <c r="A6" s="79"/>
      <c r="C6" s="80"/>
      <c r="K6" s="1" t="s">
        <v>77</v>
      </c>
      <c r="L6" s="29" t="s">
        <v>78</v>
      </c>
      <c r="N6" s="132"/>
      <c r="O6" s="81" t="s">
        <v>3</v>
      </c>
      <c r="P6" s="115">
        <f>-($B$3-$B$4+(P4%^2)/2)/$D$9</f>
        <v>-8.4794302311486214E-2</v>
      </c>
      <c r="Q6" s="115">
        <f t="shared" ref="Q6:BN6" si="5">-($B$3-$B$4+(Q4%^2)/2)/$D$9</f>
        <v>-8.4794302311486214E-2</v>
      </c>
      <c r="R6" s="115">
        <f t="shared" si="5"/>
        <v>-8.4794302311486214E-2</v>
      </c>
      <c r="S6" s="115">
        <f t="shared" si="5"/>
        <v>-8.4794302311486214E-2</v>
      </c>
      <c r="T6" s="115">
        <f t="shared" si="5"/>
        <v>-8.4794302311486214E-2</v>
      </c>
      <c r="U6" s="115">
        <f t="shared" si="5"/>
        <v>-8.4794302311486214E-2</v>
      </c>
      <c r="V6" s="115">
        <f t="shared" si="5"/>
        <v>-8.4794302311486214E-2</v>
      </c>
      <c r="W6" s="115">
        <f t="shared" si="5"/>
        <v>-8.4794302311486214E-2</v>
      </c>
      <c r="X6" s="115">
        <f t="shared" si="5"/>
        <v>-8.4794302311486214E-2</v>
      </c>
      <c r="Y6" s="115">
        <f t="shared" si="5"/>
        <v>-8.4794302311486214E-2</v>
      </c>
      <c r="Z6" s="115">
        <f t="shared" si="5"/>
        <v>-8.4794302311486214E-2</v>
      </c>
      <c r="AA6" s="115">
        <f t="shared" si="5"/>
        <v>-8.4794302311486214E-2</v>
      </c>
      <c r="AB6" s="115">
        <f t="shared" si="5"/>
        <v>-8.4794302311486214E-2</v>
      </c>
      <c r="AC6" s="115">
        <f t="shared" si="5"/>
        <v>-0.16792389632711235</v>
      </c>
      <c r="AD6" s="115">
        <f t="shared" si="5"/>
        <v>-0.34480058673514113</v>
      </c>
      <c r="AE6" s="115">
        <f t="shared" si="5"/>
        <v>-0.58462734576855702</v>
      </c>
      <c r="AF6" s="115">
        <f t="shared" si="5"/>
        <v>-0.88740417342735234</v>
      </c>
      <c r="AG6" s="115">
        <f t="shared" si="5"/>
        <v>-1.2531310697115305</v>
      </c>
      <c r="AH6" s="115">
        <f t="shared" si="5"/>
        <v>-1.6818080346210909</v>
      </c>
      <c r="AI6" s="115">
        <f t="shared" si="5"/>
        <v>-2.1734350681560435</v>
      </c>
      <c r="AJ6" s="115">
        <f t="shared" si="5"/>
        <v>-2.7280121703163731</v>
      </c>
      <c r="AK6" s="115">
        <f t="shared" si="5"/>
        <v>-3.0715333870697759</v>
      </c>
      <c r="AL6" s="115">
        <f t="shared" si="5"/>
        <v>-2.5174482944149612</v>
      </c>
      <c r="AM6" s="115">
        <f t="shared" si="5"/>
        <v>-2.0384391570477502</v>
      </c>
      <c r="AN6" s="115">
        <f t="shared" si="5"/>
        <v>-1.7552516395425211</v>
      </c>
      <c r="AO6" s="115">
        <f t="shared" si="5"/>
        <v>-1.4932327417249651</v>
      </c>
      <c r="AP6" s="115">
        <f t="shared" si="5"/>
        <v>-1.5097727781416708</v>
      </c>
      <c r="AQ6" s="115">
        <f t="shared" si="5"/>
        <v>-1.5264039149168971</v>
      </c>
      <c r="AR6" s="115">
        <f t="shared" si="5"/>
        <v>-1.5470211214161376</v>
      </c>
      <c r="AS6" s="115">
        <f t="shared" si="5"/>
        <v>-1.5682685820061455</v>
      </c>
      <c r="AT6" s="115">
        <f t="shared" si="5"/>
        <v>-1.5811572550660529</v>
      </c>
      <c r="AU6" s="115">
        <f t="shared" si="5"/>
        <v>-1.5916549577200056</v>
      </c>
      <c r="AV6" s="115">
        <f t="shared" si="5"/>
        <v>-1.6021873936185442</v>
      </c>
      <c r="AW6" s="115">
        <f t="shared" si="5"/>
        <v>-1.6127545627616677</v>
      </c>
      <c r="AX6" s="115">
        <f t="shared" si="5"/>
        <v>-1.6233564651493775</v>
      </c>
      <c r="AY6" s="115">
        <f t="shared" si="5"/>
        <v>-1.6339931007816721</v>
      </c>
      <c r="AZ6" s="115">
        <f t="shared" si="5"/>
        <v>-1.644664469658552</v>
      </c>
      <c r="BA6" s="115">
        <f t="shared" si="5"/>
        <v>-1.6553705717800173</v>
      </c>
      <c r="BB6" s="115">
        <f t="shared" si="5"/>
        <v>-1.6625464033014674</v>
      </c>
      <c r="BC6" s="115">
        <f t="shared" si="5"/>
        <v>-1.6625464033014674</v>
      </c>
      <c r="BD6" s="115">
        <f t="shared" si="5"/>
        <v>-1.6625464033014674</v>
      </c>
      <c r="BE6" s="115">
        <f t="shared" si="5"/>
        <v>-1.6625464033014674</v>
      </c>
      <c r="BF6" s="115">
        <f t="shared" si="5"/>
        <v>-1.6625464033014674</v>
      </c>
      <c r="BG6" s="115">
        <f t="shared" si="5"/>
        <v>-1.6625464033014674</v>
      </c>
      <c r="BH6" s="115">
        <f t="shared" si="5"/>
        <v>-1.6625464033014674</v>
      </c>
      <c r="BI6" s="115">
        <f t="shared" si="5"/>
        <v>-1.6625464033014674</v>
      </c>
      <c r="BJ6" s="115">
        <f t="shared" si="5"/>
        <v>-1.6625464033014674</v>
      </c>
      <c r="BK6" s="115">
        <f t="shared" si="5"/>
        <v>-1.6625464033014674</v>
      </c>
      <c r="BL6" s="115">
        <f t="shared" si="5"/>
        <v>-1.6625464033014674</v>
      </c>
      <c r="BM6" s="115">
        <f t="shared" si="5"/>
        <v>-1.6625464033014674</v>
      </c>
      <c r="BN6" s="115">
        <f t="shared" si="5"/>
        <v>-1.6625464033014674</v>
      </c>
      <c r="BR6" s="4"/>
      <c r="BS6" s="105">
        <f t="shared" si="1"/>
        <v>1.8264840182648401E-2</v>
      </c>
      <c r="BT6" s="109" cm="1">
        <f t="array" aca="1" ref="BT6:DR6" ca="1">TRANSPOSE(MMULT(OFFSET(_xlfn.ANCHORARRAY($P$222),0,0),TRANSPOSE(BT5:DR5)))</f>
        <v>22.635067100807408</v>
      </c>
      <c r="BU6" s="109">
        <f ca="1"/>
        <v>24.33457520171298</v>
      </c>
      <c r="BV6" s="109">
        <f ca="1"/>
        <v>23.745486571290133</v>
      </c>
      <c r="BW6" s="109">
        <f ca="1"/>
        <v>23.013187119611377</v>
      </c>
      <c r="BX6" s="109">
        <f ca="1"/>
        <v>22.254712613960411</v>
      </c>
      <c r="BY6" s="109">
        <f ca="1"/>
        <v>21.473790215739779</v>
      </c>
      <c r="BZ6" s="109">
        <f ca="1"/>
        <v>20.66989080272382</v>
      </c>
      <c r="CA6" s="109">
        <f ca="1"/>
        <v>19.842341700117736</v>
      </c>
      <c r="CB6" s="109">
        <f ca="1"/>
        <v>18.990447240104157</v>
      </c>
      <c r="CC6" s="109">
        <f ca="1"/>
        <v>18.113491217294705</v>
      </c>
      <c r="CD6" s="109">
        <f ca="1"/>
        <v>17.210736355037756</v>
      </c>
      <c r="CE6" s="109">
        <f ca="1"/>
        <v>16.281423687336577</v>
      </c>
      <c r="CF6" s="109">
        <f ca="1"/>
        <v>15.324771930518658</v>
      </c>
      <c r="CG6" s="109">
        <f ca="1"/>
        <v>14.339977025377692</v>
      </c>
      <c r="CH6" s="109">
        <f ca="1"/>
        <v>13.32621144606653</v>
      </c>
      <c r="CI6" s="109">
        <f ca="1"/>
        <v>12.282627696576652</v>
      </c>
      <c r="CJ6" s="109">
        <f ca="1"/>
        <v>11.208386114388199</v>
      </c>
      <c r="CK6" s="109">
        <f ca="1"/>
        <v>10.102780716852385</v>
      </c>
      <c r="CL6" s="109">
        <f ca="1"/>
        <v>8.9656322852934309</v>
      </c>
      <c r="CM6" s="109">
        <f ca="1"/>
        <v>7.7981703128513127</v>
      </c>
      <c r="CN6" s="109">
        <f ca="1"/>
        <v>6.6044351125078871</v>
      </c>
      <c r="CO6" s="110">
        <f ca="1"/>
        <v>5.392650809128841</v>
      </c>
      <c r="CP6" s="34">
        <f ca="1"/>
        <v>4.178063938504601</v>
      </c>
      <c r="CQ6" s="9">
        <f ca="1"/>
        <v>3.0011031258829086</v>
      </c>
      <c r="CR6" s="9">
        <f ca="1"/>
        <v>1.9368623529819526</v>
      </c>
      <c r="CS6" s="9">
        <f ca="1"/>
        <v>1.0807046507493363</v>
      </c>
      <c r="CT6" s="9">
        <f ca="1"/>
        <v>0.51904756345061143</v>
      </c>
      <c r="CU6" s="9">
        <f ca="1"/>
        <v>0.213600971908944</v>
      </c>
      <c r="CV6" s="9">
        <f ca="1"/>
        <v>7.6347092224649984E-2</v>
      </c>
      <c r="CW6" s="9">
        <f ca="1"/>
        <v>2.4334006389604576E-2</v>
      </c>
      <c r="CX6" s="9">
        <f ca="1"/>
        <v>7.0997943452735636E-3</v>
      </c>
      <c r="CY6" s="9">
        <f ca="1"/>
        <v>1.9372929389153621E-3</v>
      </c>
      <c r="CZ6" s="9">
        <f ca="1"/>
        <v>5.0238558683002408E-4</v>
      </c>
      <c r="DA6" s="9">
        <f ca="1"/>
        <v>1.2525567052979058E-4</v>
      </c>
      <c r="DB6" s="9">
        <f ca="1"/>
        <v>3.0279566681825792E-5</v>
      </c>
      <c r="DC6" s="9">
        <f ca="1"/>
        <v>7.1422130939860911E-6</v>
      </c>
      <c r="DD6" s="9">
        <f ca="1"/>
        <v>1.6516921771878752E-6</v>
      </c>
      <c r="DE6" s="9">
        <f ca="1"/>
        <v>3.7585836244027477E-7</v>
      </c>
      <c r="DF6" s="9">
        <f ca="1"/>
        <v>8.4289109089764799E-8</v>
      </c>
      <c r="DG6" s="9">
        <f ca="1"/>
        <v>1.8622372060282027E-8</v>
      </c>
      <c r="DH6" s="9">
        <f ca="1"/>
        <v>4.0609210285234469E-9</v>
      </c>
      <c r="DI6" s="9">
        <f ca="1"/>
        <v>8.7540479553027339E-10</v>
      </c>
      <c r="DJ6" s="9">
        <f ca="1"/>
        <v>1.8678696107381386E-10</v>
      </c>
      <c r="DK6" s="9">
        <f ca="1"/>
        <v>3.9491919843066804E-11</v>
      </c>
      <c r="DL6" s="9">
        <f ca="1"/>
        <v>8.2812217530042718E-12</v>
      </c>
      <c r="DM6" s="9">
        <f ca="1"/>
        <v>1.7236470772791546E-12</v>
      </c>
      <c r="DN6" s="9">
        <f ca="1"/>
        <v>3.563415485042645E-13</v>
      </c>
      <c r="DO6" s="9">
        <f ca="1"/>
        <v>7.3215924825226589E-14</v>
      </c>
      <c r="DP6" s="9">
        <f ca="1"/>
        <v>1.4957799197973734E-14</v>
      </c>
      <c r="DQ6" s="9">
        <f ca="1"/>
        <v>3.0356903131388828E-15</v>
      </c>
      <c r="DR6" s="9">
        <f ca="1"/>
        <v>5.9087760218513E-16</v>
      </c>
    </row>
    <row r="7" spans="1:122" x14ac:dyDescent="0.25">
      <c r="A7" s="80" t="s">
        <v>34</v>
      </c>
      <c r="B7" s="29">
        <f>YEARFRAC(B1,B2,3)</f>
        <v>8.2191780821917804E-2</v>
      </c>
      <c r="C7" s="80"/>
      <c r="K7" s="45" cm="1">
        <f t="array" ref="K7:K25">linspace(0,B7,B10)</f>
        <v>0</v>
      </c>
      <c r="L7" s="45" cm="1">
        <f t="array" ref="L7:L25">linspace(B7,B33,B36)</f>
        <v>8.2191780821917804E-2</v>
      </c>
      <c r="M7" s="29"/>
      <c r="N7" s="132"/>
      <c r="O7" s="81" t="s">
        <v>58</v>
      </c>
      <c r="P7" s="102">
        <f>-$B$4</f>
        <v>0</v>
      </c>
      <c r="Q7" s="102">
        <f t="shared" ref="Q7:BN7" si="6">-$B$4</f>
        <v>0</v>
      </c>
      <c r="R7" s="102">
        <f t="shared" si="6"/>
        <v>0</v>
      </c>
      <c r="S7" s="102">
        <f t="shared" si="6"/>
        <v>0</v>
      </c>
      <c r="T7" s="102">
        <f t="shared" si="6"/>
        <v>0</v>
      </c>
      <c r="U7" s="102">
        <f t="shared" si="6"/>
        <v>0</v>
      </c>
      <c r="V7" s="102">
        <f t="shared" si="6"/>
        <v>0</v>
      </c>
      <c r="W7" s="102">
        <f t="shared" si="6"/>
        <v>0</v>
      </c>
      <c r="X7" s="102">
        <f t="shared" si="6"/>
        <v>0</v>
      </c>
      <c r="Y7" s="102">
        <f t="shared" si="6"/>
        <v>0</v>
      </c>
      <c r="Z7" s="102">
        <f t="shared" si="6"/>
        <v>0</v>
      </c>
      <c r="AA7" s="102">
        <f t="shared" si="6"/>
        <v>0</v>
      </c>
      <c r="AB7" s="102">
        <f t="shared" si="6"/>
        <v>0</v>
      </c>
      <c r="AC7" s="102">
        <f t="shared" si="6"/>
        <v>0</v>
      </c>
      <c r="AD7" s="102">
        <f t="shared" si="6"/>
        <v>0</v>
      </c>
      <c r="AE7" s="102">
        <f t="shared" si="6"/>
        <v>0</v>
      </c>
      <c r="AF7" s="102">
        <f t="shared" si="6"/>
        <v>0</v>
      </c>
      <c r="AG7" s="102">
        <f t="shared" si="6"/>
        <v>0</v>
      </c>
      <c r="AH7" s="102">
        <f t="shared" si="6"/>
        <v>0</v>
      </c>
      <c r="AI7" s="102">
        <f t="shared" si="6"/>
        <v>0</v>
      </c>
      <c r="AJ7" s="102">
        <f t="shared" si="6"/>
        <v>0</v>
      </c>
      <c r="AK7" s="102">
        <f t="shared" si="6"/>
        <v>0</v>
      </c>
      <c r="AL7" s="102">
        <f t="shared" si="6"/>
        <v>0</v>
      </c>
      <c r="AM7" s="102">
        <f t="shared" si="6"/>
        <v>0</v>
      </c>
      <c r="AN7" s="102">
        <f t="shared" si="6"/>
        <v>0</v>
      </c>
      <c r="AO7" s="102">
        <f t="shared" si="6"/>
        <v>0</v>
      </c>
      <c r="AP7" s="102">
        <f t="shared" si="6"/>
        <v>0</v>
      </c>
      <c r="AQ7" s="102">
        <f t="shared" si="6"/>
        <v>0</v>
      </c>
      <c r="AR7" s="102">
        <f t="shared" si="6"/>
        <v>0</v>
      </c>
      <c r="AS7" s="102">
        <f t="shared" si="6"/>
        <v>0</v>
      </c>
      <c r="AT7" s="102">
        <f t="shared" si="6"/>
        <v>0</v>
      </c>
      <c r="AU7" s="102">
        <f t="shared" si="6"/>
        <v>0</v>
      </c>
      <c r="AV7" s="102">
        <f t="shared" si="6"/>
        <v>0</v>
      </c>
      <c r="AW7" s="102">
        <f t="shared" si="6"/>
        <v>0</v>
      </c>
      <c r="AX7" s="102">
        <f t="shared" si="6"/>
        <v>0</v>
      </c>
      <c r="AY7" s="102">
        <f t="shared" si="6"/>
        <v>0</v>
      </c>
      <c r="AZ7" s="102">
        <f t="shared" si="6"/>
        <v>0</v>
      </c>
      <c r="BA7" s="102">
        <f t="shared" si="6"/>
        <v>0</v>
      </c>
      <c r="BB7" s="102">
        <f t="shared" si="6"/>
        <v>0</v>
      </c>
      <c r="BC7" s="102">
        <f t="shared" si="6"/>
        <v>0</v>
      </c>
      <c r="BD7" s="102">
        <f t="shared" si="6"/>
        <v>0</v>
      </c>
      <c r="BE7" s="102">
        <f t="shared" si="6"/>
        <v>0</v>
      </c>
      <c r="BF7" s="102">
        <f t="shared" si="6"/>
        <v>0</v>
      </c>
      <c r="BG7" s="102">
        <f t="shared" si="6"/>
        <v>0</v>
      </c>
      <c r="BH7" s="102">
        <f t="shared" si="6"/>
        <v>0</v>
      </c>
      <c r="BI7" s="102">
        <f t="shared" si="6"/>
        <v>0</v>
      </c>
      <c r="BJ7" s="102">
        <f t="shared" si="6"/>
        <v>0</v>
      </c>
      <c r="BK7" s="102">
        <f t="shared" si="6"/>
        <v>0</v>
      </c>
      <c r="BL7" s="102">
        <f t="shared" si="6"/>
        <v>0</v>
      </c>
      <c r="BM7" s="102">
        <f t="shared" si="6"/>
        <v>0</v>
      </c>
      <c r="BN7" s="102">
        <f t="shared" si="6"/>
        <v>0</v>
      </c>
      <c r="BR7" s="4"/>
      <c r="BS7" s="105">
        <f t="shared" si="1"/>
        <v>2.2831050228310501E-2</v>
      </c>
      <c r="BT7" s="109" cm="1">
        <f t="array" aca="1" ref="BT7:DR7" ca="1">TRANSPOSE(MMULT(OFFSET(_xlfn.ANCHORARRAY($P$222),0,0),TRANSPOSE(BT6:DR6)))</f>
        <v>22.080425414970087</v>
      </c>
      <c r="BU7" s="109">
        <f ca="1"/>
        <v>24.267251248325408</v>
      </c>
      <c r="BV7" s="109">
        <f ca="1"/>
        <v>23.741368940417285</v>
      </c>
      <c r="BW7" s="109">
        <f ca="1"/>
        <v>23.013014011275605</v>
      </c>
      <c r="BX7" s="109">
        <f ca="1"/>
        <v>22.254706917864944</v>
      </c>
      <c r="BY7" s="109">
        <f ca="1"/>
        <v>21.473790097016533</v>
      </c>
      <c r="BZ7" s="109">
        <f ca="1"/>
        <v>20.669890842913219</v>
      </c>
      <c r="CA7" s="109">
        <f ca="1"/>
        <v>19.842341745574682</v>
      </c>
      <c r="CB7" s="109">
        <f ca="1"/>
        <v>18.990447286992616</v>
      </c>
      <c r="CC7" s="109">
        <f ca="1"/>
        <v>18.11349126556502</v>
      </c>
      <c r="CD7" s="109">
        <f ca="1"/>
        <v>17.210736404741933</v>
      </c>
      <c r="CE7" s="109">
        <f ca="1"/>
        <v>16.281423738860187</v>
      </c>
      <c r="CF7" s="109">
        <f ca="1"/>
        <v>15.324771990595202</v>
      </c>
      <c r="CG7" s="109">
        <f ca="1"/>
        <v>14.339977198142085</v>
      </c>
      <c r="CH7" s="109">
        <f ca="1"/>
        <v>13.326212971227912</v>
      </c>
      <c r="CI7" s="109">
        <f ca="1"/>
        <v>12.282644037583397</v>
      </c>
      <c r="CJ7" s="109">
        <f ca="1"/>
        <v>11.208507505110001</v>
      </c>
      <c r="CK7" s="109">
        <f ca="1"/>
        <v>10.103409343693038</v>
      </c>
      <c r="CL7" s="109">
        <f ca="1"/>
        <v>8.9680459033493616</v>
      </c>
      <c r="CM7" s="109">
        <f ca="1"/>
        <v>7.8053838367844035</v>
      </c>
      <c r="CN7" s="109">
        <f ca="1"/>
        <v>6.6218255355343096</v>
      </c>
      <c r="CO7" s="110">
        <f ca="1"/>
        <v>5.4274481123342353</v>
      </c>
      <c r="CP7" s="34">
        <f ca="1"/>
        <v>4.2380763456620913</v>
      </c>
      <c r="CQ7" s="9">
        <f ca="1"/>
        <v>3.0939476038138838</v>
      </c>
      <c r="CR7" s="9">
        <f ca="1"/>
        <v>2.0622752703354057</v>
      </c>
      <c r="CS7" s="9">
        <f ca="1"/>
        <v>1.2212194043577425</v>
      </c>
      <c r="CT7" s="9">
        <f ca="1"/>
        <v>0.64203554197713175</v>
      </c>
      <c r="CU7" s="9">
        <f ca="1"/>
        <v>0.29794279379979566</v>
      </c>
      <c r="CV7" s="9">
        <f ca="1"/>
        <v>0.1225645128142116</v>
      </c>
      <c r="CW7" s="9">
        <f ca="1"/>
        <v>4.5236968300428164E-2</v>
      </c>
      <c r="CX7" s="9">
        <f ca="1"/>
        <v>1.5203810975897588E-2</v>
      </c>
      <c r="CY7" s="9">
        <f ca="1"/>
        <v>4.7317650829774077E-3</v>
      </c>
      <c r="CZ7" s="9">
        <f ca="1"/>
        <v>1.3843748496333917E-3</v>
      </c>
      <c r="DA7" s="9">
        <f ca="1"/>
        <v>3.8539536665249473E-4</v>
      </c>
      <c r="DB7" s="9">
        <f ca="1"/>
        <v>1.0306341464672617E-4</v>
      </c>
      <c r="DC7" s="9">
        <f ca="1"/>
        <v>2.6672692923455964E-5</v>
      </c>
      <c r="DD7" s="9">
        <f ca="1"/>
        <v>6.719240947799558E-6</v>
      </c>
      <c r="DE7" s="9">
        <f ca="1"/>
        <v>1.6551482688494106E-6</v>
      </c>
      <c r="DF7" s="9">
        <f ca="1"/>
        <v>3.9959784878436186E-7</v>
      </c>
      <c r="DG7" s="9">
        <f ca="1"/>
        <v>9.4594814157365812E-8</v>
      </c>
      <c r="DH7" s="9">
        <f ca="1"/>
        <v>2.2009491582790478E-8</v>
      </c>
      <c r="DI7" s="9">
        <f ca="1"/>
        <v>5.0433300379071582E-9</v>
      </c>
      <c r="DJ7" s="9">
        <f ca="1"/>
        <v>1.1400322589902567E-9</v>
      </c>
      <c r="DK7" s="9">
        <f ca="1"/>
        <v>2.545808697465039E-10</v>
      </c>
      <c r="DL7" s="9">
        <f ca="1"/>
        <v>5.6230207688484046E-11</v>
      </c>
      <c r="DM7" s="9">
        <f ca="1"/>
        <v>1.2297070740388284E-11</v>
      </c>
      <c r="DN7" s="9">
        <f ca="1"/>
        <v>2.6651011306103423E-12</v>
      </c>
      <c r="DO7" s="9">
        <f ca="1"/>
        <v>5.7285678687489794E-13</v>
      </c>
      <c r="DP7" s="9">
        <f ca="1"/>
        <v>1.2219940091326867E-13</v>
      </c>
      <c r="DQ7" s="9">
        <f ca="1"/>
        <v>2.5844170407737369E-14</v>
      </c>
      <c r="DR7" s="9">
        <f ca="1"/>
        <v>5.2194614922665713E-15</v>
      </c>
    </row>
    <row r="8" spans="1:122" x14ac:dyDescent="0.25">
      <c r="A8" s="80" t="s">
        <v>42</v>
      </c>
      <c r="B8" s="29">
        <f>B5*EXP(B3*B7)</f>
        <v>48.8</v>
      </c>
      <c r="C8" s="80"/>
      <c r="D8" s="31"/>
      <c r="E8" s="31"/>
      <c r="F8" s="31"/>
      <c r="G8" s="31"/>
      <c r="H8" s="31"/>
      <c r="I8" s="31"/>
      <c r="J8" s="89"/>
      <c r="K8" s="46">
        <v>4.5662100456621002E-3</v>
      </c>
      <c r="L8" s="46">
        <v>9.147640791476408E-2</v>
      </c>
      <c r="M8" s="29"/>
      <c r="N8" s="132" t="s">
        <v>78</v>
      </c>
      <c r="O8" s="81" t="s">
        <v>79</v>
      </c>
      <c r="P8" s="120" cm="1">
        <f t="array" ref="P8">[1]!Interp_Lin_Range($C$44:$C$52,$E$44:$E$52,P2,1)</f>
        <v>18.947078315986005</v>
      </c>
      <c r="Q8" s="120" cm="1">
        <f t="array" ref="Q8">[1]!Interp_Lin_Range($C$44:$C$52,$E$44:$E$52,Q2,1)</f>
        <v>18.947078315986005</v>
      </c>
      <c r="R8" s="120" cm="1">
        <f t="array" ref="R8">[1]!Interp_Lin_Range($C$44:$C$52,$E$44:$E$52,R2,1)</f>
        <v>18.947078315986005</v>
      </c>
      <c r="S8" s="120" cm="1">
        <f t="array" ref="S8">[1]!Interp_Lin_Range($C$44:$C$52,$E$44:$E$52,S2,1)</f>
        <v>19.867406779924409</v>
      </c>
      <c r="T8" s="120" cm="1">
        <f t="array" ref="T8">[1]!Interp_Lin_Range($C$44:$C$52,$E$44:$E$52,T2,1)</f>
        <v>21.535838775752804</v>
      </c>
      <c r="U8" s="120" cm="1">
        <f t="array" ref="U8">[1]!Interp_Lin_Range($C$44:$C$52,$E$44:$E$52,U2,1)</f>
        <v>23.2042707715812</v>
      </c>
      <c r="V8" s="120" cm="1">
        <f t="array" ref="V8">[1]!Interp_Lin_Range($C$44:$C$52,$E$44:$E$52,V2,1)</f>
        <v>24.872702767409596</v>
      </c>
      <c r="W8" s="120" cm="1">
        <f t="array" ref="W8">[1]!Interp_Lin_Range($C$44:$C$52,$E$44:$E$52,W2,1)</f>
        <v>26.54113476323802</v>
      </c>
      <c r="X8" s="120" cm="1">
        <f t="array" ref="X8">[1]!Interp_Lin_Range($C$44:$C$52,$E$44:$E$52,X2,1)</f>
        <v>28.209566759066412</v>
      </c>
      <c r="Y8" s="120" cm="1">
        <f t="array" ref="Y8">[1]!Interp_Lin_Range($C$44:$C$52,$E$44:$E$52,Y2,1)</f>
        <v>29.877998754894811</v>
      </c>
      <c r="Z8" s="120" cm="1">
        <f t="array" ref="Z8">[1]!Interp_Lin_Range($C$44:$C$52,$E$44:$E$52,Z2,1)</f>
        <v>31.546430750723207</v>
      </c>
      <c r="AA8" s="120" cm="1">
        <f t="array" ref="AA8">[1]!Interp_Lin_Range($C$44:$C$52,$E$44:$E$52,AA2,1)</f>
        <v>33.214862746551631</v>
      </c>
      <c r="AB8" s="120" cm="1">
        <f t="array" ref="AB8">[1]!Interp_Lin_Range($C$44:$C$52,$E$44:$E$52,AB2,1)</f>
        <v>34.883294742380023</v>
      </c>
      <c r="AC8" s="120" cm="1">
        <f t="array" ref="AC8">[1]!Interp_Lin_Range($C$44:$C$52,$E$44:$E$52,AC2,1)</f>
        <v>36.551726738208416</v>
      </c>
      <c r="AD8" s="120" cm="1">
        <f t="array" ref="AD8">[1]!Interp_Lin_Range($C$44:$C$52,$E$44:$E$52,AD2,1)</f>
        <v>38.220158734036815</v>
      </c>
      <c r="AE8" s="120" cm="1">
        <f t="array" ref="AE8">[1]!Interp_Lin_Range($C$44:$C$52,$E$44:$E$52,AE2,1)</f>
        <v>39.888590729865236</v>
      </c>
      <c r="AF8" s="120" cm="1">
        <f t="array" ref="AF8">[1]!Interp_Lin_Range($C$44:$C$52,$E$44:$E$52,AF2,1)</f>
        <v>41.557022725693635</v>
      </c>
      <c r="AG8" s="120" cm="1">
        <f t="array" ref="AG8">[1]!Interp_Lin_Range($C$44:$C$52,$E$44:$E$52,AG2,1)</f>
        <v>43.225454721522027</v>
      </c>
      <c r="AH8" s="120" cm="1">
        <f t="array" ref="AH8">[1]!Interp_Lin_Range($C$44:$C$52,$E$44:$E$52,AH2,1)</f>
        <v>44.893886717350426</v>
      </c>
      <c r="AI8" s="120" cm="1">
        <f t="array" ref="AI8">[1]!Interp_Lin_Range($C$44:$C$52,$E$44:$E$52,AI2,1)</f>
        <v>46.562318713178847</v>
      </c>
      <c r="AJ8" s="120" cm="1">
        <f t="array" ref="AJ8">[1]!Interp_Lin_Range($C$44:$C$52,$E$44:$E$52,AJ2,1)</f>
        <v>48.230750709007239</v>
      </c>
      <c r="AK8" s="120" cm="1">
        <f t="array" ref="AK8">[1]!Interp_Lin_Range($C$44:$C$52,$E$44:$E$52,AK2,1)</f>
        <v>48.507517298738996</v>
      </c>
      <c r="AL8" s="120" cm="1">
        <f t="array" ref="AL8">[1]!Interp_Lin_Range($C$44:$C$52,$E$44:$E$52,AL2,1)</f>
        <v>43.93013548671577</v>
      </c>
      <c r="AM8" s="120" cm="1">
        <f t="array" ref="AM8">[1]!Interp_Lin_Range($C$44:$C$52,$E$44:$E$52,AM2,1)</f>
        <v>39.5971077446018</v>
      </c>
      <c r="AN8" s="120" cm="1">
        <f t="array" ref="AN8">[1]!Interp_Lin_Range($C$44:$C$52,$E$44:$E$52,AN2,1)</f>
        <v>37.21305489966845</v>
      </c>
      <c r="AO8" s="120" cm="1">
        <f t="array" ref="AO8">[1]!Interp_Lin_Range($C$44:$C$52,$E$44:$E$52,AO2,1)</f>
        <v>34.829002054735099</v>
      </c>
      <c r="AP8" s="120" cm="1">
        <f t="array" ref="AP8">[1]!Interp_Lin_Range($C$44:$C$52,$E$44:$E$52,AP2,1)</f>
        <v>35.564195318598102</v>
      </c>
      <c r="AQ8" s="120" cm="1">
        <f t="array" ref="AQ8">[1]!Interp_Lin_Range($C$44:$C$52,$E$44:$E$52,AQ2,1)</f>
        <v>36.29938858246117</v>
      </c>
      <c r="AR8" s="120" cm="1">
        <f t="array" ref="AR8">[1]!Interp_Lin_Range($C$44:$C$52,$E$44:$E$52,AR2,1)</f>
        <v>35.648490505127192</v>
      </c>
      <c r="AS8" s="120" cm="1">
        <f t="array" ref="AS8">[1]!Interp_Lin_Range($C$44:$C$52,$E$44:$E$52,AS2,1)</f>
        <v>34.823810271349053</v>
      </c>
      <c r="AT8" s="120" cm="1">
        <f t="array" ref="AT8">[1]!Interp_Lin_Range($C$44:$C$52,$E$44:$E$52,AT2,1)</f>
        <v>35.267825830630855</v>
      </c>
      <c r="AU8" s="120" cm="1">
        <f t="array" ref="AU8">[1]!Interp_Lin_Range($C$44:$C$52,$E$44:$E$52,AU2,1)</f>
        <v>36.075571523384369</v>
      </c>
      <c r="AV8" s="120" cm="1">
        <f t="array" ref="AV8">[1]!Interp_Lin_Range($C$44:$C$52,$E$44:$E$52,AV2,1)</f>
        <v>36.883317216137904</v>
      </c>
      <c r="AW8" s="120" cm="1">
        <f t="array" ref="AW8">[1]!Interp_Lin_Range($C$44:$C$52,$E$44:$E$52,AW2,1)</f>
        <v>37.691062908891425</v>
      </c>
      <c r="AX8" s="120" cm="1">
        <f t="array" ref="AX8">[1]!Interp_Lin_Range($C$44:$C$52,$E$44:$E$52,AX2,1)</f>
        <v>38.498808601644967</v>
      </c>
      <c r="AY8" s="120" cm="1">
        <f t="array" ref="AY8">[1]!Interp_Lin_Range($C$44:$C$52,$E$44:$E$52,AY2,1)</f>
        <v>39.306554294398509</v>
      </c>
      <c r="AZ8" s="120" cm="1">
        <f t="array" ref="AZ8">[1]!Interp_Lin_Range($C$44:$C$52,$E$44:$E$52,AZ2,1)</f>
        <v>40.114299987152023</v>
      </c>
      <c r="BA8" s="120" cm="1">
        <f t="array" ref="BA8">[1]!Interp_Lin_Range($C$44:$C$52,$E$44:$E$52,BA2,1)</f>
        <v>40.922045679905565</v>
      </c>
      <c r="BB8" s="120" cm="1">
        <f t="array" ref="BB8">[1]!Interp_Lin_Range($C$44:$C$52,$E$44:$E$52,BB2,1)</f>
        <v>41.461980957570532</v>
      </c>
      <c r="BC8" s="120" cm="1">
        <f t="array" ref="BC8">[1]!Interp_Lin_Range($C$44:$C$52,$E$44:$E$52,BC2,1)</f>
        <v>41.461980957570532</v>
      </c>
      <c r="BD8" s="120" cm="1">
        <f t="array" ref="BD8">[1]!Interp_Lin_Range($C$44:$C$52,$E$44:$E$52,BD2,1)</f>
        <v>41.461980957570532</v>
      </c>
      <c r="BE8" s="120" cm="1">
        <f t="array" ref="BE8">[1]!Interp_Lin_Range($C$44:$C$52,$E$44:$E$52,BE2,1)</f>
        <v>41.461980957570532</v>
      </c>
      <c r="BF8" s="120" cm="1">
        <f t="array" ref="BF8">[1]!Interp_Lin_Range($C$44:$C$52,$E$44:$E$52,BF2,1)</f>
        <v>41.461980957570532</v>
      </c>
      <c r="BG8" s="120" cm="1">
        <f t="array" ref="BG8">[1]!Interp_Lin_Range($C$44:$C$52,$E$44:$E$52,BG2,1)</f>
        <v>41.461980957570532</v>
      </c>
      <c r="BH8" s="120" cm="1">
        <f t="array" ref="BH8">[1]!Interp_Lin_Range($C$44:$C$52,$E$44:$E$52,BH2,1)</f>
        <v>41.461980957570532</v>
      </c>
      <c r="BI8" s="120" cm="1">
        <f t="array" ref="BI8">[1]!Interp_Lin_Range($C$44:$C$52,$E$44:$E$52,BI2,1)</f>
        <v>41.461980957570532</v>
      </c>
      <c r="BJ8" s="120" cm="1">
        <f t="array" ref="BJ8">[1]!Interp_Lin_Range($C$44:$C$52,$E$44:$E$52,BJ2,1)</f>
        <v>41.461980957570532</v>
      </c>
      <c r="BK8" s="120" cm="1">
        <f t="array" ref="BK8">[1]!Interp_Lin_Range($C$44:$C$52,$E$44:$E$52,BK2,1)</f>
        <v>41.461980957570532</v>
      </c>
      <c r="BL8" s="120" cm="1">
        <f t="array" ref="BL8">[1]!Interp_Lin_Range($C$44:$C$52,$E$44:$E$52,BL2,1)</f>
        <v>41.461980957570532</v>
      </c>
      <c r="BM8" s="120" cm="1">
        <f t="array" ref="BM8">[1]!Interp_Lin_Range($C$44:$C$52,$E$44:$E$52,BM2,1)</f>
        <v>41.461980957570532</v>
      </c>
      <c r="BN8" s="120" cm="1">
        <f t="array" ref="BN8">[1]!Interp_Lin_Range($C$44:$C$52,$E$44:$E$52,BN2,1)</f>
        <v>41.461980957570532</v>
      </c>
      <c r="BR8" s="4"/>
      <c r="BS8" s="105">
        <f t="shared" si="1"/>
        <v>2.7397260273972601E-2</v>
      </c>
      <c r="BT8" s="109" cm="1">
        <f t="array" aca="1" ref="BT8:DR8" ca="1">TRANSPOSE(MMULT(OFFSET(_xlfn.ANCHORARRAY($P$222),0,0),TRANSPOSE(BT7:DR7)))</f>
        <v>21.552774067161192</v>
      </c>
      <c r="BU8" s="109">
        <f ca="1"/>
        <v>24.189021363485612</v>
      </c>
      <c r="BV8" s="109">
        <f ca="1"/>
        <v>23.735538918706787</v>
      </c>
      <c r="BW8" s="109">
        <f ca="1"/>
        <v>23.012718426525328</v>
      </c>
      <c r="BX8" s="109">
        <f ca="1"/>
        <v>22.254695327752007</v>
      </c>
      <c r="BY8" s="109">
        <f ca="1"/>
        <v>21.47378975731629</v>
      </c>
      <c r="BZ8" s="109">
        <f ca="1"/>
        <v>20.669890876125571</v>
      </c>
      <c r="CA8" s="109">
        <f ca="1"/>
        <v>19.842341790837189</v>
      </c>
      <c r="CB8" s="109">
        <f ca="1"/>
        <v>18.990447333876169</v>
      </c>
      <c r="CC8" s="109">
        <f ca="1"/>
        <v>18.113491313835716</v>
      </c>
      <c r="CD8" s="109">
        <f ca="1"/>
        <v>17.21073645445782</v>
      </c>
      <c r="CE8" s="109">
        <f ca="1"/>
        <v>16.281423790609825</v>
      </c>
      <c r="CF8" s="109">
        <f ca="1"/>
        <v>15.324772054932655</v>
      </c>
      <c r="CG8" s="109">
        <f ca="1"/>
        <v>14.339977495321731</v>
      </c>
      <c r="CH8" s="109">
        <f ca="1"/>
        <v>13.326217045443034</v>
      </c>
      <c r="CI8" s="109">
        <f ca="1"/>
        <v>12.282686209341206</v>
      </c>
      <c r="CJ8" s="109">
        <f ca="1"/>
        <v>11.208783776170765</v>
      </c>
      <c r="CK8" s="109">
        <f ca="1"/>
        <v>10.104652038554473</v>
      </c>
      <c r="CL8" s="109">
        <f ca="1"/>
        <v>8.9721779337584024</v>
      </c>
      <c r="CM8" s="109">
        <f ca="1"/>
        <v>7.8161111807121575</v>
      </c>
      <c r="CN8" s="109">
        <f ca="1"/>
        <v>6.644523155828745</v>
      </c>
      <c r="CO8" s="110">
        <f ca="1"/>
        <v>5.4680723807060305</v>
      </c>
      <c r="CP8" s="34">
        <f ca="1"/>
        <v>4.3020817648624359</v>
      </c>
      <c r="CQ8" s="9">
        <f ca="1"/>
        <v>3.1853666260309375</v>
      </c>
      <c r="CR8" s="9">
        <f ca="1"/>
        <v>2.1786383906413316</v>
      </c>
      <c r="CS8" s="9">
        <f ca="1"/>
        <v>1.3484655027882801</v>
      </c>
      <c r="CT8" s="9">
        <f ca="1"/>
        <v>0.75630491995801263</v>
      </c>
      <c r="CU8" s="9">
        <f ca="1"/>
        <v>0.38224972348458219</v>
      </c>
      <c r="CV8" s="9">
        <f ca="1"/>
        <v>0.17422144039794318</v>
      </c>
      <c r="CW8" s="9">
        <f ca="1"/>
        <v>7.2006538682124088E-2</v>
      </c>
      <c r="CX8" s="9">
        <f ca="1"/>
        <v>2.7196143528338386E-2</v>
      </c>
      <c r="CY8" s="9">
        <f ca="1"/>
        <v>9.4908406191265907E-3</v>
      </c>
      <c r="CZ8" s="9">
        <f ca="1"/>
        <v>3.0969729559297524E-3</v>
      </c>
      <c r="DA8" s="9">
        <f ca="1"/>
        <v>9.552489382086268E-4</v>
      </c>
      <c r="DB8" s="9">
        <f ca="1"/>
        <v>2.8110502383631489E-4</v>
      </c>
      <c r="DC8" s="9">
        <f ca="1"/>
        <v>7.953064003493112E-5</v>
      </c>
      <c r="DD8" s="9">
        <f ca="1"/>
        <v>2.1769703496332207E-5</v>
      </c>
      <c r="DE8" s="9">
        <f ca="1"/>
        <v>5.7946785785402018E-6</v>
      </c>
      <c r="DF8" s="9">
        <f ca="1"/>
        <v>1.5042636627444884E-6</v>
      </c>
      <c r="DG8" s="9">
        <f ca="1"/>
        <v>3.8122628569083483E-7</v>
      </c>
      <c r="DH8" s="9">
        <f ca="1"/>
        <v>9.4586811440710185E-8</v>
      </c>
      <c r="DI8" s="9">
        <f ca="1"/>
        <v>2.3030223855364863E-8</v>
      </c>
      <c r="DJ8" s="9">
        <f ca="1"/>
        <v>5.5139065267133328E-9</v>
      </c>
      <c r="DK8" s="9">
        <f ca="1"/>
        <v>1.3003491217887685E-9</v>
      </c>
      <c r="DL8" s="9">
        <f ca="1"/>
        <v>3.0251038888791771E-10</v>
      </c>
      <c r="DM8" s="9">
        <f ca="1"/>
        <v>6.9511046676990214E-11</v>
      </c>
      <c r="DN8" s="9">
        <f ca="1"/>
        <v>1.5793616891795711E-11</v>
      </c>
      <c r="DO8" s="9">
        <f ca="1"/>
        <v>3.5517507322496505E-12</v>
      </c>
      <c r="DP8" s="9">
        <f ca="1"/>
        <v>7.9117029333766371E-13</v>
      </c>
      <c r="DQ8" s="9">
        <f ca="1"/>
        <v>1.7438254636092158E-13</v>
      </c>
      <c r="DR8" s="9">
        <f ca="1"/>
        <v>3.6538041300468657E-14</v>
      </c>
    </row>
    <row r="9" spans="1:122" x14ac:dyDescent="0.25">
      <c r="A9" s="80" t="s">
        <v>43</v>
      </c>
      <c r="B9" s="29">
        <f>D67</f>
        <v>42.707000000000001</v>
      </c>
      <c r="C9" s="80" t="s">
        <v>72</v>
      </c>
      <c r="D9" s="27">
        <f>D12*2</f>
        <v>5.7988400236740567E-2</v>
      </c>
      <c r="E9" s="31"/>
      <c r="F9" s="31"/>
      <c r="G9" s="31"/>
      <c r="H9" s="31"/>
      <c r="I9" s="31"/>
      <c r="J9" s="89"/>
      <c r="K9" s="46">
        <v>9.1324200913242004E-3</v>
      </c>
      <c r="L9" s="46">
        <v>0.10076103500761034</v>
      </c>
      <c r="M9" s="29"/>
      <c r="N9" s="132"/>
      <c r="O9" s="81" t="s">
        <v>2</v>
      </c>
      <c r="P9" s="121">
        <f>(P8%^2)/(2*$D$36)</f>
        <v>21.351689273538572</v>
      </c>
      <c r="Q9" s="121">
        <f t="shared" ref="Q9:BN9" si="7">(Q8%^2)/(2*$D$36)</f>
        <v>21.351689273538572</v>
      </c>
      <c r="R9" s="121">
        <f t="shared" si="7"/>
        <v>21.351689273538572</v>
      </c>
      <c r="S9" s="121">
        <f t="shared" si="7"/>
        <v>23.476324723779921</v>
      </c>
      <c r="T9" s="121">
        <f t="shared" si="7"/>
        <v>27.584894209121813</v>
      </c>
      <c r="U9" s="121">
        <f t="shared" si="7"/>
        <v>32.024590817201485</v>
      </c>
      <c r="V9" s="121">
        <f t="shared" si="7"/>
        <v>36.79541454801894</v>
      </c>
      <c r="W9" s="121">
        <f t="shared" si="7"/>
        <v>41.89736540157427</v>
      </c>
      <c r="X9" s="121">
        <f t="shared" si="7"/>
        <v>47.330443377867276</v>
      </c>
      <c r="Y9" s="121">
        <f t="shared" si="7"/>
        <v>53.094648476898094</v>
      </c>
      <c r="Z9" s="121">
        <f t="shared" si="7"/>
        <v>59.18998069866668</v>
      </c>
      <c r="AA9" s="121">
        <f t="shared" si="7"/>
        <v>65.616440043173156</v>
      </c>
      <c r="AB9" s="121">
        <f t="shared" si="7"/>
        <v>72.374026510417295</v>
      </c>
      <c r="AC9" s="121">
        <f t="shared" si="7"/>
        <v>79.46274010039923</v>
      </c>
      <c r="AD9" s="121">
        <f t="shared" si="7"/>
        <v>86.882580813118935</v>
      </c>
      <c r="AE9" s="121">
        <f t="shared" si="7"/>
        <v>94.633548648576564</v>
      </c>
      <c r="AF9" s="121">
        <f t="shared" si="7"/>
        <v>102.71564360677186</v>
      </c>
      <c r="AG9" s="121">
        <f t="shared" si="7"/>
        <v>111.1288656877049</v>
      </c>
      <c r="AH9" s="121">
        <f t="shared" si="7"/>
        <v>119.87321489137578</v>
      </c>
      <c r="AI9" s="121">
        <f t="shared" si="7"/>
        <v>128.94869121778453</v>
      </c>
      <c r="AJ9" s="121">
        <f t="shared" si="7"/>
        <v>138.35529466693094</v>
      </c>
      <c r="AK9" s="121">
        <f t="shared" si="7"/>
        <v>139.94772231831629</v>
      </c>
      <c r="AL9" s="121">
        <f t="shared" si="7"/>
        <v>114.78174568867799</v>
      </c>
      <c r="AM9" s="121">
        <f t="shared" si="7"/>
        <v>93.255546344159427</v>
      </c>
      <c r="AN9" s="121">
        <f t="shared" si="7"/>
        <v>82.364181596776135</v>
      </c>
      <c r="AO9" s="121">
        <f t="shared" si="7"/>
        <v>72.148914600453722</v>
      </c>
      <c r="AP9" s="121">
        <f t="shared" si="7"/>
        <v>75.226994943004286</v>
      </c>
      <c r="AQ9" s="121">
        <f t="shared" si="7"/>
        <v>78.369370814609454</v>
      </c>
      <c r="AR9" s="121">
        <f t="shared" si="7"/>
        <v>75.58402755066821</v>
      </c>
      <c r="AS9" s="121">
        <f t="shared" si="7"/>
        <v>72.127406455197857</v>
      </c>
      <c r="AT9" s="121">
        <f t="shared" si="7"/>
        <v>73.978430783199897</v>
      </c>
      <c r="AU9" s="121">
        <f t="shared" si="7"/>
        <v>77.405920634227115</v>
      </c>
      <c r="AV9" s="121">
        <f t="shared" si="7"/>
        <v>80.911022156882169</v>
      </c>
      <c r="AW9" s="121">
        <f t="shared" si="7"/>
        <v>84.493735351164915</v>
      </c>
      <c r="AX9" s="121">
        <f t="shared" si="7"/>
        <v>88.154060217075482</v>
      </c>
      <c r="AY9" s="121">
        <f t="shared" si="7"/>
        <v>91.891996754613814</v>
      </c>
      <c r="AZ9" s="121">
        <f t="shared" si="7"/>
        <v>95.707544963779753</v>
      </c>
      <c r="BA9" s="121">
        <f t="shared" si="7"/>
        <v>99.600704844573556</v>
      </c>
      <c r="BB9" s="121">
        <f t="shared" si="7"/>
        <v>102.24635526612562</v>
      </c>
      <c r="BC9" s="121">
        <f t="shared" si="7"/>
        <v>102.24635526612562</v>
      </c>
      <c r="BD9" s="121">
        <f t="shared" si="7"/>
        <v>102.24635526612562</v>
      </c>
      <c r="BE9" s="121">
        <f t="shared" si="7"/>
        <v>102.24635526612562</v>
      </c>
      <c r="BF9" s="121">
        <f t="shared" si="7"/>
        <v>102.24635526612562</v>
      </c>
      <c r="BG9" s="121">
        <f t="shared" si="7"/>
        <v>102.24635526612562</v>
      </c>
      <c r="BH9" s="121">
        <f t="shared" si="7"/>
        <v>102.24635526612562</v>
      </c>
      <c r="BI9" s="121">
        <f t="shared" si="7"/>
        <v>102.24635526612562</v>
      </c>
      <c r="BJ9" s="121">
        <f t="shared" si="7"/>
        <v>102.24635526612562</v>
      </c>
      <c r="BK9" s="121">
        <f t="shared" si="7"/>
        <v>102.24635526612562</v>
      </c>
      <c r="BL9" s="121">
        <f t="shared" si="7"/>
        <v>102.24635526612562</v>
      </c>
      <c r="BM9" s="121">
        <f t="shared" si="7"/>
        <v>102.24635526612562</v>
      </c>
      <c r="BN9" s="121">
        <f t="shared" si="7"/>
        <v>102.24635526612562</v>
      </c>
      <c r="BR9" s="4"/>
      <c r="BS9" s="105">
        <f t="shared" si="1"/>
        <v>3.1963470319634701E-2</v>
      </c>
      <c r="BT9" s="109" cm="1">
        <f t="array" aca="1" ref="BT9:DR9" ca="1">TRANSPOSE(MMULT(OFFSET(_xlfn.ANCHORARRAY($P$222),0,0),TRANSPOSE(BT8:DR8)))</f>
        <v>21.050444786747072</v>
      </c>
      <c r="BU9" s="109">
        <f ca="1"/>
        <v>24.101096927539821</v>
      </c>
      <c r="BV9" s="109">
        <f ca="1"/>
        <v>23.727810097339017</v>
      </c>
      <c r="BW9" s="109">
        <f ca="1"/>
        <v>23.012258891354247</v>
      </c>
      <c r="BX9" s="109">
        <f ca="1"/>
        <v>22.254674362709473</v>
      </c>
      <c r="BY9" s="109">
        <f ca="1"/>
        <v>21.47378900637797</v>
      </c>
      <c r="BZ9" s="109">
        <f ca="1"/>
        <v>20.669890894373108</v>
      </c>
      <c r="CA9" s="109">
        <f ca="1"/>
        <v>19.842341835625604</v>
      </c>
      <c r="CB9" s="109">
        <f ca="1"/>
        <v>18.990447380746254</v>
      </c>
      <c r="CC9" s="109">
        <f ca="1"/>
        <v>18.11349136210692</v>
      </c>
      <c r="CD9" s="109">
        <f ca="1"/>
        <v>17.210736504192749</v>
      </c>
      <c r="CE9" s="109">
        <f ca="1"/>
        <v>16.281423842753114</v>
      </c>
      <c r="CF9" s="109">
        <f ca="1"/>
        <v>15.324772128972791</v>
      </c>
      <c r="CG9" s="109">
        <f ca="1"/>
        <v>14.339978109281859</v>
      </c>
      <c r="CH9" s="109">
        <f ca="1"/>
        <v>13.326226832537392</v>
      </c>
      <c r="CI9" s="109">
        <f ca="1"/>
        <v>12.282777984122603</v>
      </c>
      <c r="CJ9" s="109">
        <f ca="1"/>
        <v>11.209311741286491</v>
      </c>
      <c r="CK9" s="109">
        <f ca="1"/>
        <v>10.10673105391038</v>
      </c>
      <c r="CL9" s="109">
        <f ca="1"/>
        <v>8.9782592042519909</v>
      </c>
      <c r="CM9" s="109">
        <f ca="1"/>
        <v>7.8301591733829286</v>
      </c>
      <c r="CN9" s="109">
        <f ca="1"/>
        <v>6.6714353787520171</v>
      </c>
      <c r="CO9" s="110">
        <f ca="1"/>
        <v>5.5125773411020571</v>
      </c>
      <c r="CP9" s="34">
        <f ca="1"/>
        <v>4.3679104694049258</v>
      </c>
      <c r="CQ9" s="9">
        <f ca="1"/>
        <v>3.2744683741400937</v>
      </c>
      <c r="CR9" s="9">
        <f ca="1"/>
        <v>2.2876494412857911</v>
      </c>
      <c r="CS9" s="9">
        <f ca="1"/>
        <v>1.4657787898792451</v>
      </c>
      <c r="CT9" s="9">
        <f ca="1"/>
        <v>0.86348558585713164</v>
      </c>
      <c r="CU9" s="9">
        <f ca="1"/>
        <v>0.46535167266803851</v>
      </c>
      <c r="CV9" s="9">
        <f ca="1"/>
        <v>0.229255927657283</v>
      </c>
      <c r="CW9" s="9">
        <f ca="1"/>
        <v>0.10349165343857229</v>
      </c>
      <c r="CX9" s="9">
        <f ca="1"/>
        <v>4.2970252054084973E-2</v>
      </c>
      <c r="CY9" s="9">
        <f ca="1"/>
        <v>1.6523523837891324E-2</v>
      </c>
      <c r="CZ9" s="9">
        <f ca="1"/>
        <v>5.9351962359744208E-3</v>
      </c>
      <c r="DA9" s="9">
        <f ca="1"/>
        <v>2.0089053246530367E-3</v>
      </c>
      <c r="DB9" s="9">
        <f ca="1"/>
        <v>6.4598523457749563E-4</v>
      </c>
      <c r="DC9" s="9">
        <f ca="1"/>
        <v>1.9878111517514867E-4</v>
      </c>
      <c r="DD9" s="9">
        <f ca="1"/>
        <v>5.8902671993515324E-5</v>
      </c>
      <c r="DE9" s="9">
        <f ca="1"/>
        <v>1.6895722265805896E-5</v>
      </c>
      <c r="DF9" s="9">
        <f ca="1"/>
        <v>4.7064662367725064E-6</v>
      </c>
      <c r="DG9" s="9">
        <f ca="1"/>
        <v>1.2750056923186576E-6</v>
      </c>
      <c r="DH9" s="9">
        <f ca="1"/>
        <v>3.3695943784316983E-7</v>
      </c>
      <c r="DI9" s="9">
        <f ca="1"/>
        <v>8.7105247004055111E-8</v>
      </c>
      <c r="DJ9" s="9">
        <f ca="1"/>
        <v>2.2075015054858462E-8</v>
      </c>
      <c r="DK9" s="9">
        <f ca="1"/>
        <v>5.4954035291037205E-9</v>
      </c>
      <c r="DL9" s="9">
        <f ca="1"/>
        <v>1.3461004349404541E-9</v>
      </c>
      <c r="DM9" s="9">
        <f ca="1"/>
        <v>3.2491968491502207E-10</v>
      </c>
      <c r="DN9" s="9">
        <f ca="1"/>
        <v>7.7384805508464869E-11</v>
      </c>
      <c r="DO9" s="9">
        <f ca="1"/>
        <v>1.8205660049080981E-11</v>
      </c>
      <c r="DP9" s="9">
        <f ca="1"/>
        <v>4.2346510294329281E-12</v>
      </c>
      <c r="DQ9" s="9">
        <f ca="1"/>
        <v>9.7267524289146582E-13</v>
      </c>
      <c r="DR9" s="9">
        <f ca="1"/>
        <v>2.1139381002078887E-13</v>
      </c>
    </row>
    <row r="10" spans="1:122" x14ac:dyDescent="0.25">
      <c r="A10" s="96" t="s">
        <v>53</v>
      </c>
      <c r="B10" s="29">
        <v>19</v>
      </c>
      <c r="C10" s="80" t="s">
        <v>73</v>
      </c>
      <c r="D10" s="27">
        <f>D12^2</f>
        <v>8.4066364050410338E-4</v>
      </c>
      <c r="E10" s="31"/>
      <c r="F10" s="31"/>
      <c r="G10" s="31"/>
      <c r="H10" s="31"/>
      <c r="I10" s="31"/>
      <c r="J10" s="90"/>
      <c r="K10" s="46">
        <v>1.3698630136986301E-2</v>
      </c>
      <c r="L10" s="46">
        <v>0.11004566210045662</v>
      </c>
      <c r="M10" s="29"/>
      <c r="N10" s="132"/>
      <c r="O10" s="81" t="s">
        <v>3</v>
      </c>
      <c r="P10" s="121">
        <f>-($B$3-$B$4+(P8%^2)/2)/$D$35</f>
        <v>-0.30953757583111879</v>
      </c>
      <c r="Q10" s="121">
        <f t="shared" ref="Q10:BN10" si="8">-($B$3-$B$4+(Q8%^2)/2)/$D$35</f>
        <v>-0.30953757583111879</v>
      </c>
      <c r="R10" s="121">
        <f t="shared" si="8"/>
        <v>-0.30953757583111879</v>
      </c>
      <c r="S10" s="121">
        <f t="shared" si="8"/>
        <v>-0.34033862854255953</v>
      </c>
      <c r="T10" s="121">
        <f t="shared" si="8"/>
        <v>-0.39990097147167575</v>
      </c>
      <c r="U10" s="121">
        <f t="shared" si="8"/>
        <v>-0.46426369743143164</v>
      </c>
      <c r="V10" s="121">
        <f t="shared" si="8"/>
        <v>-0.53342680642182716</v>
      </c>
      <c r="W10" s="121">
        <f t="shared" si="8"/>
        <v>-0.60739029844286385</v>
      </c>
      <c r="X10" s="121">
        <f t="shared" si="8"/>
        <v>-0.68615417349453867</v>
      </c>
      <c r="Y10" s="121">
        <f t="shared" si="8"/>
        <v>-0.76971843157685371</v>
      </c>
      <c r="Z10" s="121">
        <f t="shared" si="8"/>
        <v>-0.8580830726898081</v>
      </c>
      <c r="AA10" s="121">
        <f t="shared" si="8"/>
        <v>-0.95124809683340383</v>
      </c>
      <c r="AB10" s="121">
        <f t="shared" si="8"/>
        <v>-1.0492135040076376</v>
      </c>
      <c r="AC10" s="121">
        <f t="shared" si="8"/>
        <v>-1.1519792942125111</v>
      </c>
      <c r="AD10" s="121">
        <f t="shared" si="8"/>
        <v>-1.2595454674480244</v>
      </c>
      <c r="AE10" s="121">
        <f t="shared" si="8"/>
        <v>-1.3719120237141793</v>
      </c>
      <c r="AF10" s="121">
        <f t="shared" si="8"/>
        <v>-1.4890789630109724</v>
      </c>
      <c r="AG10" s="121">
        <f t="shared" si="8"/>
        <v>-1.6110462853384044</v>
      </c>
      <c r="AH10" s="121">
        <f t="shared" si="8"/>
        <v>-1.7378139906964771</v>
      </c>
      <c r="AI10" s="121">
        <f t="shared" si="8"/>
        <v>-1.8693820790851907</v>
      </c>
      <c r="AJ10" s="121">
        <f t="shared" si="8"/>
        <v>-2.0057505505045423</v>
      </c>
      <c r="AK10" s="121">
        <f t="shared" si="8"/>
        <v>-2.0288361335036891</v>
      </c>
      <c r="AL10" s="121">
        <f t="shared" si="8"/>
        <v>-1.6640024522167076</v>
      </c>
      <c r="AM10" s="121">
        <f t="shared" si="8"/>
        <v>-1.3519349864252563</v>
      </c>
      <c r="AN10" s="121">
        <f t="shared" si="8"/>
        <v>-1.1940417819013591</v>
      </c>
      <c r="AO10" s="121">
        <f t="shared" si="8"/>
        <v>-1.0459500341243815</v>
      </c>
      <c r="AP10" s="121">
        <f t="shared" si="8"/>
        <v>-1.0905732728405477</v>
      </c>
      <c r="AQ10" s="121">
        <f t="shared" si="8"/>
        <v>-1.1361286102747772</v>
      </c>
      <c r="AR10" s="121">
        <f t="shared" si="8"/>
        <v>-1.0957492102782436</v>
      </c>
      <c r="AS10" s="121">
        <f t="shared" si="8"/>
        <v>-1.0456382283905195</v>
      </c>
      <c r="AT10" s="121">
        <f t="shared" si="8"/>
        <v>-1.0724727132855512</v>
      </c>
      <c r="AU10" s="121">
        <f t="shared" si="8"/>
        <v>-1.1221613766077343</v>
      </c>
      <c r="AV10" s="121">
        <f t="shared" si="8"/>
        <v>-1.1729751840992668</v>
      </c>
      <c r="AW10" s="121">
        <f t="shared" si="8"/>
        <v>-1.2249141357601467</v>
      </c>
      <c r="AX10" s="121">
        <f t="shared" si="8"/>
        <v>-1.2779782315903756</v>
      </c>
      <c r="AY10" s="121">
        <f t="shared" si="8"/>
        <v>-1.3321674715899527</v>
      </c>
      <c r="AZ10" s="121">
        <f t="shared" si="8"/>
        <v>-1.3874818557588762</v>
      </c>
      <c r="BA10" s="121">
        <f t="shared" si="8"/>
        <v>-1.4439213840971492</v>
      </c>
      <c r="BB10" s="121">
        <f t="shared" si="8"/>
        <v>-1.4822756429800148</v>
      </c>
      <c r="BC10" s="121">
        <f t="shared" si="8"/>
        <v>-1.4822756429800148</v>
      </c>
      <c r="BD10" s="121">
        <f t="shared" si="8"/>
        <v>-1.4822756429800148</v>
      </c>
      <c r="BE10" s="121">
        <f t="shared" si="8"/>
        <v>-1.4822756429800148</v>
      </c>
      <c r="BF10" s="121">
        <f t="shared" si="8"/>
        <v>-1.4822756429800148</v>
      </c>
      <c r="BG10" s="121">
        <f t="shared" si="8"/>
        <v>-1.4822756429800148</v>
      </c>
      <c r="BH10" s="121">
        <f t="shared" si="8"/>
        <v>-1.4822756429800148</v>
      </c>
      <c r="BI10" s="121">
        <f t="shared" si="8"/>
        <v>-1.4822756429800148</v>
      </c>
      <c r="BJ10" s="121">
        <f t="shared" si="8"/>
        <v>-1.4822756429800148</v>
      </c>
      <c r="BK10" s="121">
        <f t="shared" si="8"/>
        <v>-1.4822756429800148</v>
      </c>
      <c r="BL10" s="121">
        <f t="shared" si="8"/>
        <v>-1.4822756429800148</v>
      </c>
      <c r="BM10" s="121">
        <f t="shared" si="8"/>
        <v>-1.4822756429800148</v>
      </c>
      <c r="BN10" s="121">
        <f t="shared" si="8"/>
        <v>-1.4822756429800148</v>
      </c>
      <c r="BR10" s="4"/>
      <c r="BS10" s="105">
        <f t="shared" si="1"/>
        <v>3.6529680365296802E-2</v>
      </c>
      <c r="BT10" s="109" cm="1">
        <f t="array" aca="1" ref="BT10:DR10" ca="1">TRANSPOSE(MMULT(OFFSET(_xlfn.ANCHORARRAY($P$222),0,0),TRANSPOSE(BT9:DR9)))</f>
        <v>20.571885745138538</v>
      </c>
      <c r="BU10" s="109">
        <f ca="1"/>
        <v>24.004579529895633</v>
      </c>
      <c r="BV10" s="109">
        <f ca="1"/>
        <v>23.718035192425237</v>
      </c>
      <c r="BW10" s="109">
        <f ca="1"/>
        <v>23.011591584947411</v>
      </c>
      <c r="BX10" s="109">
        <f ca="1"/>
        <v>22.254639591351843</v>
      </c>
      <c r="BY10" s="109">
        <f ca="1"/>
        <v>21.473787559154935</v>
      </c>
      <c r="BZ10" s="109">
        <f ca="1"/>
        <v>20.669890883801187</v>
      </c>
      <c r="CA10" s="109">
        <f ca="1"/>
        <v>19.842341879386268</v>
      </c>
      <c r="CB10" s="109">
        <f ca="1"/>
        <v>18.990447427583764</v>
      </c>
      <c r="CC10" s="109">
        <f ca="1"/>
        <v>18.113491410378664</v>
      </c>
      <c r="CD10" s="109">
        <f ca="1"/>
        <v>17.210736553960846</v>
      </c>
      <c r="CE10" s="109">
        <f ca="1"/>
        <v>16.281423895679669</v>
      </c>
      <c r="CF10" s="109">
        <f ca="1"/>
        <v>15.32477222524998</v>
      </c>
      <c r="CG10" s="109">
        <f ca="1"/>
        <v>14.339979422499875</v>
      </c>
      <c r="CH10" s="109">
        <f ca="1"/>
        <v>13.326247611265133</v>
      </c>
      <c r="CI10" s="109">
        <f ca="1"/>
        <v>12.282951652186059</v>
      </c>
      <c r="CJ10" s="109">
        <f ca="1"/>
        <v>11.210193546356901</v>
      </c>
      <c r="CK10" s="109">
        <f ca="1"/>
        <v>10.109808913274835</v>
      </c>
      <c r="CL10" s="109">
        <f ca="1"/>
        <v>8.9863278420831723</v>
      </c>
      <c r="CM10" s="109">
        <f ca="1"/>
        <v>7.8471324620600642</v>
      </c>
      <c r="CN10" s="109">
        <f ca="1"/>
        <v>6.7015842024078536</v>
      </c>
      <c r="CO10" s="110">
        <f ca="1"/>
        <v>5.559583644022565</v>
      </c>
      <c r="CP10" s="34">
        <f ca="1"/>
        <v>4.4343038457007395</v>
      </c>
      <c r="CQ10" s="9">
        <f ca="1"/>
        <v>3.3609424820353664</v>
      </c>
      <c r="CR10" s="9">
        <f ca="1"/>
        <v>2.3905380265372802</v>
      </c>
      <c r="CS10" s="9">
        <f ca="1"/>
        <v>1.5752833875403347</v>
      </c>
      <c r="CT10" s="9">
        <f ca="1"/>
        <v>0.96478631482968924</v>
      </c>
      <c r="CU10" s="9">
        <f ca="1"/>
        <v>0.54676181894077125</v>
      </c>
      <c r="CV10" s="9">
        <f ca="1"/>
        <v>0.28632932229887897</v>
      </c>
      <c r="CW10" s="9">
        <f ca="1"/>
        <v>0.13866021487577032</v>
      </c>
      <c r="CX10" s="9">
        <f ca="1"/>
        <v>6.2191536692869358E-2</v>
      </c>
      <c r="CY10" s="9">
        <f ca="1"/>
        <v>2.5943611435797299E-2</v>
      </c>
      <c r="CZ10" s="9">
        <f ca="1"/>
        <v>1.0125973165217406E-2</v>
      </c>
      <c r="DA10" s="9">
        <f ca="1"/>
        <v>3.7224683338472945E-3</v>
      </c>
      <c r="DB10" s="9">
        <f ca="1"/>
        <v>1.2975604539245981E-3</v>
      </c>
      <c r="DC10" s="9">
        <f ca="1"/>
        <v>4.3161201379783256E-4</v>
      </c>
      <c r="DD10" s="9">
        <f ca="1"/>
        <v>1.3779925105117415E-4</v>
      </c>
      <c r="DE10" s="9">
        <f ca="1"/>
        <v>4.2440684154554041E-5</v>
      </c>
      <c r="DF10" s="9">
        <f ca="1"/>
        <v>1.2650726298510459E-5</v>
      </c>
      <c r="DG10" s="9">
        <f ca="1"/>
        <v>3.6555982466539717E-6</v>
      </c>
      <c r="DH10" s="9">
        <f ca="1"/>
        <v>1.0273544998894976E-6</v>
      </c>
      <c r="DI10" s="9">
        <f ca="1"/>
        <v>2.8159621881112428E-7</v>
      </c>
      <c r="DJ10" s="9">
        <f ca="1"/>
        <v>7.5464860369436017E-8</v>
      </c>
      <c r="DK10" s="9">
        <f ca="1"/>
        <v>1.9815469244292292E-8</v>
      </c>
      <c r="DL10" s="9">
        <f ca="1"/>
        <v>5.1076217382325852E-9</v>
      </c>
      <c r="DM10" s="9">
        <f ca="1"/>
        <v>1.2944966488248768E-9</v>
      </c>
      <c r="DN10" s="9">
        <f ca="1"/>
        <v>3.2305634076605036E-10</v>
      </c>
      <c r="DO10" s="9">
        <f ca="1"/>
        <v>7.9488055585485246E-11</v>
      </c>
      <c r="DP10" s="9">
        <f ca="1"/>
        <v>1.9302227922008194E-11</v>
      </c>
      <c r="DQ10" s="9">
        <f ca="1"/>
        <v>4.6194525280667276E-12</v>
      </c>
      <c r="DR10" s="9">
        <f ca="1"/>
        <v>1.0409848190369237E-12</v>
      </c>
    </row>
    <row r="11" spans="1:122" x14ac:dyDescent="0.25">
      <c r="A11" s="96" t="s">
        <v>54</v>
      </c>
      <c r="B11" s="97">
        <v>51</v>
      </c>
      <c r="C11" s="80" t="s">
        <v>70</v>
      </c>
      <c r="D11" s="27">
        <f>K9-K8</f>
        <v>4.5662100456621002E-3</v>
      </c>
      <c r="E11" s="31"/>
      <c r="F11" s="31"/>
      <c r="G11" s="31"/>
      <c r="H11" s="31"/>
      <c r="I11" s="31"/>
      <c r="J11" s="91"/>
      <c r="K11" s="46">
        <v>1.8264840182648401E-2</v>
      </c>
      <c r="L11" s="46">
        <v>0.11933028919330288</v>
      </c>
      <c r="M11" s="29"/>
      <c r="N11" s="132"/>
      <c r="O11" s="81" t="s">
        <v>58</v>
      </c>
      <c r="P11" s="121">
        <f>-$B$4</f>
        <v>0</v>
      </c>
      <c r="Q11" s="121">
        <f t="shared" ref="Q11:BN11" si="9">-$B$4</f>
        <v>0</v>
      </c>
      <c r="R11" s="121">
        <f t="shared" si="9"/>
        <v>0</v>
      </c>
      <c r="S11" s="121">
        <f t="shared" si="9"/>
        <v>0</v>
      </c>
      <c r="T11" s="121">
        <f t="shared" si="9"/>
        <v>0</v>
      </c>
      <c r="U11" s="121">
        <f t="shared" si="9"/>
        <v>0</v>
      </c>
      <c r="V11" s="121">
        <f t="shared" si="9"/>
        <v>0</v>
      </c>
      <c r="W11" s="121">
        <f t="shared" si="9"/>
        <v>0</v>
      </c>
      <c r="X11" s="121">
        <f t="shared" si="9"/>
        <v>0</v>
      </c>
      <c r="Y11" s="121">
        <f t="shared" si="9"/>
        <v>0</v>
      </c>
      <c r="Z11" s="121">
        <f t="shared" si="9"/>
        <v>0</v>
      </c>
      <c r="AA11" s="121">
        <f t="shared" si="9"/>
        <v>0</v>
      </c>
      <c r="AB11" s="121">
        <f t="shared" si="9"/>
        <v>0</v>
      </c>
      <c r="AC11" s="121">
        <f t="shared" si="9"/>
        <v>0</v>
      </c>
      <c r="AD11" s="121">
        <f t="shared" si="9"/>
        <v>0</v>
      </c>
      <c r="AE11" s="121">
        <f t="shared" si="9"/>
        <v>0</v>
      </c>
      <c r="AF11" s="121">
        <f t="shared" si="9"/>
        <v>0</v>
      </c>
      <c r="AG11" s="121">
        <f t="shared" si="9"/>
        <v>0</v>
      </c>
      <c r="AH11" s="121">
        <f t="shared" si="9"/>
        <v>0</v>
      </c>
      <c r="AI11" s="121">
        <f t="shared" si="9"/>
        <v>0</v>
      </c>
      <c r="AJ11" s="121">
        <f t="shared" si="9"/>
        <v>0</v>
      </c>
      <c r="AK11" s="121">
        <f t="shared" si="9"/>
        <v>0</v>
      </c>
      <c r="AL11" s="121">
        <f t="shared" si="9"/>
        <v>0</v>
      </c>
      <c r="AM11" s="121">
        <f t="shared" si="9"/>
        <v>0</v>
      </c>
      <c r="AN11" s="121">
        <f t="shared" si="9"/>
        <v>0</v>
      </c>
      <c r="AO11" s="121">
        <f t="shared" si="9"/>
        <v>0</v>
      </c>
      <c r="AP11" s="121">
        <f t="shared" si="9"/>
        <v>0</v>
      </c>
      <c r="AQ11" s="121">
        <f t="shared" si="9"/>
        <v>0</v>
      </c>
      <c r="AR11" s="121">
        <f t="shared" si="9"/>
        <v>0</v>
      </c>
      <c r="AS11" s="121">
        <f t="shared" si="9"/>
        <v>0</v>
      </c>
      <c r="AT11" s="121">
        <f t="shared" si="9"/>
        <v>0</v>
      </c>
      <c r="AU11" s="121">
        <f t="shared" si="9"/>
        <v>0</v>
      </c>
      <c r="AV11" s="121">
        <f t="shared" si="9"/>
        <v>0</v>
      </c>
      <c r="AW11" s="121">
        <f t="shared" si="9"/>
        <v>0</v>
      </c>
      <c r="AX11" s="121">
        <f t="shared" si="9"/>
        <v>0</v>
      </c>
      <c r="AY11" s="121">
        <f t="shared" si="9"/>
        <v>0</v>
      </c>
      <c r="AZ11" s="121">
        <f t="shared" si="9"/>
        <v>0</v>
      </c>
      <c r="BA11" s="121">
        <f t="shared" si="9"/>
        <v>0</v>
      </c>
      <c r="BB11" s="121">
        <f t="shared" si="9"/>
        <v>0</v>
      </c>
      <c r="BC11" s="121">
        <f t="shared" si="9"/>
        <v>0</v>
      </c>
      <c r="BD11" s="121">
        <f t="shared" si="9"/>
        <v>0</v>
      </c>
      <c r="BE11" s="121">
        <f t="shared" si="9"/>
        <v>0</v>
      </c>
      <c r="BF11" s="121">
        <f t="shared" si="9"/>
        <v>0</v>
      </c>
      <c r="BG11" s="121">
        <f t="shared" si="9"/>
        <v>0</v>
      </c>
      <c r="BH11" s="121">
        <f t="shared" si="9"/>
        <v>0</v>
      </c>
      <c r="BI11" s="121">
        <f t="shared" si="9"/>
        <v>0</v>
      </c>
      <c r="BJ11" s="121">
        <f t="shared" si="9"/>
        <v>0</v>
      </c>
      <c r="BK11" s="121">
        <f t="shared" si="9"/>
        <v>0</v>
      </c>
      <c r="BL11" s="121">
        <f t="shared" si="9"/>
        <v>0</v>
      </c>
      <c r="BM11" s="121">
        <f t="shared" si="9"/>
        <v>0</v>
      </c>
      <c r="BN11" s="121">
        <f t="shared" si="9"/>
        <v>0</v>
      </c>
      <c r="BR11" s="4"/>
      <c r="BS11" s="105">
        <f t="shared" si="1"/>
        <v>4.1095890410958902E-2</v>
      </c>
      <c r="BT11" s="109" cm="1">
        <f t="array" aca="1" ref="BT11:DR11" ca="1">TRANSPOSE(MMULT(OFFSET(_xlfn.ANCHORARRAY($P$222),0,0),TRANSPOSE(BT10:DR10)))</f>
        <v>20.115652806292587</v>
      </c>
      <c r="BU11" s="109">
        <f ca="1"/>
        <v>23.900470579364608</v>
      </c>
      <c r="BV11" s="109">
        <f ca="1"/>
        <v>23.706101192366695</v>
      </c>
      <c r="BW11" s="109">
        <f ca="1"/>
        <v>23.010671405886239</v>
      </c>
      <c r="BX11" s="109">
        <f ca="1"/>
        <v>22.254585630714953</v>
      </c>
      <c r="BY11" s="109">
        <f ca="1"/>
        <v>21.473785015466337</v>
      </c>
      <c r="BZ11" s="109">
        <f ca="1"/>
        <v>20.669890822214338</v>
      </c>
      <c r="CA11" s="109">
        <f ca="1"/>
        <v>19.842341921117889</v>
      </c>
      <c r="CB11" s="109">
        <f ca="1"/>
        <v>18.990447474350074</v>
      </c>
      <c r="CC11" s="109">
        <f ca="1"/>
        <v>18.113491458650781</v>
      </c>
      <c r="CD11" s="109">
        <f ca="1"/>
        <v>17.210736603791435</v>
      </c>
      <c r="CE11" s="109">
        <f ca="1"/>
        <v>16.2814239502449</v>
      </c>
      <c r="CF11" s="109">
        <f ca="1"/>
        <v>15.324772369105778</v>
      </c>
      <c r="CG11" s="109">
        <f ca="1"/>
        <v>14.339982101242256</v>
      </c>
      <c r="CH11" s="109">
        <f ca="1"/>
        <v>13.326287081036826</v>
      </c>
      <c r="CI11" s="109">
        <f ca="1"/>
        <v>12.28324541557051</v>
      </c>
      <c r="CJ11" s="109">
        <f ca="1"/>
        <v>11.21152189733376</v>
      </c>
      <c r="CK11" s="109">
        <f ca="1"/>
        <v>10.113977423069594</v>
      </c>
      <c r="CL11" s="109">
        <f ca="1"/>
        <v>8.9962976767653551</v>
      </c>
      <c r="CM11" s="109">
        <f ca="1"/>
        <v>7.8665908927907724</v>
      </c>
      <c r="CN11" s="109">
        <f ca="1"/>
        <v>6.7341686778437735</v>
      </c>
      <c r="CO11" s="110">
        <f ca="1"/>
        <v>5.608138658424588</v>
      </c>
      <c r="CP11" s="34">
        <f ca="1"/>
        <v>4.5005143512451387</v>
      </c>
      <c r="CQ11" s="9">
        <f ca="1"/>
        <v>3.4447366013288825</v>
      </c>
      <c r="CR11" s="9">
        <f ca="1"/>
        <v>2.4882191676907048</v>
      </c>
      <c r="CS11" s="9">
        <f ca="1"/>
        <v>1.6784261434061201</v>
      </c>
      <c r="CT11" s="9">
        <f ca="1"/>
        <v>1.0611152445841507</v>
      </c>
      <c r="CU11" s="9">
        <f ca="1"/>
        <v>0.62630405510371001</v>
      </c>
      <c r="CV11" s="9">
        <f ca="1"/>
        <v>0.3445672862852821</v>
      </c>
      <c r="CW11" s="9">
        <f ca="1"/>
        <v>0.1766694726831366</v>
      </c>
      <c r="CX11" s="9">
        <f ca="1"/>
        <v>8.444576228894822E-2</v>
      </c>
      <c r="CY11" s="9">
        <f ca="1"/>
        <v>3.7723102955761957E-2</v>
      </c>
      <c r="CZ11" s="9">
        <f ca="1"/>
        <v>1.581335287897578E-2</v>
      </c>
      <c r="DA11" s="9">
        <f ca="1"/>
        <v>6.2510872163336825E-3</v>
      </c>
      <c r="DB11" s="9">
        <f ca="1"/>
        <v>2.3426182330318667E-3</v>
      </c>
      <c r="DC11" s="9">
        <f ca="1"/>
        <v>8.3671406918552288E-4</v>
      </c>
      <c r="DD11" s="9">
        <f ca="1"/>
        <v>2.8628486158953364E-4</v>
      </c>
      <c r="DE11" s="9">
        <f ca="1"/>
        <v>9.4270401819167868E-5</v>
      </c>
      <c r="DF11" s="9">
        <f ca="1"/>
        <v>2.9967473924235701E-5</v>
      </c>
      <c r="DG11" s="9">
        <f ca="1"/>
        <v>9.2118462553551052E-6</v>
      </c>
      <c r="DH11" s="9">
        <f ca="1"/>
        <v>2.7470778453832158E-6</v>
      </c>
      <c r="DI11" s="9">
        <f ca="1"/>
        <v>7.9702477971382235E-7</v>
      </c>
      <c r="DJ11" s="9">
        <f ca="1"/>
        <v>2.2555627117440034E-7</v>
      </c>
      <c r="DK11" s="9">
        <f ca="1"/>
        <v>6.2401919723942479E-8</v>
      </c>
      <c r="DL11" s="9">
        <f ca="1"/>
        <v>1.6910863685926868E-8</v>
      </c>
      <c r="DM11" s="9">
        <f ca="1"/>
        <v>4.4970146933200296E-9</v>
      </c>
      <c r="DN11" s="9">
        <f ca="1"/>
        <v>1.175311059148806E-9</v>
      </c>
      <c r="DO11" s="9">
        <f ca="1"/>
        <v>3.0230943421192996E-10</v>
      </c>
      <c r="DP11" s="9">
        <f ca="1"/>
        <v>7.661101469057897E-11</v>
      </c>
      <c r="DQ11" s="9">
        <f ca="1"/>
        <v>1.9096691092045983E-11</v>
      </c>
      <c r="DR11" s="9">
        <f ca="1"/>
        <v>4.4599680053180064E-12</v>
      </c>
    </row>
    <row r="12" spans="1:122" x14ac:dyDescent="0.25">
      <c r="A12" s="80"/>
      <c r="C12" s="80" t="s">
        <v>71</v>
      </c>
      <c r="D12" s="27">
        <f>Q2-P2</f>
        <v>2.8994200118370284E-2</v>
      </c>
      <c r="E12" s="31"/>
      <c r="F12" s="31"/>
      <c r="G12" s="31"/>
      <c r="H12" s="31"/>
      <c r="I12" s="31"/>
      <c r="J12" s="89"/>
      <c r="K12" s="46">
        <v>2.2831050228310501E-2</v>
      </c>
      <c r="L12" s="46">
        <v>0.12861491628614916</v>
      </c>
      <c r="M12" s="29"/>
      <c r="N12" s="30"/>
      <c r="BR12" s="4"/>
      <c r="BS12" s="105">
        <f t="shared" si="1"/>
        <v>4.5662100456621002E-2</v>
      </c>
      <c r="BT12" s="109" cm="1">
        <f t="array" aca="1" ref="BT12:DR12" ca="1">TRANSPOSE(MMULT(OFFSET(_xlfn.ANCHORARRAY($P$222),0,0),TRANSPOSE(BT11:DR11)))</f>
        <v>19.680401468030695</v>
      </c>
      <c r="BU12" s="109">
        <f ca="1"/>
        <v>23.789680074989146</v>
      </c>
      <c r="BV12" s="109">
        <f ca="1"/>
        <v>23.691925025294918</v>
      </c>
      <c r="BW12" s="109">
        <f ca="1"/>
        <v>23.009452861979074</v>
      </c>
      <c r="BX12" s="109">
        <f ca="1"/>
        <v>22.254506170513327</v>
      </c>
      <c r="BY12" s="109">
        <f ca="1"/>
        <v>21.473780840944091</v>
      </c>
      <c r="BZ12" s="109">
        <f ca="1"/>
        <v>20.669890676205881</v>
      </c>
      <c r="CA12" s="109">
        <f ca="1"/>
        <v>19.842341959136174</v>
      </c>
      <c r="CB12" s="109">
        <f ca="1"/>
        <v>18.99044752097312</v>
      </c>
      <c r="CC12" s="109">
        <f ca="1"/>
        <v>18.113491506922802</v>
      </c>
      <c r="CD12" s="109">
        <f ca="1"/>
        <v>17.210736653745396</v>
      </c>
      <c r="CE12" s="109">
        <f ca="1"/>
        <v>16.281424008174636</v>
      </c>
      <c r="CF12" s="109">
        <f ca="1"/>
        <v>15.324772606482734</v>
      </c>
      <c r="CG12" s="109">
        <f ca="1"/>
        <v>14.339987186627777</v>
      </c>
      <c r="CH12" s="109">
        <f ca="1"/>
        <v>13.326355316915388</v>
      </c>
      <c r="CI12" s="109">
        <f ca="1"/>
        <v>12.283699779272457</v>
      </c>
      <c r="CJ12" s="109">
        <f ca="1"/>
        <v>11.213370901274669</v>
      </c>
      <c r="CK12" s="109">
        <f ca="1"/>
        <v>10.119267247820584</v>
      </c>
      <c r="CL12" s="109">
        <f ca="1"/>
        <v>9.0080173340745038</v>
      </c>
      <c r="CM12" s="109">
        <f ca="1"/>
        <v>7.8881166666809568</v>
      </c>
      <c r="CN12" s="109">
        <f ca="1"/>
        <v>6.7685594116298766</v>
      </c>
      <c r="CO12" s="110">
        <f ca="1"/>
        <v>5.6575806305447403</v>
      </c>
      <c r="CP12" s="34">
        <f ca="1"/>
        <v>4.5660958581262729</v>
      </c>
      <c r="CQ12" s="9">
        <f ca="1"/>
        <v>3.5259139401494251</v>
      </c>
      <c r="CR12" s="9">
        <f ca="1"/>
        <v>2.5813939246878839</v>
      </c>
      <c r="CS12" s="9">
        <f ca="1"/>
        <v>1.7762433350136313</v>
      </c>
      <c r="CT12" s="9">
        <f ca="1"/>
        <v>1.1531683503238019</v>
      </c>
      <c r="CU12" s="9">
        <f ca="1"/>
        <v>0.70394829887144994</v>
      </c>
      <c r="CV12" s="9">
        <f ca="1"/>
        <v>0.40339079430756714</v>
      </c>
      <c r="CW12" s="9">
        <f ca="1"/>
        <v>0.21685488534021594</v>
      </c>
      <c r="CX12" s="9">
        <f ca="1"/>
        <v>0.109316517104166</v>
      </c>
      <c r="CY12" s="9">
        <f ca="1"/>
        <v>5.1747034811757242E-2</v>
      </c>
      <c r="CZ12" s="9">
        <f ca="1"/>
        <v>2.3066204013091705E-2</v>
      </c>
      <c r="DA12" s="9">
        <f ca="1"/>
        <v>9.7165470403902769E-3</v>
      </c>
      <c r="DB12" s="9">
        <f ca="1"/>
        <v>3.8839116235556146E-3</v>
      </c>
      <c r="DC12" s="9">
        <f ca="1"/>
        <v>1.4795476485084036E-3</v>
      </c>
      <c r="DD12" s="9">
        <f ca="1"/>
        <v>5.3947737743943768E-4</v>
      </c>
      <c r="DE12" s="9">
        <f ca="1"/>
        <v>1.8904765883078479E-4</v>
      </c>
      <c r="DF12" s="9">
        <f ca="1"/>
        <v>6.3845265811895941E-5</v>
      </c>
      <c r="DG12" s="9">
        <f ca="1"/>
        <v>2.0812310319028598E-5</v>
      </c>
      <c r="DH12" s="9">
        <f ca="1"/>
        <v>6.5689559558198641E-6</v>
      </c>
      <c r="DI12" s="9">
        <f ca="1"/>
        <v>2.0131846405766929E-6</v>
      </c>
      <c r="DJ12" s="9">
        <f ca="1"/>
        <v>6.0060497616004504E-7</v>
      </c>
      <c r="DK12" s="9">
        <f ca="1"/>
        <v>1.7482631643211541E-7</v>
      </c>
      <c r="DL12" s="9">
        <f ca="1"/>
        <v>4.9754090256293097E-8</v>
      </c>
      <c r="DM12" s="9">
        <f ca="1"/>
        <v>1.386926378395344E-8</v>
      </c>
      <c r="DN12" s="9">
        <f ca="1"/>
        <v>3.7931124225421944E-9</v>
      </c>
      <c r="DO12" s="9">
        <f ca="1"/>
        <v>1.0192761935179152E-9</v>
      </c>
      <c r="DP12" s="9">
        <f ca="1"/>
        <v>2.6942213536021925E-10</v>
      </c>
      <c r="DQ12" s="9">
        <f ca="1"/>
        <v>6.9914841708722433E-11</v>
      </c>
      <c r="DR12" s="9">
        <f ca="1"/>
        <v>1.6912036454061878E-11</v>
      </c>
    </row>
    <row r="13" spans="1:122" x14ac:dyDescent="0.25">
      <c r="A13" s="85" t="s">
        <v>36</v>
      </c>
      <c r="C13" s="31"/>
      <c r="D13" s="31"/>
      <c r="E13" s="31"/>
      <c r="F13" s="31"/>
      <c r="G13" s="31"/>
      <c r="H13" s="31"/>
      <c r="I13" s="31"/>
      <c r="J13" s="90"/>
      <c r="K13" s="46">
        <v>2.7397260273972601E-2</v>
      </c>
      <c r="L13" s="46">
        <v>0.13789954337899543</v>
      </c>
      <c r="M13" s="29"/>
      <c r="N13" s="30"/>
      <c r="BI13" s="29"/>
      <c r="BJ13" s="29"/>
      <c r="BR13" s="4"/>
      <c r="BS13" s="105">
        <f t="shared" si="1"/>
        <v>5.0228310502283102E-2</v>
      </c>
      <c r="BT13" s="109" cm="1">
        <f t="array" aca="1" ref="BT13:DR13" ca="1">TRANSPOSE(MMULT(OFFSET(_xlfn.ANCHORARRAY($P$222),0,0),TRANSPOSE(BT12:DR12)))</f>
        <v>19.264879437657314</v>
      </c>
      <c r="BU13" s="109">
        <f ca="1"/>
        <v>23.673034611176121</v>
      </c>
      <c r="BV13" s="109">
        <f ca="1"/>
        <v>23.675449694124776</v>
      </c>
      <c r="BW13" s="109">
        <f ca="1"/>
        <v>23.007890806504175</v>
      </c>
      <c r="BX13" s="109">
        <f ca="1"/>
        <v>22.254394017126636</v>
      </c>
      <c r="BY13" s="109">
        <f ca="1"/>
        <v>21.473774349793725</v>
      </c>
      <c r="BZ13" s="109">
        <f ca="1"/>
        <v>20.669890397951075</v>
      </c>
      <c r="CA13" s="109">
        <f ca="1"/>
        <v>19.842341990770063</v>
      </c>
      <c r="CB13" s="109">
        <f ca="1"/>
        <v>18.990447567327099</v>
      </c>
      <c r="CC13" s="109">
        <f ca="1"/>
        <v>18.113491555194006</v>
      </c>
      <c r="CD13" s="109">
        <f ca="1"/>
        <v>17.210736703943606</v>
      </c>
      <c r="CE13" s="109">
        <f ca="1"/>
        <v>16.281424072670841</v>
      </c>
      <c r="CF13" s="109">
        <f ca="1"/>
        <v>15.324773013417408</v>
      </c>
      <c r="CG13" s="109">
        <f ca="1"/>
        <v>14.339996166720281</v>
      </c>
      <c r="CH13" s="109">
        <f ca="1"/>
        <v>13.326464400053011</v>
      </c>
      <c r="CI13" s="109">
        <f ca="1"/>
        <v>12.284354085890728</v>
      </c>
      <c r="CJ13" s="109">
        <f ca="1"/>
        <v>11.21579287671665</v>
      </c>
      <c r="CK13" s="109">
        <f ca="1"/>
        <v>10.125663897996581</v>
      </c>
      <c r="CL13" s="109">
        <f ca="1"/>
        <v>9.0213087035115453</v>
      </c>
      <c r="CM13" s="109">
        <f ca="1"/>
        <v>7.9113398398906813</v>
      </c>
      <c r="CN13" s="109">
        <f ca="1"/>
        <v>6.8042681802244971</v>
      </c>
      <c r="CO13" s="110">
        <f ca="1"/>
        <v>5.7074475389227084</v>
      </c>
      <c r="CP13" s="34">
        <f ca="1"/>
        <v>4.6307833568189691</v>
      </c>
      <c r="CQ13" s="9">
        <f ca="1"/>
        <v>3.6045884837375741</v>
      </c>
      <c r="CR13" s="9">
        <f ca="1"/>
        <v>2.6706133943352759</v>
      </c>
      <c r="CS13" s="9">
        <f ca="1"/>
        <v>1.8695069499782619</v>
      </c>
      <c r="CT13" s="9">
        <f ca="1"/>
        <v>1.2414900092862204</v>
      </c>
      <c r="CU13" s="9">
        <f ca="1"/>
        <v>0.77973340133823432</v>
      </c>
      <c r="CV13" s="9">
        <f ca="1"/>
        <v>0.46241079896193749</v>
      </c>
      <c r="CW13" s="9">
        <f ca="1"/>
        <v>0.25869857339178243</v>
      </c>
      <c r="CX13" s="9">
        <f ca="1"/>
        <v>0.13641968958390027</v>
      </c>
      <c r="CY13" s="9">
        <f ca="1"/>
        <v>6.7854602313034876E-2</v>
      </c>
      <c r="CZ13" s="9">
        <f ca="1"/>
        <v>3.1894515167016704E-2</v>
      </c>
      <c r="DA13" s="9">
        <f ca="1"/>
        <v>1.4204194959236622E-2</v>
      </c>
      <c r="DB13" s="9">
        <f ca="1"/>
        <v>6.0122951374279986E-3</v>
      </c>
      <c r="DC13" s="9">
        <f ca="1"/>
        <v>2.4271118258441847E-3</v>
      </c>
      <c r="DD13" s="9">
        <f ca="1"/>
        <v>9.3783862774807225E-4</v>
      </c>
      <c r="DE13" s="9">
        <f ca="1"/>
        <v>3.4807167015748076E-4</v>
      </c>
      <c r="DF13" s="9">
        <f ca="1"/>
        <v>1.2437930715811842E-4</v>
      </c>
      <c r="DG13" s="9">
        <f ca="1"/>
        <v>4.2850194501154106E-5</v>
      </c>
      <c r="DH13" s="9">
        <f ca="1"/>
        <v>1.4273774373646302E-5</v>
      </c>
      <c r="DI13" s="9">
        <f ca="1"/>
        <v>4.6097194258839413E-6</v>
      </c>
      <c r="DJ13" s="9">
        <f ca="1"/>
        <v>1.4468891556205609E-6</v>
      </c>
      <c r="DK13" s="9">
        <f ca="1"/>
        <v>4.423888443462357E-7</v>
      </c>
      <c r="DL13" s="9">
        <f ca="1"/>
        <v>1.3203087406987206E-7</v>
      </c>
      <c r="DM13" s="9">
        <f ca="1"/>
        <v>3.8535445484927057E-8</v>
      </c>
      <c r="DN13" s="9">
        <f ca="1"/>
        <v>1.101775002013298E-8</v>
      </c>
      <c r="DO13" s="9">
        <f ca="1"/>
        <v>3.0905153076860294E-9</v>
      </c>
      <c r="DP13" s="9">
        <f ca="1"/>
        <v>8.5147525524420625E-10</v>
      </c>
      <c r="DQ13" s="9">
        <f ca="1"/>
        <v>2.2987820875455277E-10</v>
      </c>
      <c r="DR13" s="9">
        <f ca="1"/>
        <v>5.7551264039857908E-11</v>
      </c>
    </row>
    <row r="14" spans="1:122" x14ac:dyDescent="0.25">
      <c r="A14" s="64" t="s">
        <v>41</v>
      </c>
      <c r="B14" s="64" t="s">
        <v>38</v>
      </c>
      <c r="C14" s="64" t="s">
        <v>39</v>
      </c>
      <c r="D14" s="116" t="s">
        <v>75</v>
      </c>
      <c r="E14" s="64" t="s">
        <v>74</v>
      </c>
      <c r="F14" s="111" t="s">
        <v>65</v>
      </c>
      <c r="G14" s="111" t="s">
        <v>64</v>
      </c>
      <c r="H14" s="111" t="s">
        <v>66</v>
      </c>
      <c r="J14" s="89"/>
      <c r="K14" s="46">
        <v>3.1963470319634701E-2</v>
      </c>
      <c r="L14" s="46">
        <v>0.14718417047184171</v>
      </c>
      <c r="M14" s="29"/>
      <c r="N14" s="30"/>
      <c r="BI14" s="29"/>
      <c r="BJ14" s="29"/>
      <c r="BR14" s="4"/>
      <c r="BS14" s="105">
        <f t="shared" si="1"/>
        <v>5.4794520547945202E-2</v>
      </c>
      <c r="BT14" s="109" cm="1">
        <f t="array" aca="1" ref="BT14:DR14" ca="1">TRANSPOSE(MMULT(OFFSET(_xlfn.ANCHORARRAY($P$222),0,0),TRANSPOSE(BT13:DR13)))</f>
        <v>18.867919790111056</v>
      </c>
      <c r="BU14" s="109">
        <f ca="1"/>
        <v>23.551284684411133</v>
      </c>
      <c r="BV14" s="109">
        <f ca="1"/>
        <v>23.65664083189375</v>
      </c>
      <c r="BW14" s="109">
        <f ca="1"/>
        <v>23.005941041016456</v>
      </c>
      <c r="BX14" s="109">
        <f ca="1"/>
        <v>22.25424115255257</v>
      </c>
      <c r="BY14" s="109">
        <f ca="1"/>
        <v>21.473764689724749</v>
      </c>
      <c r="BZ14" s="109">
        <f ca="1"/>
        <v>20.669889921732075</v>
      </c>
      <c r="CA14" s="109">
        <f ca="1"/>
        <v>19.842342011984954</v>
      </c>
      <c r="CB14" s="109">
        <f ca="1"/>
        <v>18.990447613204267</v>
      </c>
      <c r="CC14" s="109">
        <f ca="1"/>
        <v>18.113491603463753</v>
      </c>
      <c r="CD14" s="109">
        <f ca="1"/>
        <v>17.21073675461227</v>
      </c>
      <c r="CE14" s="109">
        <f ca="1"/>
        <v>16.281424149242795</v>
      </c>
      <c r="CF14" s="109">
        <f ca="1"/>
        <v>15.324773706517067</v>
      </c>
      <c r="CG14" s="109">
        <f ca="1"/>
        <v>14.340011018228155</v>
      </c>
      <c r="CH14" s="109">
        <f ca="1"/>
        <v>13.326627831457444</v>
      </c>
      <c r="CI14" s="109">
        <f ca="1"/>
        <v>12.285243875298661</v>
      </c>
      <c r="CJ14" s="109">
        <f ca="1"/>
        <v>11.218819228788925</v>
      </c>
      <c r="CK14" s="109">
        <f ca="1"/>
        <v>10.133122843039128</v>
      </c>
      <c r="CL14" s="109">
        <f ca="1"/>
        <v>9.0359894722520213</v>
      </c>
      <c r="CM14" s="109">
        <f ca="1"/>
        <v>7.9359435627703192</v>
      </c>
      <c r="CN14" s="109">
        <f ca="1"/>
        <v>6.8409178389128904</v>
      </c>
      <c r="CO14" s="110">
        <f ca="1"/>
        <v>5.7574145589550429</v>
      </c>
      <c r="CP14" s="34">
        <f ca="1"/>
        <v>4.6944236401559598</v>
      </c>
      <c r="CQ14" s="9">
        <f ca="1"/>
        <v>3.6808936509138515</v>
      </c>
      <c r="CR14" s="9">
        <f ca="1"/>
        <v>2.75632051370272</v>
      </c>
      <c r="CS14" s="9">
        <f ca="1"/>
        <v>1.9588106005304318</v>
      </c>
      <c r="CT14" s="9">
        <f ca="1"/>
        <v>1.3265142714300378</v>
      </c>
      <c r="CU14" s="9">
        <f ca="1"/>
        <v>0.85372954014932367</v>
      </c>
      <c r="CV14" s="9">
        <f ca="1"/>
        <v>0.52136263279355</v>
      </c>
      <c r="CW14" s="9">
        <f ca="1"/>
        <v>0.30179754327117608</v>
      </c>
      <c r="CX14" s="9">
        <f ca="1"/>
        <v>0.16541550183843409</v>
      </c>
      <c r="CY14" s="9">
        <f ca="1"/>
        <v>8.5866157145318395E-2</v>
      </c>
      <c r="CZ14" s="9">
        <f ca="1"/>
        <v>4.2266281772466177E-2</v>
      </c>
      <c r="DA14" s="9">
        <f ca="1"/>
        <v>1.9765599580403616E-2</v>
      </c>
      <c r="DB14" s="9">
        <f ca="1"/>
        <v>8.8024885332337651E-3</v>
      </c>
      <c r="DC14" s="9">
        <f ca="1"/>
        <v>3.7434442792141183E-3</v>
      </c>
      <c r="DD14" s="9">
        <f ca="1"/>
        <v>1.5247125668872332E-3</v>
      </c>
      <c r="DE14" s="9">
        <f ca="1"/>
        <v>5.965194790919561E-4</v>
      </c>
      <c r="DF14" s="9">
        <f ca="1"/>
        <v>2.2461638979139349E-4</v>
      </c>
      <c r="DG14" s="9">
        <f ca="1"/>
        <v>8.1492283859174513E-5</v>
      </c>
      <c r="DH14" s="9">
        <f ca="1"/>
        <v>2.8562004142364235E-5</v>
      </c>
      <c r="DI14" s="9">
        <f ca="1"/>
        <v>9.6948757859142271E-6</v>
      </c>
      <c r="DJ14" s="9">
        <f ca="1"/>
        <v>3.1944488820105684E-6</v>
      </c>
      <c r="DK14" s="9">
        <f ca="1"/>
        <v>1.0239946695621193E-6</v>
      </c>
      <c r="DL14" s="9">
        <f ca="1"/>
        <v>3.1998038233977948E-7</v>
      </c>
      <c r="DM14" s="9">
        <f ca="1"/>
        <v>9.7651310509060123E-8</v>
      </c>
      <c r="DN14" s="9">
        <f ca="1"/>
        <v>2.9154054517029108E-8</v>
      </c>
      <c r="DO14" s="9">
        <f ca="1"/>
        <v>8.5280813642327151E-9</v>
      </c>
      <c r="DP14" s="9">
        <f ca="1"/>
        <v>2.4469423475397454E-9</v>
      </c>
      <c r="DQ14" s="9">
        <f ca="1"/>
        <v>6.8674795883781294E-10</v>
      </c>
      <c r="DR14" s="9">
        <f ca="1"/>
        <v>1.7779114968256902E-10</v>
      </c>
    </row>
    <row r="15" spans="1:122" x14ac:dyDescent="0.25">
      <c r="A15" s="94">
        <v>-3</v>
      </c>
      <c r="B15" s="94">
        <f>$B$8*EXP(A15*$B$9%*SQRT($B$7))</f>
        <v>33.798581090233661</v>
      </c>
      <c r="C15" s="94">
        <f>LN(B15)</f>
        <v>3.5204188220289203</v>
      </c>
      <c r="D15" s="94"/>
      <c r="E15" s="94">
        <f>_xlfn.FORECAST.LINEAR(C15,E16:E17,C16:C17)</f>
        <v>9.9167393232187351</v>
      </c>
      <c r="F15" s="94"/>
      <c r="G15" s="94"/>
      <c r="H15" s="94"/>
      <c r="J15" s="89"/>
      <c r="K15" s="46">
        <v>3.6529680365296802E-2</v>
      </c>
      <c r="L15" s="46">
        <v>0.15646879756468796</v>
      </c>
      <c r="M15" s="29"/>
      <c r="N15" s="30"/>
      <c r="O15" s="11" t="s">
        <v>18</v>
      </c>
      <c r="P15" s="11">
        <f t="shared" ref="P15:AU15" si="10">P3</f>
        <v>50</v>
      </c>
      <c r="Q15" s="11">
        <f t="shared" si="10"/>
        <v>49</v>
      </c>
      <c r="R15" s="11">
        <f t="shared" si="10"/>
        <v>48</v>
      </c>
      <c r="S15" s="11">
        <f t="shared" si="10"/>
        <v>47</v>
      </c>
      <c r="T15" s="11">
        <f t="shared" si="10"/>
        <v>46</v>
      </c>
      <c r="U15" s="11">
        <f t="shared" si="10"/>
        <v>45</v>
      </c>
      <c r="V15" s="11">
        <f t="shared" si="10"/>
        <v>44</v>
      </c>
      <c r="W15" s="11">
        <f t="shared" si="10"/>
        <v>43</v>
      </c>
      <c r="X15" s="11">
        <f t="shared" si="10"/>
        <v>42</v>
      </c>
      <c r="Y15" s="11">
        <f t="shared" si="10"/>
        <v>41</v>
      </c>
      <c r="Z15" s="11">
        <f t="shared" si="10"/>
        <v>40</v>
      </c>
      <c r="AA15" s="11">
        <f t="shared" si="10"/>
        <v>39</v>
      </c>
      <c r="AB15" s="11">
        <f t="shared" si="10"/>
        <v>38</v>
      </c>
      <c r="AC15" s="11">
        <f t="shared" si="10"/>
        <v>37</v>
      </c>
      <c r="AD15" s="11">
        <f t="shared" si="10"/>
        <v>36</v>
      </c>
      <c r="AE15" s="11">
        <f t="shared" si="10"/>
        <v>35</v>
      </c>
      <c r="AF15" s="11">
        <f t="shared" si="10"/>
        <v>34</v>
      </c>
      <c r="AG15" s="11">
        <f t="shared" si="10"/>
        <v>33</v>
      </c>
      <c r="AH15" s="11">
        <f t="shared" si="10"/>
        <v>32</v>
      </c>
      <c r="AI15" s="11">
        <f t="shared" si="10"/>
        <v>31</v>
      </c>
      <c r="AJ15" s="11">
        <f t="shared" si="10"/>
        <v>30</v>
      </c>
      <c r="AK15" s="11">
        <f t="shared" si="10"/>
        <v>29</v>
      </c>
      <c r="AL15" s="11">
        <f t="shared" si="10"/>
        <v>28</v>
      </c>
      <c r="AM15" s="11">
        <f t="shared" si="10"/>
        <v>27</v>
      </c>
      <c r="AN15" s="11">
        <f t="shared" si="10"/>
        <v>26</v>
      </c>
      <c r="AO15" s="11">
        <f t="shared" si="10"/>
        <v>25</v>
      </c>
      <c r="AP15" s="11">
        <f t="shared" si="10"/>
        <v>24</v>
      </c>
      <c r="AQ15" s="11">
        <f t="shared" si="10"/>
        <v>23</v>
      </c>
      <c r="AR15" s="11">
        <f t="shared" si="10"/>
        <v>22</v>
      </c>
      <c r="AS15" s="11">
        <f t="shared" si="10"/>
        <v>21</v>
      </c>
      <c r="AT15" s="11">
        <f t="shared" si="10"/>
        <v>20</v>
      </c>
      <c r="AU15" s="11">
        <f t="shared" si="10"/>
        <v>19</v>
      </c>
      <c r="AV15" s="11">
        <f t="shared" ref="AV15:BN15" si="11">AV3</f>
        <v>18</v>
      </c>
      <c r="AW15" s="11">
        <f t="shared" si="11"/>
        <v>17</v>
      </c>
      <c r="AX15" s="11">
        <f t="shared" si="11"/>
        <v>16</v>
      </c>
      <c r="AY15" s="11">
        <f t="shared" si="11"/>
        <v>15</v>
      </c>
      <c r="AZ15" s="11">
        <f t="shared" si="11"/>
        <v>14</v>
      </c>
      <c r="BA15" s="11">
        <f t="shared" si="11"/>
        <v>13</v>
      </c>
      <c r="BB15" s="11">
        <f t="shared" si="11"/>
        <v>12</v>
      </c>
      <c r="BC15" s="11">
        <f t="shared" si="11"/>
        <v>11</v>
      </c>
      <c r="BD15" s="11">
        <f t="shared" si="11"/>
        <v>10</v>
      </c>
      <c r="BE15" s="11">
        <f t="shared" si="11"/>
        <v>9</v>
      </c>
      <c r="BF15" s="11">
        <f t="shared" si="11"/>
        <v>8</v>
      </c>
      <c r="BG15" s="11">
        <f t="shared" si="11"/>
        <v>7</v>
      </c>
      <c r="BH15" s="11">
        <f t="shared" si="11"/>
        <v>6</v>
      </c>
      <c r="BI15" s="11">
        <f t="shared" si="11"/>
        <v>5</v>
      </c>
      <c r="BJ15" s="11">
        <f t="shared" si="11"/>
        <v>4</v>
      </c>
      <c r="BK15" s="11">
        <f t="shared" si="11"/>
        <v>3</v>
      </c>
      <c r="BL15" s="11">
        <f t="shared" si="11"/>
        <v>2</v>
      </c>
      <c r="BM15" s="11">
        <f t="shared" si="11"/>
        <v>1</v>
      </c>
      <c r="BN15" s="11">
        <f t="shared" si="11"/>
        <v>0</v>
      </c>
      <c r="BR15" s="4"/>
      <c r="BS15" s="105">
        <f t="shared" si="1"/>
        <v>5.9360730593607303E-2</v>
      </c>
      <c r="BT15" s="109" cm="1">
        <f t="array" aca="1" ref="BT15:DR15" ca="1">TRANSPOSE(MMULT(OFFSET(_xlfn.ANCHORARRAY($P$222),0,0),TRANSPOSE(BT14:DR14)))</f>
        <v>18.488434661222527</v>
      </c>
      <c r="BU15" s="109">
        <f ca="1"/>
        <v>23.425111362864453</v>
      </c>
      <c r="BV15" s="109">
        <f ca="1"/>
        <v>23.635483634706265</v>
      </c>
      <c r="BW15" s="109">
        <f ca="1"/>
        <v>23.003560802520862</v>
      </c>
      <c r="BX15" s="109">
        <f ca="1"/>
        <v>22.254038804319443</v>
      </c>
      <c r="BY15" s="109">
        <f ca="1"/>
        <v>21.473750829273897</v>
      </c>
      <c r="BZ15" s="109">
        <f ca="1"/>
        <v>20.669889160266926</v>
      </c>
      <c r="CA15" s="109">
        <f ca="1"/>
        <v>19.842342016930452</v>
      </c>
      <c r="CB15" s="109">
        <f ca="1"/>
        <v>18.990447658277226</v>
      </c>
      <c r="CC15" s="109">
        <f ca="1"/>
        <v>18.113491651732389</v>
      </c>
      <c r="CD15" s="109">
        <f ca="1"/>
        <v>17.210736806150226</v>
      </c>
      <c r="CE15" s="109">
        <f ca="1"/>
        <v>16.281424246766406</v>
      </c>
      <c r="CF15" s="109">
        <f ca="1"/>
        <v>15.324774853538262</v>
      </c>
      <c r="CG15" s="109">
        <f ca="1"/>
        <v>14.340034213332373</v>
      </c>
      <c r="CH15" s="109">
        <f ca="1"/>
        <v>13.326859857037112</v>
      </c>
      <c r="CI15" s="109">
        <f ca="1"/>
        <v>12.286399257641067</v>
      </c>
      <c r="CJ15" s="109">
        <f ca="1"/>
        <v>11.222463379964784</v>
      </c>
      <c r="CK15" s="109">
        <f ca="1"/>
        <v>10.141581440200779</v>
      </c>
      <c r="CL15" s="109">
        <f ca="1"/>
        <v>9.0518851807517056</v>
      </c>
      <c r="CM15" s="109">
        <f ca="1"/>
        <v>7.9616610566788797</v>
      </c>
      <c r="CN15" s="109">
        <f ca="1"/>
        <v>6.8782168091708149</v>
      </c>
      <c r="CO15" s="110">
        <f ca="1"/>
        <v>5.8072522874171453</v>
      </c>
      <c r="CP15" s="34">
        <f ca="1"/>
        <v>4.7569337162615328</v>
      </c>
      <c r="CQ15" s="9">
        <f ca="1"/>
        <v>3.7549669176784066</v>
      </c>
      <c r="CR15" s="9">
        <f ca="1"/>
        <v>2.8388780774780686</v>
      </c>
      <c r="CS15" s="9">
        <f ca="1"/>
        <v>2.044622793640213</v>
      </c>
      <c r="CT15" s="9">
        <f ca="1"/>
        <v>1.4085933209712018</v>
      </c>
      <c r="CU15" s="9">
        <f ca="1"/>
        <v>0.92601939818611279</v>
      </c>
      <c r="CV15" s="9">
        <f ca="1"/>
        <v>0.58006460195336351</v>
      </c>
      <c r="CW15" s="9">
        <f ca="1"/>
        <v>0.34583714987661673</v>
      </c>
      <c r="CX15" s="9">
        <f ca="1"/>
        <v>0.19600980887516353</v>
      </c>
      <c r="CY15" s="9">
        <f ca="1"/>
        <v>0.10559955527519692</v>
      </c>
      <c r="CZ15" s="9">
        <f ca="1"/>
        <v>5.4121750004552223E-2</v>
      </c>
      <c r="DA15" s="9">
        <f ca="1"/>
        <v>2.6423819853185503E-2</v>
      </c>
      <c r="DB15" s="9">
        <f ca="1"/>
        <v>1.2311781448326863E-2</v>
      </c>
      <c r="DC15" s="9">
        <f ca="1"/>
        <v>5.4864062554485782E-3</v>
      </c>
      <c r="DD15" s="9">
        <f ca="1"/>
        <v>2.3438914278838298E-3</v>
      </c>
      <c r="DE15" s="9">
        <f ca="1"/>
        <v>9.6232092390300761E-4</v>
      </c>
      <c r="DF15" s="9">
        <f ca="1"/>
        <v>3.8030073145283968E-4</v>
      </c>
      <c r="DG15" s="9">
        <f ca="1"/>
        <v>1.4478531415963988E-4</v>
      </c>
      <c r="DH15" s="9">
        <f ca="1"/>
        <v>5.3226005059205775E-5</v>
      </c>
      <c r="DI15" s="9">
        <f ca="1"/>
        <v>1.8936973876905283E-5</v>
      </c>
      <c r="DJ15" s="9">
        <f ca="1"/>
        <v>6.5347557077097374E-6</v>
      </c>
      <c r="DK15" s="9">
        <f ca="1"/>
        <v>2.1916701188397429E-6</v>
      </c>
      <c r="DL15" s="9">
        <f ca="1"/>
        <v>7.1579428944860096E-7</v>
      </c>
      <c r="DM15" s="9">
        <f ca="1"/>
        <v>2.2806136330188176E-7</v>
      </c>
      <c r="DN15" s="9">
        <f ca="1"/>
        <v>7.1005388685093824E-8</v>
      </c>
      <c r="DO15" s="9">
        <f ca="1"/>
        <v>2.1635479628156099E-8</v>
      </c>
      <c r="DP15" s="9">
        <f ca="1"/>
        <v>6.4586409754491833E-9</v>
      </c>
      <c r="DQ15" s="9">
        <f ca="1"/>
        <v>1.882621303512576E-9</v>
      </c>
      <c r="DR15" s="9">
        <f ca="1"/>
        <v>5.0351067950794766E-10</v>
      </c>
    </row>
    <row r="16" spans="1:122" x14ac:dyDescent="0.25">
      <c r="A16" s="86">
        <v>-1.5</v>
      </c>
      <c r="B16" s="81">
        <f>$B$8*EXP(A16*$B$9%*SQRT($B$7))</f>
        <v>40.612445841187679</v>
      </c>
      <c r="C16" s="81">
        <f t="shared" ref="C16:C23" si="12">LN(B16)</f>
        <v>3.7040745674440108</v>
      </c>
      <c r="D16" s="117" cm="1">
        <f t="array" ref="D16">[1]!Interp_Lin_Range($A$63:$A$67,$D$63:$D$67,B16,1)</f>
        <v>48.39</v>
      </c>
      <c r="E16" s="95">
        <v>48.187055913316961</v>
      </c>
      <c r="F16" s="94" cm="1">
        <f t="array" aca="1" ref="F16" ca="1">[1]!Interp_Lin_Range($BT$1:$DR$1,$BT$20:$DR$20,C16,1)</f>
        <v>8.449332286397107</v>
      </c>
      <c r="G16" s="112">
        <v>8.636984</v>
      </c>
      <c r="H16" s="113">
        <f t="shared" ref="H16:H22" ca="1" si="13">(F16-G16)^2</f>
        <v>3.5213165618102185E-2</v>
      </c>
      <c r="J16" s="89"/>
      <c r="K16" s="46">
        <v>4.1095890410958902E-2</v>
      </c>
      <c r="L16" s="46">
        <v>0.16575342465753423</v>
      </c>
      <c r="M16" s="29"/>
      <c r="N16" s="30"/>
      <c r="O16" s="7">
        <v>2</v>
      </c>
      <c r="P16" s="101">
        <v>0</v>
      </c>
      <c r="Q16" s="103">
        <f>(Q$5-Q$6)*0.5*$D$11</f>
        <v>1.3547595906419362E-2</v>
      </c>
      <c r="R16" s="103">
        <f t="shared" ref="R16:BN16" si="14">(R$5-R$6)*0.5*$D$11</f>
        <v>1.3547595906419362E-2</v>
      </c>
      <c r="S16" s="103">
        <f t="shared" si="14"/>
        <v>1.3547595906419362E-2</v>
      </c>
      <c r="T16" s="103">
        <f t="shared" si="14"/>
        <v>1.3547595906419362E-2</v>
      </c>
      <c r="U16" s="103">
        <f t="shared" si="14"/>
        <v>1.3547595906419362E-2</v>
      </c>
      <c r="V16" s="103">
        <f t="shared" si="14"/>
        <v>1.3547595906419362E-2</v>
      </c>
      <c r="W16" s="103">
        <f t="shared" si="14"/>
        <v>1.3547595906419362E-2</v>
      </c>
      <c r="X16" s="103">
        <f t="shared" si="14"/>
        <v>1.3547595906419362E-2</v>
      </c>
      <c r="Y16" s="103">
        <f t="shared" si="14"/>
        <v>1.3547595906419362E-2</v>
      </c>
      <c r="Z16" s="103">
        <f t="shared" si="14"/>
        <v>1.3547595906419362E-2</v>
      </c>
      <c r="AA16" s="103">
        <f t="shared" si="14"/>
        <v>1.3547595906419362E-2</v>
      </c>
      <c r="AB16" s="103">
        <f t="shared" si="14"/>
        <v>1.3547595906419362E-2</v>
      </c>
      <c r="AC16" s="103">
        <f t="shared" si="14"/>
        <v>2.6829221167646904E-2</v>
      </c>
      <c r="AD16" s="103">
        <f t="shared" si="14"/>
        <v>5.5088831325300382E-2</v>
      </c>
      <c r="AE16" s="103">
        <f t="shared" si="14"/>
        <v>9.3405981538951105E-2</v>
      </c>
      <c r="AF16" s="103">
        <f t="shared" si="14"/>
        <v>0.14178067180859785</v>
      </c>
      <c r="AG16" s="103">
        <f t="shared" si="14"/>
        <v>0.20021290213424117</v>
      </c>
      <c r="AH16" s="103">
        <f t="shared" si="14"/>
        <v>0.26870267251588092</v>
      </c>
      <c r="AI16" s="103">
        <f t="shared" si="14"/>
        <v>0.34724998295351872</v>
      </c>
      <c r="AJ16" s="103">
        <f t="shared" si="14"/>
        <v>0.4358548334471522</v>
      </c>
      <c r="AK16" s="103">
        <f t="shared" si="14"/>
        <v>0.49073925967617937</v>
      </c>
      <c r="AL16" s="103">
        <f t="shared" si="14"/>
        <v>0.40221301760057793</v>
      </c>
      <c r="AM16" s="103">
        <f t="shared" si="14"/>
        <v>0.32568166995536668</v>
      </c>
      <c r="AN16" s="103">
        <f t="shared" si="14"/>
        <v>0.28043676613140761</v>
      </c>
      <c r="AO16" s="103">
        <f t="shared" si="14"/>
        <v>0.23857397522786369</v>
      </c>
      <c r="AP16" s="103">
        <f t="shared" si="14"/>
        <v>0.24121657884087361</v>
      </c>
      <c r="AQ16" s="103">
        <f t="shared" si="14"/>
        <v>0.24387373756915104</v>
      </c>
      <c r="AR16" s="103">
        <f t="shared" si="14"/>
        <v>0.24716775113795039</v>
      </c>
      <c r="AS16" s="103">
        <f t="shared" si="14"/>
        <v>0.25056246047883979</v>
      </c>
      <c r="AT16" s="103">
        <f t="shared" si="14"/>
        <v>0.25262168532798301</v>
      </c>
      <c r="AU16" s="103">
        <f t="shared" si="14"/>
        <v>0.25429890454701815</v>
      </c>
      <c r="AV16" s="103">
        <f t="shared" si="14"/>
        <v>0.25598167310072956</v>
      </c>
      <c r="AW16" s="103">
        <f t="shared" si="14"/>
        <v>0.25766999098911703</v>
      </c>
      <c r="AX16" s="103">
        <f t="shared" si="14"/>
        <v>0.25936385821218089</v>
      </c>
      <c r="AY16" s="103">
        <f t="shared" si="14"/>
        <v>0.26106327476992086</v>
      </c>
      <c r="AZ16" s="103">
        <f t="shared" si="14"/>
        <v>0.26276824066233706</v>
      </c>
      <c r="BA16" s="103">
        <f t="shared" si="14"/>
        <v>0.26447875588942943</v>
      </c>
      <c r="BB16" s="103">
        <f t="shared" si="14"/>
        <v>0.26562523935700999</v>
      </c>
      <c r="BC16" s="103">
        <f t="shared" si="14"/>
        <v>0.26562523935700999</v>
      </c>
      <c r="BD16" s="103">
        <f t="shared" si="14"/>
        <v>0.26562523935700999</v>
      </c>
      <c r="BE16" s="103">
        <f t="shared" si="14"/>
        <v>0.26562523935700999</v>
      </c>
      <c r="BF16" s="103">
        <f t="shared" si="14"/>
        <v>0.26562523935700999</v>
      </c>
      <c r="BG16" s="103">
        <f t="shared" si="14"/>
        <v>0.26562523935700999</v>
      </c>
      <c r="BH16" s="103">
        <f t="shared" si="14"/>
        <v>0.26562523935700999</v>
      </c>
      <c r="BI16" s="103">
        <f t="shared" si="14"/>
        <v>0.26562523935700999</v>
      </c>
      <c r="BJ16" s="103">
        <f t="shared" si="14"/>
        <v>0.26562523935700999</v>
      </c>
      <c r="BK16" s="103">
        <f t="shared" si="14"/>
        <v>0.26562523935700999</v>
      </c>
      <c r="BL16" s="103">
        <f t="shared" si="14"/>
        <v>0.26562523935700999</v>
      </c>
      <c r="BM16" s="103">
        <f t="shared" si="14"/>
        <v>0.26562523935700999</v>
      </c>
      <c r="BN16" s="103">
        <f t="shared" si="14"/>
        <v>0.26562523935700999</v>
      </c>
      <c r="BR16" s="4"/>
      <c r="BS16" s="105">
        <f t="shared" si="1"/>
        <v>6.3926940639269403E-2</v>
      </c>
      <c r="BT16" s="109" cm="1">
        <f t="array" aca="1" ref="BT16:DR16" ca="1">TRANSPOSE(MMULT(OFFSET(_xlfn.ANCHORARRAY($P$222),0,0),TRANSPOSE(BT15:DR15)))</f>
        <v>18.125409432622437</v>
      </c>
      <c r="BU16" s="109">
        <f ca="1"/>
        <v>23.295132374770567</v>
      </c>
      <c r="BV16" s="109">
        <f ca="1"/>
        <v>23.611980133798454</v>
      </c>
      <c r="BW16" s="109">
        <f ca="1"/>
        <v>23.000709150723686</v>
      </c>
      <c r="BX16" s="109">
        <f ca="1"/>
        <v>22.253777523006836</v>
      </c>
      <c r="BY16" s="109">
        <f ca="1"/>
        <v>21.473731547637552</v>
      </c>
      <c r="BZ16" s="109">
        <f ca="1"/>
        <v>20.669888000915563</v>
      </c>
      <c r="CA16" s="109">
        <f ca="1"/>
        <v>19.842341997411964</v>
      </c>
      <c r="CB16" s="109">
        <f ca="1"/>
        <v>18.990447702050357</v>
      </c>
      <c r="CC16" s="109">
        <f ca="1"/>
        <v>18.113491700003014</v>
      </c>
      <c r="CD16" s="109">
        <f ca="1"/>
        <v>17.21073685922256</v>
      </c>
      <c r="CE16" s="109">
        <f ca="1"/>
        <v>16.281424378751812</v>
      </c>
      <c r="CF16" s="109">
        <f ca="1"/>
        <v>15.32477668319598</v>
      </c>
      <c r="CG16" s="109">
        <f ca="1"/>
        <v>14.340068693371666</v>
      </c>
      <c r="CH16" s="109">
        <f ca="1"/>
        <v>13.327174810351721</v>
      </c>
      <c r="CI16" s="109">
        <f ca="1"/>
        <v>12.287844187649366</v>
      </c>
      <c r="CJ16" s="109">
        <f ca="1"/>
        <v>11.226724369478561</v>
      </c>
      <c r="CK16" s="109">
        <f ca="1"/>
        <v>10.150967535019854</v>
      </c>
      <c r="CL16" s="109">
        <f ca="1"/>
        <v>9.0688349942486752</v>
      </c>
      <c r="CM16" s="109">
        <f ca="1"/>
        <v>7.9882696076807527</v>
      </c>
      <c r="CN16" s="109">
        <f ca="1"/>
        <v>6.9159390716352069</v>
      </c>
      <c r="CO16" s="110">
        <f ca="1"/>
        <v>5.856798437907365</v>
      </c>
      <c r="CP16" s="34">
        <f ca="1"/>
        <v>4.8182752905024113</v>
      </c>
      <c r="CQ16" s="9">
        <f ca="1"/>
        <v>3.8269422778499838</v>
      </c>
      <c r="CR16" s="9">
        <f ca="1"/>
        <v>2.9185880657481964</v>
      </c>
      <c r="CS16" s="9">
        <f ca="1"/>
        <v>2.1273214365677831</v>
      </c>
      <c r="CT16" s="9">
        <f ca="1"/>
        <v>1.4880174434630724</v>
      </c>
      <c r="CU16" s="9">
        <f ca="1"/>
        <v>0.99668865770839377</v>
      </c>
      <c r="CV16" s="9">
        <f ca="1"/>
        <v>0.6383913730473636</v>
      </c>
      <c r="CW16" s="9">
        <f ca="1"/>
        <v>0.3905703660762373</v>
      </c>
      <c r="CX16" s="9">
        <f ca="1"/>
        <v>0.22795075096465539</v>
      </c>
      <c r="CY16" s="9">
        <f ca="1"/>
        <v>0.1268793748046155</v>
      </c>
      <c r="CZ16" s="9">
        <f ca="1"/>
        <v>6.7384302250800124E-2</v>
      </c>
      <c r="DA16" s="9">
        <f ca="1"/>
        <v>3.4179310494787292E-2</v>
      </c>
      <c r="DB16" s="9">
        <f ca="1"/>
        <v>1.6580680489703622E-2</v>
      </c>
      <c r="DC16" s="9">
        <f ca="1"/>
        <v>7.7057885690905818E-3</v>
      </c>
      <c r="DD16" s="9">
        <f ca="1"/>
        <v>3.4375576160400653E-3</v>
      </c>
      <c r="DE16" s="9">
        <f ca="1"/>
        <v>1.4748989561083126E-3</v>
      </c>
      <c r="DF16" s="9">
        <f ca="1"/>
        <v>6.0938856893796183E-4</v>
      </c>
      <c r="DG16" s="9">
        <f ca="1"/>
        <v>2.426073977067286E-4</v>
      </c>
      <c r="DH16" s="9">
        <f ca="1"/>
        <v>9.3255960822754056E-5</v>
      </c>
      <c r="DI16" s="9">
        <f ca="1"/>
        <v>3.4681081210939072E-5</v>
      </c>
      <c r="DJ16" s="9">
        <f ca="1"/>
        <v>1.2502967100892192E-5</v>
      </c>
      <c r="DK16" s="9">
        <f ca="1"/>
        <v>4.3779231207194876E-6</v>
      </c>
      <c r="DL16" s="9">
        <f ca="1"/>
        <v>1.4915901185823582E-6</v>
      </c>
      <c r="DM16" s="9">
        <f ca="1"/>
        <v>4.9534273124577523E-7</v>
      </c>
      <c r="DN16" s="9">
        <f ca="1"/>
        <v>1.6059761004227701E-7</v>
      </c>
      <c r="DO16" s="9">
        <f ca="1"/>
        <v>5.0908598050622249E-8</v>
      </c>
      <c r="DP16" s="9">
        <f ca="1"/>
        <v>1.5793767868844417E-8</v>
      </c>
      <c r="DQ16" s="9">
        <f ca="1"/>
        <v>4.7764381935618845E-9</v>
      </c>
      <c r="DR16" s="9">
        <f ca="1"/>
        <v>1.3183114843386237E-9</v>
      </c>
    </row>
    <row r="17" spans="1:122" x14ac:dyDescent="0.25">
      <c r="A17" s="86">
        <v>-1</v>
      </c>
      <c r="B17" s="81">
        <f>$B$8*EXP(A17*$B$9%*SQRT($B$7))</f>
        <v>43.176361122668425</v>
      </c>
      <c r="C17" s="81">
        <f t="shared" si="12"/>
        <v>3.7652931492490409</v>
      </c>
      <c r="D17" s="117" cm="1">
        <f t="array" ref="D17">[1]!Interp_Lin_Range($A$63:$A$67,$D$63:$D$67,B17,1)</f>
        <v>48.39</v>
      </c>
      <c r="E17" s="95">
        <v>60.943828110016405</v>
      </c>
      <c r="F17" s="94" cm="1">
        <f t="array" aca="1" ref="F17" ca="1">[1]!Interp_Lin_Range($BT$1:$DR$1,$BT$20:$DR$20,C17,1)</f>
        <v>6.2770283736439838</v>
      </c>
      <c r="G17" s="112">
        <v>6.3969839999999998</v>
      </c>
      <c r="H17" s="113">
        <f t="shared" ca="1" si="13"/>
        <v>1.4389352294464114E-2</v>
      </c>
      <c r="J17" s="89"/>
      <c r="K17" s="46">
        <v>4.5662100456621002E-2</v>
      </c>
      <c r="L17" s="46">
        <v>0.17503805175038051</v>
      </c>
      <c r="M17" s="29"/>
      <c r="N17" s="30"/>
      <c r="O17" s="29">
        <v>3</v>
      </c>
      <c r="P17" s="101">
        <v>0</v>
      </c>
      <c r="Q17" s="120">
        <f>(Q$9-Q$10)*0.5*$D$37</f>
        <v>0.10055820683497335</v>
      </c>
      <c r="R17" s="120">
        <f t="shared" ref="R17:BN17" si="15">(R$9-R$10)*0.5*$D$37</f>
        <v>0.10055820683497335</v>
      </c>
      <c r="S17" s="120">
        <f t="shared" si="15"/>
        <v>0.110564418911086</v>
      </c>
      <c r="T17" s="120">
        <f t="shared" si="15"/>
        <v>0.12991419376074592</v>
      </c>
      <c r="U17" s="120">
        <f t="shared" si="15"/>
        <v>0.15082344942105069</v>
      </c>
      <c r="V17" s="120">
        <f t="shared" si="15"/>
        <v>0.17329218589200035</v>
      </c>
      <c r="W17" s="120">
        <f t="shared" si="15"/>
        <v>0.19732040317359534</v>
      </c>
      <c r="X17" s="120">
        <f t="shared" si="15"/>
        <v>0.22290810126583468</v>
      </c>
      <c r="Y17" s="120">
        <f t="shared" si="15"/>
        <v>0.25005528016871909</v>
      </c>
      <c r="Z17" s="120">
        <f t="shared" si="15"/>
        <v>0.27876193988224829</v>
      </c>
      <c r="AA17" s="120">
        <f t="shared" si="15"/>
        <v>0.30902808040642288</v>
      </c>
      <c r="AB17" s="120">
        <f t="shared" si="15"/>
        <v>0.34085370174124174</v>
      </c>
      <c r="AC17" s="120">
        <f t="shared" si="15"/>
        <v>0.37423880388670561</v>
      </c>
      <c r="AD17" s="120">
        <f t="shared" si="15"/>
        <v>0.40918338684281425</v>
      </c>
      <c r="AE17" s="120">
        <f t="shared" si="15"/>
        <v>0.44568745060956844</v>
      </c>
      <c r="AF17" s="120">
        <f t="shared" si="15"/>
        <v>0.48375099518696701</v>
      </c>
      <c r="AG17" s="120">
        <f t="shared" si="15"/>
        <v>0.52337402057501026</v>
      </c>
      <c r="AH17" s="120">
        <f t="shared" si="15"/>
        <v>0.56455652677369872</v>
      </c>
      <c r="AI17" s="120">
        <f t="shared" si="15"/>
        <v>0.60729851378303246</v>
      </c>
      <c r="AJ17" s="120">
        <f t="shared" si="15"/>
        <v>0.65159998160301036</v>
      </c>
      <c r="AK17" s="120">
        <f t="shared" si="15"/>
        <v>0.65909970057541933</v>
      </c>
      <c r="AL17" s="120">
        <f t="shared" si="15"/>
        <v>0.54057767401785162</v>
      </c>
      <c r="AM17" s="120">
        <f t="shared" si="15"/>
        <v>0.43919759217394677</v>
      </c>
      <c r="AN17" s="120">
        <f t="shared" si="15"/>
        <v>0.38790347230588451</v>
      </c>
      <c r="AO17" s="120">
        <f t="shared" si="15"/>
        <v>0.33979351162170934</v>
      </c>
      <c r="AP17" s="120">
        <f t="shared" si="15"/>
        <v>0.35429008075848784</v>
      </c>
      <c r="AQ17" s="120">
        <f t="shared" si="15"/>
        <v>0.36908945699527651</v>
      </c>
      <c r="AR17" s="120">
        <f t="shared" si="15"/>
        <v>0.35597156639404332</v>
      </c>
      <c r="AS17" s="120">
        <f t="shared" si="15"/>
        <v>0.33969221656764736</v>
      </c>
      <c r="AT17" s="120">
        <f t="shared" si="15"/>
        <v>0.3484098259730295</v>
      </c>
      <c r="AU17" s="120">
        <f t="shared" si="15"/>
        <v>0.3645519788935252</v>
      </c>
      <c r="AV17" s="120">
        <f t="shared" si="15"/>
        <v>0.38105965280059839</v>
      </c>
      <c r="AW17" s="120">
        <f t="shared" si="15"/>
        <v>0.39793284769424836</v>
      </c>
      <c r="AX17" s="120">
        <f t="shared" si="15"/>
        <v>0.41517156357447582</v>
      </c>
      <c r="AY17" s="120">
        <f t="shared" si="15"/>
        <v>0.43277580044128039</v>
      </c>
      <c r="AZ17" s="120">
        <f t="shared" si="15"/>
        <v>0.4507455582946614</v>
      </c>
      <c r="BA17" s="120">
        <f t="shared" si="15"/>
        <v>0.46908083713462007</v>
      </c>
      <c r="BB17" s="120">
        <f t="shared" si="15"/>
        <v>0.48154082842126616</v>
      </c>
      <c r="BC17" s="120">
        <f t="shared" si="15"/>
        <v>0.48154082842126616</v>
      </c>
      <c r="BD17" s="120">
        <f t="shared" si="15"/>
        <v>0.48154082842126616</v>
      </c>
      <c r="BE17" s="120">
        <f t="shared" si="15"/>
        <v>0.48154082842126616</v>
      </c>
      <c r="BF17" s="120">
        <f t="shared" si="15"/>
        <v>0.48154082842126616</v>
      </c>
      <c r="BG17" s="120">
        <f t="shared" si="15"/>
        <v>0.48154082842126616</v>
      </c>
      <c r="BH17" s="120">
        <f t="shared" si="15"/>
        <v>0.48154082842126616</v>
      </c>
      <c r="BI17" s="120">
        <f t="shared" si="15"/>
        <v>0.48154082842126616</v>
      </c>
      <c r="BJ17" s="120">
        <f t="shared" si="15"/>
        <v>0.48154082842126616</v>
      </c>
      <c r="BK17" s="120">
        <f t="shared" si="15"/>
        <v>0.48154082842126616</v>
      </c>
      <c r="BL17" s="120">
        <f t="shared" si="15"/>
        <v>0.48154082842126616</v>
      </c>
      <c r="BM17" s="120">
        <f t="shared" si="15"/>
        <v>0.48154082842126616</v>
      </c>
      <c r="BN17" s="120">
        <f t="shared" si="15"/>
        <v>0.48154082842126616</v>
      </c>
      <c r="BR17" s="4"/>
      <c r="BS17" s="105">
        <f t="shared" si="1"/>
        <v>6.8493150684931503E-2</v>
      </c>
      <c r="BT17" s="109" cm="1">
        <f t="array" aca="1" ref="BT17:DR17" ca="1">TRANSPOSE(MMULT(OFFSET(_xlfn.ANCHORARRAY($P$222),0,0),TRANSPOSE(BT16:DR16)))</f>
        <v>17.777897368473685</v>
      </c>
      <c r="BU17" s="109">
        <f ca="1"/>
        <v>23.161907666518729</v>
      </c>
      <c r="BV17" s="109">
        <f ca="1"/>
        <v>23.586146772029409</v>
      </c>
      <c r="BW17" s="109">
        <f ca="1"/>
        <v>22.997347269211495</v>
      </c>
      <c r="BX17" s="109">
        <f ca="1"/>
        <v>22.253447264588996</v>
      </c>
      <c r="BY17" s="109">
        <f ca="1"/>
        <v>21.47370542704471</v>
      </c>
      <c r="BZ17" s="109">
        <f ca="1"/>
        <v>20.669886301833856</v>
      </c>
      <c r="CA17" s="109">
        <f ca="1"/>
        <v>19.842341942287643</v>
      </c>
      <c r="CB17" s="109">
        <f ca="1"/>
        <v>18.990447743798807</v>
      </c>
      <c r="CC17" s="109">
        <f ca="1"/>
        <v>18.11349174828452</v>
      </c>
      <c r="CD17" s="109">
        <f ca="1"/>
        <v>17.21073691488407</v>
      </c>
      <c r="CE17" s="109">
        <f ca="1"/>
        <v>16.281424564780231</v>
      </c>
      <c r="CF17" s="109">
        <f ca="1"/>
        <v>15.324779493473939</v>
      </c>
      <c r="CG17" s="109">
        <f ca="1"/>
        <v>14.340117815254022</v>
      </c>
      <c r="CH17" s="109">
        <f ca="1"/>
        <v>13.327586542575965</v>
      </c>
      <c r="CI17" s="109">
        <f ca="1"/>
        <v>12.289596411614085</v>
      </c>
      <c r="CJ17" s="109">
        <f ca="1"/>
        <v>11.231590350276392</v>
      </c>
      <c r="CK17" s="109">
        <f ca="1"/>
        <v>10.161205320011817</v>
      </c>
      <c r="CL17" s="109">
        <f ca="1"/>
        <v>9.0866938726080164</v>
      </c>
      <c r="CM17" s="109">
        <f ca="1"/>
        <v>8.015584006389485</v>
      </c>
      <c r="CN17" s="109">
        <f ca="1"/>
        <v>6.9539088536193576</v>
      </c>
      <c r="CO17" s="110">
        <f ca="1"/>
        <v>5.9059384912003052</v>
      </c>
      <c r="CP17" s="34">
        <f ca="1"/>
        <v>4.8784387164081977</v>
      </c>
      <c r="CQ17" s="9">
        <f ca="1"/>
        <v>3.8969467162618265</v>
      </c>
      <c r="CR17" s="9">
        <f ca="1"/>
        <v>2.9957053313415085</v>
      </c>
      <c r="CS17" s="9">
        <f ca="1"/>
        <v>2.2072170198385619</v>
      </c>
      <c r="CT17" s="9">
        <f ca="1"/>
        <v>1.565029290874034</v>
      </c>
      <c r="CU17" s="9">
        <f ca="1"/>
        <v>1.0658212579184418</v>
      </c>
      <c r="CV17" s="9">
        <f ca="1"/>
        <v>0.69625653819581579</v>
      </c>
      <c r="CW17" s="9">
        <f ca="1"/>
        <v>0.4358020146028308</v>
      </c>
      <c r="CX17" s="9">
        <f ca="1"/>
        <v>0.2610237619551154</v>
      </c>
      <c r="CY17" s="9">
        <f ca="1"/>
        <v>0.14954164711595425</v>
      </c>
      <c r="CZ17" s="9">
        <f ca="1"/>
        <v>8.196830216852484E-2</v>
      </c>
      <c r="DA17" s="9">
        <f ca="1"/>
        <v>4.3015442391746317E-2</v>
      </c>
      <c r="DB17" s="9">
        <f ca="1"/>
        <v>2.1634630145146994E-2</v>
      </c>
      <c r="DC17" s="9">
        <f ca="1"/>
        <v>1.0442511307936039E-2</v>
      </c>
      <c r="DD17" s="9">
        <f ca="1"/>
        <v>4.8447489730627184E-3</v>
      </c>
      <c r="DE17" s="9">
        <f ca="1"/>
        <v>2.1639618533891938E-3</v>
      </c>
      <c r="DF17" s="9">
        <f ca="1"/>
        <v>9.3142656643525282E-4</v>
      </c>
      <c r="DG17" s="9">
        <f ca="1"/>
        <v>3.8648231616690646E-4</v>
      </c>
      <c r="DH17" s="9">
        <f ca="1"/>
        <v>1.5486660182922088E-4</v>
      </c>
      <c r="DI17" s="9">
        <f ca="1"/>
        <v>6.0035747141676154E-5</v>
      </c>
      <c r="DJ17" s="9">
        <f ca="1"/>
        <v>2.2555883374206619E-5</v>
      </c>
      <c r="DK17" s="9">
        <f ca="1"/>
        <v>8.2274714431610611E-6</v>
      </c>
      <c r="DL17" s="9">
        <f ca="1"/>
        <v>2.9185328525623285E-6</v>
      </c>
      <c r="DM17" s="9">
        <f ca="1"/>
        <v>1.0084612787097233E-6</v>
      </c>
      <c r="DN17" s="9">
        <f ca="1"/>
        <v>3.3995326293833383E-7</v>
      </c>
      <c r="DO17" s="9">
        <f ca="1"/>
        <v>1.1195886131105554E-7</v>
      </c>
      <c r="DP17" s="9">
        <f ca="1"/>
        <v>3.605341024245179E-8</v>
      </c>
      <c r="DQ17" s="9">
        <f ca="1"/>
        <v>1.1299651528595409E-8</v>
      </c>
      <c r="DR17" s="9">
        <f ca="1"/>
        <v>3.214749003034455E-9</v>
      </c>
    </row>
    <row r="18" spans="1:122" x14ac:dyDescent="0.25">
      <c r="A18" s="86">
        <v>-0.5</v>
      </c>
      <c r="B18" s="81">
        <f>$B$8*EXP(A18*$B$9%*SQRT($B$7))</f>
        <v>45.902139631897541</v>
      </c>
      <c r="C18" s="81">
        <f t="shared" si="12"/>
        <v>3.8265117310540711</v>
      </c>
      <c r="D18" s="117" cm="1">
        <f t="array" ref="D18">[1]!Interp_Lin_Range($A$63:$A$67,$D$63:$D$67,B18,1)</f>
        <v>46.183651131051754</v>
      </c>
      <c r="E18" s="95">
        <v>49.012511929360002</v>
      </c>
      <c r="F18" s="94" cm="1">
        <f t="array" aca="1" ref="F18" ca="1">[1]!Interp_Lin_Range($BT$1:$DR$1,$BT$20:$DR$20,C18,1)</f>
        <v>4.202751320142263</v>
      </c>
      <c r="G18" s="112">
        <v>4.2647490000000001</v>
      </c>
      <c r="H18" s="113">
        <f t="shared" ca="1" si="13"/>
        <v>3.8437123077424574E-3</v>
      </c>
      <c r="J18" s="89"/>
      <c r="K18" s="46">
        <v>5.0228310502283102E-2</v>
      </c>
      <c r="L18" s="46">
        <v>0.18432267884322678</v>
      </c>
      <c r="M18" s="29"/>
      <c r="N18" s="30"/>
      <c r="BR18" s="4"/>
      <c r="BS18" s="105">
        <f t="shared" si="1"/>
        <v>7.3059360730593603E-2</v>
      </c>
      <c r="BT18" s="109" cm="1">
        <f t="array" aca="1" ref="BT18:DR18" ca="1">TRANSPOSE(MMULT(OFFSET(_xlfn.ANCHORARRAY($P$222),0,0),TRANSPOSE(BT17:DR17)))</f>
        <v>17.445014667521221</v>
      </c>
      <c r="BU18" s="109">
        <f ca="1"/>
        <v>23.02594447688918</v>
      </c>
      <c r="BV18" s="109">
        <f ca="1"/>
        <v>23.558012253528616</v>
      </c>
      <c r="BW18" s="109">
        <f ca="1"/>
        <v>22.993438692751209</v>
      </c>
      <c r="BX18" s="109">
        <f ca="1"/>
        <v>22.253037475304154</v>
      </c>
      <c r="BY18" s="109">
        <f ca="1"/>
        <v>21.473670847634761</v>
      </c>
      <c r="BZ18" s="109">
        <f ca="1"/>
        <v>20.669883888143172</v>
      </c>
      <c r="CA18" s="109">
        <f ca="1"/>
        <v>19.842341836793612</v>
      </c>
      <c r="CB18" s="109">
        <f ca="1"/>
        <v>18.99044778249398</v>
      </c>
      <c r="CC18" s="109">
        <f ca="1"/>
        <v>18.113491796596225</v>
      </c>
      <c r="CD18" s="109">
        <f ca="1"/>
        <v>17.210736974734761</v>
      </c>
      <c r="CE18" s="109">
        <f ca="1"/>
        <v>16.281424832056889</v>
      </c>
      <c r="CF18" s="109">
        <f ca="1"/>
        <v>15.324783657918756</v>
      </c>
      <c r="CG18" s="109">
        <f ca="1"/>
        <v>14.340185278408805</v>
      </c>
      <c r="CH18" s="109">
        <f ca="1"/>
        <v>13.328107973859323</v>
      </c>
      <c r="CI18" s="109">
        <f ca="1"/>
        <v>12.291667851927091</v>
      </c>
      <c r="CJ18" s="109">
        <f ca="1"/>
        <v>11.237041635919917</v>
      </c>
      <c r="CK18" s="109">
        <f ca="1"/>
        <v>10.172219147306878</v>
      </c>
      <c r="CL18" s="109">
        <f ca="1"/>
        <v>9.1053327712413097</v>
      </c>
      <c r="CM18" s="109">
        <f ca="1"/>
        <v>8.0434504204308332</v>
      </c>
      <c r="CN18" s="109">
        <f ca="1"/>
        <v>6.991989034914126</v>
      </c>
      <c r="CO18" s="110">
        <f ca="1"/>
        <v>5.9545922828946827</v>
      </c>
      <c r="CP18" s="34">
        <f ca="1"/>
        <v>4.9374327097954751</v>
      </c>
      <c r="CQ18" s="9">
        <f ca="1"/>
        <v>3.9650987670382003</v>
      </c>
      <c r="CR18" s="9">
        <f ca="1"/>
        <v>3.0704475295632285</v>
      </c>
      <c r="CS18" s="9">
        <f ca="1"/>
        <v>2.2845686846235873</v>
      </c>
      <c r="CT18" s="9">
        <f ca="1"/>
        <v>1.6398342570690134</v>
      </c>
      <c r="CU18" s="9">
        <f ca="1"/>
        <v>1.1334971390107043</v>
      </c>
      <c r="CV18" s="9">
        <f ca="1"/>
        <v>0.75360097756024857</v>
      </c>
      <c r="CW18" s="9">
        <f ca="1"/>
        <v>0.48137688596393435</v>
      </c>
      <c r="CX18" s="9">
        <f ca="1"/>
        <v>0.29504634028302934</v>
      </c>
      <c r="CY18" s="9">
        <f ca="1"/>
        <v>0.17343588036007346</v>
      </c>
      <c r="CZ18" s="9">
        <f ca="1"/>
        <v>9.7784518198986092E-2</v>
      </c>
      <c r="DA18" s="9">
        <f ca="1"/>
        <v>5.2903218207766833E-2</v>
      </c>
      <c r="DB18" s="9">
        <f ca="1"/>
        <v>2.7486190857638763E-2</v>
      </c>
      <c r="DC18" s="9">
        <f ca="1"/>
        <v>1.3728614140394927E-2</v>
      </c>
      <c r="DD18" s="9">
        <f ca="1"/>
        <v>6.6003535008544965E-3</v>
      </c>
      <c r="DE18" s="9">
        <f ca="1"/>
        <v>3.058464281924537E-3</v>
      </c>
      <c r="DF18" s="9">
        <f ca="1"/>
        <v>1.3668858047314702E-3</v>
      </c>
      <c r="DG18" s="9">
        <f ca="1"/>
        <v>5.8929282095151493E-4</v>
      </c>
      <c r="DH18" s="9">
        <f ca="1"/>
        <v>2.454458624409881E-4</v>
      </c>
      <c r="DI18" s="9">
        <f ca="1"/>
        <v>9.8920069467397663E-5</v>
      </c>
      <c r="DJ18" s="9">
        <f ca="1"/>
        <v>3.8637142327715758E-5</v>
      </c>
      <c r="DK18" s="9">
        <f ca="1"/>
        <v>1.4648831845527374E-5</v>
      </c>
      <c r="DL18" s="9">
        <f ca="1"/>
        <v>5.3994855592443677E-6</v>
      </c>
      <c r="DM18" s="9">
        <f ca="1"/>
        <v>1.9377968521429892E-6</v>
      </c>
      <c r="DN18" s="9">
        <f ca="1"/>
        <v>6.781089359078888E-7</v>
      </c>
      <c r="DO18" s="9">
        <f ca="1"/>
        <v>2.3168820961853304E-7</v>
      </c>
      <c r="DP18" s="9">
        <f ca="1"/>
        <v>7.7343384391026894E-8</v>
      </c>
      <c r="DQ18" s="9">
        <f ca="1"/>
        <v>2.5090494931130763E-8</v>
      </c>
      <c r="DR18" s="9">
        <f ca="1"/>
        <v>7.349058237141602E-9</v>
      </c>
    </row>
    <row r="19" spans="1:122" x14ac:dyDescent="0.25">
      <c r="A19" s="86">
        <v>0</v>
      </c>
      <c r="B19" s="81">
        <f>$B$8*EXP(A19*$B$9%*SQRT($B$7))</f>
        <v>48.8</v>
      </c>
      <c r="C19" s="81">
        <f t="shared" si="12"/>
        <v>3.8877303128591016</v>
      </c>
      <c r="D19" s="117" cm="1">
        <f t="array" ref="D19">[1]!Interp_Lin_Range($A$63:$A$67,$D$63:$D$67,B19,1)</f>
        <v>43.874000000000002</v>
      </c>
      <c r="E19" s="95">
        <v>41.614943920123814</v>
      </c>
      <c r="F19" s="94" cm="1">
        <f t="array" aca="1" ref="F19" ca="1">[1]!Interp_Lin_Range($BT$1:$DR$1,$BT$20:$DR$20,C19,1)</f>
        <v>2.4324856088651963</v>
      </c>
      <c r="G19" s="112">
        <v>2.4471750000000001</v>
      </c>
      <c r="H19" s="113">
        <f t="shared" ca="1" si="13"/>
        <v>2.1577821191125338E-4</v>
      </c>
      <c r="J19" s="89"/>
      <c r="K19" s="46">
        <v>5.4794520547945202E-2</v>
      </c>
      <c r="L19" s="46">
        <v>0.19360730593607306</v>
      </c>
      <c r="M19" s="29"/>
      <c r="N19" s="30"/>
      <c r="O19" s="11" t="s">
        <v>17</v>
      </c>
      <c r="P19" s="11">
        <f t="shared" ref="P19:AU19" si="16">P15</f>
        <v>50</v>
      </c>
      <c r="Q19" s="11">
        <f t="shared" si="16"/>
        <v>49</v>
      </c>
      <c r="R19" s="11">
        <f t="shared" si="16"/>
        <v>48</v>
      </c>
      <c r="S19" s="11">
        <f t="shared" si="16"/>
        <v>47</v>
      </c>
      <c r="T19" s="11">
        <f t="shared" si="16"/>
        <v>46</v>
      </c>
      <c r="U19" s="11">
        <f t="shared" si="16"/>
        <v>45</v>
      </c>
      <c r="V19" s="11">
        <f t="shared" si="16"/>
        <v>44</v>
      </c>
      <c r="W19" s="11">
        <f t="shared" si="16"/>
        <v>43</v>
      </c>
      <c r="X19" s="11">
        <f t="shared" si="16"/>
        <v>42</v>
      </c>
      <c r="Y19" s="11">
        <f t="shared" si="16"/>
        <v>41</v>
      </c>
      <c r="Z19" s="11">
        <f t="shared" si="16"/>
        <v>40</v>
      </c>
      <c r="AA19" s="11">
        <f t="shared" si="16"/>
        <v>39</v>
      </c>
      <c r="AB19" s="11">
        <f t="shared" si="16"/>
        <v>38</v>
      </c>
      <c r="AC19" s="11">
        <f t="shared" si="16"/>
        <v>37</v>
      </c>
      <c r="AD19" s="11">
        <f t="shared" si="16"/>
        <v>36</v>
      </c>
      <c r="AE19" s="11">
        <f t="shared" si="16"/>
        <v>35</v>
      </c>
      <c r="AF19" s="11">
        <f t="shared" si="16"/>
        <v>34</v>
      </c>
      <c r="AG19" s="11">
        <f t="shared" si="16"/>
        <v>33</v>
      </c>
      <c r="AH19" s="11">
        <f t="shared" si="16"/>
        <v>32</v>
      </c>
      <c r="AI19" s="11">
        <f t="shared" si="16"/>
        <v>31</v>
      </c>
      <c r="AJ19" s="11">
        <f t="shared" si="16"/>
        <v>30</v>
      </c>
      <c r="AK19" s="11">
        <f t="shared" si="16"/>
        <v>29</v>
      </c>
      <c r="AL19" s="11">
        <f t="shared" si="16"/>
        <v>28</v>
      </c>
      <c r="AM19" s="11">
        <f t="shared" si="16"/>
        <v>27</v>
      </c>
      <c r="AN19" s="11">
        <f t="shared" si="16"/>
        <v>26</v>
      </c>
      <c r="AO19" s="11">
        <f t="shared" si="16"/>
        <v>25</v>
      </c>
      <c r="AP19" s="11">
        <f t="shared" si="16"/>
        <v>24</v>
      </c>
      <c r="AQ19" s="11">
        <f t="shared" si="16"/>
        <v>23</v>
      </c>
      <c r="AR19" s="11">
        <f t="shared" si="16"/>
        <v>22</v>
      </c>
      <c r="AS19" s="11">
        <f t="shared" si="16"/>
        <v>21</v>
      </c>
      <c r="AT19" s="11">
        <f t="shared" si="16"/>
        <v>20</v>
      </c>
      <c r="AU19" s="11">
        <f t="shared" si="16"/>
        <v>19</v>
      </c>
      <c r="AV19" s="11">
        <f t="shared" ref="AV19:BN19" si="17">AV15</f>
        <v>18</v>
      </c>
      <c r="AW19" s="11">
        <f t="shared" si="17"/>
        <v>17</v>
      </c>
      <c r="AX19" s="11">
        <f t="shared" si="17"/>
        <v>16</v>
      </c>
      <c r="AY19" s="11">
        <f t="shared" si="17"/>
        <v>15</v>
      </c>
      <c r="AZ19" s="11">
        <f t="shared" si="17"/>
        <v>14</v>
      </c>
      <c r="BA19" s="11">
        <f t="shared" si="17"/>
        <v>13</v>
      </c>
      <c r="BB19" s="11">
        <f t="shared" si="17"/>
        <v>12</v>
      </c>
      <c r="BC19" s="11">
        <f t="shared" si="17"/>
        <v>11</v>
      </c>
      <c r="BD19" s="11">
        <f t="shared" si="17"/>
        <v>10</v>
      </c>
      <c r="BE19" s="11">
        <f t="shared" si="17"/>
        <v>9</v>
      </c>
      <c r="BF19" s="11">
        <f t="shared" si="17"/>
        <v>8</v>
      </c>
      <c r="BG19" s="11">
        <f t="shared" si="17"/>
        <v>7</v>
      </c>
      <c r="BH19" s="11">
        <f t="shared" si="17"/>
        <v>6</v>
      </c>
      <c r="BI19" s="11">
        <f t="shared" si="17"/>
        <v>5</v>
      </c>
      <c r="BJ19" s="11">
        <f t="shared" si="17"/>
        <v>4</v>
      </c>
      <c r="BK19" s="11">
        <f t="shared" si="17"/>
        <v>3</v>
      </c>
      <c r="BL19" s="11">
        <f t="shared" si="17"/>
        <v>2</v>
      </c>
      <c r="BM19" s="11">
        <f t="shared" si="17"/>
        <v>1</v>
      </c>
      <c r="BN19" s="11">
        <f t="shared" si="17"/>
        <v>0</v>
      </c>
      <c r="BR19" s="4"/>
      <c r="BS19" s="105">
        <f t="shared" si="1"/>
        <v>7.7625570776255703E-2</v>
      </c>
      <c r="BT19" s="109" cm="1">
        <f t="array" aca="1" ref="BT19:DR19" ca="1">TRANSPOSE(MMULT(OFFSET(_xlfn.ANCHORARRAY($P$222),0,0),TRANSPOSE(BT18:DR18)))</f>
        <v>17.125935896990676</v>
      </c>
      <c r="BU19" s="109">
        <f ca="1"/>
        <v>22.887701969768575</v>
      </c>
      <c r="BV19" s="109">
        <f ca="1"/>
        <v>23.527615638321148</v>
      </c>
      <c r="BW19" s="109">
        <f ca="1"/>
        <v>22.988949471432523</v>
      </c>
      <c r="BX19" s="109">
        <f ca="1"/>
        <v>22.252537177173213</v>
      </c>
      <c r="BY19" s="109">
        <f ca="1"/>
        <v>21.473625984752786</v>
      </c>
      <c r="BZ19" s="109">
        <f ca="1"/>
        <v>20.669880548177783</v>
      </c>
      <c r="CA19" s="109">
        <f ca="1"/>
        <v>19.842341661802177</v>
      </c>
      <c r="CB19" s="109">
        <f ca="1"/>
        <v>18.990447816714308</v>
      </c>
      <c r="CC19" s="109">
        <f ca="1"/>
        <v>18.113491844974519</v>
      </c>
      <c r="CD19" s="109">
        <f ca="1"/>
        <v>17.210737041107915</v>
      </c>
      <c r="CE19" s="109">
        <f ca="1"/>
        <v>16.281425217019486</v>
      </c>
      <c r="CF19" s="109">
        <f ca="1"/>
        <v>15.324789629629311</v>
      </c>
      <c r="CG19" s="109">
        <f ca="1"/>
        <v>14.340275040322362</v>
      </c>
      <c r="CH19" s="109">
        <f ca="1"/>
        <v>13.32875077367785</v>
      </c>
      <c r="CI19" s="109">
        <f ca="1"/>
        <v>12.29406523592086</v>
      </c>
      <c r="CJ19" s="109">
        <f ca="1"/>
        <v>11.243053193532534</v>
      </c>
      <c r="CK19" s="109">
        <f ca="1"/>
        <v>10.183935893408213</v>
      </c>
      <c r="CL19" s="109">
        <f ca="1"/>
        <v>9.124637829425275</v>
      </c>
      <c r="CM19" s="109">
        <f ca="1"/>
        <v>8.0717410439957593</v>
      </c>
      <c r="CN19" s="109">
        <f ca="1"/>
        <v>7.0300723807381997</v>
      </c>
      <c r="CO19" s="110">
        <f ca="1"/>
        <v>6.0027045871828131</v>
      </c>
      <c r="CP19" s="34">
        <f ca="1"/>
        <v>4.9952776487757626</v>
      </c>
      <c r="CQ19" s="9">
        <f ca="1"/>
        <v>4.0315081617434814</v>
      </c>
      <c r="CR19" s="9">
        <f ca="1"/>
        <v>3.1430024790369795</v>
      </c>
      <c r="CS19" s="9">
        <f ca="1"/>
        <v>2.3595956617217966</v>
      </c>
      <c r="CT19" s="9">
        <f ca="1"/>
        <v>1.7126081539985201</v>
      </c>
      <c r="CU19" s="9">
        <f ca="1"/>
        <v>1.1997912973819316</v>
      </c>
      <c r="CV19" s="9">
        <f ca="1"/>
        <v>0.81038495297217539</v>
      </c>
      <c r="CW19" s="9">
        <f ca="1"/>
        <v>0.52717079229858343</v>
      </c>
      <c r="CX19" s="9">
        <f ca="1"/>
        <v>0.32986318971218848</v>
      </c>
      <c r="CY19" s="9">
        <f ca="1"/>
        <v>0.19842551030339134</v>
      </c>
      <c r="CZ19" s="9">
        <f ca="1"/>
        <v>0.11474374040747512</v>
      </c>
      <c r="DA19" s="9">
        <f ca="1"/>
        <v>6.3805090854095969E-2</v>
      </c>
      <c r="DB19" s="9">
        <f ca="1"/>
        <v>3.4137289692653963E-2</v>
      </c>
      <c r="DC19" s="9">
        <f ca="1"/>
        <v>1.7587756754103082E-2</v>
      </c>
      <c r="DD19" s="9">
        <f ca="1"/>
        <v>8.7345630710620858E-3</v>
      </c>
      <c r="DE19" s="9">
        <f ca="1"/>
        <v>4.1857903908126088E-3</v>
      </c>
      <c r="DF19" s="9">
        <f ca="1"/>
        <v>1.9365229272893219E-3</v>
      </c>
      <c r="DG19" s="9">
        <f ca="1"/>
        <v>8.6493490227357382E-4</v>
      </c>
      <c r="DH19" s="9">
        <f ca="1"/>
        <v>3.7343723710471494E-4</v>
      </c>
      <c r="DI19" s="9">
        <f ca="1"/>
        <v>1.5606777237679929E-4</v>
      </c>
      <c r="DJ19" s="9">
        <f ca="1"/>
        <v>6.3223175794242445E-5</v>
      </c>
      <c r="DK19" s="9">
        <f ca="1"/>
        <v>2.4861097662371728E-5</v>
      </c>
      <c r="DL19" s="9">
        <f ca="1"/>
        <v>9.5029178684228415E-6</v>
      </c>
      <c r="DM19" s="9">
        <f ca="1"/>
        <v>3.535808457117905E-6</v>
      </c>
      <c r="DN19" s="9">
        <f ca="1"/>
        <v>1.2823306876631612E-6</v>
      </c>
      <c r="DO19" s="9">
        <f ca="1"/>
        <v>4.5386476062203974E-7</v>
      </c>
      <c r="DP19" s="9">
        <f ca="1"/>
        <v>1.5685179822325392E-7</v>
      </c>
      <c r="DQ19" s="9">
        <f ca="1"/>
        <v>5.2599525644000426E-8</v>
      </c>
      <c r="DR19" s="9">
        <f ca="1"/>
        <v>1.5841529759085181E-8</v>
      </c>
    </row>
    <row r="20" spans="1:122" x14ac:dyDescent="0.25">
      <c r="A20" s="86">
        <v>0.5</v>
      </c>
      <c r="B20" s="81">
        <f t="shared" ref="B20:B23" si="18">$B$8*EXP(A20*$B$9%*SQRT($B$7))</f>
        <v>51.880805973260763</v>
      </c>
      <c r="C20" s="81">
        <f t="shared" si="12"/>
        <v>3.9489488946641318</v>
      </c>
      <c r="D20" s="117" cm="1">
        <f t="array" ref="D20">[1]!Interp_Lin_Range($A$63:$A$67,$D$63:$D$67,B20,1)</f>
        <v>42.940747748555879</v>
      </c>
      <c r="E20" s="95">
        <v>42.100235481250301</v>
      </c>
      <c r="F20" s="94" cm="1">
        <f t="array" aca="1" ref="F20" ca="1">[1]!Interp_Lin_Range($BT$1:$DR$1,$BT$20:$DR$20,C20,1)</f>
        <v>1.2204119392842039</v>
      </c>
      <c r="G20" s="112">
        <v>1.2038519999999999</v>
      </c>
      <c r="H20" s="113">
        <f t="shared" ca="1" si="13"/>
        <v>2.7423158909652162E-4</v>
      </c>
      <c r="J20" s="89"/>
      <c r="K20" s="46">
        <v>5.9360730593607303E-2</v>
      </c>
      <c r="L20" s="46">
        <v>0.20289193302891934</v>
      </c>
      <c r="M20" s="29"/>
      <c r="O20" s="7">
        <v>2</v>
      </c>
      <c r="P20" s="103">
        <f>(P$7-2*P$5)*$D$11*0.5</f>
        <v>-2.6708003217809105E-2</v>
      </c>
      <c r="Q20" s="103">
        <f t="shared" ref="Q20:BN20" si="19">(Q$7-2*Q$5)*$D$11*0.5</f>
        <v>-2.6708003217809105E-2</v>
      </c>
      <c r="R20" s="103">
        <f t="shared" si="19"/>
        <v>-2.6708003217809105E-2</v>
      </c>
      <c r="S20" s="103">
        <f t="shared" si="19"/>
        <v>-2.6708003217809105E-2</v>
      </c>
      <c r="T20" s="103">
        <f t="shared" si="19"/>
        <v>-2.6708003217809105E-2</v>
      </c>
      <c r="U20" s="103">
        <f t="shared" si="19"/>
        <v>-2.6708003217809105E-2</v>
      </c>
      <c r="V20" s="103">
        <f t="shared" si="19"/>
        <v>-2.6708003217809105E-2</v>
      </c>
      <c r="W20" s="103">
        <f t="shared" si="19"/>
        <v>-2.6708003217809105E-2</v>
      </c>
      <c r="X20" s="103">
        <f t="shared" si="19"/>
        <v>-2.6708003217809105E-2</v>
      </c>
      <c r="Y20" s="103">
        <f t="shared" si="19"/>
        <v>-2.6708003217809105E-2</v>
      </c>
      <c r="Z20" s="103">
        <f t="shared" si="19"/>
        <v>-2.6708003217809105E-2</v>
      </c>
      <c r="AA20" s="103">
        <f t="shared" si="19"/>
        <v>-2.6708003217809105E-2</v>
      </c>
      <c r="AB20" s="103">
        <f t="shared" si="19"/>
        <v>-2.6708003217809105E-2</v>
      </c>
      <c r="AC20" s="103">
        <f t="shared" si="19"/>
        <v>-5.289166655297823E-2</v>
      </c>
      <c r="AD20" s="103">
        <f t="shared" si="19"/>
        <v>-0.10860323074770058</v>
      </c>
      <c r="AE20" s="103">
        <f t="shared" si="19"/>
        <v>-0.18414243181868503</v>
      </c>
      <c r="AF20" s="103">
        <f t="shared" si="19"/>
        <v>-0.27950926976592927</v>
      </c>
      <c r="AG20" s="103">
        <f t="shared" si="19"/>
        <v>-0.39470374458943425</v>
      </c>
      <c r="AH20" s="103">
        <f t="shared" si="19"/>
        <v>-0.52972585628919977</v>
      </c>
      <c r="AI20" s="103">
        <f t="shared" si="19"/>
        <v>-0.68457560486522906</v>
      </c>
      <c r="AJ20" s="103">
        <f t="shared" si="19"/>
        <v>-0.85925299031751734</v>
      </c>
      <c r="AK20" s="103">
        <f t="shared" si="19"/>
        <v>-0.96745325274473426</v>
      </c>
      <c r="AL20" s="103">
        <f t="shared" si="19"/>
        <v>-0.79293083750976345</v>
      </c>
      <c r="AM20" s="103">
        <f t="shared" si="19"/>
        <v>-0.6420553985543509</v>
      </c>
      <c r="AN20" s="103">
        <f t="shared" si="19"/>
        <v>-0.55285868459367127</v>
      </c>
      <c r="AO20" s="103">
        <f t="shared" si="19"/>
        <v>-0.47032953610995132</v>
      </c>
      <c r="AP20" s="103">
        <f t="shared" si="19"/>
        <v>-0.47553921805552957</v>
      </c>
      <c r="AQ20" s="103">
        <f t="shared" si="19"/>
        <v>-0.4807775942482706</v>
      </c>
      <c r="AR20" s="103">
        <f t="shared" si="19"/>
        <v>-0.48727147889043898</v>
      </c>
      <c r="AS20" s="103">
        <f t="shared" si="19"/>
        <v>-0.49396387720422685</v>
      </c>
      <c r="AT20" s="103">
        <f t="shared" si="19"/>
        <v>-0.49802347451411189</v>
      </c>
      <c r="AU20" s="103">
        <f t="shared" si="19"/>
        <v>-0.50132997823686731</v>
      </c>
      <c r="AV20" s="103">
        <f t="shared" si="19"/>
        <v>-0.50464742202968493</v>
      </c>
      <c r="AW20" s="103">
        <f t="shared" si="19"/>
        <v>-0.50797580589256441</v>
      </c>
      <c r="AX20" s="103">
        <f t="shared" si="19"/>
        <v>-0.5113151298255062</v>
      </c>
      <c r="AY20" s="103">
        <f t="shared" si="19"/>
        <v>-0.51466539382850995</v>
      </c>
      <c r="AZ20" s="103">
        <f t="shared" si="19"/>
        <v>-0.51802659790157568</v>
      </c>
      <c r="BA20" s="103">
        <f t="shared" si="19"/>
        <v>-0.52139874204470349</v>
      </c>
      <c r="BB20" s="103">
        <f t="shared" si="19"/>
        <v>-0.52365894262588553</v>
      </c>
      <c r="BC20" s="103">
        <f t="shared" si="19"/>
        <v>-0.52365894262588553</v>
      </c>
      <c r="BD20" s="103">
        <f t="shared" si="19"/>
        <v>-0.52365894262588553</v>
      </c>
      <c r="BE20" s="103">
        <f t="shared" si="19"/>
        <v>-0.52365894262588553</v>
      </c>
      <c r="BF20" s="103">
        <f t="shared" si="19"/>
        <v>-0.52365894262588553</v>
      </c>
      <c r="BG20" s="103">
        <f t="shared" si="19"/>
        <v>-0.52365894262588553</v>
      </c>
      <c r="BH20" s="103">
        <f t="shared" si="19"/>
        <v>-0.52365894262588553</v>
      </c>
      <c r="BI20" s="103">
        <f t="shared" si="19"/>
        <v>-0.52365894262588553</v>
      </c>
      <c r="BJ20" s="103">
        <f t="shared" si="19"/>
        <v>-0.52365894262588553</v>
      </c>
      <c r="BK20" s="103">
        <f t="shared" si="19"/>
        <v>-0.52365894262588553</v>
      </c>
      <c r="BL20" s="103">
        <f t="shared" si="19"/>
        <v>-0.52365894262588553</v>
      </c>
      <c r="BM20" s="103">
        <f t="shared" si="19"/>
        <v>-0.52365894262588553</v>
      </c>
      <c r="BN20" s="103">
        <f t="shared" si="19"/>
        <v>-0.52365894262588553</v>
      </c>
      <c r="BR20" s="4"/>
      <c r="BS20" s="105">
        <f t="shared" si="1"/>
        <v>8.2191780821917804E-2</v>
      </c>
      <c r="BT20" s="109" cm="1">
        <f t="array" aca="1" ref="BT20:DR20" ca="1">TRANSPOSE(MMULT(OFFSET(_xlfn.ANCHORARRAY($P$222),0,0),TRANSPOSE(BT19:DR19)))</f>
        <v>16.819889777645358</v>
      </c>
      <c r="BU20" s="109">
        <f ca="1"/>
        <v>22.747595463942321</v>
      </c>
      <c r="BV20" s="109">
        <f ca="1"/>
        <v>23.495004656544264</v>
      </c>
      <c r="BW20" s="109">
        <f ca="1"/>
        <v>22.983848281065875</v>
      </c>
      <c r="BX20" s="109">
        <f ca="1"/>
        <v>22.251935052651831</v>
      </c>
      <c r="BY20" s="109">
        <f ca="1"/>
        <v>21.473568808536644</v>
      </c>
      <c r="BZ20" s="109">
        <f ca="1"/>
        <v>20.66987602986655</v>
      </c>
      <c r="CA20" s="109">
        <f ca="1"/>
        <v>19.842341393018884</v>
      </c>
      <c r="CB20" s="109">
        <f ca="1"/>
        <v>18.990447844540469</v>
      </c>
      <c r="CC20" s="109">
        <f ca="1"/>
        <v>18.11349189348185</v>
      </c>
      <c r="CD20" s="109">
        <f ca="1"/>
        <v>17.210737117289725</v>
      </c>
      <c r="CE20" s="109">
        <f ca="1"/>
        <v>16.281425766940167</v>
      </c>
      <c r="CF20" s="109">
        <f ca="1"/>
        <v>15.324797942861426</v>
      </c>
      <c r="CG20" s="109">
        <f ca="1"/>
        <v>14.340391227842472</v>
      </c>
      <c r="CH20" s="109">
        <f ca="1"/>
        <v>13.329525160961161</v>
      </c>
      <c r="CI20" s="109">
        <f ca="1"/>
        <v>12.296790829143628</v>
      </c>
      <c r="CJ20" s="109">
        <f ca="1"/>
        <v>11.249596600942466</v>
      </c>
      <c r="CK20" s="109">
        <f ca="1"/>
        <v>10.196286333065276</v>
      </c>
      <c r="CL20" s="109">
        <f ca="1"/>
        <v>9.144509093461723</v>
      </c>
      <c r="CM20" s="109">
        <f ca="1"/>
        <v>8.1003495791148818</v>
      </c>
      <c r="CN20" s="109">
        <f ca="1"/>
        <v>7.068074895685637</v>
      </c>
      <c r="CO20" s="110">
        <f ca="1"/>
        <v>6.0502384224054895</v>
      </c>
      <c r="CP20" s="34">
        <f ca="1"/>
        <v>5.0520011544479102</v>
      </c>
      <c r="CQ20" s="9">
        <f ca="1"/>
        <v>4.0962760373243023</v>
      </c>
      <c r="CR20" s="9">
        <f ca="1"/>
        <v>3.2135337246535181</v>
      </c>
      <c r="CS20" s="9">
        <f ca="1"/>
        <v>2.432485608865206</v>
      </c>
      <c r="CT20" s="9">
        <f ca="1"/>
        <v>1.7835029825007642</v>
      </c>
      <c r="CU20" s="9">
        <f ca="1"/>
        <v>1.2647735304360341</v>
      </c>
      <c r="CV20" s="9">
        <f ca="1"/>
        <v>0.86658264728188295</v>
      </c>
      <c r="CW20" s="9">
        <f ca="1"/>
        <v>0.57308380759551825</v>
      </c>
      <c r="CX20" s="9">
        <f ca="1"/>
        <v>0.36534194748867932</v>
      </c>
      <c r="CY20" s="9">
        <f ca="1"/>
        <v>0.2243874803203873</v>
      </c>
      <c r="CZ20" s="9">
        <f ca="1"/>
        <v>0.13275910069583777</v>
      </c>
      <c r="DA20" s="9">
        <f ca="1"/>
        <v>7.567794771059104E-2</v>
      </c>
      <c r="DB20" s="9">
        <f ca="1"/>
        <v>4.1581330548649473E-2</v>
      </c>
      <c r="DC20" s="9">
        <f ca="1"/>
        <v>2.2036008165455024E-2</v>
      </c>
      <c r="DD20" s="9">
        <f ca="1"/>
        <v>1.1272687050604687E-2</v>
      </c>
      <c r="DE20" s="9">
        <f ca="1"/>
        <v>5.5711661454663341E-3</v>
      </c>
      <c r="DF20" s="9">
        <f ca="1"/>
        <v>2.6608150049706597E-3</v>
      </c>
      <c r="DG20" s="9">
        <f ca="1"/>
        <v>1.2279517090336026E-3</v>
      </c>
      <c r="DH20" s="9">
        <f ca="1"/>
        <v>5.4817340909679832E-4</v>
      </c>
      <c r="DI20" s="9">
        <f ca="1"/>
        <v>2.3699065423304867E-4</v>
      </c>
      <c r="DJ20" s="9">
        <f ca="1"/>
        <v>9.9346259524833163E-5</v>
      </c>
      <c r="DK20" s="9">
        <f ca="1"/>
        <v>4.0431860079582187E-5</v>
      </c>
      <c r="DL20" s="9">
        <f ca="1"/>
        <v>1.599552817627606E-5</v>
      </c>
      <c r="DM20" s="9">
        <f ca="1"/>
        <v>6.1592121622739331E-6</v>
      </c>
      <c r="DN20" s="9">
        <f ca="1"/>
        <v>2.3112197123082323E-6</v>
      </c>
      <c r="DO20" s="9">
        <f ca="1"/>
        <v>8.4612687039477579E-7</v>
      </c>
      <c r="DP20" s="9">
        <f ca="1"/>
        <v>3.0230011123163935E-7</v>
      </c>
      <c r="DQ20" s="9">
        <f ca="1"/>
        <v>1.0465407244492101E-7</v>
      </c>
      <c r="DR20" s="9">
        <f ca="1"/>
        <v>3.2367148768210896E-8</v>
      </c>
    </row>
    <row r="21" spans="1:122" x14ac:dyDescent="0.25">
      <c r="A21" s="86">
        <v>1</v>
      </c>
      <c r="B21" s="81">
        <f t="shared" si="18"/>
        <v>55.156107140064144</v>
      </c>
      <c r="C21" s="81">
        <f t="shared" si="12"/>
        <v>4.0101674764691619</v>
      </c>
      <c r="D21" s="117" cm="1">
        <f t="array" ref="D21">[1]!Interp_Lin_Range($A$63:$A$67,$D$63:$D$67,B21,1)</f>
        <v>42.707000000000001</v>
      </c>
      <c r="E21" s="95">
        <v>42.712308216266514</v>
      </c>
      <c r="F21" s="94" cm="1">
        <f t="array" aca="1" ref="F21" ca="1">[1]!Interp_Lin_Range($BT$1:$DR$1,$BT$20:$DR$20,C21,1)</f>
        <v>0.52679565860435984</v>
      </c>
      <c r="G21" s="112">
        <v>0.50249900000000003</v>
      </c>
      <c r="H21" s="113">
        <f t="shared" ca="1" si="13"/>
        <v>5.9032761933681163E-4</v>
      </c>
      <c r="J21" s="89"/>
      <c r="K21" s="46">
        <v>6.3926940639269403E-2</v>
      </c>
      <c r="L21" s="46">
        <v>0.21217656012176558</v>
      </c>
      <c r="M21" s="29"/>
      <c r="O21" s="29">
        <v>3</v>
      </c>
      <c r="P21" s="120">
        <f>(P$11-2*P$9)*$D$37*0.5</f>
        <v>-0.19824247270713113</v>
      </c>
      <c r="Q21" s="120">
        <f t="shared" ref="Q21:BN21" si="20">(Q$11-2*Q$9)*$D$37*0.5</f>
        <v>-0.19824247270713113</v>
      </c>
      <c r="R21" s="120">
        <f t="shared" si="20"/>
        <v>-0.19824247270713113</v>
      </c>
      <c r="S21" s="120">
        <f t="shared" si="20"/>
        <v>-0.21796892057086359</v>
      </c>
      <c r="T21" s="120">
        <f t="shared" si="20"/>
        <v>-0.25611545612731035</v>
      </c>
      <c r="U21" s="120">
        <f t="shared" si="20"/>
        <v>-0.29733638353870451</v>
      </c>
      <c r="V21" s="120">
        <f t="shared" si="20"/>
        <v>-0.34163170280504612</v>
      </c>
      <c r="W21" s="120">
        <f t="shared" si="20"/>
        <v>-0.38900141392633608</v>
      </c>
      <c r="X21" s="120">
        <f t="shared" si="20"/>
        <v>-0.43944551690257244</v>
      </c>
      <c r="Y21" s="120">
        <f t="shared" si="20"/>
        <v>-0.49296401173375659</v>
      </c>
      <c r="Z21" s="120">
        <f t="shared" si="20"/>
        <v>-0.54955689841988797</v>
      </c>
      <c r="AA21" s="120">
        <f t="shared" si="20"/>
        <v>-0.60922417696096787</v>
      </c>
      <c r="AB21" s="120">
        <f t="shared" si="20"/>
        <v>-0.67196584735699405</v>
      </c>
      <c r="AC21" s="120">
        <f t="shared" si="20"/>
        <v>-0.73778190960796775</v>
      </c>
      <c r="AD21" s="120">
        <f t="shared" si="20"/>
        <v>-0.80667236371388884</v>
      </c>
      <c r="AE21" s="120">
        <f t="shared" si="20"/>
        <v>-0.87863720967475878</v>
      </c>
      <c r="AF21" s="120">
        <f t="shared" si="20"/>
        <v>-0.95367644749057501</v>
      </c>
      <c r="AG21" s="120">
        <f t="shared" si="20"/>
        <v>-1.0317900771613382</v>
      </c>
      <c r="AH21" s="120">
        <f t="shared" si="20"/>
        <v>-1.1129780986870497</v>
      </c>
      <c r="AI21" s="120">
        <f t="shared" si="20"/>
        <v>-1.197240512067709</v>
      </c>
      <c r="AJ21" s="120">
        <f t="shared" si="20"/>
        <v>-1.284577317303315</v>
      </c>
      <c r="AK21" s="120">
        <f t="shared" si="20"/>
        <v>-1.299362414218765</v>
      </c>
      <c r="AL21" s="120">
        <f t="shared" si="20"/>
        <v>-1.0657057057852892</v>
      </c>
      <c r="AM21" s="120">
        <f t="shared" si="20"/>
        <v>-0.86584297214516281</v>
      </c>
      <c r="AN21" s="120">
        <f t="shared" si="20"/>
        <v>-0.76472071193353719</v>
      </c>
      <c r="AO21" s="120">
        <f t="shared" si="20"/>
        <v>-0.66987576721882391</v>
      </c>
      <c r="AP21" s="120">
        <f t="shared" si="20"/>
        <v>-0.69845459536122634</v>
      </c>
      <c r="AQ21" s="120">
        <f t="shared" si="20"/>
        <v>-0.72763038351463805</v>
      </c>
      <c r="AR21" s="120">
        <f t="shared" si="20"/>
        <v>-0.7017695099833724</v>
      </c>
      <c r="AS21" s="120">
        <f t="shared" si="20"/>
        <v>-0.66967607211066438</v>
      </c>
      <c r="AT21" s="120">
        <f t="shared" si="20"/>
        <v>-0.6868621427359497</v>
      </c>
      <c r="AU21" s="120">
        <f t="shared" si="20"/>
        <v>-0.71868510786725259</v>
      </c>
      <c r="AV21" s="120">
        <f t="shared" si="20"/>
        <v>-0.75122866842767244</v>
      </c>
      <c r="AW21" s="120">
        <f t="shared" si="20"/>
        <v>-0.7844928244172078</v>
      </c>
      <c r="AX21" s="120">
        <f t="shared" si="20"/>
        <v>-0.81847757583585989</v>
      </c>
      <c r="AY21" s="120">
        <f t="shared" si="20"/>
        <v>-0.85318292268362816</v>
      </c>
      <c r="AZ21" s="120">
        <f t="shared" si="20"/>
        <v>-0.88860886496051128</v>
      </c>
      <c r="BA21" s="120">
        <f t="shared" si="20"/>
        <v>-0.92475540266651157</v>
      </c>
      <c r="BB21" s="120">
        <f t="shared" si="20"/>
        <v>-0.94931928024865397</v>
      </c>
      <c r="BC21" s="120">
        <f t="shared" si="20"/>
        <v>-0.94931928024865397</v>
      </c>
      <c r="BD21" s="120">
        <f t="shared" si="20"/>
        <v>-0.94931928024865397</v>
      </c>
      <c r="BE21" s="120">
        <f t="shared" si="20"/>
        <v>-0.94931928024865397</v>
      </c>
      <c r="BF21" s="120">
        <f t="shared" si="20"/>
        <v>-0.94931928024865397</v>
      </c>
      <c r="BG21" s="120">
        <f t="shared" si="20"/>
        <v>-0.94931928024865397</v>
      </c>
      <c r="BH21" s="120">
        <f t="shared" si="20"/>
        <v>-0.94931928024865397</v>
      </c>
      <c r="BI21" s="120">
        <f t="shared" si="20"/>
        <v>-0.94931928024865397</v>
      </c>
      <c r="BJ21" s="120">
        <f t="shared" si="20"/>
        <v>-0.94931928024865397</v>
      </c>
      <c r="BK21" s="120">
        <f t="shared" si="20"/>
        <v>-0.94931928024865397</v>
      </c>
      <c r="BL21" s="120">
        <f t="shared" si="20"/>
        <v>-0.94931928024865397</v>
      </c>
      <c r="BM21" s="120">
        <f t="shared" si="20"/>
        <v>-0.94931928024865397</v>
      </c>
      <c r="BN21" s="120">
        <f t="shared" si="20"/>
        <v>-0.94931928024865397</v>
      </c>
      <c r="BR21" s="4"/>
      <c r="BS21" s="126">
        <f>L8</f>
        <v>9.147640791476408E-2</v>
      </c>
      <c r="BT21" s="109" cm="1">
        <f t="array" aca="1" ref="BT21:DR21" ca="1">TRANSPOSE(MMULT(OFFSET(_xlfn.ANCHORARRAY($P$222),0,54),TRANSPOSE(BT20:DR20)))</f>
        <v>14.876797314235356</v>
      </c>
      <c r="BU21" s="109">
        <f ca="1"/>
        <v>21.686757638421422</v>
      </c>
      <c r="BV21" s="109">
        <f ca="1"/>
        <v>23.19190187181373</v>
      </c>
      <c r="BW21" s="109">
        <f ca="1"/>
        <v>22.91900105313972</v>
      </c>
      <c r="BX21" s="109">
        <f ca="1"/>
        <v>22.240023176908117</v>
      </c>
      <c r="BY21" s="109">
        <f ca="1"/>
        <v>21.471600962434259</v>
      </c>
      <c r="BZ21" s="109">
        <f ca="1"/>
        <v>20.66956644905153</v>
      </c>
      <c r="CA21" s="109">
        <f ca="1"/>
        <v>19.842293122150604</v>
      </c>
      <c r="CB21" s="109">
        <f ca="1"/>
        <v>18.990441243956067</v>
      </c>
      <c r="CC21" s="109">
        <f ca="1"/>
        <v>18.113495877001579</v>
      </c>
      <c r="CD21" s="109">
        <f ca="1"/>
        <v>17.210764703311735</v>
      </c>
      <c r="CE21" s="109">
        <f ca="1"/>
        <v>16.281573286419871</v>
      </c>
      <c r="CF21" s="109">
        <f ca="1"/>
        <v>15.325511273085635</v>
      </c>
      <c r="CG21" s="109">
        <f ca="1"/>
        <v>14.343109794071713</v>
      </c>
      <c r="CH21" s="109">
        <f ca="1"/>
        <v>13.336780738175847</v>
      </c>
      <c r="CI21" s="109">
        <f ca="1"/>
        <v>12.311226154697364</v>
      </c>
      <c r="CJ21" s="109">
        <f ca="1"/>
        <v>11.272916938637403</v>
      </c>
      <c r="CK21" s="109">
        <f ca="1"/>
        <v>10.228992370433632</v>
      </c>
      <c r="CL21" s="109">
        <f ca="1"/>
        <v>9.1861619022641179</v>
      </c>
      <c r="CM21" s="109">
        <f ca="1"/>
        <v>8.1500391992811796</v>
      </c>
      <c r="CN21" s="109">
        <f ca="1"/>
        <v>7.1250562502716308</v>
      </c>
      <c r="CO21" s="110">
        <f ca="1"/>
        <v>6.1151302611822107</v>
      </c>
      <c r="CP21" s="34">
        <f ca="1"/>
        <v>5.127298739075159</v>
      </c>
      <c r="CQ21" s="9">
        <f ca="1"/>
        <v>4.1819125043913878</v>
      </c>
      <c r="CR21" s="9">
        <f ca="1"/>
        <v>3.3083318934392159</v>
      </c>
      <c r="CS21" s="9">
        <f ca="1"/>
        <v>2.5329607956119373</v>
      </c>
      <c r="CT21" s="9">
        <f ca="1"/>
        <v>1.8841276317023257</v>
      </c>
      <c r="CU21" s="9">
        <f ca="1"/>
        <v>1.359232315075068</v>
      </c>
      <c r="CV21" s="9">
        <f ca="1"/>
        <v>0.94654752674959786</v>
      </c>
      <c r="CW21" s="9">
        <f ca="1"/>
        <v>0.63656156460746682</v>
      </c>
      <c r="CX21" s="9">
        <f ca="1"/>
        <v>0.41542991890846875</v>
      </c>
      <c r="CY21" s="9">
        <f ca="1"/>
        <v>0.26288433545648981</v>
      </c>
      <c r="CZ21" s="9">
        <f ca="1"/>
        <v>0.16108497980708558</v>
      </c>
      <c r="DA21" s="9">
        <f ca="1"/>
        <v>9.556909031060655E-2</v>
      </c>
      <c r="DB21" s="9">
        <f ca="1"/>
        <v>5.4918580574984291E-2</v>
      </c>
      <c r="DC21" s="9">
        <f ca="1"/>
        <v>3.0587464267852759E-2</v>
      </c>
      <c r="DD21" s="9">
        <f ca="1"/>
        <v>1.6524363040827949E-2</v>
      </c>
      <c r="DE21" s="9">
        <f ca="1"/>
        <v>8.6629214453053782E-3</v>
      </c>
      <c r="DF21" s="9">
        <f ca="1"/>
        <v>4.3962854301122884E-3</v>
      </c>
      <c r="DG21" s="9">
        <f ca="1"/>
        <v>2.151035917183981E-3</v>
      </c>
      <c r="DH21" s="9">
        <f ca="1"/>
        <v>1.0178250177583863E-3</v>
      </c>
      <c r="DI21" s="9">
        <f ca="1"/>
        <v>4.6668350192863035E-4</v>
      </c>
      <c r="DJ21" s="9">
        <f ca="1"/>
        <v>2.0766256231656715E-4</v>
      </c>
      <c r="DK21" s="9">
        <f ca="1"/>
        <v>8.9796157558878778E-5</v>
      </c>
      <c r="DL21" s="9">
        <f ca="1"/>
        <v>3.7779892541878044E-5</v>
      </c>
      <c r="DM21" s="9">
        <f ca="1"/>
        <v>1.5484154521236233E-5</v>
      </c>
      <c r="DN21" s="9">
        <f ca="1"/>
        <v>6.189272313893757E-6</v>
      </c>
      <c r="DO21" s="9">
        <f ca="1"/>
        <v>2.415179513207614E-6</v>
      </c>
      <c r="DP21" s="9">
        <f ca="1"/>
        <v>9.199445155685286E-7</v>
      </c>
      <c r="DQ21" s="9">
        <f ca="1"/>
        <v>3.3891620154392221E-7</v>
      </c>
      <c r="DR21" s="9">
        <f ca="1"/>
        <v>1.104167951224757E-7</v>
      </c>
    </row>
    <row r="22" spans="1:122" x14ac:dyDescent="0.25">
      <c r="A22" s="86">
        <v>1.5</v>
      </c>
      <c r="B22" s="81">
        <f t="shared" si="18"/>
        <v>58.638182228976447</v>
      </c>
      <c r="C22" s="81">
        <f t="shared" si="12"/>
        <v>4.0713860582741921</v>
      </c>
      <c r="D22" s="117" cm="1">
        <f t="array" ref="D22">[1]!Interp_Lin_Range($A$63:$A$67,$D$63:$D$67,B22,1)</f>
        <v>42.707000000000001</v>
      </c>
      <c r="E22" s="95">
        <v>43.011958969378327</v>
      </c>
      <c r="F22" s="94" cm="1">
        <f t="array" aca="1" ref="F22" ca="1">[1]!Interp_Lin_Range($BT$1:$DR$1,$BT$20:$DR$20,C22,1)</f>
        <v>0.19376311733188087</v>
      </c>
      <c r="G22" s="112">
        <v>0.17491000000000001</v>
      </c>
      <c r="H22" s="113">
        <f t="shared" ca="1" si="13"/>
        <v>3.5544003312966643E-4</v>
      </c>
      <c r="J22" s="92"/>
      <c r="K22" s="46">
        <v>6.8493150684931503E-2</v>
      </c>
      <c r="L22" s="46">
        <v>0.22146118721461186</v>
      </c>
      <c r="M22" s="29"/>
      <c r="BR22" s="4"/>
      <c r="BS22" s="126">
        <f t="shared" ref="BS22:BS38" si="21">L9</f>
        <v>0.10076103500761034</v>
      </c>
      <c r="BT22" s="109" cm="1">
        <f t="array" aca="1" ref="BT22:DR22" ca="1">TRANSPOSE(MMULT(OFFSET(_xlfn.ANCHORARRAY($P$222),0,54),TRANSPOSE(BT21:DR21)))</f>
        <v>13.404300070741261</v>
      </c>
      <c r="BU22" s="109">
        <f ca="1"/>
        <v>20.633439949848924</v>
      </c>
      <c r="BV22" s="109">
        <f ca="1"/>
        <v>22.797556576914111</v>
      </c>
      <c r="BW22" s="109">
        <f ca="1"/>
        <v>22.810732841835872</v>
      </c>
      <c r="BX22" s="109">
        <f ca="1"/>
        <v>22.214303230024413</v>
      </c>
      <c r="BY22" s="109">
        <f ca="1"/>
        <v>21.465993528986534</v>
      </c>
      <c r="BZ22" s="109">
        <f ca="1"/>
        <v>20.66840017194523</v>
      </c>
      <c r="CA22" s="109">
        <f ca="1"/>
        <v>19.842055308117807</v>
      </c>
      <c r="CB22" s="109">
        <f ca="1"/>
        <v>18.990397689778444</v>
      </c>
      <c r="CC22" s="109">
        <f ca="1"/>
        <v>18.113513953242464</v>
      </c>
      <c r="CD22" s="109">
        <f ca="1"/>
        <v>17.210891532703631</v>
      </c>
      <c r="CE22" s="109">
        <f ca="1"/>
        <v>16.282082920991797</v>
      </c>
      <c r="CF22" s="109">
        <f ca="1"/>
        <v>15.32717888830908</v>
      </c>
      <c r="CG22" s="109">
        <f ca="1"/>
        <v>14.347428739646956</v>
      </c>
      <c r="CH22" s="109">
        <f ca="1"/>
        <v>13.345758410814282</v>
      </c>
      <c r="CI22" s="109">
        <f ca="1"/>
        <v>12.326822797910129</v>
      </c>
      <c r="CJ22" s="109">
        <f ca="1"/>
        <v>11.296515594958739</v>
      </c>
      <c r="CK22" s="109">
        <f ca="1"/>
        <v>10.26118144192127</v>
      </c>
      <c r="CL22" s="109">
        <f ca="1"/>
        <v>9.2268923707224797</v>
      </c>
      <c r="CM22" s="109">
        <f ca="1"/>
        <v>8.1990537301862041</v>
      </c>
      <c r="CN22" s="109">
        <f ca="1"/>
        <v>7.182435760763382</v>
      </c>
      <c r="CO22" s="110">
        <f ca="1"/>
        <v>6.1813456540061091</v>
      </c>
      <c r="CP22" s="34">
        <f ca="1"/>
        <v>5.2024146472827519</v>
      </c>
      <c r="CQ22" s="9">
        <f ca="1"/>
        <v>4.266217829453721</v>
      </c>
      <c r="CR22" s="9">
        <f ca="1"/>
        <v>3.4004583328752296</v>
      </c>
      <c r="CS22" s="9">
        <f ca="1"/>
        <v>2.6298024273422582</v>
      </c>
      <c r="CT22" s="9">
        <f ca="1"/>
        <v>1.9805097285685878</v>
      </c>
      <c r="CU22" s="9">
        <f ca="1"/>
        <v>1.4491339758844304</v>
      </c>
      <c r="CV22" s="9">
        <f ca="1"/>
        <v>1.0252145374218313</v>
      </c>
      <c r="CW22" s="9">
        <f ca="1"/>
        <v>0.70147693222648844</v>
      </c>
      <c r="CX22" s="9">
        <f ca="1"/>
        <v>0.46696326941917099</v>
      </c>
      <c r="CY22" s="9">
        <f ca="1"/>
        <v>0.3027199085469347</v>
      </c>
      <c r="CZ22" s="9">
        <f ca="1"/>
        <v>0.19089772679944919</v>
      </c>
      <c r="DA22" s="9">
        <f ca="1"/>
        <v>0.11704538259481487</v>
      </c>
      <c r="DB22" s="9">
        <f ca="1"/>
        <v>6.9784810281329546E-2</v>
      </c>
      <c r="DC22" s="9">
        <f ca="1"/>
        <v>4.047935528565838E-2</v>
      </c>
      <c r="DD22" s="9">
        <f ca="1"/>
        <v>2.2857172520249321E-2</v>
      </c>
      <c r="DE22" s="9">
        <f ca="1"/>
        <v>1.2564109222445764E-2</v>
      </c>
      <c r="DF22" s="9">
        <f ca="1"/>
        <v>6.7034681740200386E-3</v>
      </c>
      <c r="DG22" s="9">
        <f ca="1"/>
        <v>3.4557014248245356E-3</v>
      </c>
      <c r="DH22" s="9">
        <f ca="1"/>
        <v>1.7233547327930117E-3</v>
      </c>
      <c r="DI22" s="9">
        <f ca="1"/>
        <v>8.328880282994362E-4</v>
      </c>
      <c r="DJ22" s="9">
        <f ca="1"/>
        <v>3.907465073036994E-4</v>
      </c>
      <c r="DK22" s="9">
        <f ca="1"/>
        <v>1.7821204270096654E-4</v>
      </c>
      <c r="DL22" s="9">
        <f ca="1"/>
        <v>7.9119117192621709E-5</v>
      </c>
      <c r="DM22" s="9">
        <f ca="1"/>
        <v>3.4233436286992498E-5</v>
      </c>
      <c r="DN22" s="9">
        <f ca="1"/>
        <v>1.4451916395472712E-5</v>
      </c>
      <c r="DO22" s="9">
        <f ca="1"/>
        <v>5.9577427760231391E-6</v>
      </c>
      <c r="DP22" s="9">
        <f ca="1"/>
        <v>2.3969348901346063E-6</v>
      </c>
      <c r="DQ22" s="9">
        <f ca="1"/>
        <v>9.306249816310546E-7</v>
      </c>
      <c r="DR22" s="9">
        <f ca="1"/>
        <v>3.1648582249273255E-7</v>
      </c>
    </row>
    <row r="23" spans="1:122" x14ac:dyDescent="0.25">
      <c r="A23" s="94">
        <v>3</v>
      </c>
      <c r="B23" s="94">
        <f t="shared" si="18"/>
        <v>70.459762604890358</v>
      </c>
      <c r="C23" s="94">
        <f t="shared" si="12"/>
        <v>4.2550418036892825</v>
      </c>
      <c r="D23" s="94"/>
      <c r="E23" s="94">
        <f>_xlfn.FORECAST.LINEAR(C23,E21:E22,C21:C22)</f>
        <v>43.910911228713758</v>
      </c>
      <c r="F23" s="94"/>
      <c r="G23" s="94"/>
      <c r="H23" s="94"/>
      <c r="I23" s="66"/>
      <c r="J23" s="92"/>
      <c r="K23" s="46">
        <v>7.3059360730593603E-2</v>
      </c>
      <c r="L23" s="46">
        <v>0.23074581430745814</v>
      </c>
      <c r="M23" s="29"/>
      <c r="O23" s="11" t="s">
        <v>4</v>
      </c>
      <c r="P23" s="11">
        <f t="shared" ref="P23:AU23" si="22">P19</f>
        <v>50</v>
      </c>
      <c r="Q23" s="11">
        <f t="shared" si="22"/>
        <v>49</v>
      </c>
      <c r="R23" s="11">
        <f t="shared" si="22"/>
        <v>48</v>
      </c>
      <c r="S23" s="11">
        <f t="shared" si="22"/>
        <v>47</v>
      </c>
      <c r="T23" s="11">
        <f t="shared" si="22"/>
        <v>46</v>
      </c>
      <c r="U23" s="11">
        <f t="shared" si="22"/>
        <v>45</v>
      </c>
      <c r="V23" s="11">
        <f t="shared" si="22"/>
        <v>44</v>
      </c>
      <c r="W23" s="11">
        <f t="shared" si="22"/>
        <v>43</v>
      </c>
      <c r="X23" s="11">
        <f t="shared" si="22"/>
        <v>42</v>
      </c>
      <c r="Y23" s="11">
        <f t="shared" si="22"/>
        <v>41</v>
      </c>
      <c r="Z23" s="11">
        <f t="shared" si="22"/>
        <v>40</v>
      </c>
      <c r="AA23" s="11">
        <f t="shared" si="22"/>
        <v>39</v>
      </c>
      <c r="AB23" s="11">
        <f t="shared" si="22"/>
        <v>38</v>
      </c>
      <c r="AC23" s="11">
        <f t="shared" si="22"/>
        <v>37</v>
      </c>
      <c r="AD23" s="11">
        <f t="shared" si="22"/>
        <v>36</v>
      </c>
      <c r="AE23" s="11">
        <f t="shared" si="22"/>
        <v>35</v>
      </c>
      <c r="AF23" s="11">
        <f t="shared" si="22"/>
        <v>34</v>
      </c>
      <c r="AG23" s="11">
        <f t="shared" si="22"/>
        <v>33</v>
      </c>
      <c r="AH23" s="11">
        <f t="shared" si="22"/>
        <v>32</v>
      </c>
      <c r="AI23" s="11">
        <f t="shared" si="22"/>
        <v>31</v>
      </c>
      <c r="AJ23" s="11">
        <f t="shared" si="22"/>
        <v>30</v>
      </c>
      <c r="AK23" s="11">
        <f t="shared" si="22"/>
        <v>29</v>
      </c>
      <c r="AL23" s="11">
        <f t="shared" si="22"/>
        <v>28</v>
      </c>
      <c r="AM23" s="11">
        <f t="shared" si="22"/>
        <v>27</v>
      </c>
      <c r="AN23" s="11">
        <f t="shared" si="22"/>
        <v>26</v>
      </c>
      <c r="AO23" s="11">
        <f t="shared" si="22"/>
        <v>25</v>
      </c>
      <c r="AP23" s="11">
        <f t="shared" si="22"/>
        <v>24</v>
      </c>
      <c r="AQ23" s="11">
        <f t="shared" si="22"/>
        <v>23</v>
      </c>
      <c r="AR23" s="11">
        <f t="shared" si="22"/>
        <v>22</v>
      </c>
      <c r="AS23" s="11">
        <f t="shared" si="22"/>
        <v>21</v>
      </c>
      <c r="AT23" s="11">
        <f t="shared" si="22"/>
        <v>20</v>
      </c>
      <c r="AU23" s="11">
        <f t="shared" si="22"/>
        <v>19</v>
      </c>
      <c r="AV23" s="11">
        <f t="shared" ref="AV23:BN23" si="23">AV19</f>
        <v>18</v>
      </c>
      <c r="AW23" s="11">
        <f t="shared" si="23"/>
        <v>17</v>
      </c>
      <c r="AX23" s="11">
        <f t="shared" si="23"/>
        <v>16</v>
      </c>
      <c r="AY23" s="11">
        <f t="shared" si="23"/>
        <v>15</v>
      </c>
      <c r="AZ23" s="11">
        <f t="shared" si="23"/>
        <v>14</v>
      </c>
      <c r="BA23" s="11">
        <f t="shared" si="23"/>
        <v>13</v>
      </c>
      <c r="BB23" s="11">
        <f t="shared" si="23"/>
        <v>12</v>
      </c>
      <c r="BC23" s="11">
        <f t="shared" si="23"/>
        <v>11</v>
      </c>
      <c r="BD23" s="11">
        <f t="shared" si="23"/>
        <v>10</v>
      </c>
      <c r="BE23" s="11">
        <f t="shared" si="23"/>
        <v>9</v>
      </c>
      <c r="BF23" s="11">
        <f t="shared" si="23"/>
        <v>8</v>
      </c>
      <c r="BG23" s="11">
        <f t="shared" si="23"/>
        <v>7</v>
      </c>
      <c r="BH23" s="11">
        <f t="shared" si="23"/>
        <v>6</v>
      </c>
      <c r="BI23" s="11">
        <f t="shared" si="23"/>
        <v>5</v>
      </c>
      <c r="BJ23" s="11">
        <f t="shared" si="23"/>
        <v>4</v>
      </c>
      <c r="BK23" s="11">
        <f t="shared" si="23"/>
        <v>3</v>
      </c>
      <c r="BL23" s="11">
        <f t="shared" si="23"/>
        <v>2</v>
      </c>
      <c r="BM23" s="11">
        <f t="shared" si="23"/>
        <v>1</v>
      </c>
      <c r="BN23" s="11">
        <f t="shared" si="23"/>
        <v>0</v>
      </c>
      <c r="BR23" s="4"/>
      <c r="BS23" s="126">
        <f t="shared" si="21"/>
        <v>0.11004566210045662</v>
      </c>
      <c r="BT23" s="109" cm="1">
        <f t="array" aca="1" ref="BT23:DR23" ca="1">TRANSPOSE(MMULT(OFFSET(_xlfn.ANCHORARRAY($P$222),0,54),TRANSPOSE(BT22:DR22)))</f>
        <v>12.252094674312607</v>
      </c>
      <c r="BU23" s="109">
        <f ca="1"/>
        <v>19.638979599575602</v>
      </c>
      <c r="BV23" s="109">
        <f ca="1"/>
        <v>22.340548258324233</v>
      </c>
      <c r="BW23" s="109">
        <f ca="1"/>
        <v>22.657786195594646</v>
      </c>
      <c r="BX23" s="109">
        <f ca="1"/>
        <v>22.170326490134734</v>
      </c>
      <c r="BY23" s="109">
        <f ca="1"/>
        <v>21.45439294032343</v>
      </c>
      <c r="BZ23" s="109">
        <f ca="1"/>
        <v>20.665486047762091</v>
      </c>
      <c r="CA23" s="109">
        <f ca="1"/>
        <v>19.841343697119857</v>
      </c>
      <c r="CB23" s="109">
        <f ca="1"/>
        <v>18.990243111564972</v>
      </c>
      <c r="CC23" s="109">
        <f ca="1"/>
        <v>18.113558416327631</v>
      </c>
      <c r="CD23" s="109">
        <f ca="1"/>
        <v>17.211204212139695</v>
      </c>
      <c r="CE23" s="109">
        <f ca="1"/>
        <v>16.283087168254486</v>
      </c>
      <c r="CF23" s="109">
        <f ca="1"/>
        <v>15.329778768735196</v>
      </c>
      <c r="CG23" s="109">
        <f ca="1"/>
        <v>14.353027474075523</v>
      </c>
      <c r="CH23" s="109">
        <f ca="1"/>
        <v>13.356035157164348</v>
      </c>
      <c r="CI23" s="109">
        <f ca="1"/>
        <v>12.343360206806153</v>
      </c>
      <c r="CJ23" s="109">
        <f ca="1"/>
        <v>11.320482473022183</v>
      </c>
      <c r="CK23" s="109">
        <f ca="1"/>
        <v>10.293226967138699</v>
      </c>
      <c r="CL23" s="109">
        <f ca="1"/>
        <v>9.2672736368652373</v>
      </c>
      <c r="CM23" s="109">
        <f ca="1"/>
        <v>8.2478878685817385</v>
      </c>
      <c r="CN23" s="109">
        <f ca="1"/>
        <v>7.239828486783523</v>
      </c>
      <c r="CO23" s="110">
        <f ca="1"/>
        <v>6.2473448467155483</v>
      </c>
      <c r="CP23" s="34">
        <f ca="1"/>
        <v>5.2771311659454083</v>
      </c>
      <c r="CQ23" s="9">
        <f ca="1"/>
        <v>4.3491205455770121</v>
      </c>
      <c r="CR23" s="9">
        <f ca="1"/>
        <v>3.4901392232219255</v>
      </c>
      <c r="CS23" s="9">
        <f ca="1"/>
        <v>2.7233069216924664</v>
      </c>
      <c r="CT23" s="9">
        <f ca="1"/>
        <v>2.0731537540757059</v>
      </c>
      <c r="CU23" s="9">
        <f ca="1"/>
        <v>1.5360383060847966</v>
      </c>
      <c r="CV23" s="9">
        <f ca="1"/>
        <v>1.1024140609132169</v>
      </c>
      <c r="CW23" s="9">
        <f ca="1"/>
        <v>0.76662881743009015</v>
      </c>
      <c r="CX23" s="9">
        <f ca="1"/>
        <v>0.51965561210096178</v>
      </c>
      <c r="CY23" s="9">
        <f ca="1"/>
        <v>0.34393258020500717</v>
      </c>
      <c r="CZ23" s="9">
        <f ca="1"/>
        <v>0.22216252554525737</v>
      </c>
      <c r="DA23" s="9">
        <f ca="1"/>
        <v>0.14001105711683742</v>
      </c>
      <c r="DB23" s="9">
        <f ca="1"/>
        <v>8.6088451539558811E-2</v>
      </c>
      <c r="DC23" s="9">
        <f ca="1"/>
        <v>5.1658836557016662E-2</v>
      </c>
      <c r="DD23" s="9">
        <f ca="1"/>
        <v>3.0262853866161048E-2</v>
      </c>
      <c r="DE23" s="9">
        <f ca="1"/>
        <v>1.7303036022052166E-2</v>
      </c>
      <c r="DF23" s="9">
        <f ca="1"/>
        <v>9.6264849188084402E-3</v>
      </c>
      <c r="DG23" s="9">
        <f ca="1"/>
        <v>5.1875060208333643E-3</v>
      </c>
      <c r="DH23" s="9">
        <f ca="1"/>
        <v>2.7091472750691535E-3</v>
      </c>
      <c r="DI23" s="9">
        <f ca="1"/>
        <v>1.3724185232350649E-3</v>
      </c>
      <c r="DJ23" s="9">
        <f ca="1"/>
        <v>6.7522784951667492E-4</v>
      </c>
      <c r="DK23" s="9">
        <f ca="1"/>
        <v>3.2306416343555016E-4</v>
      </c>
      <c r="DL23" s="9">
        <f ca="1"/>
        <v>1.5050478418880396E-4</v>
      </c>
      <c r="DM23" s="9">
        <f ca="1"/>
        <v>6.83516743036618E-5</v>
      </c>
      <c r="DN23" s="9">
        <f ca="1"/>
        <v>3.0293577092984419E-5</v>
      </c>
      <c r="DO23" s="9">
        <f ca="1"/>
        <v>1.3112184874525218E-5</v>
      </c>
      <c r="DP23" s="9">
        <f ca="1"/>
        <v>5.536543176388109E-6</v>
      </c>
      <c r="DQ23" s="9">
        <f ca="1"/>
        <v>2.2505031991167069E-6</v>
      </c>
      <c r="DR23" s="9">
        <f ca="1"/>
        <v>7.9406326322750668E-7</v>
      </c>
    </row>
    <row r="24" spans="1:122" x14ac:dyDescent="0.25">
      <c r="C24" s="66"/>
      <c r="E24" s="66"/>
      <c r="F24" s="66"/>
      <c r="G24" s="66"/>
      <c r="H24" s="66"/>
      <c r="I24" s="66"/>
      <c r="K24" s="46">
        <v>7.7625570776255703E-2</v>
      </c>
      <c r="L24" s="46">
        <v>0.24003044140030441</v>
      </c>
      <c r="M24" s="29"/>
      <c r="O24" s="7">
        <v>2</v>
      </c>
      <c r="P24" s="103">
        <f>(P$5+P$6)*$D$11*0.5</f>
        <v>1.3160407311389743E-2</v>
      </c>
      <c r="Q24" s="103">
        <f t="shared" ref="Q24:BM24" si="24">(Q$5+Q$6)*$D$11*0.5</f>
        <v>1.3160407311389743E-2</v>
      </c>
      <c r="R24" s="103">
        <f t="shared" si="24"/>
        <v>1.3160407311389743E-2</v>
      </c>
      <c r="S24" s="103">
        <f t="shared" si="24"/>
        <v>1.3160407311389743E-2</v>
      </c>
      <c r="T24" s="103">
        <f t="shared" si="24"/>
        <v>1.3160407311389743E-2</v>
      </c>
      <c r="U24" s="103">
        <f t="shared" si="24"/>
        <v>1.3160407311389743E-2</v>
      </c>
      <c r="V24" s="103">
        <f t="shared" si="24"/>
        <v>1.3160407311389743E-2</v>
      </c>
      <c r="W24" s="103">
        <f t="shared" si="24"/>
        <v>1.3160407311389743E-2</v>
      </c>
      <c r="X24" s="103">
        <f t="shared" si="24"/>
        <v>1.3160407311389743E-2</v>
      </c>
      <c r="Y24" s="103">
        <f t="shared" si="24"/>
        <v>1.3160407311389743E-2</v>
      </c>
      <c r="Z24" s="103">
        <f t="shared" si="24"/>
        <v>1.3160407311389743E-2</v>
      </c>
      <c r="AA24" s="103">
        <f t="shared" si="24"/>
        <v>1.3160407311389743E-2</v>
      </c>
      <c r="AB24" s="103">
        <f t="shared" si="24"/>
        <v>1.3160407311389743E-2</v>
      </c>
      <c r="AC24" s="103">
        <f t="shared" si="24"/>
        <v>2.6062445385331326E-2</v>
      </c>
      <c r="AD24" s="103">
        <f t="shared" si="24"/>
        <v>5.3514399422400202E-2</v>
      </c>
      <c r="AE24" s="103">
        <f t="shared" si="24"/>
        <v>9.0736450279733941E-2</v>
      </c>
      <c r="AF24" s="103">
        <f t="shared" si="24"/>
        <v>0.13772859795733142</v>
      </c>
      <c r="AG24" s="103">
        <f t="shared" si="24"/>
        <v>0.19449084245519307</v>
      </c>
      <c r="AH24" s="103">
        <f t="shared" si="24"/>
        <v>0.2610231837733189</v>
      </c>
      <c r="AI24" s="103">
        <f t="shared" si="24"/>
        <v>0.33732562191171034</v>
      </c>
      <c r="AJ24" s="103">
        <f t="shared" si="24"/>
        <v>0.42339815687036514</v>
      </c>
      <c r="AK24" s="103">
        <f t="shared" si="24"/>
        <v>0.47671399306855489</v>
      </c>
      <c r="AL24" s="103">
        <f t="shared" si="24"/>
        <v>0.39071781990918547</v>
      </c>
      <c r="AM24" s="103">
        <f t="shared" si="24"/>
        <v>0.31637372859898427</v>
      </c>
      <c r="AN24" s="103">
        <f t="shared" si="24"/>
        <v>0.27242191846226366</v>
      </c>
      <c r="AO24" s="103">
        <f t="shared" si="24"/>
        <v>0.2317555608820876</v>
      </c>
      <c r="AP24" s="103">
        <f t="shared" si="24"/>
        <v>0.23432263921465596</v>
      </c>
      <c r="AQ24" s="103">
        <f t="shared" si="24"/>
        <v>0.23690385667911953</v>
      </c>
      <c r="AR24" s="103">
        <f t="shared" si="24"/>
        <v>0.24010372775248859</v>
      </c>
      <c r="AS24" s="103">
        <f t="shared" si="24"/>
        <v>0.24340141672538707</v>
      </c>
      <c r="AT24" s="103">
        <f t="shared" si="24"/>
        <v>0.24540178918612887</v>
      </c>
      <c r="AU24" s="103">
        <f t="shared" si="24"/>
        <v>0.24703107368984914</v>
      </c>
      <c r="AV24" s="103">
        <f t="shared" si="24"/>
        <v>0.24866574892895535</v>
      </c>
      <c r="AW24" s="103">
        <f t="shared" si="24"/>
        <v>0.25030581490344733</v>
      </c>
      <c r="AX24" s="103">
        <f t="shared" si="24"/>
        <v>0.25195127161332531</v>
      </c>
      <c r="AY24" s="103">
        <f t="shared" si="24"/>
        <v>0.25360211905858904</v>
      </c>
      <c r="AZ24" s="103">
        <f t="shared" si="24"/>
        <v>0.25525835723923868</v>
      </c>
      <c r="BA24" s="103">
        <f t="shared" si="24"/>
        <v>0.25691998615527412</v>
      </c>
      <c r="BB24" s="103">
        <f t="shared" si="24"/>
        <v>0.25803370326887548</v>
      </c>
      <c r="BC24" s="103">
        <f t="shared" si="24"/>
        <v>0.25803370326887548</v>
      </c>
      <c r="BD24" s="103">
        <f t="shared" si="24"/>
        <v>0.25803370326887548</v>
      </c>
      <c r="BE24" s="103">
        <f t="shared" si="24"/>
        <v>0.25803370326887548</v>
      </c>
      <c r="BF24" s="103">
        <f t="shared" si="24"/>
        <v>0.25803370326887548</v>
      </c>
      <c r="BG24" s="103">
        <f t="shared" si="24"/>
        <v>0.25803370326887548</v>
      </c>
      <c r="BH24" s="103">
        <f t="shared" si="24"/>
        <v>0.25803370326887548</v>
      </c>
      <c r="BI24" s="103">
        <f t="shared" si="24"/>
        <v>0.25803370326887548</v>
      </c>
      <c r="BJ24" s="103">
        <f t="shared" si="24"/>
        <v>0.25803370326887548</v>
      </c>
      <c r="BK24" s="103">
        <f t="shared" si="24"/>
        <v>0.25803370326887548</v>
      </c>
      <c r="BL24" s="103">
        <f t="shared" si="24"/>
        <v>0.25803370326887548</v>
      </c>
      <c r="BM24" s="103">
        <f t="shared" si="24"/>
        <v>0.25803370326887548</v>
      </c>
      <c r="BN24" s="101"/>
      <c r="BR24" s="4"/>
      <c r="BS24" s="126">
        <f t="shared" si="21"/>
        <v>0.11933028919330288</v>
      </c>
      <c r="BT24" s="109" cm="1">
        <f t="array" aca="1" ref="BT24:DR24" ca="1">TRANSPOSE(MMULT(OFFSET(_xlfn.ANCHORARRAY($P$222),0,54),TRANSPOSE(BT23:DR23)))</f>
        <v>11.325276305385257</v>
      </c>
      <c r="BU24" s="109">
        <f ca="1"/>
        <v>18.721527290299647</v>
      </c>
      <c r="BV24" s="109">
        <f ca="1"/>
        <v>21.846007731351825</v>
      </c>
      <c r="BW24" s="109">
        <f ca="1"/>
        <v>22.463582812542192</v>
      </c>
      <c r="BX24" s="109">
        <f ca="1"/>
        <v>22.105209024322306</v>
      </c>
      <c r="BY24" s="109">
        <f ca="1"/>
        <v>21.434442957046098</v>
      </c>
      <c r="BZ24" s="109">
        <f ca="1"/>
        <v>20.659687199500649</v>
      </c>
      <c r="CA24" s="109">
        <f ca="1"/>
        <v>19.839715488445254</v>
      </c>
      <c r="CB24" s="109">
        <f ca="1"/>
        <v>18.989836634713157</v>
      </c>
      <c r="CC24" s="109">
        <f ca="1"/>
        <v>18.11362069225072</v>
      </c>
      <c r="CD24" s="109">
        <f ca="1"/>
        <v>17.211759044166936</v>
      </c>
      <c r="CE24" s="109">
        <f ca="1"/>
        <v>16.284627815959581</v>
      </c>
      <c r="CF24" s="109">
        <f ca="1"/>
        <v>15.333237350105383</v>
      </c>
      <c r="CG24" s="109">
        <f ca="1"/>
        <v>14.359697523931027</v>
      </c>
      <c r="CH24" s="109">
        <f ca="1"/>
        <v>13.367367102892137</v>
      </c>
      <c r="CI24" s="109">
        <f ca="1"/>
        <v>12.360700847795009</v>
      </c>
      <c r="CJ24" s="109">
        <f ca="1"/>
        <v>11.344879230672355</v>
      </c>
      <c r="CK24" s="109">
        <f ca="1"/>
        <v>10.325371622272531</v>
      </c>
      <c r="CL24" s="109">
        <f ca="1"/>
        <v>9.3075697019152877</v>
      </c>
      <c r="CM24" s="109">
        <f ca="1"/>
        <v>8.2965479190577263</v>
      </c>
      <c r="CN24" s="109">
        <f ca="1"/>
        <v>7.2969464780129938</v>
      </c>
      <c r="CO24" s="110">
        <f ca="1"/>
        <v>6.3129395023215027</v>
      </c>
      <c r="CP24" s="34">
        <f ca="1"/>
        <v>5.3509623947329148</v>
      </c>
      <c r="CQ24" s="9">
        <f ca="1"/>
        <v>4.4305324165768498</v>
      </c>
      <c r="CR24" s="9">
        <f ca="1"/>
        <v>3.5775092887772009</v>
      </c>
      <c r="CS24" s="9">
        <f ca="1"/>
        <v>2.8138319834936767</v>
      </c>
      <c r="CT24" s="9">
        <f ca="1"/>
        <v>2.1626968667962196</v>
      </c>
      <c r="CU24" s="9">
        <f ca="1"/>
        <v>1.6204145185092393</v>
      </c>
      <c r="CV24" s="9">
        <f ca="1"/>
        <v>1.1782164771316024</v>
      </c>
      <c r="CW24" s="9">
        <f ca="1"/>
        <v>0.83162225774671239</v>
      </c>
      <c r="CX24" s="9">
        <f ca="1"/>
        <v>0.57309936330222555</v>
      </c>
      <c r="CY24" s="9">
        <f ca="1"/>
        <v>0.38636053314261898</v>
      </c>
      <c r="CZ24" s="9">
        <f ca="1"/>
        <v>0.25481275671396358</v>
      </c>
      <c r="DA24" s="9">
        <f ca="1"/>
        <v>0.16439717901662976</v>
      </c>
      <c r="DB24" s="9">
        <f ca="1"/>
        <v>0.10376065573988542</v>
      </c>
      <c r="DC24" s="9">
        <f ca="1"/>
        <v>6.4079080859092752E-2</v>
      </c>
      <c r="DD24" s="9">
        <f ca="1"/>
        <v>3.8726842188096605E-2</v>
      </c>
      <c r="DE24" s="9">
        <f ca="1"/>
        <v>2.2893279488180918E-2</v>
      </c>
      <c r="DF24" s="9">
        <f ca="1"/>
        <v>1.3197389419164535E-2</v>
      </c>
      <c r="DG24" s="9">
        <f ca="1"/>
        <v>7.3865690912381377E-3</v>
      </c>
      <c r="DH24" s="9">
        <f ca="1"/>
        <v>4.0146503620636332E-3</v>
      </c>
      <c r="DI24" s="9">
        <f ca="1"/>
        <v>2.1198399763497936E-3</v>
      </c>
      <c r="DJ24" s="9">
        <f ca="1"/>
        <v>1.0882281002785315E-3</v>
      </c>
      <c r="DK24" s="9">
        <f ca="1"/>
        <v>5.4362375525025808E-4</v>
      </c>
      <c r="DL24" s="9">
        <f ca="1"/>
        <v>2.6453593278840716E-4</v>
      </c>
      <c r="DM24" s="9">
        <f ca="1"/>
        <v>1.2552575765870864E-4</v>
      </c>
      <c r="DN24" s="9">
        <f ca="1"/>
        <v>5.8138493000581464E-5</v>
      </c>
      <c r="DO24" s="9">
        <f ca="1"/>
        <v>2.6298108114290583E-5</v>
      </c>
      <c r="DP24" s="9">
        <f ca="1"/>
        <v>1.1598110827279023E-5</v>
      </c>
      <c r="DQ24" s="9">
        <f ca="1"/>
        <v>4.9113485486823971E-6</v>
      </c>
      <c r="DR24" s="9">
        <f ca="1"/>
        <v>1.7898390257181961E-6</v>
      </c>
    </row>
    <row r="25" spans="1:122" x14ac:dyDescent="0.25">
      <c r="G25" s="111" t="s">
        <v>67</v>
      </c>
      <c r="H25" s="110">
        <f ca="1">SUM(H16:H22)</f>
        <v>5.4882007673783005E-2</v>
      </c>
      <c r="K25" s="46">
        <v>8.2191780821917804E-2</v>
      </c>
      <c r="L25" s="46">
        <v>0.24931506849315069</v>
      </c>
      <c r="M25" s="29"/>
      <c r="O25" s="29">
        <v>3</v>
      </c>
      <c r="P25" s="120">
        <f>(P$9+P$10)*$D$37*0.5</f>
        <v>9.7684265872157797E-2</v>
      </c>
      <c r="Q25" s="120">
        <f t="shared" ref="Q25:BM25" si="25">(Q$9+Q$10)*$D$37*0.5</f>
        <v>9.7684265872157797E-2</v>
      </c>
      <c r="R25" s="120">
        <f t="shared" si="25"/>
        <v>9.7684265872157797E-2</v>
      </c>
      <c r="S25" s="120">
        <f t="shared" si="25"/>
        <v>0.10740450165977759</v>
      </c>
      <c r="T25" s="120">
        <f t="shared" si="25"/>
        <v>0.12620126236656443</v>
      </c>
      <c r="U25" s="120">
        <f t="shared" si="25"/>
        <v>0.14651293411765384</v>
      </c>
      <c r="V25" s="120">
        <f t="shared" si="25"/>
        <v>0.16833951691304577</v>
      </c>
      <c r="W25" s="120">
        <f t="shared" si="25"/>
        <v>0.19168101075274074</v>
      </c>
      <c r="X25" s="120">
        <f t="shared" si="25"/>
        <v>0.21653741563673778</v>
      </c>
      <c r="Y25" s="120">
        <f t="shared" si="25"/>
        <v>0.24290873156503748</v>
      </c>
      <c r="Z25" s="120">
        <f t="shared" si="25"/>
        <v>0.27079495853763969</v>
      </c>
      <c r="AA25" s="120">
        <f t="shared" si="25"/>
        <v>0.30019609655454493</v>
      </c>
      <c r="AB25" s="120">
        <f t="shared" si="25"/>
        <v>0.33111214561575225</v>
      </c>
      <c r="AC25" s="120">
        <f t="shared" si="25"/>
        <v>0.36354310572126219</v>
      </c>
      <c r="AD25" s="120">
        <f t="shared" si="25"/>
        <v>0.39748897687107465</v>
      </c>
      <c r="AE25" s="120">
        <f t="shared" si="25"/>
        <v>0.43294975906519029</v>
      </c>
      <c r="AF25" s="120">
        <f t="shared" si="25"/>
        <v>0.46992545230360799</v>
      </c>
      <c r="AG25" s="120">
        <f t="shared" si="25"/>
        <v>0.50841605658632805</v>
      </c>
      <c r="AH25" s="120">
        <f t="shared" si="25"/>
        <v>0.54842157191335084</v>
      </c>
      <c r="AI25" s="120">
        <f t="shared" si="25"/>
        <v>0.58994199828467675</v>
      </c>
      <c r="AJ25" s="120">
        <f t="shared" si="25"/>
        <v>0.63297733570030468</v>
      </c>
      <c r="AK25" s="120">
        <f t="shared" si="25"/>
        <v>0.64026271364334564</v>
      </c>
      <c r="AL25" s="120">
        <f t="shared" si="25"/>
        <v>0.52512803176743772</v>
      </c>
      <c r="AM25" s="120">
        <f t="shared" si="25"/>
        <v>0.42664537997121604</v>
      </c>
      <c r="AN25" s="120">
        <f t="shared" si="25"/>
        <v>0.37681723962765268</v>
      </c>
      <c r="AO25" s="120">
        <f t="shared" si="25"/>
        <v>0.33008225559711457</v>
      </c>
      <c r="AP25" s="120">
        <f t="shared" si="25"/>
        <v>0.3441645146027385</v>
      </c>
      <c r="AQ25" s="120">
        <f t="shared" si="25"/>
        <v>0.35854092651936154</v>
      </c>
      <c r="AR25" s="120">
        <f t="shared" si="25"/>
        <v>0.34579794358932903</v>
      </c>
      <c r="AS25" s="120">
        <f t="shared" si="25"/>
        <v>0.32998385554301701</v>
      </c>
      <c r="AT25" s="120">
        <f t="shared" si="25"/>
        <v>0.33845231676292015</v>
      </c>
      <c r="AU25" s="120">
        <f t="shared" si="25"/>
        <v>0.3541331289737274</v>
      </c>
      <c r="AV25" s="120">
        <f t="shared" si="25"/>
        <v>0.37016901562707399</v>
      </c>
      <c r="AW25" s="120">
        <f t="shared" si="25"/>
        <v>0.38655997672295939</v>
      </c>
      <c r="AX25" s="120">
        <f t="shared" si="25"/>
        <v>0.40330601226138402</v>
      </c>
      <c r="AY25" s="120">
        <f t="shared" si="25"/>
        <v>0.42040712224234783</v>
      </c>
      <c r="AZ25" s="120">
        <f t="shared" si="25"/>
        <v>0.43786330666584994</v>
      </c>
      <c r="BA25" s="120">
        <f t="shared" si="25"/>
        <v>0.45567456553189156</v>
      </c>
      <c r="BB25" s="120">
        <f t="shared" si="25"/>
        <v>0.46777845182738781</v>
      </c>
      <c r="BC25" s="120">
        <f t="shared" si="25"/>
        <v>0.46777845182738781</v>
      </c>
      <c r="BD25" s="120">
        <f t="shared" si="25"/>
        <v>0.46777845182738781</v>
      </c>
      <c r="BE25" s="120">
        <f t="shared" si="25"/>
        <v>0.46777845182738781</v>
      </c>
      <c r="BF25" s="120">
        <f t="shared" si="25"/>
        <v>0.46777845182738781</v>
      </c>
      <c r="BG25" s="120">
        <f t="shared" si="25"/>
        <v>0.46777845182738781</v>
      </c>
      <c r="BH25" s="120">
        <f t="shared" si="25"/>
        <v>0.46777845182738781</v>
      </c>
      <c r="BI25" s="120">
        <f t="shared" si="25"/>
        <v>0.46777845182738781</v>
      </c>
      <c r="BJ25" s="120">
        <f t="shared" si="25"/>
        <v>0.46777845182738781</v>
      </c>
      <c r="BK25" s="120">
        <f t="shared" si="25"/>
        <v>0.46777845182738781</v>
      </c>
      <c r="BL25" s="120">
        <f t="shared" si="25"/>
        <v>0.46777845182738781</v>
      </c>
      <c r="BM25" s="120">
        <f t="shared" si="25"/>
        <v>0.46777845182738781</v>
      </c>
      <c r="BN25" s="101"/>
      <c r="BR25" s="4"/>
      <c r="BS25" s="126">
        <f t="shared" si="21"/>
        <v>0.12861491628614916</v>
      </c>
      <c r="BT25" s="109" cm="1">
        <f t="array" aca="1" ref="BT25:DR25" ca="1">TRANSPOSE(MMULT(OFFSET(_xlfn.ANCHORARRAY($P$222),0,54),TRANSPOSE(BT24:DR24)))</f>
        <v>10.562036095005448</v>
      </c>
      <c r="BU25" s="109">
        <f ca="1"/>
        <v>17.883699650411526</v>
      </c>
      <c r="BV25" s="109">
        <f ca="1"/>
        <v>21.333250850005847</v>
      </c>
      <c r="BW25" s="109">
        <f ca="1"/>
        <v>22.233995539042571</v>
      </c>
      <c r="BX25" s="109">
        <f ca="1"/>
        <v>22.017764637239846</v>
      </c>
      <c r="BY25" s="109">
        <f ca="1"/>
        <v>21.404124438855444</v>
      </c>
      <c r="BZ25" s="109">
        <f ca="1"/>
        <v>20.649751706927763</v>
      </c>
      <c r="CA25" s="109">
        <f ca="1"/>
        <v>19.836586314676484</v>
      </c>
      <c r="CB25" s="109">
        <f ca="1"/>
        <v>18.988955101275568</v>
      </c>
      <c r="CC25" s="109">
        <f ca="1"/>
        <v>18.113647972001893</v>
      </c>
      <c r="CD25" s="109">
        <f ca="1"/>
        <v>17.212567791473401</v>
      </c>
      <c r="CE25" s="109">
        <f ca="1"/>
        <v>16.286699920132889</v>
      </c>
      <c r="CF25" s="109">
        <f ca="1"/>
        <v>15.337477229775958</v>
      </c>
      <c r="CG25" s="109">
        <f ca="1"/>
        <v>14.367291467131317</v>
      </c>
      <c r="CH25" s="109">
        <f ca="1"/>
        <v>13.379599203335619</v>
      </c>
      <c r="CI25" s="109">
        <f ca="1"/>
        <v>12.378762523271975</v>
      </c>
      <c r="CJ25" s="109">
        <f ca="1"/>
        <v>11.369736750067142</v>
      </c>
      <c r="CK25" s="109">
        <f ca="1"/>
        <v>10.357721239006137</v>
      </c>
      <c r="CL25" s="109">
        <f ca="1"/>
        <v>9.347859412644846</v>
      </c>
      <c r="CM25" s="109">
        <f ca="1"/>
        <v>8.3450269852648624</v>
      </c>
      <c r="CN25" s="109">
        <f ca="1"/>
        <v>7.3537011723407053</v>
      </c>
      <c r="CO25" s="110">
        <f ca="1"/>
        <v>6.3778694654056389</v>
      </c>
      <c r="CP25" s="34">
        <f ca="1"/>
        <v>5.4237594736374879</v>
      </c>
      <c r="CQ25" s="9">
        <f ca="1"/>
        <v>4.5103569952779097</v>
      </c>
      <c r="CR25" s="9">
        <f ca="1"/>
        <v>3.6626931949781643</v>
      </c>
      <c r="CS25" s="9">
        <f ca="1"/>
        <v>2.9017097414234727</v>
      </c>
      <c r="CT25" s="9">
        <f ca="1"/>
        <v>2.2495573652217717</v>
      </c>
      <c r="CU25" s="9">
        <f ca="1"/>
        <v>1.7025893208064908</v>
      </c>
      <c r="CV25" s="9">
        <f ca="1"/>
        <v>1.2526826956898092</v>
      </c>
      <c r="CW25" s="9">
        <f ca="1"/>
        <v>0.89627193350108281</v>
      </c>
      <c r="CX25" s="9">
        <f ca="1"/>
        <v>0.62702463019489119</v>
      </c>
      <c r="CY25" s="9">
        <f ca="1"/>
        <v>0.42979487918969311</v>
      </c>
      <c r="CZ25" s="9">
        <f ca="1"/>
        <v>0.28872721201590335</v>
      </c>
      <c r="DA25" s="9">
        <f ca="1"/>
        <v>0.19012564340572891</v>
      </c>
      <c r="DB25" s="9">
        <f ca="1"/>
        <v>0.12274149748744463</v>
      </c>
      <c r="DC25" s="9">
        <f ca="1"/>
        <v>7.7699069717252767E-2</v>
      </c>
      <c r="DD25" s="9">
        <f ca="1"/>
        <v>4.8231806085850613E-2</v>
      </c>
      <c r="DE25" s="9">
        <f ca="1"/>
        <v>2.9340642960363237E-2</v>
      </c>
      <c r="DF25" s="9">
        <f ca="1"/>
        <v>1.7439233702873442E-2</v>
      </c>
      <c r="DG25" s="9">
        <f ca="1"/>
        <v>1.0085409311527248E-2</v>
      </c>
      <c r="DH25" s="9">
        <f ca="1"/>
        <v>5.6748539026146815E-3</v>
      </c>
      <c r="DI25" s="9">
        <f ca="1"/>
        <v>3.1073477901741148E-3</v>
      </c>
      <c r="DJ25" s="9">
        <f ca="1"/>
        <v>1.6564174182254693E-3</v>
      </c>
      <c r="DK25" s="9">
        <f ca="1"/>
        <v>8.6009609576100392E-4</v>
      </c>
      <c r="DL25" s="9">
        <f ca="1"/>
        <v>4.3535047959636402E-4</v>
      </c>
      <c r="DM25" s="9">
        <f ca="1"/>
        <v>2.149811458108775E-4</v>
      </c>
      <c r="DN25" s="9">
        <f ca="1"/>
        <v>1.036502203473999E-4</v>
      </c>
      <c r="DO25" s="9">
        <f ca="1"/>
        <v>4.8807736837583138E-5</v>
      </c>
      <c r="DP25" s="9">
        <f ca="1"/>
        <v>2.2394870847178684E-5</v>
      </c>
      <c r="DQ25" s="9">
        <f ca="1"/>
        <v>9.8401264118260132E-6</v>
      </c>
      <c r="DR25" s="9">
        <f ca="1"/>
        <v>3.6905949045266457E-6</v>
      </c>
    </row>
    <row r="26" spans="1:122" x14ac:dyDescent="0.25">
      <c r="G26"/>
      <c r="H26"/>
      <c r="M26" s="29"/>
      <c r="BI26" s="29"/>
      <c r="BJ26" s="29"/>
      <c r="BR26" s="4"/>
      <c r="BS26" s="126">
        <f t="shared" si="21"/>
        <v>0.13789954337899543</v>
      </c>
      <c r="BT26" s="109" cm="1">
        <f t="array" aca="1" ref="BT26:DR26" ca="1">TRANSPOSE(MMULT(OFFSET(_xlfn.ANCHORARRAY($P$222),0,54),TRANSPOSE(BT25:DR25)))</f>
        <v>9.9208865615522512</v>
      </c>
      <c r="BU26" s="109">
        <f ca="1"/>
        <v>17.12127962359801</v>
      </c>
      <c r="BV26" s="109">
        <f ca="1"/>
        <v>20.81609235981664</v>
      </c>
      <c r="BW26" s="109">
        <f ca="1"/>
        <v>21.97571977242421</v>
      </c>
      <c r="BX26" s="109">
        <f ca="1"/>
        <v>21.908238893169791</v>
      </c>
      <c r="BY26" s="109">
        <f ca="1"/>
        <v>21.361954629456985</v>
      </c>
      <c r="BZ26" s="109">
        <f ca="1"/>
        <v>20.634453974933564</v>
      </c>
      <c r="CA26" s="109">
        <f ca="1"/>
        <v>19.831273928293964</v>
      </c>
      <c r="CB26" s="109">
        <f ca="1"/>
        <v>18.987290939646794</v>
      </c>
      <c r="CC26" s="109">
        <f ca="1"/>
        <v>18.11353003664561</v>
      </c>
      <c r="CD26" s="109">
        <f ca="1"/>
        <v>17.213597839470509</v>
      </c>
      <c r="CE26" s="109">
        <f ca="1"/>
        <v>16.289270054033892</v>
      </c>
      <c r="CF26" s="109">
        <f ca="1"/>
        <v>15.34242452491041</v>
      </c>
      <c r="CG26" s="109">
        <f ca="1"/>
        <v>14.375699833736711</v>
      </c>
      <c r="CH26" s="109">
        <f ca="1"/>
        <v>13.392625292738234</v>
      </c>
      <c r="CI26" s="109">
        <f ca="1"/>
        <v>12.397484744186062</v>
      </c>
      <c r="CJ26" s="109">
        <f ca="1"/>
        <v>11.395053614255589</v>
      </c>
      <c r="CK26" s="109">
        <f ca="1"/>
        <v>10.39030793514671</v>
      </c>
      <c r="CL26" s="109">
        <f ca="1"/>
        <v>9.388168560431474</v>
      </c>
      <c r="CM26" s="109">
        <f ca="1"/>
        <v>8.3933055683272091</v>
      </c>
      <c r="CN26" s="109">
        <f ca="1"/>
        <v>7.4099984858671668</v>
      </c>
      <c r="CO26" s="110">
        <f ca="1"/>
        <v>6.4420426740637637</v>
      </c>
      <c r="CP26" s="34">
        <f ca="1"/>
        <v>5.4954070234696353</v>
      </c>
      <c r="CQ26" s="9">
        <f ca="1"/>
        <v>4.5885808136015447</v>
      </c>
      <c r="CR26" s="9">
        <f ca="1"/>
        <v>3.7458097173589757</v>
      </c>
      <c r="CS26" s="9">
        <f ca="1"/>
        <v>2.9871996293315246</v>
      </c>
      <c r="CT26" s="9">
        <f ca="1"/>
        <v>2.3340466444667882</v>
      </c>
      <c r="CU26" s="9">
        <f ca="1"/>
        <v>1.7827972768459195</v>
      </c>
      <c r="CV26" s="9">
        <f ca="1"/>
        <v>1.325882704761854</v>
      </c>
      <c r="CW26" s="9">
        <f ca="1"/>
        <v>0.96047728046898762</v>
      </c>
      <c r="CX26" s="9">
        <f ca="1"/>
        <v>0.68124322527175007</v>
      </c>
      <c r="CY26" s="9">
        <f ca="1"/>
        <v>0.47405057226471098</v>
      </c>
      <c r="CZ26" s="9">
        <f ca="1"/>
        <v>0.32376652401010736</v>
      </c>
      <c r="DA26" s="9">
        <f ca="1"/>
        <v>0.21710220508757924</v>
      </c>
      <c r="DB26" s="9">
        <f ca="1"/>
        <v>0.14296761970241093</v>
      </c>
      <c r="DC26" s="9">
        <f ca="1"/>
        <v>9.2478541459759964E-2</v>
      </c>
      <c r="DD26" s="9">
        <f ca="1"/>
        <v>5.8758835046804334E-2</v>
      </c>
      <c r="DE26" s="9">
        <f ca="1"/>
        <v>3.6645838071843018E-2</v>
      </c>
      <c r="DF26" s="9">
        <f ca="1"/>
        <v>2.2368321541547494E-2</v>
      </c>
      <c r="DG26" s="9">
        <f ca="1"/>
        <v>1.3310244652781224E-2</v>
      </c>
      <c r="DH26" s="9">
        <f ca="1"/>
        <v>7.7199862600660293E-3</v>
      </c>
      <c r="DI26" s="9">
        <f ca="1"/>
        <v>4.3644580928221847E-3</v>
      </c>
      <c r="DJ26" s="9">
        <f ca="1"/>
        <v>2.4054996062149781E-3</v>
      </c>
      <c r="DK26" s="9">
        <f ca="1"/>
        <v>1.2929717410015676E-3</v>
      </c>
      <c r="DL26" s="9">
        <f ca="1"/>
        <v>6.7809449291218586E-4</v>
      </c>
      <c r="DM26" s="9">
        <f ca="1"/>
        <v>3.4718396124994416E-4</v>
      </c>
      <c r="DN26" s="9">
        <f ca="1"/>
        <v>1.736344114798801E-4</v>
      </c>
      <c r="DO26" s="9">
        <f ca="1"/>
        <v>8.4824726639455013E-5</v>
      </c>
      <c r="DP26" s="9">
        <f ca="1"/>
        <v>4.0354903997057773E-5</v>
      </c>
      <c r="DQ26" s="9">
        <f ca="1"/>
        <v>1.833585523627843E-5</v>
      </c>
      <c r="DR26" s="9">
        <f ca="1"/>
        <v>7.0562722535264188E-6</v>
      </c>
    </row>
    <row r="27" spans="1:122" x14ac:dyDescent="0.25">
      <c r="A27" s="79" t="s">
        <v>29</v>
      </c>
      <c r="B27" s="82">
        <v>44896</v>
      </c>
      <c r="C27" s="80" t="s">
        <v>44</v>
      </c>
      <c r="D27" s="29">
        <f>MAX($D$63:$D$71)</f>
        <v>48.39</v>
      </c>
      <c r="G27"/>
      <c r="H27"/>
      <c r="BI27" s="29"/>
      <c r="BJ27" s="29"/>
      <c r="BR27" s="4"/>
      <c r="BS27" s="126">
        <f t="shared" si="21"/>
        <v>0.14718417047184171</v>
      </c>
      <c r="BT27" s="109" cm="1">
        <f t="array" aca="1" ref="BT27:DR27" ca="1">TRANSPOSE(MMULT(OFFSET(_xlfn.ANCHORARRAY($P$222),0,54),TRANSPOSE(BT26:DR26)))</f>
        <v>9.3731684983378294</v>
      </c>
      <c r="BU27" s="109">
        <f ca="1"/>
        <v>16.427450984611404</v>
      </c>
      <c r="BV27" s="109">
        <f ca="1"/>
        <v>20.303928942583514</v>
      </c>
      <c r="BW27" s="109">
        <f ca="1"/>
        <v>21.695295757922118</v>
      </c>
      <c r="BX27" s="109">
        <f ca="1"/>
        <v>21.777908032334082</v>
      </c>
      <c r="BY27" s="109">
        <f ca="1"/>
        <v>21.307046544679562</v>
      </c>
      <c r="BZ27" s="109">
        <f ca="1"/>
        <v>20.612710166062023</v>
      </c>
      <c r="CA27" s="109">
        <f ca="1"/>
        <v>19.823055320195493</v>
      </c>
      <c r="CB27" s="109">
        <f ca="1"/>
        <v>18.984464589045263</v>
      </c>
      <c r="CC27" s="109">
        <f ca="1"/>
        <v>18.113096768633081</v>
      </c>
      <c r="CD27" s="109">
        <f ca="1"/>
        <v>17.214773641424383</v>
      </c>
      <c r="CE27" s="109">
        <f ca="1"/>
        <v>16.292282182604577</v>
      </c>
      <c r="CF27" s="109">
        <f ca="1"/>
        <v>15.34800759439384</v>
      </c>
      <c r="CG27" s="109">
        <f ca="1"/>
        <v>14.384835628472914</v>
      </c>
      <c r="CH27" s="109">
        <f ca="1"/>
        <v>13.406364452836062</v>
      </c>
      <c r="CI27" s="109">
        <f ca="1"/>
        <v>12.416814090228922</v>
      </c>
      <c r="CJ27" s="109">
        <f ca="1"/>
        <v>11.42080898527646</v>
      </c>
      <c r="CK27" s="109">
        <f ca="1"/>
        <v>10.423130361107775</v>
      </c>
      <c r="CL27" s="109">
        <f ca="1"/>
        <v>9.42849087844629</v>
      </c>
      <c r="CM27" s="109">
        <f ca="1"/>
        <v>8.4413526617930614</v>
      </c>
      <c r="CN27" s="109">
        <f ca="1"/>
        <v>7.4657904006755302</v>
      </c>
      <c r="CO27" s="110">
        <f ca="1"/>
        <v>6.5053875737307632</v>
      </c>
      <c r="CP27" s="34">
        <f ca="1"/>
        <v>5.5658666888895816</v>
      </c>
      <c r="CQ27" s="9">
        <f ca="1"/>
        <v>4.6652204540956461</v>
      </c>
      <c r="CR27" s="9">
        <f ca="1"/>
        <v>3.8269750931329298</v>
      </c>
      <c r="CS27" s="9">
        <f ca="1"/>
        <v>3.0705092107948899</v>
      </c>
      <c r="CT27" s="9">
        <f ca="1"/>
        <v>2.4164019732032243</v>
      </c>
      <c r="CU27" s="9">
        <f ca="1"/>
        <v>1.861221174746267</v>
      </c>
      <c r="CV27" s="9">
        <f ca="1"/>
        <v>1.3978842862688479</v>
      </c>
      <c r="CW27" s="9">
        <f ca="1"/>
        <v>1.0241824453981798</v>
      </c>
      <c r="CX27" s="9">
        <f ca="1"/>
        <v>0.73561957020578594</v>
      </c>
      <c r="CY27" s="9">
        <f ca="1"/>
        <v>0.51897206119815742</v>
      </c>
      <c r="CZ27" s="9">
        <f ca="1"/>
        <v>0.35979542391581604</v>
      </c>
      <c r="DA27" s="9">
        <f ca="1"/>
        <v>0.2452254470891326</v>
      </c>
      <c r="DB27" s="9">
        <f ca="1"/>
        <v>0.16436946200326441</v>
      </c>
      <c r="DC27" s="9">
        <f ca="1"/>
        <v>0.10837404987071766</v>
      </c>
      <c r="DD27" s="9">
        <f ca="1"/>
        <v>7.0286214145155734E-2</v>
      </c>
      <c r="DE27" s="9">
        <f ca="1"/>
        <v>4.4805472947976543E-2</v>
      </c>
      <c r="DF27" s="9">
        <f ca="1"/>
        <v>2.7995725146357873E-2</v>
      </c>
      <c r="DG27" s="9">
        <f ca="1"/>
        <v>1.7081989784187374E-2</v>
      </c>
      <c r="DH27" s="9">
        <f ca="1"/>
        <v>1.0175952415205232E-2</v>
      </c>
      <c r="DI27" s="9">
        <f ca="1"/>
        <v>5.917811239125193E-3</v>
      </c>
      <c r="DJ27" s="9">
        <f ca="1"/>
        <v>3.3598034389089675E-3</v>
      </c>
      <c r="DK27" s="9">
        <f ca="1"/>
        <v>1.8625491513857317E-3</v>
      </c>
      <c r="DL27" s="9">
        <f ca="1"/>
        <v>1.0084847525066616E-3</v>
      </c>
      <c r="DM27" s="9">
        <f ca="1"/>
        <v>5.3353277272446186E-4</v>
      </c>
      <c r="DN27" s="9">
        <f ca="1"/>
        <v>2.7588056642366003E-4</v>
      </c>
      <c r="DO27" s="9">
        <f ca="1"/>
        <v>1.3938039468655141E-4</v>
      </c>
      <c r="DP27" s="9">
        <f ca="1"/>
        <v>6.8538734446385233E-5</v>
      </c>
      <c r="DQ27" s="9">
        <f ca="1"/>
        <v>3.2104136106471298E-5</v>
      </c>
      <c r="DR27" s="9">
        <f ca="1"/>
        <v>1.2643661006715879E-5</v>
      </c>
    </row>
    <row r="28" spans="1:122" x14ac:dyDescent="0.25">
      <c r="A28" s="79" t="s">
        <v>30</v>
      </c>
      <c r="B28" s="82">
        <v>44987</v>
      </c>
      <c r="C28" s="80" t="s">
        <v>45</v>
      </c>
      <c r="D28" s="29">
        <f>B31*EXP(-3*D27%*SQRT(B33))</f>
        <v>23.638466224194609</v>
      </c>
      <c r="G28"/>
      <c r="H28"/>
      <c r="M28" s="71"/>
      <c r="N28" s="31"/>
      <c r="BI28" s="29"/>
      <c r="BJ28" s="29"/>
      <c r="BR28" s="4"/>
      <c r="BS28" s="126">
        <f t="shared" si="21"/>
        <v>0.15646879756468796</v>
      </c>
      <c r="BT28" s="109" cm="1">
        <f t="array" aca="1" ref="BT28:DR28" ca="1">TRANSPOSE(MMULT(OFFSET(_xlfn.ANCHORARRAY($P$222),0,54),TRANSPOSE(BT27:DR27)))</f>
        <v>8.8985460535720655</v>
      </c>
      <c r="BU28" s="109">
        <f ca="1"/>
        <v>15.794805081919201</v>
      </c>
      <c r="BV28" s="109">
        <f ca="1"/>
        <v>19.802867479738737</v>
      </c>
      <c r="BW28" s="109">
        <f ca="1"/>
        <v>21.398611991351228</v>
      </c>
      <c r="BX28" s="109">
        <f ca="1"/>
        <v>21.628691093903655</v>
      </c>
      <c r="BY28" s="109">
        <f ca="1"/>
        <v>21.239070774484571</v>
      </c>
      <c r="BZ28" s="109">
        <f ca="1"/>
        <v>20.583651886150097</v>
      </c>
      <c r="CA28" s="109">
        <f ca="1"/>
        <v>19.811223595725441</v>
      </c>
      <c r="CB28" s="109">
        <f ca="1"/>
        <v>18.980047470697208</v>
      </c>
      <c r="CC28" s="109">
        <f ca="1"/>
        <v>18.112123830980224</v>
      </c>
      <c r="CD28" s="109">
        <f ca="1"/>
        <v>17.215978936384548</v>
      </c>
      <c r="CE28" s="109">
        <f ca="1"/>
        <v>16.295658791363824</v>
      </c>
      <c r="CF28" s="109">
        <f ca="1"/>
        <v>15.354152950636163</v>
      </c>
      <c r="CG28" s="109">
        <f ca="1"/>
        <v>14.394623221490589</v>
      </c>
      <c r="CH28" s="109">
        <f ca="1"/>
        <v>13.42074822852989</v>
      </c>
      <c r="CI28" s="109">
        <f ca="1"/>
        <v>12.43669960472551</v>
      </c>
      <c r="CJ28" s="109">
        <f ca="1"/>
        <v>11.446971334657556</v>
      </c>
      <c r="CK28" s="109">
        <f ca="1"/>
        <v>10.456168291403641</v>
      </c>
      <c r="CL28" s="109">
        <f ca="1"/>
        <v>9.4688056288364635</v>
      </c>
      <c r="CM28" s="109">
        <f ca="1"/>
        <v>8.48914029140089</v>
      </c>
      <c r="CN28" s="109">
        <f ca="1"/>
        <v>7.5210381769908254</v>
      </c>
      <c r="CO28" s="110">
        <f ca="1"/>
        <v>6.5678750250197133</v>
      </c>
      <c r="CP28" s="34">
        <f ca="1"/>
        <v>5.635128031532493</v>
      </c>
      <c r="CQ28" s="9">
        <f ca="1"/>
        <v>4.7403171299232554</v>
      </c>
      <c r="CR28" s="9">
        <f ca="1"/>
        <v>3.9062983370345226</v>
      </c>
      <c r="CS28" s="9">
        <f ca="1"/>
        <v>3.1518093900429704</v>
      </c>
      <c r="CT28" s="9">
        <f ca="1"/>
        <v>2.4968112128951652</v>
      </c>
      <c r="CU28" s="9">
        <f ca="1"/>
        <v>1.9380078347439591</v>
      </c>
      <c r="CV28" s="9">
        <f ca="1"/>
        <v>1.4687506171761697</v>
      </c>
      <c r="CW28" s="9">
        <f ca="1"/>
        <v>1.0873564296518896</v>
      </c>
      <c r="CX28" s="9">
        <f ca="1"/>
        <v>0.79005349321218932</v>
      </c>
      <c r="CY28" s="9">
        <f ca="1"/>
        <v>0.56443048122133033</v>
      </c>
      <c r="CZ28" s="9">
        <f ca="1"/>
        <v>0.39669002393925679</v>
      </c>
      <c r="DA28" s="9">
        <f ca="1"/>
        <v>0.27439437770096525</v>
      </c>
      <c r="DB28" s="9">
        <f ca="1"/>
        <v>0.1868736936679494</v>
      </c>
      <c r="DC28" s="9">
        <f ca="1"/>
        <v>0.12533807010608283</v>
      </c>
      <c r="DD28" s="9">
        <f ca="1"/>
        <v>8.2788433199972949E-2</v>
      </c>
      <c r="DE28" s="9">
        <f ca="1"/>
        <v>5.3812079676006513E-2</v>
      </c>
      <c r="DF28" s="9">
        <f ca="1"/>
        <v>3.4328002667851236E-2</v>
      </c>
      <c r="DG28" s="9">
        <f ca="1"/>
        <v>2.1417038751026452E-2</v>
      </c>
      <c r="DH28" s="9">
        <f ca="1"/>
        <v>1.3064749377994379E-2</v>
      </c>
      <c r="DI28" s="9">
        <f ca="1"/>
        <v>7.7912194831546598E-3</v>
      </c>
      <c r="DJ28" s="9">
        <f ca="1"/>
        <v>4.5420325973218522E-3</v>
      </c>
      <c r="DK28" s="9">
        <f ca="1"/>
        <v>2.5885674786712094E-3</v>
      </c>
      <c r="DL28" s="9">
        <f ca="1"/>
        <v>1.4424457839888609E-3</v>
      </c>
      <c r="DM28" s="9">
        <f ca="1"/>
        <v>7.8607109632691146E-4</v>
      </c>
      <c r="DN28" s="9">
        <f ca="1"/>
        <v>4.1897956782755921E-4</v>
      </c>
      <c r="DO28" s="9">
        <f ca="1"/>
        <v>2.1826751102668098E-4</v>
      </c>
      <c r="DP28" s="9">
        <f ca="1"/>
        <v>1.1061796625802024E-4</v>
      </c>
      <c r="DQ28" s="9">
        <f ca="1"/>
        <v>5.3265493511525204E-5</v>
      </c>
      <c r="DR28" s="9">
        <f ca="1"/>
        <v>2.1417605843950567E-5</v>
      </c>
    </row>
    <row r="29" spans="1:122" x14ac:dyDescent="0.25">
      <c r="A29" s="79" t="s">
        <v>31</v>
      </c>
      <c r="B29" s="83">
        <v>0</v>
      </c>
      <c r="C29" s="80" t="s">
        <v>46</v>
      </c>
      <c r="D29" s="29">
        <f>B31*EXP(3*D27%*SQRT(B33))</f>
        <v>100.74426899840614</v>
      </c>
      <c r="F29" s="9" t="s">
        <v>81</v>
      </c>
      <c r="G29" s="9" t="s">
        <v>82</v>
      </c>
      <c r="H29" s="9" t="s">
        <v>83</v>
      </c>
      <c r="M29" s="71"/>
      <c r="BI29" s="29"/>
      <c r="BJ29" s="29"/>
      <c r="BR29" s="4"/>
      <c r="BS29" s="126">
        <f t="shared" si="21"/>
        <v>0.16575342465753423</v>
      </c>
      <c r="BT29" s="109" cm="1">
        <f t="array" aca="1" ref="BT29:DR29" ca="1">TRANSPOSE(MMULT(OFFSET(_xlfn.ANCHORARRAY($P$222),0,54),TRANSPOSE(BT28:DR28)))</f>
        <v>8.4822294391647652</v>
      </c>
      <c r="BU29" s="109">
        <f ca="1"/>
        <v>15.21624127026282</v>
      </c>
      <c r="BV29" s="109">
        <f ca="1"/>
        <v>19.316667763387304</v>
      </c>
      <c r="BW29" s="109">
        <f ca="1"/>
        <v>21.090712477544368</v>
      </c>
      <c r="BX29" s="109">
        <f ca="1"/>
        <v>21.462836008900844</v>
      </c>
      <c r="BY29" s="109">
        <f ca="1"/>
        <v>21.15816521193274</v>
      </c>
      <c r="BZ29" s="109">
        <f ca="1"/>
        <v>20.546658796056946</v>
      </c>
      <c r="CA29" s="109">
        <f ca="1"/>
        <v>19.79513507493964</v>
      </c>
      <c r="CB29" s="109">
        <f ca="1"/>
        <v>18.973589603413252</v>
      </c>
      <c r="CC29" s="109">
        <f ca="1"/>
        <v>18.110344063011016</v>
      </c>
      <c r="CD29" s="109">
        <f ca="1"/>
        <v>17.217060642194362</v>
      </c>
      <c r="CE29" s="109">
        <f ca="1"/>
        <v>16.299300767695257</v>
      </c>
      <c r="CF29" s="109">
        <f ca="1"/>
        <v>15.360780951155123</v>
      </c>
      <c r="CG29" s="109">
        <f ca="1"/>
        <v>14.404990712348743</v>
      </c>
      <c r="CH29" s="109">
        <f ca="1"/>
        <v>13.435713567664049</v>
      </c>
      <c r="CI29" s="109">
        <f ca="1"/>
        <v>12.457090824228276</v>
      </c>
      <c r="CJ29" s="109">
        <f ca="1"/>
        <v>11.473502882291482</v>
      </c>
      <c r="CK29" s="109">
        <f ca="1"/>
        <v>10.489392395766309</v>
      </c>
      <c r="CL29" s="109">
        <f ca="1"/>
        <v>9.5090864195364162</v>
      </c>
      <c r="CM29" s="109">
        <f ca="1"/>
        <v>8.5366414887238111</v>
      </c>
      <c r="CN29" s="109">
        <f ca="1"/>
        <v>7.5757192742444381</v>
      </c>
      <c r="CO29" s="110">
        <f ca="1"/>
        <v>6.6294919549400513</v>
      </c>
      <c r="CP29" s="34">
        <f ca="1"/>
        <v>5.7032039997887054</v>
      </c>
      <c r="CQ29" s="9">
        <f ca="1"/>
        <v>4.8139227114543779</v>
      </c>
      <c r="CR29" s="9">
        <f ca="1"/>
        <v>3.9838817351822748</v>
      </c>
      <c r="CS29" s="9">
        <f ca="1"/>
        <v>3.2312444026133735</v>
      </c>
      <c r="CT29" s="9">
        <f ca="1"/>
        <v>2.5754277416957376</v>
      </c>
      <c r="CU29" s="9">
        <f ca="1"/>
        <v>2.0132783496801352</v>
      </c>
      <c r="CV29" s="9">
        <f ca="1"/>
        <v>1.5385391939252122</v>
      </c>
      <c r="CW29" s="9">
        <f ca="1"/>
        <v>1.1499829064138869</v>
      </c>
      <c r="CX29" s="9">
        <f ca="1"/>
        <v>0.84446936135384876</v>
      </c>
      <c r="CY29" s="9">
        <f ca="1"/>
        <v>0.61031913627645273</v>
      </c>
      <c r="CZ29" s="9">
        <f ca="1"/>
        <v>0.43433973681103072</v>
      </c>
      <c r="DA29" s="9">
        <f ca="1"/>
        <v>0.30451256222651935</v>
      </c>
      <c r="DB29" s="9">
        <f ca="1"/>
        <v>0.21040614629856644</v>
      </c>
      <c r="DC29" s="9">
        <f ca="1"/>
        <v>0.14331994704947959</v>
      </c>
      <c r="DD29" s="9">
        <f ca="1"/>
        <v>9.6236146784399818E-2</v>
      </c>
      <c r="DE29" s="9">
        <f ca="1"/>
        <v>6.365411054418299E-2</v>
      </c>
      <c r="DF29" s="9">
        <f ca="1"/>
        <v>4.1367521434846351E-2</v>
      </c>
      <c r="DG29" s="9">
        <f ca="1"/>
        <v>2.632772715010543E-2</v>
      </c>
      <c r="DH29" s="9">
        <f ca="1"/>
        <v>1.6404820590298803E-2</v>
      </c>
      <c r="DI29" s="9">
        <f ca="1"/>
        <v>1.0005769682356051E-2</v>
      </c>
      <c r="DJ29" s="9">
        <f ca="1"/>
        <v>5.9731460934267979E-3</v>
      </c>
      <c r="DK29" s="9">
        <f ca="1"/>
        <v>3.489947778327721E-3</v>
      </c>
      <c r="DL29" s="9">
        <f ca="1"/>
        <v>1.9958147096003878E-3</v>
      </c>
      <c r="DM29" s="9">
        <f ca="1"/>
        <v>1.1172286961034941E-3</v>
      </c>
      <c r="DN29" s="9">
        <f ca="1"/>
        <v>6.121367235037324E-4</v>
      </c>
      <c r="DO29" s="9">
        <f ca="1"/>
        <v>3.2792945772290875E-4</v>
      </c>
      <c r="DP29" s="9">
        <f ca="1"/>
        <v>1.7082438386081651E-4</v>
      </c>
      <c r="DQ29" s="9">
        <f ca="1"/>
        <v>8.4340088329150454E-5</v>
      </c>
      <c r="DR29" s="9">
        <f ca="1"/>
        <v>3.4549581608755471E-5</v>
      </c>
    </row>
    <row r="30" spans="1:122" x14ac:dyDescent="0.25">
      <c r="A30" s="79" t="s">
        <v>32</v>
      </c>
      <c r="B30" s="83">
        <v>0</v>
      </c>
      <c r="C30" s="80" t="s">
        <v>51</v>
      </c>
      <c r="D30" s="29">
        <f>LN(D28)</f>
        <v>3.1628753098998414</v>
      </c>
      <c r="F30" s="95">
        <v>48.187055913316961</v>
      </c>
      <c r="G30" s="123">
        <v>55.72753517732</v>
      </c>
      <c r="H30" s="124">
        <f>G30/F30-1</f>
        <v>0.15648350207506989</v>
      </c>
      <c r="K30" s="42"/>
      <c r="M30" s="71"/>
      <c r="BI30" s="29"/>
      <c r="BJ30" s="29"/>
      <c r="BR30" s="4"/>
      <c r="BS30" s="126">
        <f t="shared" si="21"/>
        <v>0.17503805175038051</v>
      </c>
      <c r="BT30" s="109" cm="1">
        <f t="array" aca="1" ref="BT30:DR30" ca="1">TRANSPOSE(MMULT(OFFSET(_xlfn.ANCHORARRAY($P$222),0,54),TRANSPOSE(BT29:DR29)))</f>
        <v>8.1132191669563589</v>
      </c>
      <c r="BU30" s="109">
        <f ca="1"/>
        <v>14.685324443255842</v>
      </c>
      <c r="BV30" s="109">
        <f ca="1"/>
        <v>18.847461445314806</v>
      </c>
      <c r="BW30" s="109">
        <f ca="1"/>
        <v>20.775776037789345</v>
      </c>
      <c r="BX30" s="109">
        <f ca="1"/>
        <v>21.282691691231776</v>
      </c>
      <c r="BY30" s="109">
        <f ca="1"/>
        <v>21.064826901350777</v>
      </c>
      <c r="BZ30" s="109">
        <f ca="1"/>
        <v>20.501359030672678</v>
      </c>
      <c r="CA30" s="109">
        <f ca="1"/>
        <v>19.774242249354298</v>
      </c>
      <c r="CB30" s="109">
        <f ca="1"/>
        <v>18.964646668113236</v>
      </c>
      <c r="CC30" s="109">
        <f ca="1"/>
        <v>18.107462096362784</v>
      </c>
      <c r="CD30" s="109">
        <f ca="1"/>
        <v>17.217834719519143</v>
      </c>
      <c r="CE30" s="109">
        <f ca="1"/>
        <v>16.30308782229768</v>
      </c>
      <c r="CF30" s="109">
        <f ca="1"/>
        <v>15.367802476644625</v>
      </c>
      <c r="CG30" s="109">
        <f ca="1"/>
        <v>14.415864748507348</v>
      </c>
      <c r="CH30" s="109">
        <f ca="1"/>
        <v>13.451198475569713</v>
      </c>
      <c r="CI30" s="109">
        <f ca="1"/>
        <v>12.477936626414497</v>
      </c>
      <c r="CJ30" s="109">
        <f ca="1"/>
        <v>11.50036245198225</v>
      </c>
      <c r="CK30" s="109">
        <f ca="1"/>
        <v>10.522769116535789</v>
      </c>
      <c r="CL30" s="109">
        <f ca="1"/>
        <v>9.5493049809743429</v>
      </c>
      <c r="CM30" s="109">
        <f ca="1"/>
        <v>8.5838336053927033</v>
      </c>
      <c r="CN30" s="109">
        <f ca="1"/>
        <v>7.6298191323248696</v>
      </c>
      <c r="CO30" s="110">
        <f ca="1"/>
        <v>6.6902398279598296</v>
      </c>
      <c r="CP30" s="34">
        <f ca="1"/>
        <v>5.7701189843592031</v>
      </c>
      <c r="CQ30" s="9">
        <f ca="1"/>
        <v>4.8860948446615762</v>
      </c>
      <c r="CR30" s="9">
        <f ca="1"/>
        <v>4.0598203558017216</v>
      </c>
      <c r="CS30" s="9">
        <f ca="1"/>
        <v>3.3089386346802776</v>
      </c>
      <c r="CT30" s="9">
        <f ca="1"/>
        <v>2.6523800326712506</v>
      </c>
      <c r="CU30" s="9">
        <f ca="1"/>
        <v>2.0871347327614349</v>
      </c>
      <c r="CV30" s="9">
        <f ca="1"/>
        <v>1.6073019379629621</v>
      </c>
      <c r="CW30" s="9">
        <f ca="1"/>
        <v>1.2120544653268712</v>
      </c>
      <c r="CX30" s="9">
        <f ca="1"/>
        <v>0.89880901870972352</v>
      </c>
      <c r="CY30" s="9">
        <f ca="1"/>
        <v>0.65654928212457986</v>
      </c>
      <c r="CZ30" s="9">
        <f ca="1"/>
        <v>0.47264693652458906</v>
      </c>
      <c r="DA30" s="9">
        <f ca="1"/>
        <v>0.33549008776256922</v>
      </c>
      <c r="DB30" s="9">
        <f ca="1"/>
        <v>0.23489402103530543</v>
      </c>
      <c r="DC30" s="9">
        <f ca="1"/>
        <v>0.16226730327848174</v>
      </c>
      <c r="DD30" s="9">
        <f ca="1"/>
        <v>0.11059679833870308</v>
      </c>
      <c r="DE30" s="9">
        <f ca="1"/>
        <v>7.4316218277818244E-2</v>
      </c>
      <c r="DF30" s="9">
        <f ca="1"/>
        <v>4.9112717737525027E-2</v>
      </c>
      <c r="DG30" s="9">
        <f ca="1"/>
        <v>3.1822632888404569E-2</v>
      </c>
      <c r="DH30" s="9">
        <f ca="1"/>
        <v>2.0211304591456966E-2</v>
      </c>
      <c r="DI30" s="9">
        <f ca="1"/>
        <v>1.2579933051460199E-2</v>
      </c>
      <c r="DJ30" s="9">
        <f ca="1"/>
        <v>7.6723032720701729E-3</v>
      </c>
      <c r="DK30" s="9">
        <f ca="1"/>
        <v>4.5846168564747684E-3</v>
      </c>
      <c r="DL30" s="9">
        <f ca="1"/>
        <v>2.6841100825423301E-3</v>
      </c>
      <c r="DM30" s="9">
        <f ca="1"/>
        <v>1.5395966877888132E-3</v>
      </c>
      <c r="DN30" s="9">
        <f ca="1"/>
        <v>8.6499136739358491E-4</v>
      </c>
      <c r="DO30" s="9">
        <f ca="1"/>
        <v>4.7533739259380007E-4</v>
      </c>
      <c r="DP30" s="9">
        <f ca="1"/>
        <v>2.5387914343941956E-4</v>
      </c>
      <c r="DQ30" s="9">
        <f ca="1"/>
        <v>1.2821399897662388E-4</v>
      </c>
      <c r="DR30" s="9">
        <f ca="1"/>
        <v>5.3405550339249095E-5</v>
      </c>
    </row>
    <row r="31" spans="1:122" x14ac:dyDescent="0.25">
      <c r="A31" s="79" t="s">
        <v>33</v>
      </c>
      <c r="B31" s="29">
        <v>48.8</v>
      </c>
      <c r="C31" s="80" t="s">
        <v>52</v>
      </c>
      <c r="D31" s="29">
        <f>LN(D29)</f>
        <v>4.612585315818361</v>
      </c>
      <c r="F31" s="95">
        <v>60.943828110016405</v>
      </c>
      <c r="G31" s="123">
        <v>52.070695029269999</v>
      </c>
      <c r="H31" s="124">
        <f t="shared" ref="H31:H36" si="26">G31/F31-1</f>
        <v>-0.14559526954441615</v>
      </c>
      <c r="K31" s="42"/>
      <c r="M31" s="71"/>
      <c r="BI31" s="29"/>
      <c r="BJ31" s="29"/>
      <c r="BR31" s="4"/>
      <c r="BS31" s="126">
        <f t="shared" si="21"/>
        <v>0.18432267884322678</v>
      </c>
      <c r="BT31" s="109" cm="1">
        <f t="array" aca="1" ref="BT31:DR31" ca="1">TRANSPOSE(MMULT(OFFSET(_xlfn.ANCHORARRAY($P$222),0,54),TRANSPOSE(BT30:DR30)))</f>
        <v>7.7831683551758122</v>
      </c>
      <c r="BU31" s="109">
        <f ca="1"/>
        <v>14.196382682536779</v>
      </c>
      <c r="BV31" s="109">
        <f ca="1"/>
        <v>18.396274984901115</v>
      </c>
      <c r="BW31" s="109">
        <f ca="1"/>
        <v>20.457182284625805</v>
      </c>
      <c r="BX31" s="109">
        <f ca="1"/>
        <v>21.090556333776984</v>
      </c>
      <c r="BY31" s="109">
        <f ca="1"/>
        <v>20.959807018983813</v>
      </c>
      <c r="BZ31" s="109">
        <f ca="1"/>
        <v>20.447608327526137</v>
      </c>
      <c r="CA31" s="109">
        <f ca="1"/>
        <v>19.748112288552111</v>
      </c>
      <c r="CB31" s="109">
        <f ca="1"/>
        <v>18.952803051799844</v>
      </c>
      <c r="CC31" s="109">
        <f ca="1"/>
        <v>18.103169885295351</v>
      </c>
      <c r="CD31" s="109">
        <f ca="1"/>
        <v>17.218093668627805</v>
      </c>
      <c r="CE31" s="109">
        <f ca="1"/>
        <v>16.3068801786814</v>
      </c>
      <c r="CF31" s="109">
        <f ca="1"/>
        <v>15.375117007069367</v>
      </c>
      <c r="CG31" s="109">
        <f ca="1"/>
        <v>14.427167109986184</v>
      </c>
      <c r="CH31" s="109">
        <f ca="1"/>
        <v>13.467139172275507</v>
      </c>
      <c r="CI31" s="109">
        <f ca="1"/>
        <v>12.49918442438705</v>
      </c>
      <c r="CJ31" s="109">
        <f ca="1"/>
        <v>11.527506842525428</v>
      </c>
      <c r="CK31" s="109">
        <f ca="1"/>
        <v>10.55626322533492</v>
      </c>
      <c r="CL31" s="109">
        <f ca="1"/>
        <v>9.5894335606352943</v>
      </c>
      <c r="CM31" s="109">
        <f ca="1"/>
        <v>8.6306973499739552</v>
      </c>
      <c r="CN31" s="109">
        <f ca="1"/>
        <v>7.6833305584163867</v>
      </c>
      <c r="CO31" s="110">
        <f ca="1"/>
        <v>6.7501278465861976</v>
      </c>
      <c r="CP31" s="34">
        <f ca="1"/>
        <v>5.8359047209623975</v>
      </c>
      <c r="CQ31" s="9">
        <f ca="1"/>
        <v>4.9568927939835543</v>
      </c>
      <c r="CR31" s="9">
        <f ca="1"/>
        <v>4.1342024068482255</v>
      </c>
      <c r="CS31" s="9">
        <f ca="1"/>
        <v>3.3850010887196049</v>
      </c>
      <c r="CT31" s="9">
        <f ca="1"/>
        <v>2.7277779825688224</v>
      </c>
      <c r="CU31" s="9">
        <f ca="1"/>
        <v>2.1596644931925555</v>
      </c>
      <c r="CV31" s="9">
        <f ca="1"/>
        <v>1.6750857128772152</v>
      </c>
      <c r="CW31" s="9">
        <f ca="1"/>
        <v>1.2735692682160871</v>
      </c>
      <c r="CX31" s="9">
        <f ca="1"/>
        <v>0.95302704690493123</v>
      </c>
      <c r="CY31" s="9">
        <f ca="1"/>
        <v>0.70304662249793048</v>
      </c>
      <c r="CZ31" s="9">
        <f ca="1"/>
        <v>0.51152579096538331</v>
      </c>
      <c r="DA31" s="9">
        <f ca="1"/>
        <v>0.36724425160584412</v>
      </c>
      <c r="DB31" s="9">
        <f ca="1"/>
        <v>0.26026731485602406</v>
      </c>
      <c r="DC31" s="9">
        <f ca="1"/>
        <v>0.18212733749771437</v>
      </c>
      <c r="DD31" s="9">
        <f ca="1"/>
        <v>0.12583548752538654</v>
      </c>
      <c r="DE31" s="9">
        <f ca="1"/>
        <v>8.5779772116580152E-2</v>
      </c>
      <c r="DF31" s="9">
        <f ca="1"/>
        <v>5.75584353159952E-2</v>
      </c>
      <c r="DG31" s="9">
        <f ca="1"/>
        <v>3.7906838081597519E-2</v>
      </c>
      <c r="DH31" s="9">
        <f ca="1"/>
        <v>2.4496229273801139E-2</v>
      </c>
      <c r="DI31" s="9">
        <f ca="1"/>
        <v>1.5529658755013082E-2</v>
      </c>
      <c r="DJ31" s="9">
        <f ca="1"/>
        <v>9.6568409831692282E-3</v>
      </c>
      <c r="DK31" s="9">
        <f ca="1"/>
        <v>5.889384924913801E-3</v>
      </c>
      <c r="DL31" s="9">
        <f ca="1"/>
        <v>3.5223524191584812E-3</v>
      </c>
      <c r="DM31" s="9">
        <f ca="1"/>
        <v>2.0657368848394538E-3</v>
      </c>
      <c r="DN31" s="9">
        <f ca="1"/>
        <v>1.1874498489328129E-3</v>
      </c>
      <c r="DO31" s="9">
        <f ca="1"/>
        <v>6.6786444235046453E-4</v>
      </c>
      <c r="DP31" s="9">
        <f ca="1"/>
        <v>3.6491026030152114E-4</v>
      </c>
      <c r="DQ31" s="9">
        <f ca="1"/>
        <v>1.8809272489480976E-4</v>
      </c>
      <c r="DR31" s="9">
        <f ca="1"/>
        <v>7.9525829939158205E-5</v>
      </c>
    </row>
    <row r="32" spans="1:122" x14ac:dyDescent="0.25">
      <c r="A32" s="79"/>
      <c r="C32" s="80"/>
      <c r="F32" s="95">
        <v>49.012511929360002</v>
      </c>
      <c r="G32" s="123">
        <v>48.16644982703</v>
      </c>
      <c r="H32" s="124">
        <f t="shared" si="26"/>
        <v>-1.7262165700656196E-2</v>
      </c>
      <c r="K32" s="42"/>
      <c r="BI32" s="29"/>
      <c r="BJ32" s="29"/>
      <c r="BR32" s="4"/>
      <c r="BS32" s="126">
        <f t="shared" si="21"/>
        <v>0.19360730593607306</v>
      </c>
      <c r="BT32" s="109" cm="1">
        <f t="array" aca="1" ref="BT32:DR32" ca="1">TRANSPOSE(MMULT(OFFSET(_xlfn.ANCHORARRAY($P$222),0,54),TRANSPOSE(BT31:DR31)))</f>
        <v>7.4856277582834778</v>
      </c>
      <c r="BU32" s="109">
        <f ca="1"/>
        <v>13.744486561164099</v>
      </c>
      <c r="BV32" s="109">
        <f ca="1"/>
        <v>17.963399704523614</v>
      </c>
      <c r="BW32" s="109">
        <f ca="1"/>
        <v>20.137613539644075</v>
      </c>
      <c r="BX32" s="109">
        <f ca="1"/>
        <v>20.888585211694217</v>
      </c>
      <c r="BY32" s="109">
        <f ca="1"/>
        <v>20.844019609569319</v>
      </c>
      <c r="BZ32" s="109">
        <f ca="1"/>
        <v>20.385457522972782</v>
      </c>
      <c r="CA32" s="109">
        <f ca="1"/>
        <v>19.71643316943803</v>
      </c>
      <c r="CB32" s="109">
        <f ca="1"/>
        <v>18.937689173006973</v>
      </c>
      <c r="CC32" s="109">
        <f ca="1"/>
        <v>18.097161333308776</v>
      </c>
      <c r="CD32" s="109">
        <f ca="1"/>
        <v>17.217614956292152</v>
      </c>
      <c r="CE32" s="109">
        <f ca="1"/>
        <v>16.310521590120846</v>
      </c>
      <c r="CF32" s="109">
        <f ca="1"/>
        <v>15.382612126732443</v>
      </c>
      <c r="CG32" s="109">
        <f ca="1"/>
        <v>14.438812686626967</v>
      </c>
      <c r="CH32" s="109">
        <f ca="1"/>
        <v>13.48346821978966</v>
      </c>
      <c r="CI32" s="109">
        <f ca="1"/>
        <v>12.520779441196224</v>
      </c>
      <c r="CJ32" s="109">
        <f ca="1"/>
        <v>11.554891388755006</v>
      </c>
      <c r="CK32" s="109">
        <f ca="1"/>
        <v>10.589839039970437</v>
      </c>
      <c r="CL32" s="109">
        <f ca="1"/>
        <v>9.629445562507815</v>
      </c>
      <c r="CM32" s="109">
        <f ca="1"/>
        <v>8.6772168234715608</v>
      </c>
      <c r="CN32" s="109">
        <f ca="1"/>
        <v>7.7362510271063796</v>
      </c>
      <c r="CO32" s="110">
        <f ca="1"/>
        <v>6.809170685423962</v>
      </c>
      <c r="CP32" s="34">
        <f ca="1"/>
        <v>5.9005964813753202</v>
      </c>
      <c r="CQ32" s="9">
        <f ca="1"/>
        <v>5.0263754354948986</v>
      </c>
      <c r="CR32" s="9">
        <f ca="1"/>
        <v>4.2071095479937206</v>
      </c>
      <c r="CS32" s="9">
        <f ca="1"/>
        <v>3.4595285009689842</v>
      </c>
      <c r="CT32" s="9">
        <f ca="1"/>
        <v>2.8017171986378511</v>
      </c>
      <c r="CU32" s="9">
        <f ca="1"/>
        <v>2.230943864761421</v>
      </c>
      <c r="CV32" s="9">
        <f ca="1"/>
        <v>1.7419329603697409</v>
      </c>
      <c r="CW32" s="9">
        <f ca="1"/>
        <v>1.3345290433472972</v>
      </c>
      <c r="CX32" s="9">
        <f ca="1"/>
        <v>1.0070875164719866</v>
      </c>
      <c r="CY32" s="9">
        <f ca="1"/>
        <v>0.74974851398253428</v>
      </c>
      <c r="CZ32" s="9">
        <f ca="1"/>
        <v>0.55090087046658243</v>
      </c>
      <c r="DA32" s="9">
        <f ca="1"/>
        <v>0.39969955889168796</v>
      </c>
      <c r="DB32" s="9">
        <f ca="1"/>
        <v>0.28645963368655364</v>
      </c>
      <c r="DC32" s="9">
        <f ca="1"/>
        <v>0.20284784417436619</v>
      </c>
      <c r="DD32" s="9">
        <f ca="1"/>
        <v>0.1419158387546583</v>
      </c>
      <c r="DE32" s="9">
        <f ca="1"/>
        <v>9.8023480974231927E-2</v>
      </c>
      <c r="DF32" s="9">
        <f ca="1"/>
        <v>6.6696346909170659E-2</v>
      </c>
      <c r="DG32" s="9">
        <f ca="1"/>
        <v>4.4582214400427617E-2</v>
      </c>
      <c r="DH32" s="9">
        <f ca="1"/>
        <v>2.9268695944964025E-2</v>
      </c>
      <c r="DI32" s="9">
        <f ca="1"/>
        <v>1.8868462944961223E-2</v>
      </c>
      <c r="DJ32" s="9">
        <f ca="1"/>
        <v>1.194226785724831E-2</v>
      </c>
      <c r="DK32" s="9">
        <f ca="1"/>
        <v>7.4198585612157697E-3</v>
      </c>
      <c r="DL32" s="9">
        <f ca="1"/>
        <v>4.5249236029142222E-3</v>
      </c>
      <c r="DM32" s="9">
        <f ca="1"/>
        <v>2.7080215520816292E-3</v>
      </c>
      <c r="DN32" s="9">
        <f ca="1"/>
        <v>1.589534903962343E-3</v>
      </c>
      <c r="DO32" s="9">
        <f ca="1"/>
        <v>9.1316312876211863E-4</v>
      </c>
      <c r="DP32" s="9">
        <f ca="1"/>
        <v>5.0936494894236468E-4</v>
      </c>
      <c r="DQ32" s="9">
        <f ca="1"/>
        <v>2.6744701584490842E-4</v>
      </c>
      <c r="DR32" s="9">
        <f ca="1"/>
        <v>1.1459970293130057E-4</v>
      </c>
    </row>
    <row r="33" spans="1:122" x14ac:dyDescent="0.25">
      <c r="A33" s="80" t="s">
        <v>34</v>
      </c>
      <c r="B33" s="29">
        <f>YEARFRAC(B27,B28,3)</f>
        <v>0.24931506849315069</v>
      </c>
      <c r="C33" s="80"/>
      <c r="F33" s="95">
        <v>41.614943920123814</v>
      </c>
      <c r="G33" s="123">
        <v>43.952673637489994</v>
      </c>
      <c r="H33" s="124">
        <f t="shared" si="26"/>
        <v>5.6175246129208878E-2</v>
      </c>
      <c r="K33" s="43"/>
      <c r="BI33" s="29"/>
      <c r="BJ33" s="29"/>
      <c r="BR33" s="4"/>
      <c r="BS33" s="126">
        <f t="shared" si="21"/>
        <v>0.20289193302891934</v>
      </c>
      <c r="BT33" s="109" cm="1">
        <f t="array" aca="1" ref="BT33:DR33" ca="1">TRANSPOSE(MMULT(OFFSET(_xlfn.ANCHORARRAY($P$222),0,54),TRANSPOSE(BT32:DR32)))</f>
        <v>7.2155332901647418</v>
      </c>
      <c r="BU33" s="109">
        <f ca="1"/>
        <v>13.325380076847715</v>
      </c>
      <c r="BV33" s="109">
        <f ca="1"/>
        <v>17.548649134244204</v>
      </c>
      <c r="BW33" s="109">
        <f ca="1"/>
        <v>19.81916475198134</v>
      </c>
      <c r="BX33" s="109">
        <f ca="1"/>
        <v>20.678741416698319</v>
      </c>
      <c r="BY33" s="109">
        <f ca="1"/>
        <v>20.71846787299669</v>
      </c>
      <c r="BZ33" s="109">
        <f ca="1"/>
        <v>20.315115658313612</v>
      </c>
      <c r="CA33" s="109">
        <f ca="1"/>
        <v>19.679010461708511</v>
      </c>
      <c r="CB33" s="109">
        <f ca="1"/>
        <v>18.918992764435011</v>
      </c>
      <c r="CC33" s="109">
        <f ca="1"/>
        <v>18.089144817331377</v>
      </c>
      <c r="CD33" s="109">
        <f ca="1"/>
        <v>17.216169584316138</v>
      </c>
      <c r="CE33" s="109">
        <f ca="1"/>
        <v>16.313843386991575</v>
      </c>
      <c r="CF33" s="109">
        <f ca="1"/>
        <v>15.390164292548009</v>
      </c>
      <c r="CG33" s="109">
        <f ca="1"/>
        <v>14.450708598464526</v>
      </c>
      <c r="CH33" s="109">
        <f ca="1"/>
        <v>13.500113367669181</v>
      </c>
      <c r="CI33" s="109">
        <f ca="1"/>
        <v>12.542664086777421</v>
      </c>
      <c r="CJ33" s="109">
        <f ca="1"/>
        <v>11.582470016503802</v>
      </c>
      <c r="CK33" s="109">
        <f ca="1"/>
        <v>10.623460768935049</v>
      </c>
      <c r="CL33" s="109">
        <f ca="1"/>
        <v>9.669315726335185</v>
      </c>
      <c r="CM33" s="109">
        <f ca="1"/>
        <v>8.7233786988394719</v>
      </c>
      <c r="CN33" s="109">
        <f ca="1"/>
        <v>7.7885814934547799</v>
      </c>
      <c r="CO33" s="110">
        <f ca="1"/>
        <v>6.8673860674289058</v>
      </c>
      <c r="CP33" s="34">
        <f ca="1"/>
        <v>5.9642311197491287</v>
      </c>
      <c r="CQ33" s="9">
        <f ca="1"/>
        <v>5.0945999295649038</v>
      </c>
      <c r="CR33" s="9">
        <f ca="1"/>
        <v>4.2786173370196918</v>
      </c>
      <c r="CS33" s="9">
        <f ca="1"/>
        <v>3.5326075519926023</v>
      </c>
      <c r="CT33" s="9">
        <f ca="1"/>
        <v>2.8742819964384769</v>
      </c>
      <c r="CU33" s="9">
        <f ca="1"/>
        <v>2.3010401307141093</v>
      </c>
      <c r="CV33" s="9">
        <f ca="1"/>
        <v>1.8078823151192374</v>
      </c>
      <c r="CW33" s="9">
        <f ca="1"/>
        <v>1.3949378517469124</v>
      </c>
      <c r="CX33" s="9">
        <f ca="1"/>
        <v>1.0609617133997746</v>
      </c>
      <c r="CY33" s="9">
        <f ca="1"/>
        <v>0.796601770535172</v>
      </c>
      <c r="CZ33" s="9">
        <f ca="1"/>
        <v>0.59070578902449655</v>
      </c>
      <c r="DA33" s="9">
        <f ca="1"/>
        <v>0.43278736924060374</v>
      </c>
      <c r="DB33" s="9">
        <f ca="1"/>
        <v>0.31340858054920767</v>
      </c>
      <c r="DC33" s="9">
        <f ca="1"/>
        <v>0.22437794424671101</v>
      </c>
      <c r="DD33" s="9">
        <f ca="1"/>
        <v>0.15880076098747373</v>
      </c>
      <c r="DE33" s="9">
        <f ca="1"/>
        <v>0.11102402469989314</v>
      </c>
      <c r="DF33" s="9">
        <f ca="1"/>
        <v>7.6515419997937151E-2</v>
      </c>
      <c r="DG33" s="9">
        <f ca="1"/>
        <v>5.1847741563186341E-2</v>
      </c>
      <c r="DH33" s="9">
        <f ca="1"/>
        <v>3.4535078170388971E-2</v>
      </c>
      <c r="DI33" s="9">
        <f ca="1"/>
        <v>2.2607526790397389E-2</v>
      </c>
      <c r="DJ33" s="9">
        <f ca="1"/>
        <v>1.4542274721186851E-2</v>
      </c>
      <c r="DK33" s="9">
        <f ca="1"/>
        <v>9.1903792022031677E-3</v>
      </c>
      <c r="DL33" s="9">
        <f ca="1"/>
        <v>5.7054557722845314E-3</v>
      </c>
      <c r="DM33" s="9">
        <f ca="1"/>
        <v>3.478498776780328E-3</v>
      </c>
      <c r="DN33" s="9">
        <f ca="1"/>
        <v>2.0812517353807165E-3</v>
      </c>
      <c r="DO33" s="9">
        <f ca="1"/>
        <v>1.2190497462096367E-3</v>
      </c>
      <c r="DP33" s="9">
        <f ca="1"/>
        <v>6.9292166299668857E-4</v>
      </c>
      <c r="DQ33" s="9">
        <f ca="1"/>
        <v>3.699551983950359E-4</v>
      </c>
      <c r="DR33" s="9">
        <f ca="1"/>
        <v>1.6043712740101127E-4</v>
      </c>
    </row>
    <row r="34" spans="1:122" x14ac:dyDescent="0.25">
      <c r="A34" s="80" t="s">
        <v>42</v>
      </c>
      <c r="B34" s="29">
        <f>B31*EXP(B29*B33)</f>
        <v>48.8</v>
      </c>
      <c r="C34" s="80"/>
      <c r="D34" s="31"/>
      <c r="F34" s="95">
        <v>42.100235481250301</v>
      </c>
      <c r="G34" s="123">
        <v>39.958786444680001</v>
      </c>
      <c r="H34" s="124">
        <f t="shared" si="26"/>
        <v>-5.0865488330202213E-2</v>
      </c>
      <c r="L34" s="31"/>
      <c r="M34" s="49"/>
      <c r="BI34" s="29"/>
      <c r="BJ34" s="29"/>
      <c r="BR34" s="4"/>
      <c r="BS34" s="126">
        <f t="shared" si="21"/>
        <v>0.21217656012176558</v>
      </c>
      <c r="BT34" s="109" cm="1">
        <f t="array" aca="1" ref="BT34:DR34" ca="1">TRANSPOSE(MMULT(OFFSET(_xlfn.ANCHORARRAY($P$222),0,54),TRANSPOSE(BT33:DR33)))</f>
        <v>6.9688506702235218</v>
      </c>
      <c r="BU34" s="109">
        <f ca="1"/>
        <v>12.935397002142219</v>
      </c>
      <c r="BV34" s="109">
        <f ca="1"/>
        <v>17.151535816369726</v>
      </c>
      <c r="BW34" s="109">
        <f ca="1"/>
        <v>19.503447366544478</v>
      </c>
      <c r="BX34" s="109">
        <f ca="1"/>
        <v>20.462775732093096</v>
      </c>
      <c r="BY34" s="109">
        <f ca="1"/>
        <v>20.584187885248756</v>
      </c>
      <c r="BZ34" s="109">
        <f ca="1"/>
        <v>20.236913491451993</v>
      </c>
      <c r="CA34" s="109">
        <f ca="1"/>
        <v>19.635757844892343</v>
      </c>
      <c r="CB34" s="109">
        <f ca="1"/>
        <v>18.896464660551914</v>
      </c>
      <c r="CC34" s="109">
        <f ca="1"/>
        <v>18.078853000446877</v>
      </c>
      <c r="CD34" s="109">
        <f ca="1"/>
        <v>17.213530117082342</v>
      </c>
      <c r="CE34" s="109">
        <f ca="1"/>
        <v>16.316669118011042</v>
      </c>
      <c r="CF34" s="109">
        <f ca="1"/>
        <v>15.397640592590438</v>
      </c>
      <c r="CG34" s="109">
        <f ca="1"/>
        <v>14.462754249896804</v>
      </c>
      <c r="CH34" s="109">
        <f ca="1"/>
        <v>13.516996999689946</v>
      </c>
      <c r="CI34" s="109">
        <f ca="1"/>
        <v>12.564777477238536</v>
      </c>
      <c r="CJ34" s="109">
        <f ca="1"/>
        <v>11.610195034413996</v>
      </c>
      <c r="CK34" s="109">
        <f ca="1"/>
        <v>10.657092432205481</v>
      </c>
      <c r="CL34" s="109">
        <f ca="1"/>
        <v>9.7090198111261667</v>
      </c>
      <c r="CM34" s="109">
        <f ca="1"/>
        <v>8.7691715859099197</v>
      </c>
      <c r="CN34" s="109">
        <f ca="1"/>
        <v>7.8403250815532379</v>
      </c>
      <c r="CO34" s="110">
        <f ca="1"/>
        <v>6.9247934190849953</v>
      </c>
      <c r="CP34" s="34">
        <f ca="1"/>
        <v>6.0268456352827124</v>
      </c>
      <c r="CQ34" s="9">
        <f ca="1"/>
        <v>5.1616210291539115</v>
      </c>
      <c r="CR34" s="9">
        <f ca="1"/>
        <v>4.3487956665595</v>
      </c>
      <c r="CS34" s="9">
        <f ca="1"/>
        <v>3.6043165012050178</v>
      </c>
      <c r="CT34" s="9">
        <f ca="1"/>
        <v>2.945547551074077</v>
      </c>
      <c r="CU34" s="9">
        <f ca="1"/>
        <v>2.3700133304361173</v>
      </c>
      <c r="CV34" s="9">
        <f ca="1"/>
        <v>1.8729691469198764</v>
      </c>
      <c r="CW34" s="9">
        <f ca="1"/>
        <v>1.4548013084481777</v>
      </c>
      <c r="CX34" s="9">
        <f ca="1"/>
        <v>1.1146265160999498</v>
      </c>
      <c r="CY34" s="9">
        <f ca="1"/>
        <v>0.84356094474096033</v>
      </c>
      <c r="CZ34" s="9">
        <f ca="1"/>
        <v>0.63088197681361535</v>
      </c>
      <c r="DA34" s="9">
        <f ca="1"/>
        <v>0.46644538556931486</v>
      </c>
      <c r="DB34" s="9">
        <f ca="1"/>
        <v>0.34105586694559681</v>
      </c>
      <c r="DC34" s="9">
        <f ca="1"/>
        <v>0.246668571910234</v>
      </c>
      <c r="DD34" s="9">
        <f ca="1"/>
        <v>0.17645306430826868</v>
      </c>
      <c r="DE34" s="9">
        <f ca="1"/>
        <v>0.12475663563614821</v>
      </c>
      <c r="DF34" s="9">
        <f ca="1"/>
        <v>8.7002386437018742E-2</v>
      </c>
      <c r="DG34" s="9">
        <f ca="1"/>
        <v>5.96998469244438E-2</v>
      </c>
      <c r="DH34" s="9">
        <f ca="1"/>
        <v>4.0299240658833141E-2</v>
      </c>
      <c r="DI34" s="9">
        <f ca="1"/>
        <v>2.6755811598461094E-2</v>
      </c>
      <c r="DJ34" s="9">
        <f ca="1"/>
        <v>1.7468763273796095E-2</v>
      </c>
      <c r="DK34" s="9">
        <f ca="1"/>
        <v>1.1213983596728455E-2</v>
      </c>
      <c r="DL34" s="9">
        <f ca="1"/>
        <v>7.0767440546906455E-3</v>
      </c>
      <c r="DM34" s="9">
        <f ca="1"/>
        <v>4.3887795088322105E-3</v>
      </c>
      <c r="DN34" s="9">
        <f ca="1"/>
        <v>2.6724700088568754E-3</v>
      </c>
      <c r="DO34" s="9">
        <f ca="1"/>
        <v>1.5933976207099701E-3</v>
      </c>
      <c r="DP34" s="9">
        <f ca="1"/>
        <v>9.214051082500807E-4</v>
      </c>
      <c r="DQ34" s="9">
        <f ca="1"/>
        <v>4.9944512834746617E-4</v>
      </c>
      <c r="DR34" s="9">
        <f ca="1"/>
        <v>2.1893941489481672E-4</v>
      </c>
    </row>
    <row r="35" spans="1:122" x14ac:dyDescent="0.25">
      <c r="A35" s="80" t="s">
        <v>43</v>
      </c>
      <c r="B35" s="29">
        <v>43.650901757850001</v>
      </c>
      <c r="C35" s="80" t="s">
        <v>72</v>
      </c>
      <c r="D35" s="27">
        <f>D38*2</f>
        <v>5.7988400236740567E-2</v>
      </c>
      <c r="F35" s="95">
        <v>42.712308216266514</v>
      </c>
      <c r="G35" s="123">
        <v>42.352202568599999</v>
      </c>
      <c r="H35" s="124">
        <f t="shared" si="26"/>
        <v>-8.4309573213224853E-3</v>
      </c>
      <c r="K35" s="44"/>
      <c r="BR35" s="4"/>
      <c r="BS35" s="126">
        <f t="shared" si="21"/>
        <v>0.22146118721461186</v>
      </c>
      <c r="BT35" s="109" cm="1">
        <f t="array" aca="1" ref="BT35:DR35" ca="1">TRANSPOSE(MMULT(OFFSET(_xlfn.ANCHORARRAY($P$222),0,54),TRANSPOSE(BT34:DR34)))</f>
        <v>6.7423240936470137</v>
      </c>
      <c r="BU35" s="109">
        <f ca="1"/>
        <v>12.571378219914969</v>
      </c>
      <c r="BV35" s="109">
        <f ca="1"/>
        <v>16.771391598157606</v>
      </c>
      <c r="BW35" s="109">
        <f ca="1"/>
        <v>19.191681083132202</v>
      </c>
      <c r="BX35" s="109">
        <f ca="1"/>
        <v>20.242225186893066</v>
      </c>
      <c r="BY35" s="109">
        <f ca="1"/>
        <v>20.44220772862106</v>
      </c>
      <c r="BZ35" s="109">
        <f ca="1"/>
        <v>20.151270208344538</v>
      </c>
      <c r="CA35" s="109">
        <f ca="1"/>
        <v>19.58668399964569</v>
      </c>
      <c r="CB35" s="109">
        <f ca="1"/>
        <v>18.869920076260335</v>
      </c>
      <c r="CC35" s="109">
        <f ca="1"/>
        <v>18.066049793039799</v>
      </c>
      <c r="CD35" s="109">
        <f ca="1"/>
        <v>17.209477681773869</v>
      </c>
      <c r="CE35" s="109">
        <f ca="1"/>
        <v>16.318819345554726</v>
      </c>
      <c r="CF35" s="109">
        <f ca="1"/>
        <v>15.40490118164189</v>
      </c>
      <c r="CG35" s="109">
        <f ca="1"/>
        <v>14.47484211753426</v>
      </c>
      <c r="CH35" s="109">
        <f ca="1"/>
        <v>13.534036096634244</v>
      </c>
      <c r="CI35" s="109">
        <f ca="1"/>
        <v>12.587055148765883</v>
      </c>
      <c r="CJ35" s="109">
        <f ca="1"/>
        <v>11.638016843387465</v>
      </c>
      <c r="CK35" s="109">
        <f ca="1"/>
        <v>10.690697542397414</v>
      </c>
      <c r="CL35" s="109">
        <f ca="1"/>
        <v>9.7485341458997841</v>
      </c>
      <c r="CM35" s="109">
        <f ca="1"/>
        <v>8.8145852801173241</v>
      </c>
      <c r="CN35" s="109">
        <f ca="1"/>
        <v>7.891486173780474</v>
      </c>
      <c r="CO35" s="110">
        <f ca="1"/>
        <v>6.9814127656469873</v>
      </c>
      <c r="CP35" s="34">
        <f ca="1"/>
        <v>6.0884763008323777</v>
      </c>
      <c r="CQ35" s="9">
        <f ca="1"/>
        <v>5.2274906855188172</v>
      </c>
      <c r="CR35" s="9">
        <f ca="1"/>
        <v>4.417709197137035</v>
      </c>
      <c r="CS35" s="9">
        <f ca="1"/>
        <v>3.6747264256191512</v>
      </c>
      <c r="CT35" s="9">
        <f ca="1"/>
        <v>3.0155814826436287</v>
      </c>
      <c r="CU35" s="9">
        <f ca="1"/>
        <v>2.4379175343477781</v>
      </c>
      <c r="CV35" s="9">
        <f ca="1"/>
        <v>1.9372260185093491</v>
      </c>
      <c r="CW35" s="9">
        <f ca="1"/>
        <v>1.5141260774868177</v>
      </c>
      <c r="CX35" s="9">
        <f ca="1"/>
        <v>1.1680632133531592</v>
      </c>
      <c r="CY35" s="9">
        <f ca="1"/>
        <v>0.8905869783110052</v>
      </c>
      <c r="CZ35" s="9">
        <f ca="1"/>
        <v>0.67137761118606043</v>
      </c>
      <c r="DA35" s="9">
        <f ca="1"/>
        <v>0.50061709139983535</v>
      </c>
      <c r="DB35" s="9">
        <f ca="1"/>
        <v>0.36934725293794612</v>
      </c>
      <c r="DC35" s="9">
        <f ca="1"/>
        <v>0.26967277300483389</v>
      </c>
      <c r="DD35" s="9">
        <f ca="1"/>
        <v>0.19483593568652346</v>
      </c>
      <c r="DE35" s="9">
        <f ca="1"/>
        <v>0.13919560400605432</v>
      </c>
      <c r="DF35" s="9">
        <f ca="1"/>
        <v>9.8142187059307148E-2</v>
      </c>
      <c r="DG35" s="9">
        <f ca="1"/>
        <v>6.8132748829400944E-2</v>
      </c>
      <c r="DH35" s="9">
        <f ca="1"/>
        <v>4.6562773272036999E-2</v>
      </c>
      <c r="DI35" s="9">
        <f ca="1"/>
        <v>3.132019210442738E-2</v>
      </c>
      <c r="DJ35" s="9">
        <f ca="1"/>
        <v>2.0731894162416158E-2</v>
      </c>
      <c r="DK35" s="9">
        <f ca="1"/>
        <v>1.3502384870734404E-2</v>
      </c>
      <c r="DL35" s="9">
        <f ca="1"/>
        <v>8.6506802015733301E-3</v>
      </c>
      <c r="DM35" s="9">
        <f ca="1"/>
        <v>5.4499436231075782E-3</v>
      </c>
      <c r="DN35" s="9">
        <f ca="1"/>
        <v>3.3728207909075598E-3</v>
      </c>
      <c r="DO35" s="9">
        <f ca="1"/>
        <v>2.0440401423338366E-3</v>
      </c>
      <c r="DP35" s="9">
        <f ca="1"/>
        <v>1.2007062826058733E-3</v>
      </c>
      <c r="DQ35" s="9">
        <f ca="1"/>
        <v>6.598379396631815E-4</v>
      </c>
      <c r="DR35" s="9">
        <f ca="1"/>
        <v>2.9207023284599012E-4</v>
      </c>
    </row>
    <row r="36" spans="1:122" x14ac:dyDescent="0.25">
      <c r="A36" s="96" t="s">
        <v>53</v>
      </c>
      <c r="B36" s="29">
        <v>19</v>
      </c>
      <c r="C36" s="80" t="s">
        <v>73</v>
      </c>
      <c r="D36" s="27">
        <f>D38^2</f>
        <v>8.4066364050410338E-4</v>
      </c>
      <c r="F36" s="95">
        <v>43.011958969378327</v>
      </c>
      <c r="G36" s="123">
        <v>45.024069197789998</v>
      </c>
      <c r="H36" s="124">
        <f t="shared" si="26"/>
        <v>4.6780250809877355E-2</v>
      </c>
      <c r="BR36" s="4"/>
      <c r="BS36" s="126">
        <f t="shared" si="21"/>
        <v>0.23074581430745814</v>
      </c>
      <c r="BT36" s="109" cm="1">
        <f t="array" aca="1" ref="BT36:DR36" ca="1">TRANSPOSE(MMULT(OFFSET(_xlfn.ANCHORARRAY($P$222),0,54),TRANSPOSE(BT35:DR35)))</f>
        <v>6.5332951958742456</v>
      </c>
      <c r="BU36" s="109">
        <f ca="1"/>
        <v>12.230596543054066</v>
      </c>
      <c r="BV36" s="109">
        <f ca="1"/>
        <v>16.407448707952234</v>
      </c>
      <c r="BW36" s="109">
        <f ca="1"/>
        <v>18.884771785646254</v>
      </c>
      <c r="BX36" s="109">
        <f ca="1"/>
        <v>20.018422812739889</v>
      </c>
      <c r="BY36" s="109">
        <f ca="1"/>
        <v>20.293519316685643</v>
      </c>
      <c r="BZ36" s="109">
        <f ca="1"/>
        <v>20.058664680910024</v>
      </c>
      <c r="CA36" s="109">
        <f ca="1"/>
        <v>19.531877914025511</v>
      </c>
      <c r="CB36" s="109">
        <f ca="1"/>
        <v>18.839236491966609</v>
      </c>
      <c r="CC36" s="109">
        <f ca="1"/>
        <v>18.050534642807293</v>
      </c>
      <c r="CD36" s="109">
        <f ca="1"/>
        <v>17.203807665901621</v>
      </c>
      <c r="CE36" s="109">
        <f ca="1"/>
        <v>16.320116226610338</v>
      </c>
      <c r="CF36" s="109">
        <f ca="1"/>
        <v>15.411802088643311</v>
      </c>
      <c r="CG36" s="109">
        <f ca="1"/>
        <v>14.486859073668118</v>
      </c>
      <c r="CH36" s="109">
        <f ca="1"/>
        <v>13.551142634333365</v>
      </c>
      <c r="CI36" s="109">
        <f ca="1"/>
        <v>12.609428997572149</v>
      </c>
      <c r="CJ36" s="109">
        <f ca="1"/>
        <v>11.66588367531072</v>
      </c>
      <c r="CK36" s="109">
        <f ca="1"/>
        <v>10.724238722352311</v>
      </c>
      <c r="CL36" s="109">
        <f ca="1"/>
        <v>9.7878350988203167</v>
      </c>
      <c r="CM36" s="109">
        <f ca="1"/>
        <v>8.8596100977798375</v>
      </c>
      <c r="CN36" s="109">
        <f ca="1"/>
        <v>7.9420696035763729</v>
      </c>
      <c r="CO36" s="110">
        <f ca="1"/>
        <v>7.0372639706096427</v>
      </c>
      <c r="CP36" s="34">
        <f ca="1"/>
        <v>6.149158054995512</v>
      </c>
      <c r="CQ36" s="9">
        <f ca="1"/>
        <v>5.292257862270997</v>
      </c>
      <c r="CR36" s="9">
        <f ca="1"/>
        <v>4.4854177577634458</v>
      </c>
      <c r="CS36" s="9">
        <f ca="1"/>
        <v>3.7439021841080069</v>
      </c>
      <c r="CT36" s="9">
        <f ca="1"/>
        <v>3.0844450518921573</v>
      </c>
      <c r="CU36" s="9">
        <f ca="1"/>
        <v>2.5048018126091627</v>
      </c>
      <c r="CV36" s="9">
        <f ca="1"/>
        <v>2.0006830640345381</v>
      </c>
      <c r="CW36" s="9">
        <f ca="1"/>
        <v>1.5729195349834502</v>
      </c>
      <c r="CX36" s="9">
        <f ca="1"/>
        <v>1.2212566262297102</v>
      </c>
      <c r="CY36" s="9">
        <f ca="1"/>
        <v>0.93764613553062104</v>
      </c>
      <c r="CZ36" s="9">
        <f ca="1"/>
        <v>0.71214670222044352</v>
      </c>
      <c r="DA36" s="9">
        <f ca="1"/>
        <v>0.53525119293900403</v>
      </c>
      <c r="DB36" s="9">
        <f ca="1"/>
        <v>0.39823238702287378</v>
      </c>
      <c r="DC36" s="9">
        <f ca="1"/>
        <v>0.29334586517924538</v>
      </c>
      <c r="DD36" s="9">
        <f ca="1"/>
        <v>0.2139132915449965</v>
      </c>
      <c r="DE36" s="9">
        <f ca="1"/>
        <v>0.15431470016212256</v>
      </c>
      <c r="DF36" s="9">
        <f ca="1"/>
        <v>0.10991837448492744</v>
      </c>
      <c r="DG36" s="9">
        <f ca="1"/>
        <v>7.713878874171784E-2</v>
      </c>
      <c r="DH36" s="9">
        <f ca="1"/>
        <v>5.3325231508020862E-2</v>
      </c>
      <c r="DI36" s="9">
        <f ca="1"/>
        <v>3.6305604611210802E-2</v>
      </c>
      <c r="DJ36" s="9">
        <f ca="1"/>
        <v>2.4340153337023513E-2</v>
      </c>
      <c r="DK36" s="9">
        <f ca="1"/>
        <v>1.6065973053789855E-2</v>
      </c>
      <c r="DL36" s="9">
        <f ca="1"/>
        <v>1.0438205401630003E-2</v>
      </c>
      <c r="DM36" s="9">
        <f ca="1"/>
        <v>6.6724633613404879E-3</v>
      </c>
      <c r="DN36" s="9">
        <f ca="1"/>
        <v>4.1916076490129744E-3</v>
      </c>
      <c r="DO36" s="9">
        <f ca="1"/>
        <v>2.5786839484934613E-3</v>
      </c>
      <c r="DP36" s="9">
        <f ca="1"/>
        <v>1.5367087700902677E-3</v>
      </c>
      <c r="DQ36" s="9">
        <f ca="1"/>
        <v>8.550950035355378E-4</v>
      </c>
      <c r="DR36" s="9">
        <f ca="1"/>
        <v>3.8182785223065828E-4</v>
      </c>
    </row>
    <row r="37" spans="1:122" x14ac:dyDescent="0.25">
      <c r="A37" s="96" t="s">
        <v>54</v>
      </c>
      <c r="B37" s="97">
        <v>51</v>
      </c>
      <c r="C37" s="80" t="s">
        <v>70</v>
      </c>
      <c r="D37" s="27">
        <f>L9-L8</f>
        <v>9.2846270928462621E-3</v>
      </c>
      <c r="G37"/>
      <c r="H37"/>
      <c r="BR37" s="4"/>
      <c r="BS37" s="126">
        <f t="shared" si="21"/>
        <v>0.24003044140030441</v>
      </c>
      <c r="BT37" s="109" cm="1">
        <f t="array" aca="1" ref="BT37:DR37" ca="1">TRANSPOSE(MMULT(OFFSET(_xlfn.ANCHORARRAY($P$222),0,54),TRANSPOSE(BT36:DR36)))</f>
        <v>6.3395704420658978</v>
      </c>
      <c r="BU37" s="109">
        <f ca="1"/>
        <v>11.910691104742186</v>
      </c>
      <c r="BV37" s="109">
        <f ca="1"/>
        <v>16.058893805110557</v>
      </c>
      <c r="BW37" s="109">
        <f ca="1"/>
        <v>18.583376103645094</v>
      </c>
      <c r="BX37" s="109">
        <f ca="1"/>
        <v>19.792513498259943</v>
      </c>
      <c r="BY37" s="109">
        <f ca="1"/>
        <v>20.139060177648165</v>
      </c>
      <c r="BZ37" s="109">
        <f ca="1"/>
        <v>19.959611665489991</v>
      </c>
      <c r="CA37" s="109">
        <f ca="1"/>
        <v>19.471494049372954</v>
      </c>
      <c r="CB37" s="109">
        <f ca="1"/>
        <v>18.804349201182625</v>
      </c>
      <c r="CC37" s="109">
        <f ca="1"/>
        <v>18.032144518698381</v>
      </c>
      <c r="CD37" s="109">
        <f ca="1"/>
        <v>17.196334019231799</v>
      </c>
      <c r="CE37" s="109">
        <f ca="1"/>
        <v>16.320387612674079</v>
      </c>
      <c r="CF37" s="109">
        <f ca="1"/>
        <v>15.418198130216052</v>
      </c>
      <c r="CG37" s="109">
        <f ca="1"/>
        <v>14.498688057161738</v>
      </c>
      <c r="CH37" s="109">
        <f ca="1"/>
        <v>13.568224328811329</v>
      </c>
      <c r="CI37" s="109">
        <f ca="1"/>
        <v>12.631827450733084</v>
      </c>
      <c r="CJ37" s="109">
        <f ca="1"/>
        <v>11.693741435631384</v>
      </c>
      <c r="CK37" s="109">
        <f ca="1"/>
        <v>10.75767734478673</v>
      </c>
      <c r="CL37" s="109">
        <f ca="1"/>
        <v>9.8268985750937681</v>
      </c>
      <c r="CM37" s="109">
        <f ca="1"/>
        <v>8.9042362615502668</v>
      </c>
      <c r="CN37" s="109">
        <f ca="1"/>
        <v>7.9920800148964606</v>
      </c>
      <c r="CO37" s="110">
        <f ca="1"/>
        <v>7.0923661383330607</v>
      </c>
      <c r="CP37" s="34">
        <f ca="1"/>
        <v>6.2089240994582759</v>
      </c>
      <c r="CQ37" s="9">
        <f ca="1"/>
        <v>5.3559684591893104</v>
      </c>
      <c r="CR37" s="9">
        <f ca="1"/>
        <v>4.5519767109216902</v>
      </c>
      <c r="CS37" s="9">
        <f ca="1"/>
        <v>3.8119031821628342</v>
      </c>
      <c r="CT37" s="9">
        <f ca="1"/>
        <v>3.1521940809581999</v>
      </c>
      <c r="CU37" s="9">
        <f ca="1"/>
        <v>2.5707109828335084</v>
      </c>
      <c r="CV37" s="9">
        <f ca="1"/>
        <v>2.063368298893574</v>
      </c>
      <c r="CW37" s="9">
        <f ca="1"/>
        <v>1.6311895375605219</v>
      </c>
      <c r="CX37" s="9">
        <f ca="1"/>
        <v>1.2741944430947927</v>
      </c>
      <c r="CY37" s="9">
        <f ca="1"/>
        <v>0.98470915307604279</v>
      </c>
      <c r="CZ37" s="9">
        <f ca="1"/>
        <v>0.7531483167642713</v>
      </c>
      <c r="DA37" s="9">
        <f ca="1"/>
        <v>0.57030109371119919</v>
      </c>
      <c r="DB37" s="9">
        <f ca="1"/>
        <v>0.42766459216526875</v>
      </c>
      <c r="DC37" s="9">
        <f ca="1"/>
        <v>0.31764550019831822</v>
      </c>
      <c r="DD37" s="9">
        <f ca="1"/>
        <v>0.23365002901100776</v>
      </c>
      <c r="DE37" s="9">
        <f ca="1"/>
        <v>0.17008751733474414</v>
      </c>
      <c r="DF37" s="9">
        <f ca="1"/>
        <v>0.12231346676160548</v>
      </c>
      <c r="DG37" s="9">
        <f ca="1"/>
        <v>8.6708741654576357E-2</v>
      </c>
      <c r="DH37" s="9">
        <f ca="1"/>
        <v>6.0584374869484432E-2</v>
      </c>
      <c r="DI37" s="9">
        <f ca="1"/>
        <v>4.1715204677417211E-2</v>
      </c>
      <c r="DJ37" s="9">
        <f ca="1"/>
        <v>2.8300433821588103E-2</v>
      </c>
      <c r="DK37" s="9">
        <f ca="1"/>
        <v>1.8913833294662282E-2</v>
      </c>
      <c r="DL37" s="9">
        <f ca="1"/>
        <v>1.2449280834767349E-2</v>
      </c>
      <c r="DM37" s="9">
        <f ca="1"/>
        <v>8.0661430019770154E-3</v>
      </c>
      <c r="DN37" s="9">
        <f ca="1"/>
        <v>5.1377313265766585E-3</v>
      </c>
      <c r="DO37" s="9">
        <f ca="1"/>
        <v>3.2048323946184715E-3</v>
      </c>
      <c r="DP37" s="9">
        <f ca="1"/>
        <v>1.935221997565991E-3</v>
      </c>
      <c r="DQ37" s="9">
        <f ca="1"/>
        <v>1.0891689750580531E-3</v>
      </c>
      <c r="DR37" s="9">
        <f ca="1"/>
        <v>4.9021923036222665E-4</v>
      </c>
    </row>
    <row r="38" spans="1:122" x14ac:dyDescent="0.25">
      <c r="A38" s="80"/>
      <c r="C38" s="80" t="s">
        <v>71</v>
      </c>
      <c r="D38" s="27">
        <f>Q2-P2</f>
        <v>2.8994200118370284E-2</v>
      </c>
      <c r="G38"/>
      <c r="H38"/>
      <c r="BR38" s="4"/>
      <c r="BS38" s="126">
        <f t="shared" si="21"/>
        <v>0.24931506849315069</v>
      </c>
      <c r="BT38" s="109" cm="1">
        <f t="array" aca="1" ref="BT38:DR38" ca="1">TRANSPOSE(MMULT(OFFSET(_xlfn.ANCHORARRAY($P$222),0,54),TRANSPOSE(BT37:DR37)))</f>
        <v>6.1593224814187399</v>
      </c>
      <c r="BU38" s="109">
        <f ca="1"/>
        <v>11.609611352288002</v>
      </c>
      <c r="BV38" s="109">
        <f ca="1"/>
        <v>15.724903492424062</v>
      </c>
      <c r="BW38" s="109">
        <f ca="1"/>
        <v>18.287954034798545</v>
      </c>
      <c r="BX38" s="109">
        <f ca="1"/>
        <v>19.565472592888923</v>
      </c>
      <c r="BY38" s="109">
        <f ca="1"/>
        <v>19.979702755860451</v>
      </c>
      <c r="BZ38" s="109">
        <f ca="1"/>
        <v>19.85464276539367</v>
      </c>
      <c r="CA38" s="109">
        <f ca="1"/>
        <v>19.405738302373017</v>
      </c>
      <c r="CB38" s="109">
        <f ca="1"/>
        <v>18.765245422373024</v>
      </c>
      <c r="CC38" s="109">
        <f ca="1"/>
        <v>18.010754032624341</v>
      </c>
      <c r="CD38" s="109">
        <f ca="1"/>
        <v>17.186892203511864</v>
      </c>
      <c r="CE38" s="109">
        <f ca="1"/>
        <v>16.319470505460274</v>
      </c>
      <c r="CF38" s="109">
        <f ca="1"/>
        <v>15.423945719755062</v>
      </c>
      <c r="CG38" s="109">
        <f ca="1"/>
        <v>14.510209922868118</v>
      </c>
      <c r="CH38" s="109">
        <f ca="1"/>
        <v>13.585185635423567</v>
      </c>
      <c r="CI38" s="109">
        <f ca="1"/>
        <v>12.654175850353612</v>
      </c>
      <c r="CJ38" s="109">
        <f ca="1"/>
        <v>11.721533684249975</v>
      </c>
      <c r="CK38" s="109">
        <f ca="1"/>
        <v>10.79097325738905</v>
      </c>
      <c r="CL38" s="109">
        <f ca="1"/>
        <v>9.8656995796650442</v>
      </c>
      <c r="CM38" s="109">
        <f ca="1"/>
        <v>8.9484533806168933</v>
      </c>
      <c r="CN38" s="109">
        <f ca="1"/>
        <v>8.0415213283406946</v>
      </c>
      <c r="CO38" s="110">
        <f ca="1"/>
        <v>7.1467371642813413</v>
      </c>
      <c r="CP38" s="34">
        <f ca="1"/>
        <v>6.2678056160883751</v>
      </c>
      <c r="CQ38" s="9">
        <f ca="1"/>
        <v>5.4186653030921237</v>
      </c>
      <c r="CR38" s="9">
        <f ca="1"/>
        <v>4.6174372773486114</v>
      </c>
      <c r="CS38" s="9">
        <f ca="1"/>
        <v>3.8787839880970605</v>
      </c>
      <c r="CT38" s="9">
        <f ca="1"/>
        <v>3.2188796750672157</v>
      </c>
      <c r="CU38" s="9">
        <f ca="1"/>
        <v>2.6356861956174154</v>
      </c>
      <c r="CV38" s="9">
        <f ca="1"/>
        <v>2.1253078725010628</v>
      </c>
      <c r="CW38" s="9">
        <f ca="1"/>
        <v>1.6889442581653218</v>
      </c>
      <c r="CX38" s="9">
        <f ca="1"/>
        <v>1.3268667065508541</v>
      </c>
      <c r="CY38" s="9">
        <f ca="1"/>
        <v>1.0317505557548197</v>
      </c>
      <c r="CZ38" s="9">
        <f ca="1"/>
        <v>0.79434592160765394</v>
      </c>
      <c r="DA38" s="9">
        <f ca="1"/>
        <v>0.60572441362112028</v>
      </c>
      <c r="DB38" s="9">
        <f ca="1"/>
        <v>0.45760062742368107</v>
      </c>
      <c r="DC38" s="9">
        <f ca="1"/>
        <v>0.34253165903577526</v>
      </c>
      <c r="DD38" s="9">
        <f ca="1"/>
        <v>0.25401219692330529</v>
      </c>
      <c r="DE38" s="9">
        <f ca="1"/>
        <v>0.18648774347078925</v>
      </c>
      <c r="DF38" s="9">
        <f ca="1"/>
        <v>0.13530925068358579</v>
      </c>
      <c r="DG38" s="9">
        <f ca="1"/>
        <v>9.6832098682394493E-2</v>
      </c>
      <c r="DH38" s="9">
        <f ca="1"/>
        <v>6.8336396188825421E-2</v>
      </c>
      <c r="DI38" s="9">
        <f ca="1"/>
        <v>4.7550528794045192E-2</v>
      </c>
      <c r="DJ38" s="9">
        <f ca="1"/>
        <v>3.2618129141661061E-2</v>
      </c>
      <c r="DK38" s="9">
        <f ca="1"/>
        <v>2.2053779355692412E-2</v>
      </c>
      <c r="DL38" s="9">
        <f ca="1"/>
        <v>1.4692874368438771E-2</v>
      </c>
      <c r="DM38" s="9">
        <f ca="1"/>
        <v>9.6400737105005428E-3</v>
      </c>
      <c r="DN38" s="9">
        <f ca="1"/>
        <v>6.2196274647371699E-3</v>
      </c>
      <c r="DO38" s="9">
        <f ca="1"/>
        <v>3.9297193028480877E-3</v>
      </c>
      <c r="DP38" s="9">
        <f ca="1"/>
        <v>2.401921839634993E-3</v>
      </c>
      <c r="DQ38" s="9">
        <f ca="1"/>
        <v>1.3659594487431211E-3</v>
      </c>
      <c r="DR38" s="9">
        <f ca="1"/>
        <v>6.19236289682903E-4</v>
      </c>
    </row>
    <row r="39" spans="1:122" x14ac:dyDescent="0.25">
      <c r="G39"/>
      <c r="H39"/>
      <c r="BR39" s="1"/>
      <c r="BS39" s="119"/>
    </row>
    <row r="40" spans="1:122" x14ac:dyDescent="0.25">
      <c r="G40"/>
      <c r="H40"/>
      <c r="BR40" s="1"/>
      <c r="BS40" s="119"/>
    </row>
    <row r="41" spans="1:122" x14ac:dyDescent="0.25">
      <c r="G41"/>
      <c r="H41"/>
      <c r="BR41" s="1"/>
    </row>
    <row r="42" spans="1:122" x14ac:dyDescent="0.25">
      <c r="A42" s="85" t="s">
        <v>36</v>
      </c>
      <c r="C42" s="31"/>
      <c r="D42" s="31"/>
      <c r="E42" s="31"/>
      <c r="F42" s="31"/>
      <c r="G42" s="31"/>
      <c r="H42" s="31"/>
      <c r="BR42" s="1"/>
    </row>
    <row r="43" spans="1:122" x14ac:dyDescent="0.25">
      <c r="A43" s="64" t="s">
        <v>41</v>
      </c>
      <c r="B43" s="64" t="s">
        <v>38</v>
      </c>
      <c r="C43" s="64" t="s">
        <v>39</v>
      </c>
      <c r="D43" s="116" t="s">
        <v>75</v>
      </c>
      <c r="E43" s="64" t="s">
        <v>74</v>
      </c>
      <c r="F43" s="111" t="s">
        <v>65</v>
      </c>
      <c r="G43" s="111" t="s">
        <v>64</v>
      </c>
      <c r="H43" s="111" t="s">
        <v>66</v>
      </c>
      <c r="BR43" s="1"/>
    </row>
    <row r="44" spans="1:122" x14ac:dyDescent="0.25">
      <c r="A44" s="94">
        <v>-3</v>
      </c>
      <c r="B44" s="81">
        <f>$B$34*EXP(A44*$B$35%*SQRT($B$33))</f>
        <v>25.377535105617252</v>
      </c>
      <c r="C44" s="94">
        <f>LN(B44)</f>
        <v>3.233864338011804</v>
      </c>
      <c r="D44" s="94"/>
      <c r="E44" s="94">
        <f>_xlfn.FORECAST.LINEAR(C44,E45:E46,C45:C46)</f>
        <v>18.947078315986005</v>
      </c>
      <c r="F44" s="94"/>
      <c r="G44" s="94"/>
      <c r="H44" s="94"/>
      <c r="BR44" s="1"/>
    </row>
    <row r="45" spans="1:122" x14ac:dyDescent="0.25">
      <c r="A45" s="86">
        <v>-1.5</v>
      </c>
      <c r="B45" s="81">
        <f>$B$34*EXP(A45*$B$35%*SQRT($B$33))</f>
        <v>35.191244836665291</v>
      </c>
      <c r="C45" s="81">
        <f t="shared" ref="C45:C52" si="27">LN(B45)</f>
        <v>3.5607973254354528</v>
      </c>
      <c r="D45" s="117" cm="1">
        <f t="array" ref="D45">[1]!Interp_Lin_Range($A$63:$A$67,$E$63:$E$67,B16,1)</f>
        <v>42.698999999999998</v>
      </c>
      <c r="E45" s="95">
        <v>37.759994502067642</v>
      </c>
      <c r="F45" s="94" cm="1">
        <f t="array" aca="1" ref="F45" ca="1">[1]!Interp_Lin_Range($BT$1:$DR$1,_xlfn.ANCHORARRAY($BT$38),C45,1)</f>
        <v>13.840313259353728</v>
      </c>
      <c r="G45" s="112" cm="1">
        <f t="array" ref="G45">Black76(1,B45,$B$34,D45,$B$33,$B$33,$B$29)</f>
        <v>13.847589304857998</v>
      </c>
      <c r="H45" s="113">
        <f t="shared" ref="H45:H51" ca="1" si="28">(F45-G45)^2</f>
        <v>5.294083818020398E-5</v>
      </c>
      <c r="I45" s="122"/>
      <c r="K45" s="130"/>
      <c r="BR45" s="1"/>
    </row>
    <row r="46" spans="1:122" x14ac:dyDescent="0.25">
      <c r="A46" s="86">
        <v>-1</v>
      </c>
      <c r="B46" s="81">
        <f>$B$8*EXP(A46*$B$9%*SQRT($B$7))</f>
        <v>43.176361122668425</v>
      </c>
      <c r="C46" s="81">
        <f t="shared" si="27"/>
        <v>3.7652931492490409</v>
      </c>
      <c r="D46" s="117" cm="1">
        <f t="array" ref="D46">[1]!Interp_Lin_Range($A$63:$A$67,$E$63:$E$67,B17,1)</f>
        <v>42.698999999999998</v>
      </c>
      <c r="E46" s="95">
        <v>49.527429853653892</v>
      </c>
      <c r="F46" s="94" cm="1">
        <f t="array" aca="1" ref="F46" ca="1">[1]!Interp_Lin_Range($BT$1:$DR$1,_xlfn.ANCHORARRAY($BT$38),C46,1)</f>
        <v>7.3461091285046596</v>
      </c>
      <c r="G46" s="112" cm="1">
        <f t="array" ref="G46">Black76(1,B46,$B$34,D46,$B$33,$B$33,$B$29)</f>
        <v>7.3392836920326268</v>
      </c>
      <c r="H46" s="113">
        <f t="shared" ca="1" si="28"/>
        <v>4.6586583033755827E-5</v>
      </c>
      <c r="I46" s="122"/>
      <c r="K46" s="130"/>
      <c r="BR46" s="1"/>
    </row>
    <row r="47" spans="1:122" x14ac:dyDescent="0.25">
      <c r="A47" s="86">
        <v>-0.5</v>
      </c>
      <c r="B47" s="81">
        <f>$B$8*EXP(A47*$B$9%*SQRT($B$7))</f>
        <v>45.902139631897541</v>
      </c>
      <c r="C47" s="81">
        <f t="shared" si="27"/>
        <v>3.8265117310540711</v>
      </c>
      <c r="D47" s="117" cm="1">
        <f t="array" ref="D47">[1]!Interp_Lin_Range($A$63:$A$67,$E$63:$E$67,B18,1)</f>
        <v>41.425231580813382</v>
      </c>
      <c r="E47" s="95">
        <v>39.862709952149956</v>
      </c>
      <c r="F47" s="94" cm="1">
        <f t="array" aca="1" ref="F47" ca="1">[1]!Interp_Lin_Range($BT$1:$DR$1,_xlfn.ANCHORARRAY($BT$38),C47,1)</f>
        <v>5.5132662017799356</v>
      </c>
      <c r="G47" s="112" cm="1">
        <f t="array" ref="G47">Black76(1,B47,$B$34,D47,$B$33,$B$33,$B$29)</f>
        <v>5.5182206620023173</v>
      </c>
      <c r="H47" s="113">
        <f t="shared" ca="1" si="28"/>
        <v>2.4546676095162154E-5</v>
      </c>
      <c r="I47" s="122"/>
      <c r="K47" s="130"/>
      <c r="BR47" s="1"/>
    </row>
    <row r="48" spans="1:122" x14ac:dyDescent="0.25">
      <c r="A48" s="86">
        <v>0</v>
      </c>
      <c r="B48" s="81">
        <f>$B$8*EXP(A48*$B$9%*SQRT($B$7))</f>
        <v>48.8</v>
      </c>
      <c r="C48" s="81">
        <f t="shared" si="27"/>
        <v>3.8877303128591016</v>
      </c>
      <c r="D48" s="117" cm="1">
        <f t="array" ref="D48">[1]!Interp_Lin_Range($A$63:$A$67,$E$63:$E$67,B19,1)</f>
        <v>39.959000000000003</v>
      </c>
      <c r="E48" s="95">
        <v>34.829002054735064</v>
      </c>
      <c r="F48" s="94" cm="1">
        <f t="array" aca="1" ref="F48" ca="1">[1]!Interp_Lin_Range($BT$1:$DR$1,_xlfn.ANCHORARRAY($BT$38),C48,1)</f>
        <v>3.8787839880970503</v>
      </c>
      <c r="G48" s="112" cm="1">
        <f t="array" ref="G48">Black76(1,B48,$B$34,D48,$B$33,$B$33,$B$29)</f>
        <v>3.877920296354727</v>
      </c>
      <c r="H48" s="113">
        <f t="shared" ca="1" si="28"/>
        <v>7.4596342575738544E-7</v>
      </c>
      <c r="I48" s="122"/>
      <c r="K48" s="130"/>
      <c r="BR48" s="1"/>
    </row>
    <row r="49" spans="1:70" x14ac:dyDescent="0.25">
      <c r="A49" s="86">
        <v>0.5</v>
      </c>
      <c r="B49" s="81">
        <f t="shared" ref="B49:B52" si="29">$B$8*EXP(A49*$B$9%*SQRT($B$7))</f>
        <v>51.880805973260763</v>
      </c>
      <c r="C49" s="81">
        <f t="shared" si="27"/>
        <v>3.9489488946641318</v>
      </c>
      <c r="D49" s="117" cm="1">
        <f t="array" ref="D49">[1]!Interp_Lin_Range($A$63:$A$67,$E$63:$E$67,B20,1)</f>
        <v>39.252455027426436</v>
      </c>
      <c r="E49" s="95">
        <v>36.381294885113626</v>
      </c>
      <c r="F49" s="94" cm="1">
        <f t="array" aca="1" ref="F49" ca="1">[1]!Interp_Lin_Range($BT$1:$DR$1,_xlfn.ANCHORARRAY($BT$38),C49,1)</f>
        <v>2.5788260427090948</v>
      </c>
      <c r="G49" s="112" cm="1">
        <f t="array" ref="G49">Black76(1,B49,$B$34,D49,$B$33,$B$33,$B$29)</f>
        <v>2.5788987227444125</v>
      </c>
      <c r="H49" s="113">
        <f t="shared" ca="1" si="28"/>
        <v>5.282387533779918E-9</v>
      </c>
      <c r="I49" s="122"/>
      <c r="K49" s="130"/>
      <c r="BR49" s="1"/>
    </row>
    <row r="50" spans="1:70" x14ac:dyDescent="0.25">
      <c r="A50" s="86">
        <v>1</v>
      </c>
      <c r="B50" s="81">
        <f t="shared" si="29"/>
        <v>55.156107140064144</v>
      </c>
      <c r="C50" s="81">
        <f t="shared" si="27"/>
        <v>4.0101674764691619</v>
      </c>
      <c r="D50" s="117" cm="1">
        <f t="array" ref="D50">[1]!Interp_Lin_Range($A$63:$A$67,$E$63:$E$67,B21,1)</f>
        <v>38.841000000000001</v>
      </c>
      <c r="E50" s="95">
        <v>34.640058563765642</v>
      </c>
      <c r="F50" s="94" cm="1">
        <f t="array" aca="1" ref="F50" ca="1">[1]!Interp_Lin_Range($BT$1:$DR$1,_xlfn.ANCHORARRAY($BT$38),C50,1)</f>
        <v>1.6082676932839592</v>
      </c>
      <c r="G50" s="112" cm="1">
        <f t="array" ref="G50">Black76(1,B50,$B$34,D50,$B$33,$B$33,$B$29)</f>
        <v>1.6082056794638184</v>
      </c>
      <c r="H50" s="113">
        <f t="shared" ca="1" si="28"/>
        <v>3.8457138884574787E-9</v>
      </c>
      <c r="I50" s="122"/>
      <c r="K50" s="130"/>
      <c r="BR50" s="1"/>
    </row>
    <row r="51" spans="1:70" x14ac:dyDescent="0.25">
      <c r="A51" s="86">
        <v>1.5</v>
      </c>
      <c r="B51" s="81">
        <f t="shared" si="29"/>
        <v>58.638182228976447</v>
      </c>
      <c r="C51" s="81">
        <f t="shared" si="27"/>
        <v>4.0713860582741921</v>
      </c>
      <c r="D51" s="117" cm="1">
        <f t="array" ref="D51">[1]!Interp_Lin_Range($A$63:$A$67,$E$63:$E$67,B22,1)</f>
        <v>38.841000000000001</v>
      </c>
      <c r="E51" s="95">
        <v>36.345539162216859</v>
      </c>
      <c r="F51" s="94" cm="1">
        <f t="array" aca="1" ref="F51" ca="1">[1]!Interp_Lin_Range($BT$1:$DR$1,_xlfn.ANCHORARRAY($BT$38),C51,1)</f>
        <v>0.95240433440869365</v>
      </c>
      <c r="G51" s="112" cm="1">
        <f t="array" ref="G51">Black76(1,B51,$B$34,D51,$B$33,$B$33,$B$29)</f>
        <v>0.95241953166359927</v>
      </c>
      <c r="H51" s="113">
        <f t="shared" ca="1" si="28"/>
        <v>2.3095655666635961E-10</v>
      </c>
      <c r="I51" s="122"/>
      <c r="K51" s="130"/>
      <c r="BR51" s="1"/>
    </row>
    <row r="52" spans="1:70" x14ac:dyDescent="0.25">
      <c r="A52" s="94">
        <v>3</v>
      </c>
      <c r="B52" s="81">
        <f t="shared" si="29"/>
        <v>70.459762604890358</v>
      </c>
      <c r="C52" s="94">
        <f t="shared" si="27"/>
        <v>4.2550418036892825</v>
      </c>
      <c r="D52" s="94"/>
      <c r="E52" s="94">
        <f>_xlfn.FORECAST.LINEAR(C52,E50:E51,C50:C51)</f>
        <v>41.461980957570532</v>
      </c>
      <c r="F52" s="94"/>
      <c r="G52" s="94"/>
      <c r="H52" s="94"/>
      <c r="BR52" s="1"/>
    </row>
    <row r="53" spans="1:70" x14ac:dyDescent="0.25">
      <c r="C53" s="66"/>
      <c r="E53" s="66"/>
      <c r="F53" s="66"/>
      <c r="G53" s="66"/>
      <c r="H53" s="66"/>
      <c r="BR53" s="1"/>
    </row>
    <row r="54" spans="1:70" x14ac:dyDescent="0.25">
      <c r="G54" s="111" t="s">
        <v>67</v>
      </c>
      <c r="H54" s="125">
        <f ca="1">SUM(H45:H51)</f>
        <v>1.2482941979285826E-4</v>
      </c>
      <c r="BR54" s="1"/>
    </row>
    <row r="55" spans="1:70" x14ac:dyDescent="0.25">
      <c r="BR55" s="1"/>
    </row>
    <row r="56" spans="1:70" x14ac:dyDescent="0.25">
      <c r="BI56" s="29"/>
      <c r="BR56" s="1"/>
    </row>
    <row r="57" spans="1:70" x14ac:dyDescent="0.25">
      <c r="G57" s="9" t="s">
        <v>81</v>
      </c>
      <c r="H57" s="9" t="s">
        <v>82</v>
      </c>
      <c r="I57" s="9" t="s">
        <v>83</v>
      </c>
      <c r="BI57" s="29"/>
      <c r="BR57" s="1"/>
    </row>
    <row r="58" spans="1:70" x14ac:dyDescent="0.25">
      <c r="G58" s="95">
        <v>37.759994502067642</v>
      </c>
      <c r="H58" s="123">
        <v>43.650901757850001</v>
      </c>
      <c r="I58" s="124">
        <f>H58/G58-1</f>
        <v>0.15600921910779908</v>
      </c>
      <c r="BI58" s="29"/>
      <c r="BR58" s="1"/>
    </row>
    <row r="59" spans="1:70" x14ac:dyDescent="0.25">
      <c r="G59" s="95">
        <v>49.527429853653892</v>
      </c>
      <c r="H59" s="123">
        <v>42.5604948963</v>
      </c>
      <c r="I59" s="124">
        <f t="shared" ref="I59:I64" si="30">H59/G59-1</f>
        <v>-0.14066821108909022</v>
      </c>
      <c r="N59" s="21"/>
      <c r="BI59" s="29"/>
      <c r="BR59" s="1"/>
    </row>
    <row r="60" spans="1:70" x14ac:dyDescent="0.25">
      <c r="A60" s="84"/>
      <c r="B60" s="84"/>
      <c r="G60" s="95">
        <v>39.862709952149956</v>
      </c>
      <c r="H60" s="123">
        <v>40.806785081160001</v>
      </c>
      <c r="I60" s="124">
        <f t="shared" si="30"/>
        <v>2.3683164795953005E-2</v>
      </c>
      <c r="N60" s="21"/>
      <c r="BI60" s="29"/>
      <c r="BJ60" s="29"/>
      <c r="BR60" s="1"/>
    </row>
    <row r="61" spans="1:70" x14ac:dyDescent="0.25">
      <c r="A61" s="84" t="s">
        <v>35</v>
      </c>
      <c r="G61" s="95">
        <v>34.829002054735064</v>
      </c>
      <c r="H61" s="123">
        <v>37.899667528179997</v>
      </c>
      <c r="I61" s="124">
        <f t="shared" si="30"/>
        <v>8.8164038367199549E-2</v>
      </c>
      <c r="N61" s="21"/>
      <c r="BI61" s="29"/>
      <c r="BJ61" s="29"/>
      <c r="BR61" s="1"/>
    </row>
    <row r="62" spans="1:70" x14ac:dyDescent="0.25">
      <c r="A62" s="64" t="s">
        <v>38</v>
      </c>
      <c r="B62" s="64" t="s">
        <v>39</v>
      </c>
      <c r="C62" s="64" t="s">
        <v>40</v>
      </c>
      <c r="D62" s="64" t="s">
        <v>37</v>
      </c>
      <c r="E62" s="64" t="s">
        <v>80</v>
      </c>
      <c r="G62" s="95">
        <v>36.381294885113626</v>
      </c>
      <c r="H62" s="123">
        <v>34.41985510024</v>
      </c>
      <c r="I62" s="124">
        <f t="shared" si="30"/>
        <v>-5.3913413226976736E-2</v>
      </c>
      <c r="N62" s="21"/>
      <c r="BI62" s="29"/>
      <c r="BJ62" s="29"/>
      <c r="BR62" s="1"/>
    </row>
    <row r="63" spans="1:70" x14ac:dyDescent="0.25">
      <c r="A63" s="80">
        <f>$B$5*(1+C63%)</f>
        <v>43.92</v>
      </c>
      <c r="B63" s="80">
        <f>LN(A63)</f>
        <v>3.7823697972012753</v>
      </c>
      <c r="C63" s="95">
        <v>-10</v>
      </c>
      <c r="D63" s="95">
        <v>48.39</v>
      </c>
      <c r="E63" s="95">
        <v>42.698999999999998</v>
      </c>
      <c r="G63" s="95">
        <v>34.640058563765642</v>
      </c>
      <c r="H63" s="123">
        <v>35.78880172249</v>
      </c>
      <c r="I63" s="124">
        <f t="shared" si="30"/>
        <v>3.3162275306484856E-2</v>
      </c>
      <c r="N63" s="21"/>
      <c r="BI63" s="29"/>
      <c r="BJ63" s="29"/>
      <c r="BR63" s="1"/>
    </row>
    <row r="64" spans="1:70" x14ac:dyDescent="0.25">
      <c r="A64" s="80">
        <f t="shared" ref="A64:A67" si="31">$B$5*(1+C64%)</f>
        <v>46.36</v>
      </c>
      <c r="B64" s="80">
        <f t="shared" ref="B64:B67" si="32">LN(A64)</f>
        <v>3.8364370184715511</v>
      </c>
      <c r="C64" s="95">
        <v>-4.9999999999999902</v>
      </c>
      <c r="D64" s="95">
        <v>45.673999999999999</v>
      </c>
      <c r="E64" s="95">
        <v>41.131</v>
      </c>
      <c r="G64" s="95">
        <v>36.345539162216859</v>
      </c>
      <c r="H64" s="123">
        <v>38.00458211966</v>
      </c>
      <c r="I64" s="124">
        <f t="shared" si="30"/>
        <v>4.5646398311455005E-2</v>
      </c>
      <c r="N64" s="21"/>
      <c r="BI64" s="29"/>
      <c r="BJ64" s="29"/>
      <c r="BR64" s="1"/>
    </row>
    <row r="65" spans="1:97" x14ac:dyDescent="0.25">
      <c r="A65" s="80">
        <f t="shared" si="31"/>
        <v>48.8</v>
      </c>
      <c r="B65" s="80">
        <f t="shared" si="32"/>
        <v>3.8877303128591016</v>
      </c>
      <c r="C65" s="95">
        <v>0</v>
      </c>
      <c r="D65" s="95">
        <v>43.874000000000002</v>
      </c>
      <c r="E65" s="95">
        <v>39.959000000000003</v>
      </c>
      <c r="L65" s="21"/>
      <c r="M65" s="68"/>
      <c r="N65" s="21"/>
      <c r="BI65" s="29"/>
      <c r="BJ65" s="29"/>
      <c r="BR65" s="1"/>
    </row>
    <row r="66" spans="1:97" x14ac:dyDescent="0.25">
      <c r="A66" s="80">
        <f t="shared" si="31"/>
        <v>51.24</v>
      </c>
      <c r="B66" s="80">
        <f t="shared" si="32"/>
        <v>3.9365204770285334</v>
      </c>
      <c r="C66" s="95">
        <v>5</v>
      </c>
      <c r="D66" s="95">
        <v>43.024000000000001</v>
      </c>
      <c r="E66" s="95">
        <v>39.399000000000001</v>
      </c>
      <c r="L66" s="21"/>
      <c r="M66" s="68"/>
      <c r="N66" s="51"/>
      <c r="BI66" s="29"/>
      <c r="BJ66" s="29"/>
      <c r="BR66" s="1"/>
    </row>
    <row r="67" spans="1:97" x14ac:dyDescent="0.25">
      <c r="A67" s="80">
        <f t="shared" si="31"/>
        <v>53.68</v>
      </c>
      <c r="B67" s="80">
        <f t="shared" si="32"/>
        <v>3.9830404926634264</v>
      </c>
      <c r="C67" s="95">
        <v>10</v>
      </c>
      <c r="D67" s="95">
        <v>42.707000000000001</v>
      </c>
      <c r="E67" s="95">
        <v>38.841000000000001</v>
      </c>
      <c r="L67" s="21"/>
      <c r="M67" s="68"/>
      <c r="N67" s="51"/>
      <c r="BI67" s="29"/>
      <c r="BJ67" s="29"/>
      <c r="BR67" s="1"/>
    </row>
    <row r="68" spans="1:97" x14ac:dyDescent="0.25">
      <c r="A68"/>
      <c r="B68"/>
      <c r="C68"/>
      <c r="D68"/>
      <c r="L68" s="21"/>
      <c r="M68" s="68"/>
      <c r="N68" s="51"/>
      <c r="BI68" s="29"/>
      <c r="BJ68" s="29"/>
      <c r="BR68" s="1"/>
    </row>
    <row r="69" spans="1:97" x14ac:dyDescent="0.25">
      <c r="A69"/>
      <c r="B69"/>
      <c r="C69"/>
      <c r="D69"/>
      <c r="L69" s="21"/>
      <c r="M69" s="68"/>
      <c r="N69" s="51"/>
      <c r="O69" s="36"/>
      <c r="P69" s="28"/>
      <c r="Q69" s="37"/>
      <c r="R69" s="37"/>
      <c r="S69" s="37"/>
      <c r="T69" s="37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BI69" s="29"/>
      <c r="BJ69" s="29"/>
      <c r="BR69" s="1"/>
    </row>
    <row r="70" spans="1:97" x14ac:dyDescent="0.25">
      <c r="A70"/>
      <c r="B70"/>
      <c r="C70"/>
      <c r="D70"/>
      <c r="L70" s="21"/>
      <c r="M70" s="68"/>
      <c r="N70" s="51"/>
      <c r="O70" s="36"/>
      <c r="P70" s="28"/>
      <c r="Q70" s="37"/>
      <c r="R70" s="37"/>
      <c r="S70" s="37"/>
      <c r="T70" s="37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BI70" s="29"/>
      <c r="BJ70" s="29"/>
      <c r="BR70" s="1"/>
    </row>
    <row r="71" spans="1:97" x14ac:dyDescent="0.25">
      <c r="A71"/>
      <c r="B71"/>
      <c r="C71"/>
      <c r="D71"/>
      <c r="L71" s="21"/>
      <c r="M71" s="68"/>
      <c r="N71" s="51"/>
      <c r="O71" s="36"/>
      <c r="P71" s="28"/>
      <c r="Q71" s="37"/>
      <c r="R71" s="37"/>
      <c r="S71" s="37"/>
      <c r="T71" s="37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BI71" s="29"/>
      <c r="BJ71" s="29"/>
      <c r="BR71" s="1"/>
    </row>
    <row r="72" spans="1:97" s="36" customFormat="1" x14ac:dyDescent="0.25">
      <c r="A72" s="1"/>
      <c r="B72" s="29"/>
      <c r="C72" s="1"/>
      <c r="D72" s="1"/>
      <c r="E72" s="1"/>
      <c r="F72" s="1"/>
      <c r="G72" s="1"/>
      <c r="H72" s="1"/>
      <c r="I72" s="1"/>
      <c r="J72" s="88"/>
      <c r="K72" s="1"/>
      <c r="L72" s="51"/>
      <c r="M72" s="69"/>
      <c r="N72" s="51"/>
      <c r="P72" s="28"/>
      <c r="Q72" s="37"/>
      <c r="R72" s="37"/>
      <c r="S72" s="37"/>
      <c r="T72" s="3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R72" s="1"/>
      <c r="BS72" s="29"/>
      <c r="CP72" s="29"/>
      <c r="CQ72" s="29"/>
      <c r="CR72" s="29"/>
      <c r="CS72" s="29"/>
    </row>
    <row r="73" spans="1:97" s="36" customFormat="1" x14ac:dyDescent="0.25">
      <c r="A73" s="29"/>
      <c r="B73" s="29"/>
      <c r="C73" s="29"/>
      <c r="D73" s="29"/>
      <c r="E73" s="29"/>
      <c r="F73" s="29"/>
      <c r="G73" s="29"/>
      <c r="H73" s="29"/>
      <c r="I73" s="29"/>
      <c r="J73" s="88"/>
      <c r="K73" s="50"/>
      <c r="L73" s="51"/>
      <c r="M73" s="69"/>
      <c r="N73" s="51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R73" s="1"/>
      <c r="BS73" s="29"/>
      <c r="CP73" s="29"/>
      <c r="CQ73" s="29"/>
      <c r="CR73" s="29"/>
      <c r="CS73" s="29"/>
    </row>
    <row r="74" spans="1:97" s="36" customFormat="1" x14ac:dyDescent="0.25">
      <c r="A74" s="29"/>
      <c r="B74" s="29"/>
      <c r="C74" s="29"/>
      <c r="D74" s="29"/>
      <c r="E74" s="29"/>
      <c r="F74" s="29"/>
      <c r="G74" s="29"/>
      <c r="H74" s="29"/>
      <c r="I74" s="29"/>
      <c r="J74" s="88"/>
      <c r="K74" s="50"/>
      <c r="L74" s="51"/>
      <c r="M74" s="69"/>
      <c r="N74" s="51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R74" s="1"/>
      <c r="BS74" s="29"/>
      <c r="CP74" s="29"/>
      <c r="CQ74" s="29"/>
      <c r="CR74" s="29"/>
      <c r="CS74" s="29"/>
    </row>
    <row r="75" spans="1:97" s="36" customFormat="1" x14ac:dyDescent="0.25">
      <c r="A75" s="29"/>
      <c r="B75" s="29"/>
      <c r="C75" s="29"/>
      <c r="D75" s="29"/>
      <c r="E75" s="29"/>
      <c r="F75" s="29"/>
      <c r="G75" s="29"/>
      <c r="H75" s="29"/>
      <c r="I75" s="29"/>
      <c r="J75" s="88"/>
      <c r="K75" s="50"/>
      <c r="L75" s="51"/>
      <c r="M75" s="69"/>
      <c r="N75" s="51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R75" s="1"/>
      <c r="BS75" s="29"/>
      <c r="CP75" s="29"/>
      <c r="CQ75" s="29"/>
      <c r="CR75" s="29"/>
      <c r="CS75" s="29"/>
    </row>
    <row r="76" spans="1:97" s="36" customFormat="1" x14ac:dyDescent="0.25">
      <c r="A76" s="29"/>
      <c r="B76" s="29"/>
      <c r="C76" s="29"/>
      <c r="D76" s="29"/>
      <c r="E76" s="29"/>
      <c r="F76" s="29"/>
      <c r="G76" s="29"/>
      <c r="H76" s="29"/>
      <c r="I76" s="29"/>
      <c r="J76" s="88"/>
      <c r="K76" s="50"/>
      <c r="L76" s="51"/>
      <c r="M76" s="69"/>
      <c r="N76" s="51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R76" s="1"/>
      <c r="BS76" s="29"/>
      <c r="CP76" s="29"/>
      <c r="CQ76" s="29"/>
      <c r="CR76" s="29"/>
      <c r="CS76" s="29"/>
    </row>
    <row r="77" spans="1:97" s="36" customFormat="1" x14ac:dyDescent="0.25">
      <c r="A77" s="29"/>
      <c r="B77" s="29"/>
      <c r="C77" s="29"/>
      <c r="D77" s="29"/>
      <c r="E77" s="29"/>
      <c r="F77" s="29"/>
      <c r="G77" s="29"/>
      <c r="H77" s="29"/>
      <c r="I77" s="29"/>
      <c r="J77" s="88"/>
      <c r="K77" s="50"/>
      <c r="L77" s="51"/>
      <c r="M77" s="69"/>
      <c r="N77" s="51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R77" s="1"/>
      <c r="BS77" s="29"/>
      <c r="CP77" s="29"/>
      <c r="CQ77" s="29"/>
      <c r="CR77" s="29"/>
      <c r="CS77" s="29"/>
    </row>
    <row r="78" spans="1:97" s="36" customFormat="1" x14ac:dyDescent="0.25">
      <c r="A78" s="29"/>
      <c r="B78" s="29"/>
      <c r="C78" s="29"/>
      <c r="D78" s="29"/>
      <c r="E78" s="29"/>
      <c r="F78" s="29"/>
      <c r="G78" s="29"/>
      <c r="H78" s="29"/>
      <c r="I78" s="29"/>
      <c r="J78" s="88"/>
      <c r="K78" s="50"/>
      <c r="L78" s="51"/>
      <c r="M78" s="69"/>
      <c r="N78" s="51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R78" s="1"/>
      <c r="BS78" s="29"/>
      <c r="CP78" s="29"/>
      <c r="CQ78" s="29"/>
      <c r="CR78" s="29"/>
      <c r="CS78" s="29"/>
    </row>
    <row r="79" spans="1:97" s="36" customFormat="1" x14ac:dyDescent="0.25">
      <c r="A79" s="29"/>
      <c r="B79" s="29"/>
      <c r="C79" s="29"/>
      <c r="D79" s="29"/>
      <c r="E79" s="29"/>
      <c r="F79" s="29"/>
      <c r="G79" s="29"/>
      <c r="H79" s="29"/>
      <c r="I79" s="29"/>
      <c r="J79" s="88"/>
      <c r="K79" s="50"/>
      <c r="L79" s="51"/>
      <c r="M79" s="69"/>
      <c r="N79" s="51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R79" s="1"/>
      <c r="BS79" s="29"/>
      <c r="CP79" s="29"/>
      <c r="CQ79" s="29"/>
      <c r="CR79" s="29"/>
      <c r="CS79" s="29"/>
    </row>
    <row r="80" spans="1:97" s="36" customFormat="1" x14ac:dyDescent="0.25">
      <c r="A80" s="29"/>
      <c r="B80" s="29"/>
      <c r="C80" s="29"/>
      <c r="D80" s="29"/>
      <c r="E80" s="29"/>
      <c r="F80" s="29"/>
      <c r="G80" s="29"/>
      <c r="H80" s="29"/>
      <c r="I80" s="29"/>
      <c r="J80" s="88"/>
      <c r="K80" s="50"/>
      <c r="L80" s="51"/>
      <c r="M80" s="69"/>
      <c r="N80" s="51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R80" s="1"/>
      <c r="BS80" s="29"/>
      <c r="CP80" s="29"/>
      <c r="CQ80" s="29"/>
      <c r="CR80" s="29"/>
      <c r="CS80" s="29"/>
    </row>
    <row r="81" spans="1:97" s="36" customFormat="1" x14ac:dyDescent="0.25">
      <c r="A81" s="29"/>
      <c r="B81" s="29"/>
      <c r="C81" s="29"/>
      <c r="D81" s="29"/>
      <c r="E81" s="29"/>
      <c r="F81" s="29"/>
      <c r="G81" s="29"/>
      <c r="H81" s="29"/>
      <c r="I81" s="29"/>
      <c r="J81" s="88"/>
      <c r="K81" s="50"/>
      <c r="L81" s="51"/>
      <c r="M81" s="69"/>
      <c r="N81" s="51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R81" s="1"/>
      <c r="BS81" s="29"/>
      <c r="CP81" s="29"/>
      <c r="CQ81" s="29"/>
      <c r="CR81" s="29"/>
      <c r="CS81" s="29"/>
    </row>
    <row r="82" spans="1:97" s="36" customFormat="1" x14ac:dyDescent="0.25">
      <c r="A82" s="29"/>
      <c r="B82" s="29"/>
      <c r="C82" s="29"/>
      <c r="D82" s="29"/>
      <c r="E82" s="29"/>
      <c r="F82" s="29"/>
      <c r="G82" s="29"/>
      <c r="H82" s="29"/>
      <c r="I82" s="29"/>
      <c r="J82" s="88"/>
      <c r="K82" s="50"/>
      <c r="L82" s="51"/>
      <c r="M82" s="69"/>
      <c r="N82" s="51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R82" s="1"/>
      <c r="BS82" s="29"/>
      <c r="CP82" s="29"/>
      <c r="CQ82" s="29"/>
      <c r="CR82" s="29"/>
      <c r="CS82" s="29"/>
    </row>
    <row r="83" spans="1:97" s="36" customFormat="1" x14ac:dyDescent="0.25">
      <c r="A83" s="29"/>
      <c r="B83" s="29"/>
      <c r="C83" s="29"/>
      <c r="D83" s="29"/>
      <c r="E83" s="29"/>
      <c r="F83" s="29"/>
      <c r="G83" s="29"/>
      <c r="H83" s="29"/>
      <c r="I83" s="29"/>
      <c r="J83" s="88"/>
      <c r="K83" s="50"/>
      <c r="L83" s="51"/>
      <c r="M83" s="69"/>
      <c r="N83" s="51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R83" s="1"/>
      <c r="BS83" s="29"/>
      <c r="CP83" s="29"/>
      <c r="CQ83" s="29"/>
      <c r="CR83" s="29"/>
      <c r="CS83" s="29"/>
    </row>
    <row r="84" spans="1:97" s="36" customFormat="1" x14ac:dyDescent="0.25">
      <c r="A84" s="41"/>
      <c r="B84" s="29"/>
      <c r="C84" s="29"/>
      <c r="D84" s="29"/>
      <c r="E84" s="29"/>
      <c r="F84" s="29"/>
      <c r="G84" s="29"/>
      <c r="H84" s="29"/>
      <c r="I84" s="29"/>
      <c r="J84" s="88"/>
      <c r="K84" s="50"/>
      <c r="L84" s="51"/>
      <c r="M84" s="69"/>
      <c r="N84" s="51"/>
      <c r="P84" s="28"/>
      <c r="Q84" s="37"/>
      <c r="R84" s="37"/>
      <c r="S84" s="37"/>
      <c r="T84" s="3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R84" s="1"/>
      <c r="BS84" s="29"/>
      <c r="CP84" s="29"/>
      <c r="CQ84" s="29"/>
      <c r="CR84" s="29"/>
      <c r="CS84" s="29"/>
    </row>
    <row r="85" spans="1:97" s="36" customFormat="1" x14ac:dyDescent="0.25">
      <c r="A85" s="1">
        <v>2</v>
      </c>
      <c r="B85" s="42" t="s">
        <v>24</v>
      </c>
      <c r="C85" s="29"/>
      <c r="D85" s="29"/>
      <c r="E85" s="29"/>
      <c r="F85" s="29"/>
      <c r="G85" s="29"/>
      <c r="H85" s="29"/>
      <c r="I85" s="29"/>
      <c r="J85" s="88"/>
      <c r="K85" s="50"/>
      <c r="L85" s="51"/>
      <c r="M85" s="69"/>
      <c r="N85" s="51"/>
      <c r="P85" s="28"/>
      <c r="Q85" s="37"/>
      <c r="R85" s="37"/>
      <c r="S85" s="37"/>
      <c r="T85" s="3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R85" s="1"/>
      <c r="BS85" s="29"/>
      <c r="CP85" s="29"/>
      <c r="CQ85" s="29"/>
      <c r="CR85" s="29"/>
      <c r="CS85" s="29"/>
    </row>
    <row r="86" spans="1:97" s="36" customFormat="1" x14ac:dyDescent="0.25">
      <c r="A86" s="1">
        <v>3</v>
      </c>
      <c r="B86" s="42" t="s">
        <v>24</v>
      </c>
      <c r="C86" s="29"/>
      <c r="D86" s="29"/>
      <c r="E86" s="29"/>
      <c r="F86" s="29"/>
      <c r="G86" s="29"/>
      <c r="H86" s="29"/>
      <c r="I86" s="29"/>
      <c r="J86" s="88"/>
      <c r="K86" s="50"/>
      <c r="L86" s="51"/>
      <c r="M86" s="6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R86" s="1"/>
      <c r="BS86" s="29"/>
      <c r="CP86" s="29"/>
      <c r="CQ86" s="29"/>
      <c r="CR86" s="29"/>
      <c r="CS86" s="29"/>
    </row>
    <row r="87" spans="1:97" s="36" customFormat="1" x14ac:dyDescent="0.25">
      <c r="A87" s="1">
        <v>4</v>
      </c>
      <c r="B87" s="42" t="s">
        <v>24</v>
      </c>
      <c r="C87" s="29"/>
      <c r="D87" s="29"/>
      <c r="E87" s="29"/>
      <c r="F87" s="29"/>
      <c r="G87" s="29"/>
      <c r="H87" s="29"/>
      <c r="I87" s="29"/>
      <c r="J87" s="88"/>
      <c r="K87" s="50"/>
      <c r="L87" s="51"/>
      <c r="M87" s="6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R87" s="1"/>
      <c r="BS87" s="29"/>
      <c r="CP87" s="29"/>
      <c r="CQ87" s="29"/>
      <c r="CR87" s="29"/>
      <c r="CS87" s="29"/>
    </row>
    <row r="88" spans="1:97" s="36" customFormat="1" x14ac:dyDescent="0.25">
      <c r="A88" s="1">
        <v>5</v>
      </c>
      <c r="B88" s="42" t="s">
        <v>24</v>
      </c>
      <c r="J88" s="88"/>
      <c r="K88" s="50"/>
      <c r="L88" s="51"/>
      <c r="M88" s="6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R88" s="1"/>
      <c r="BS88" s="29"/>
      <c r="CP88" s="29"/>
      <c r="CQ88" s="29"/>
      <c r="CR88" s="29"/>
      <c r="CS88" s="29"/>
    </row>
    <row r="89" spans="1:97" s="36" customFormat="1" x14ac:dyDescent="0.25">
      <c r="A89" s="1">
        <v>6</v>
      </c>
      <c r="B89" s="42" t="s">
        <v>24</v>
      </c>
      <c r="J89" s="88"/>
      <c r="K89" s="50"/>
      <c r="L89" s="51"/>
      <c r="M89" s="6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R89" s="1"/>
      <c r="BS89" s="29"/>
      <c r="CP89" s="29"/>
      <c r="CQ89" s="29"/>
      <c r="CR89" s="29"/>
      <c r="CS89" s="29"/>
    </row>
    <row r="90" spans="1:97" s="36" customFormat="1" x14ac:dyDescent="0.25">
      <c r="A90" s="1">
        <v>7</v>
      </c>
      <c r="B90" s="42" t="s">
        <v>24</v>
      </c>
      <c r="J90" s="88"/>
      <c r="K90" s="50"/>
      <c r="L90" s="51"/>
      <c r="M90" s="6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R90" s="1"/>
      <c r="BS90" s="29"/>
      <c r="CP90" s="29"/>
      <c r="CQ90" s="29"/>
      <c r="CR90" s="29"/>
      <c r="CS90" s="29"/>
    </row>
    <row r="91" spans="1:97" s="36" customFormat="1" x14ac:dyDescent="0.25">
      <c r="A91" s="1">
        <v>8</v>
      </c>
      <c r="B91" s="42" t="s">
        <v>24</v>
      </c>
      <c r="J91" s="88"/>
      <c r="K91" s="50"/>
      <c r="L91" s="51"/>
      <c r="M91" s="6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R91" s="1"/>
      <c r="BS91" s="29"/>
      <c r="CP91" s="29"/>
      <c r="CQ91" s="29"/>
      <c r="CR91" s="29"/>
      <c r="CS91" s="29"/>
    </row>
    <row r="92" spans="1:97" s="36" customFormat="1" x14ac:dyDescent="0.25">
      <c r="A92" s="1">
        <v>9</v>
      </c>
      <c r="B92" s="42" t="s">
        <v>24</v>
      </c>
      <c r="J92" s="88"/>
      <c r="K92" s="50"/>
      <c r="L92" s="51"/>
      <c r="M92" s="69"/>
      <c r="N92" s="51"/>
      <c r="P92" s="28"/>
      <c r="Q92" s="37"/>
      <c r="R92" s="37"/>
      <c r="S92" s="37"/>
      <c r="T92" s="3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CP92" s="29"/>
      <c r="CQ92" s="29"/>
      <c r="CR92" s="29"/>
      <c r="CS92" s="29"/>
    </row>
    <row r="93" spans="1:97" s="36" customFormat="1" x14ac:dyDescent="0.25">
      <c r="A93" s="1">
        <v>10</v>
      </c>
      <c r="B93" s="42" t="s">
        <v>24</v>
      </c>
      <c r="J93" s="88"/>
      <c r="K93" s="50"/>
      <c r="L93" s="51"/>
      <c r="M93" s="69"/>
      <c r="N93" s="51"/>
      <c r="P93" s="28"/>
      <c r="Q93" s="37"/>
      <c r="R93" s="37"/>
      <c r="S93" s="37"/>
      <c r="T93" s="3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CP93" s="29"/>
      <c r="CQ93" s="29"/>
      <c r="CR93" s="29"/>
      <c r="CS93" s="29"/>
    </row>
    <row r="94" spans="1:97" s="36" customFormat="1" x14ac:dyDescent="0.25">
      <c r="A94" s="1">
        <v>11</v>
      </c>
      <c r="B94" s="42" t="s">
        <v>24</v>
      </c>
      <c r="J94" s="88"/>
      <c r="K94" s="50"/>
      <c r="L94" s="51"/>
      <c r="M94" s="69"/>
      <c r="N94" s="51"/>
      <c r="P94" s="28"/>
      <c r="Q94" s="37"/>
      <c r="R94" s="37"/>
      <c r="S94" s="37"/>
      <c r="T94" s="3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CP94" s="29"/>
      <c r="CQ94" s="29"/>
      <c r="CR94" s="29"/>
      <c r="CS94" s="29"/>
    </row>
    <row r="95" spans="1:97" s="36" customFormat="1" x14ac:dyDescent="0.25">
      <c r="A95" s="1">
        <v>12</v>
      </c>
      <c r="B95" s="42" t="s">
        <v>24</v>
      </c>
      <c r="J95" s="88"/>
      <c r="K95" s="50"/>
      <c r="L95" s="51"/>
      <c r="M95" s="69"/>
      <c r="N95" s="51"/>
      <c r="P95" s="28"/>
      <c r="Q95" s="37"/>
      <c r="R95" s="37"/>
      <c r="S95" s="37"/>
      <c r="T95" s="3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CP95" s="29"/>
      <c r="CQ95" s="29"/>
      <c r="CR95" s="29"/>
      <c r="CS95" s="29"/>
    </row>
    <row r="96" spans="1:97" s="36" customFormat="1" x14ac:dyDescent="0.25">
      <c r="A96" s="1">
        <v>13</v>
      </c>
      <c r="B96" s="42" t="s">
        <v>24</v>
      </c>
      <c r="J96" s="88"/>
      <c r="K96" s="50"/>
      <c r="L96" s="51"/>
      <c r="M96" s="69"/>
      <c r="N96" s="51"/>
      <c r="P96" s="28"/>
      <c r="Q96" s="37"/>
      <c r="R96" s="37"/>
      <c r="S96" s="37"/>
      <c r="T96" s="3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CP96" s="29"/>
      <c r="CQ96" s="29"/>
      <c r="CR96" s="29"/>
      <c r="CS96" s="29"/>
    </row>
    <row r="97" spans="1:120" s="36" customFormat="1" x14ac:dyDescent="0.25">
      <c r="A97" s="1">
        <v>14</v>
      </c>
      <c r="B97" s="42" t="s">
        <v>24</v>
      </c>
      <c r="J97" s="88"/>
      <c r="K97" s="50"/>
      <c r="L97" s="51"/>
      <c r="M97" s="69"/>
      <c r="N97" s="51"/>
      <c r="P97" s="28"/>
      <c r="Q97" s="37"/>
      <c r="R97" s="37"/>
      <c r="S97" s="37"/>
      <c r="T97" s="3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  <c r="BF97" s="29"/>
      <c r="BG97" s="29"/>
      <c r="BH97" s="29"/>
      <c r="BI97" s="29"/>
      <c r="BJ97" s="29"/>
      <c r="BK97" s="29"/>
      <c r="CP97" s="29"/>
      <c r="CQ97" s="29"/>
      <c r="CR97" s="29"/>
      <c r="CS97" s="29"/>
    </row>
    <row r="98" spans="1:120" s="36" customFormat="1" x14ac:dyDescent="0.25">
      <c r="A98" s="1">
        <v>15</v>
      </c>
      <c r="B98" s="42" t="s">
        <v>24</v>
      </c>
      <c r="J98" s="88"/>
      <c r="K98" s="50"/>
      <c r="L98" s="51"/>
      <c r="M98" s="69"/>
      <c r="N98" s="51"/>
      <c r="P98" s="28"/>
      <c r="Q98" s="37"/>
      <c r="R98" s="37"/>
      <c r="S98" s="37"/>
      <c r="T98" s="3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CP98" s="29"/>
      <c r="CQ98" s="29"/>
      <c r="CR98" s="29"/>
      <c r="CS98" s="29"/>
    </row>
    <row r="99" spans="1:120" s="36" customFormat="1" x14ac:dyDescent="0.25">
      <c r="A99" s="1">
        <v>16</v>
      </c>
      <c r="B99" s="42" t="s">
        <v>24</v>
      </c>
      <c r="J99" s="88"/>
      <c r="K99" s="50"/>
      <c r="L99" s="51"/>
      <c r="M99" s="69"/>
      <c r="N99" s="51"/>
      <c r="P99" s="28"/>
      <c r="Q99" s="37"/>
      <c r="R99" s="37"/>
      <c r="S99" s="37"/>
      <c r="T99" s="3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CP99" s="29"/>
      <c r="CQ99" s="29"/>
      <c r="CR99" s="29"/>
      <c r="CS99" s="29"/>
    </row>
    <row r="100" spans="1:120" s="36" customFormat="1" x14ac:dyDescent="0.25">
      <c r="A100" s="1">
        <v>17</v>
      </c>
      <c r="B100" s="42" t="s">
        <v>24</v>
      </c>
      <c r="J100" s="88"/>
      <c r="K100" s="50"/>
      <c r="L100" s="51"/>
      <c r="M100" s="69"/>
      <c r="N100" s="51"/>
      <c r="P100" s="28"/>
      <c r="Q100" s="37"/>
      <c r="R100" s="37"/>
      <c r="S100" s="37"/>
      <c r="T100" s="3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CP100" s="29"/>
      <c r="CQ100" s="29"/>
      <c r="CR100" s="29"/>
      <c r="CS100" s="29"/>
    </row>
    <row r="101" spans="1:120" s="36" customFormat="1" x14ac:dyDescent="0.25">
      <c r="A101" s="1">
        <v>18</v>
      </c>
      <c r="B101" s="42" t="s">
        <v>24</v>
      </c>
      <c r="J101" s="88"/>
      <c r="K101" s="29"/>
      <c r="L101" s="29"/>
      <c r="M101" s="29"/>
      <c r="N101" s="29"/>
      <c r="P101" s="28"/>
      <c r="Q101" s="37"/>
      <c r="R101" s="37"/>
      <c r="S101" s="37"/>
      <c r="T101" s="3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CP101" s="29"/>
      <c r="CQ101" s="29"/>
      <c r="CR101" s="29"/>
      <c r="CS101" s="29"/>
    </row>
    <row r="102" spans="1:120" s="36" customFormat="1" x14ac:dyDescent="0.25">
      <c r="A102" s="1">
        <v>19</v>
      </c>
      <c r="B102" s="42" t="s">
        <v>24</v>
      </c>
      <c r="J102" s="88"/>
      <c r="K102" s="29"/>
      <c r="L102" s="29"/>
      <c r="M102" s="29"/>
      <c r="N102" s="29"/>
      <c r="P102" s="28"/>
      <c r="Q102" s="37"/>
      <c r="R102" s="37"/>
      <c r="S102" s="37"/>
      <c r="T102" s="3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CP102" s="29"/>
      <c r="CQ102" s="29"/>
      <c r="CR102" s="29"/>
      <c r="CS102" s="29"/>
    </row>
    <row r="103" spans="1:120" s="36" customFormat="1" x14ac:dyDescent="0.25">
      <c r="A103" s="29"/>
      <c r="B103" s="29"/>
      <c r="J103" s="88"/>
      <c r="K103" s="29"/>
      <c r="L103" s="29"/>
      <c r="M103" s="29"/>
      <c r="N103" s="29"/>
      <c r="P103" s="28"/>
      <c r="Q103" s="37"/>
      <c r="R103" s="37"/>
      <c r="S103" s="37"/>
      <c r="T103" s="3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CP103" s="29"/>
      <c r="CQ103" s="29"/>
      <c r="CR103" s="29"/>
      <c r="CS103" s="29"/>
    </row>
    <row r="104" spans="1:120" s="36" customFormat="1" x14ac:dyDescent="0.25">
      <c r="A104" s="29"/>
      <c r="B104" s="29"/>
      <c r="J104" s="88"/>
      <c r="K104" s="29"/>
      <c r="L104" s="29"/>
      <c r="M104" s="29"/>
      <c r="N104" s="29"/>
      <c r="P104" s="28"/>
      <c r="Q104" s="37"/>
      <c r="R104" s="37"/>
      <c r="S104" s="37"/>
      <c r="T104" s="3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CP104" s="29"/>
      <c r="CQ104" s="29"/>
      <c r="CR104" s="29"/>
      <c r="CS104" s="29"/>
    </row>
    <row r="105" spans="1:120" x14ac:dyDescent="0.25">
      <c r="C105" s="36"/>
      <c r="D105" s="36"/>
      <c r="E105" s="36"/>
      <c r="F105" s="36"/>
      <c r="G105" s="36"/>
      <c r="H105" s="36"/>
      <c r="I105" s="36"/>
      <c r="K105" s="29"/>
      <c r="M105" s="29"/>
      <c r="O105" s="36"/>
      <c r="P105" s="28"/>
      <c r="Q105" s="37"/>
      <c r="R105" s="37"/>
      <c r="S105" s="37"/>
      <c r="T105" s="37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BI105" s="29"/>
      <c r="BJ105" s="29"/>
    </row>
    <row r="106" spans="1:120" x14ac:dyDescent="0.25">
      <c r="C106" s="36"/>
      <c r="D106" s="36"/>
      <c r="E106" s="36"/>
      <c r="F106" s="36"/>
      <c r="G106" s="36"/>
      <c r="H106" s="36"/>
      <c r="I106" s="36"/>
      <c r="K106" s="29"/>
      <c r="M106" s="29"/>
      <c r="O106" s="36"/>
      <c r="P106" s="28"/>
      <c r="Q106" s="37"/>
      <c r="R106" s="37"/>
      <c r="S106" s="37"/>
      <c r="T106" s="37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BI106" s="29"/>
      <c r="BJ106" s="29"/>
      <c r="BQ106" s="36"/>
      <c r="BR106" s="28"/>
      <c r="BS106" s="37"/>
      <c r="BT106" s="37"/>
      <c r="BU106" s="37"/>
      <c r="BV106" s="37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</row>
    <row r="107" spans="1:120" x14ac:dyDescent="0.25">
      <c r="C107" s="36"/>
      <c r="D107" s="36"/>
      <c r="E107" s="36"/>
      <c r="F107" s="36"/>
      <c r="G107" s="36"/>
      <c r="H107" s="36"/>
      <c r="I107" s="36"/>
      <c r="K107" s="29"/>
      <c r="M107" s="29"/>
      <c r="O107" s="54" t="s">
        <v>26</v>
      </c>
      <c r="P107" s="55">
        <f>P109</f>
        <v>2</v>
      </c>
      <c r="Q107" s="56">
        <f>P107</f>
        <v>2</v>
      </c>
      <c r="R107" s="56">
        <f t="shared" ref="R107:BN108" si="33">Q107</f>
        <v>2</v>
      </c>
      <c r="S107" s="56">
        <f t="shared" si="33"/>
        <v>2</v>
      </c>
      <c r="T107" s="56">
        <f t="shared" si="33"/>
        <v>2</v>
      </c>
      <c r="U107" s="56">
        <f t="shared" si="33"/>
        <v>2</v>
      </c>
      <c r="V107" s="56">
        <f t="shared" si="33"/>
        <v>2</v>
      </c>
      <c r="W107" s="56">
        <f t="shared" si="33"/>
        <v>2</v>
      </c>
      <c r="X107" s="56">
        <f t="shared" si="33"/>
        <v>2</v>
      </c>
      <c r="Y107" s="56">
        <f t="shared" si="33"/>
        <v>2</v>
      </c>
      <c r="Z107" s="56">
        <f t="shared" si="33"/>
        <v>2</v>
      </c>
      <c r="AA107" s="56">
        <f t="shared" si="33"/>
        <v>2</v>
      </c>
      <c r="AB107" s="56">
        <f t="shared" si="33"/>
        <v>2</v>
      </c>
      <c r="AC107" s="56">
        <f t="shared" si="33"/>
        <v>2</v>
      </c>
      <c r="AD107" s="56">
        <f t="shared" si="33"/>
        <v>2</v>
      </c>
      <c r="AE107" s="56">
        <f t="shared" si="33"/>
        <v>2</v>
      </c>
      <c r="AF107" s="56">
        <f t="shared" si="33"/>
        <v>2</v>
      </c>
      <c r="AG107" s="56">
        <f t="shared" si="33"/>
        <v>2</v>
      </c>
      <c r="AH107" s="56">
        <f t="shared" si="33"/>
        <v>2</v>
      </c>
      <c r="AI107" s="56">
        <f t="shared" si="33"/>
        <v>2</v>
      </c>
      <c r="AJ107" s="56">
        <f t="shared" si="33"/>
        <v>2</v>
      </c>
      <c r="AK107" s="56">
        <f t="shared" si="33"/>
        <v>2</v>
      </c>
      <c r="AL107" s="56">
        <f t="shared" si="33"/>
        <v>2</v>
      </c>
      <c r="AM107" s="56">
        <f t="shared" si="33"/>
        <v>2</v>
      </c>
      <c r="AN107" s="56">
        <f t="shared" si="33"/>
        <v>2</v>
      </c>
      <c r="AO107" s="56">
        <f t="shared" si="33"/>
        <v>2</v>
      </c>
      <c r="AP107" s="56">
        <f t="shared" si="33"/>
        <v>2</v>
      </c>
      <c r="AQ107" s="56">
        <f t="shared" si="33"/>
        <v>2</v>
      </c>
      <c r="AR107" s="56">
        <f t="shared" si="33"/>
        <v>2</v>
      </c>
      <c r="AS107" s="56">
        <f t="shared" si="33"/>
        <v>2</v>
      </c>
      <c r="AT107" s="56">
        <f t="shared" si="33"/>
        <v>2</v>
      </c>
      <c r="AU107" s="56">
        <f t="shared" si="33"/>
        <v>2</v>
      </c>
      <c r="AV107" s="56">
        <f t="shared" si="33"/>
        <v>2</v>
      </c>
      <c r="AW107" s="56">
        <f t="shared" si="33"/>
        <v>2</v>
      </c>
      <c r="AX107" s="56">
        <f t="shared" si="33"/>
        <v>2</v>
      </c>
      <c r="AY107" s="56">
        <f t="shared" si="33"/>
        <v>2</v>
      </c>
      <c r="AZ107" s="56">
        <f t="shared" si="33"/>
        <v>2</v>
      </c>
      <c r="BA107" s="56">
        <f t="shared" si="33"/>
        <v>2</v>
      </c>
      <c r="BB107" s="56">
        <f t="shared" si="33"/>
        <v>2</v>
      </c>
      <c r="BC107" s="56">
        <f t="shared" si="33"/>
        <v>2</v>
      </c>
      <c r="BD107" s="56">
        <f t="shared" si="33"/>
        <v>2</v>
      </c>
      <c r="BE107" s="56">
        <f t="shared" si="33"/>
        <v>2</v>
      </c>
      <c r="BF107" s="56">
        <f t="shared" si="33"/>
        <v>2</v>
      </c>
      <c r="BG107" s="56">
        <f t="shared" si="33"/>
        <v>2</v>
      </c>
      <c r="BH107" s="56">
        <f t="shared" si="33"/>
        <v>2</v>
      </c>
      <c r="BI107" s="56">
        <f t="shared" si="33"/>
        <v>2</v>
      </c>
      <c r="BJ107" s="56">
        <f t="shared" si="33"/>
        <v>2</v>
      </c>
      <c r="BK107" s="56">
        <f t="shared" si="33"/>
        <v>2</v>
      </c>
      <c r="BL107" s="56">
        <f t="shared" si="33"/>
        <v>2</v>
      </c>
      <c r="BM107" s="56">
        <f t="shared" si="33"/>
        <v>2</v>
      </c>
      <c r="BN107" s="56">
        <f t="shared" si="33"/>
        <v>2</v>
      </c>
      <c r="BQ107" s="54" t="s">
        <v>26</v>
      </c>
      <c r="BR107" s="55">
        <f>BR109</f>
        <v>3</v>
      </c>
      <c r="BS107" s="56">
        <f>BR107</f>
        <v>3</v>
      </c>
      <c r="BT107" s="56">
        <f t="shared" ref="BT107:BT108" si="34">BS107</f>
        <v>3</v>
      </c>
      <c r="BU107" s="56">
        <f t="shared" ref="BU107:BU108" si="35">BT107</f>
        <v>3</v>
      </c>
      <c r="BV107" s="56">
        <f t="shared" ref="BV107:BV108" si="36">BU107</f>
        <v>3</v>
      </c>
      <c r="BW107" s="56">
        <f t="shared" ref="BW107:BW108" si="37">BV107</f>
        <v>3</v>
      </c>
      <c r="BX107" s="56">
        <f t="shared" ref="BX107:BX108" si="38">BW107</f>
        <v>3</v>
      </c>
      <c r="BY107" s="56">
        <f t="shared" ref="BY107:BY108" si="39">BX107</f>
        <v>3</v>
      </c>
      <c r="BZ107" s="56">
        <f t="shared" ref="BZ107:BZ108" si="40">BY107</f>
        <v>3</v>
      </c>
      <c r="CA107" s="56">
        <f t="shared" ref="CA107:CA108" si="41">BZ107</f>
        <v>3</v>
      </c>
      <c r="CB107" s="56">
        <f t="shared" ref="CB107:CB108" si="42">CA107</f>
        <v>3</v>
      </c>
      <c r="CC107" s="56">
        <f t="shared" ref="CC107:CC108" si="43">CB107</f>
        <v>3</v>
      </c>
      <c r="CD107" s="56">
        <f t="shared" ref="CD107:CD108" si="44">CC107</f>
        <v>3</v>
      </c>
      <c r="CE107" s="56">
        <f t="shared" ref="CE107:CE108" si="45">CD107</f>
        <v>3</v>
      </c>
      <c r="CF107" s="56">
        <f t="shared" ref="CF107:CF108" si="46">CE107</f>
        <v>3</v>
      </c>
      <c r="CG107" s="56">
        <f t="shared" ref="CG107:CG108" si="47">CF107</f>
        <v>3</v>
      </c>
      <c r="CH107" s="56">
        <f t="shared" ref="CH107:CH108" si="48">CG107</f>
        <v>3</v>
      </c>
      <c r="CI107" s="56">
        <f t="shared" ref="CI107:CI108" si="49">CH107</f>
        <v>3</v>
      </c>
      <c r="CJ107" s="56">
        <f t="shared" ref="CJ107:CJ108" si="50">CI107</f>
        <v>3</v>
      </c>
      <c r="CK107" s="56">
        <f t="shared" ref="CK107:CK108" si="51">CJ107</f>
        <v>3</v>
      </c>
      <c r="CL107" s="56">
        <f t="shared" ref="CL107:CL108" si="52">CK107</f>
        <v>3</v>
      </c>
      <c r="CM107" s="56">
        <f t="shared" ref="CM107:CM108" si="53">CL107</f>
        <v>3</v>
      </c>
      <c r="CN107" s="56">
        <f t="shared" ref="CN107:CN108" si="54">CM107</f>
        <v>3</v>
      </c>
      <c r="CO107" s="56">
        <f t="shared" ref="CO107:CO108" si="55">CN107</f>
        <v>3</v>
      </c>
      <c r="CP107" s="56">
        <f t="shared" ref="CP107:CP108" si="56">CO107</f>
        <v>3</v>
      </c>
      <c r="CQ107" s="56">
        <f t="shared" ref="CQ107:CQ108" si="57">CP107</f>
        <v>3</v>
      </c>
      <c r="CR107" s="56">
        <f t="shared" ref="CR107:CR108" si="58">CQ107</f>
        <v>3</v>
      </c>
      <c r="CS107" s="56">
        <f t="shared" ref="CS107:CS108" si="59">CR107</f>
        <v>3</v>
      </c>
      <c r="CT107" s="56">
        <f t="shared" ref="CT107:CT108" si="60">CS107</f>
        <v>3</v>
      </c>
      <c r="CU107" s="56">
        <f t="shared" ref="CU107:CU108" si="61">CT107</f>
        <v>3</v>
      </c>
      <c r="CV107" s="56">
        <f t="shared" ref="CV107:CV108" si="62">CU107</f>
        <v>3</v>
      </c>
      <c r="CW107" s="56">
        <f t="shared" ref="CW107:CW108" si="63">CV107</f>
        <v>3</v>
      </c>
      <c r="CX107" s="56">
        <f t="shared" ref="CX107:CX108" si="64">CW107</f>
        <v>3</v>
      </c>
      <c r="CY107" s="56">
        <f t="shared" ref="CY107:CY108" si="65">CX107</f>
        <v>3</v>
      </c>
      <c r="CZ107" s="56">
        <f t="shared" ref="CZ107:CZ108" si="66">CY107</f>
        <v>3</v>
      </c>
      <c r="DA107" s="56">
        <f t="shared" ref="DA107:DA108" si="67">CZ107</f>
        <v>3</v>
      </c>
      <c r="DB107" s="56">
        <f t="shared" ref="DB107:DB108" si="68">DA107</f>
        <v>3</v>
      </c>
      <c r="DC107" s="56">
        <f t="shared" ref="DC107:DC108" si="69">DB107</f>
        <v>3</v>
      </c>
      <c r="DD107" s="56">
        <f t="shared" ref="DD107:DD108" si="70">DC107</f>
        <v>3</v>
      </c>
      <c r="DE107" s="56">
        <f t="shared" ref="DE107:DE108" si="71">DD107</f>
        <v>3</v>
      </c>
      <c r="DF107" s="56">
        <f t="shared" ref="DF107:DF108" si="72">DE107</f>
        <v>3</v>
      </c>
      <c r="DG107" s="56">
        <f t="shared" ref="DG107:DG108" si="73">DF107</f>
        <v>3</v>
      </c>
      <c r="DH107" s="56">
        <f t="shared" ref="DH107:DH108" si="74">DG107</f>
        <v>3</v>
      </c>
      <c r="DI107" s="56">
        <f t="shared" ref="DI107:DI108" si="75">DH107</f>
        <v>3</v>
      </c>
      <c r="DJ107" s="56">
        <f t="shared" ref="DJ107:DJ108" si="76">DI107</f>
        <v>3</v>
      </c>
      <c r="DK107" s="56">
        <f t="shared" ref="DK107:DK108" si="77">DJ107</f>
        <v>3</v>
      </c>
      <c r="DL107" s="56">
        <f t="shared" ref="DL107:DL108" si="78">DK107</f>
        <v>3</v>
      </c>
      <c r="DM107" s="56">
        <f t="shared" ref="DM107:DM108" si="79">DL107</f>
        <v>3</v>
      </c>
      <c r="DN107" s="56">
        <f t="shared" ref="DN107:DN108" si="80">DM107</f>
        <v>3</v>
      </c>
      <c r="DO107" s="56">
        <f t="shared" ref="DO107:DO108" si="81">DN107</f>
        <v>3</v>
      </c>
      <c r="DP107" s="56">
        <f t="shared" ref="DP107:DP108" si="82">DO107</f>
        <v>3</v>
      </c>
    </row>
    <row r="108" spans="1:120" x14ac:dyDescent="0.25">
      <c r="C108" s="36"/>
      <c r="D108" s="36"/>
      <c r="E108" s="36"/>
      <c r="F108" s="36"/>
      <c r="G108" s="36"/>
      <c r="H108" s="36"/>
      <c r="I108" s="36"/>
      <c r="J108" s="93"/>
      <c r="K108" s="29"/>
      <c r="M108" s="29"/>
      <c r="O108" s="54" t="s">
        <v>27</v>
      </c>
      <c r="P108" s="56">
        <f>R109</f>
        <v>1</v>
      </c>
      <c r="Q108" s="56">
        <f>P108</f>
        <v>1</v>
      </c>
      <c r="R108" s="56">
        <f t="shared" si="33"/>
        <v>1</v>
      </c>
      <c r="S108" s="56">
        <f t="shared" si="33"/>
        <v>1</v>
      </c>
      <c r="T108" s="56">
        <f t="shared" si="33"/>
        <v>1</v>
      </c>
      <c r="U108" s="56">
        <f t="shared" si="33"/>
        <v>1</v>
      </c>
      <c r="V108" s="56">
        <f t="shared" si="33"/>
        <v>1</v>
      </c>
      <c r="W108" s="56">
        <f t="shared" si="33"/>
        <v>1</v>
      </c>
      <c r="X108" s="56">
        <f t="shared" si="33"/>
        <v>1</v>
      </c>
      <c r="Y108" s="56">
        <f t="shared" si="33"/>
        <v>1</v>
      </c>
      <c r="Z108" s="56">
        <f t="shared" si="33"/>
        <v>1</v>
      </c>
      <c r="AA108" s="56">
        <f t="shared" si="33"/>
        <v>1</v>
      </c>
      <c r="AB108" s="56">
        <f t="shared" si="33"/>
        <v>1</v>
      </c>
      <c r="AC108" s="56">
        <f t="shared" si="33"/>
        <v>1</v>
      </c>
      <c r="AD108" s="56">
        <f t="shared" si="33"/>
        <v>1</v>
      </c>
      <c r="AE108" s="56">
        <f t="shared" si="33"/>
        <v>1</v>
      </c>
      <c r="AF108" s="56">
        <f t="shared" si="33"/>
        <v>1</v>
      </c>
      <c r="AG108" s="56">
        <f t="shared" si="33"/>
        <v>1</v>
      </c>
      <c r="AH108" s="56">
        <f t="shared" si="33"/>
        <v>1</v>
      </c>
      <c r="AI108" s="56">
        <f t="shared" si="33"/>
        <v>1</v>
      </c>
      <c r="AJ108" s="56">
        <f t="shared" si="33"/>
        <v>1</v>
      </c>
      <c r="AK108" s="56">
        <f t="shared" si="33"/>
        <v>1</v>
      </c>
      <c r="AL108" s="56">
        <f t="shared" si="33"/>
        <v>1</v>
      </c>
      <c r="AM108" s="56">
        <f t="shared" si="33"/>
        <v>1</v>
      </c>
      <c r="AN108" s="56">
        <f t="shared" si="33"/>
        <v>1</v>
      </c>
      <c r="AO108" s="56">
        <f t="shared" si="33"/>
        <v>1</v>
      </c>
      <c r="AP108" s="56">
        <f t="shared" si="33"/>
        <v>1</v>
      </c>
      <c r="AQ108" s="56">
        <f t="shared" si="33"/>
        <v>1</v>
      </c>
      <c r="AR108" s="56">
        <f t="shared" si="33"/>
        <v>1</v>
      </c>
      <c r="AS108" s="56">
        <f t="shared" si="33"/>
        <v>1</v>
      </c>
      <c r="AT108" s="56">
        <f t="shared" si="33"/>
        <v>1</v>
      </c>
      <c r="AU108" s="56">
        <f t="shared" si="33"/>
        <v>1</v>
      </c>
      <c r="AV108" s="56">
        <f t="shared" si="33"/>
        <v>1</v>
      </c>
      <c r="AW108" s="56">
        <f t="shared" si="33"/>
        <v>1</v>
      </c>
      <c r="AX108" s="56">
        <f t="shared" si="33"/>
        <v>1</v>
      </c>
      <c r="AY108" s="56">
        <f t="shared" si="33"/>
        <v>1</v>
      </c>
      <c r="AZ108" s="56">
        <f t="shared" si="33"/>
        <v>1</v>
      </c>
      <c r="BA108" s="56">
        <f t="shared" si="33"/>
        <v>1</v>
      </c>
      <c r="BB108" s="56">
        <f t="shared" si="33"/>
        <v>1</v>
      </c>
      <c r="BC108" s="56">
        <f t="shared" si="33"/>
        <v>1</v>
      </c>
      <c r="BD108" s="56">
        <f t="shared" si="33"/>
        <v>1</v>
      </c>
      <c r="BE108" s="56">
        <f t="shared" si="33"/>
        <v>1</v>
      </c>
      <c r="BF108" s="56">
        <f t="shared" si="33"/>
        <v>1</v>
      </c>
      <c r="BG108" s="56">
        <f t="shared" si="33"/>
        <v>1</v>
      </c>
      <c r="BH108" s="56">
        <f t="shared" si="33"/>
        <v>1</v>
      </c>
      <c r="BI108" s="56">
        <f t="shared" si="33"/>
        <v>1</v>
      </c>
      <c r="BJ108" s="56">
        <f t="shared" si="33"/>
        <v>1</v>
      </c>
      <c r="BK108" s="56">
        <f t="shared" si="33"/>
        <v>1</v>
      </c>
      <c r="BL108" s="56">
        <f t="shared" si="33"/>
        <v>1</v>
      </c>
      <c r="BM108" s="56">
        <f t="shared" si="33"/>
        <v>1</v>
      </c>
      <c r="BN108" s="56">
        <f t="shared" si="33"/>
        <v>1</v>
      </c>
      <c r="BQ108" s="54" t="s">
        <v>27</v>
      </c>
      <c r="BR108" s="56">
        <f>BT109</f>
        <v>1</v>
      </c>
      <c r="BS108" s="56">
        <f>BR108</f>
        <v>1</v>
      </c>
      <c r="BT108" s="56">
        <f t="shared" si="34"/>
        <v>1</v>
      </c>
      <c r="BU108" s="56">
        <f t="shared" si="35"/>
        <v>1</v>
      </c>
      <c r="BV108" s="56">
        <f t="shared" si="36"/>
        <v>1</v>
      </c>
      <c r="BW108" s="56">
        <f t="shared" si="37"/>
        <v>1</v>
      </c>
      <c r="BX108" s="56">
        <f t="shared" si="38"/>
        <v>1</v>
      </c>
      <c r="BY108" s="56">
        <f t="shared" si="39"/>
        <v>1</v>
      </c>
      <c r="BZ108" s="56">
        <f t="shared" si="40"/>
        <v>1</v>
      </c>
      <c r="CA108" s="56">
        <f t="shared" si="41"/>
        <v>1</v>
      </c>
      <c r="CB108" s="56">
        <f t="shared" si="42"/>
        <v>1</v>
      </c>
      <c r="CC108" s="56">
        <f t="shared" si="43"/>
        <v>1</v>
      </c>
      <c r="CD108" s="56">
        <f t="shared" si="44"/>
        <v>1</v>
      </c>
      <c r="CE108" s="56">
        <f t="shared" si="45"/>
        <v>1</v>
      </c>
      <c r="CF108" s="56">
        <f t="shared" si="46"/>
        <v>1</v>
      </c>
      <c r="CG108" s="56">
        <f t="shared" si="47"/>
        <v>1</v>
      </c>
      <c r="CH108" s="56">
        <f t="shared" si="48"/>
        <v>1</v>
      </c>
      <c r="CI108" s="56">
        <f t="shared" si="49"/>
        <v>1</v>
      </c>
      <c r="CJ108" s="56">
        <f t="shared" si="50"/>
        <v>1</v>
      </c>
      <c r="CK108" s="56">
        <f t="shared" si="51"/>
        <v>1</v>
      </c>
      <c r="CL108" s="56">
        <f t="shared" si="52"/>
        <v>1</v>
      </c>
      <c r="CM108" s="56">
        <f t="shared" si="53"/>
        <v>1</v>
      </c>
      <c r="CN108" s="56">
        <f t="shared" si="54"/>
        <v>1</v>
      </c>
      <c r="CO108" s="56">
        <f t="shared" si="55"/>
        <v>1</v>
      </c>
      <c r="CP108" s="56">
        <f t="shared" si="56"/>
        <v>1</v>
      </c>
      <c r="CQ108" s="56">
        <f t="shared" si="57"/>
        <v>1</v>
      </c>
      <c r="CR108" s="56">
        <f t="shared" si="58"/>
        <v>1</v>
      </c>
      <c r="CS108" s="56">
        <f t="shared" si="59"/>
        <v>1</v>
      </c>
      <c r="CT108" s="56">
        <f t="shared" si="60"/>
        <v>1</v>
      </c>
      <c r="CU108" s="56">
        <f t="shared" si="61"/>
        <v>1</v>
      </c>
      <c r="CV108" s="56">
        <f t="shared" si="62"/>
        <v>1</v>
      </c>
      <c r="CW108" s="56">
        <f t="shared" si="63"/>
        <v>1</v>
      </c>
      <c r="CX108" s="56">
        <f t="shared" si="64"/>
        <v>1</v>
      </c>
      <c r="CY108" s="56">
        <f t="shared" si="65"/>
        <v>1</v>
      </c>
      <c r="CZ108" s="56">
        <f t="shared" si="66"/>
        <v>1</v>
      </c>
      <c r="DA108" s="56">
        <f t="shared" si="67"/>
        <v>1</v>
      </c>
      <c r="DB108" s="56">
        <f t="shared" si="68"/>
        <v>1</v>
      </c>
      <c r="DC108" s="56">
        <f t="shared" si="69"/>
        <v>1</v>
      </c>
      <c r="DD108" s="56">
        <f t="shared" si="70"/>
        <v>1</v>
      </c>
      <c r="DE108" s="56">
        <f t="shared" si="71"/>
        <v>1</v>
      </c>
      <c r="DF108" s="56">
        <f t="shared" si="72"/>
        <v>1</v>
      </c>
      <c r="DG108" s="56">
        <f t="shared" si="73"/>
        <v>1</v>
      </c>
      <c r="DH108" s="56">
        <f t="shared" si="74"/>
        <v>1</v>
      </c>
      <c r="DI108" s="56">
        <f t="shared" si="75"/>
        <v>1</v>
      </c>
      <c r="DJ108" s="56">
        <f t="shared" si="76"/>
        <v>1</v>
      </c>
      <c r="DK108" s="56">
        <f t="shared" si="77"/>
        <v>1</v>
      </c>
      <c r="DL108" s="56">
        <f t="shared" si="78"/>
        <v>1</v>
      </c>
      <c r="DM108" s="56">
        <f t="shared" si="79"/>
        <v>1</v>
      </c>
      <c r="DN108" s="56">
        <f t="shared" si="80"/>
        <v>1</v>
      </c>
      <c r="DO108" s="56">
        <f t="shared" si="81"/>
        <v>1</v>
      </c>
      <c r="DP108" s="56">
        <f t="shared" si="82"/>
        <v>1</v>
      </c>
    </row>
    <row r="109" spans="1:120" x14ac:dyDescent="0.25">
      <c r="C109" s="36"/>
      <c r="D109" s="36"/>
      <c r="E109" s="36"/>
      <c r="F109" s="36"/>
      <c r="G109" s="36"/>
      <c r="H109" s="36"/>
      <c r="I109" s="36"/>
      <c r="J109" s="93"/>
      <c r="K109" s="29"/>
      <c r="M109" s="29"/>
      <c r="O109" s="59"/>
      <c r="P109" s="52">
        <v>2</v>
      </c>
      <c r="Q109" s="60" t="str">
        <f>VLOOKUP(P109,$A$85:$B$215,2,FALSE)</f>
        <v>Crank Nicolson</v>
      </c>
      <c r="R109" s="52">
        <f>IF(Q109="Implicit",2,1)</f>
        <v>1</v>
      </c>
      <c r="S109" s="60"/>
      <c r="T109" s="60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Q109" s="59"/>
      <c r="BR109" s="52">
        <v>3</v>
      </c>
      <c r="BS109" s="60" t="str">
        <f>VLOOKUP(BR109,$A$85:$B$215,2,FALSE)</f>
        <v>Crank Nicolson</v>
      </c>
      <c r="BT109" s="52">
        <v>1</v>
      </c>
      <c r="BU109" s="60"/>
      <c r="BV109" s="60"/>
      <c r="BW109" s="54"/>
      <c r="BX109" s="54"/>
      <c r="BY109" s="54"/>
      <c r="BZ109" s="54"/>
      <c r="CA109" s="54"/>
      <c r="CB109" s="54"/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4"/>
      <c r="CS109" s="54"/>
      <c r="CT109" s="54"/>
      <c r="CU109" s="54"/>
      <c r="CV109" s="54"/>
      <c r="CW109" s="54"/>
      <c r="CX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</row>
    <row r="110" spans="1:120" x14ac:dyDescent="0.25">
      <c r="C110" s="36"/>
      <c r="D110" s="36"/>
      <c r="E110" s="36"/>
      <c r="F110" s="36"/>
      <c r="G110" s="36"/>
      <c r="H110" s="36"/>
      <c r="I110" s="36"/>
      <c r="J110" s="93"/>
      <c r="K110" s="29"/>
      <c r="M110" s="29"/>
      <c r="O110" s="11" t="s">
        <v>2</v>
      </c>
      <c r="P110" s="11">
        <f t="shared" ref="P110:AU110" si="83">P23</f>
        <v>50</v>
      </c>
      <c r="Q110" s="11">
        <f t="shared" si="83"/>
        <v>49</v>
      </c>
      <c r="R110" s="11">
        <f t="shared" si="83"/>
        <v>48</v>
      </c>
      <c r="S110" s="11">
        <f t="shared" si="83"/>
        <v>47</v>
      </c>
      <c r="T110" s="11">
        <f t="shared" si="83"/>
        <v>46</v>
      </c>
      <c r="U110" s="11">
        <f t="shared" si="83"/>
        <v>45</v>
      </c>
      <c r="V110" s="11">
        <f t="shared" si="83"/>
        <v>44</v>
      </c>
      <c r="W110" s="11">
        <f t="shared" si="83"/>
        <v>43</v>
      </c>
      <c r="X110" s="11">
        <f t="shared" si="83"/>
        <v>42</v>
      </c>
      <c r="Y110" s="11">
        <f t="shared" si="83"/>
        <v>41</v>
      </c>
      <c r="Z110" s="11">
        <f t="shared" si="83"/>
        <v>40</v>
      </c>
      <c r="AA110" s="11">
        <f t="shared" si="83"/>
        <v>39</v>
      </c>
      <c r="AB110" s="11">
        <f t="shared" si="83"/>
        <v>38</v>
      </c>
      <c r="AC110" s="11">
        <f t="shared" si="83"/>
        <v>37</v>
      </c>
      <c r="AD110" s="11">
        <f t="shared" si="83"/>
        <v>36</v>
      </c>
      <c r="AE110" s="11">
        <f t="shared" si="83"/>
        <v>35</v>
      </c>
      <c r="AF110" s="11">
        <f t="shared" si="83"/>
        <v>34</v>
      </c>
      <c r="AG110" s="11">
        <f t="shared" si="83"/>
        <v>33</v>
      </c>
      <c r="AH110" s="11">
        <f t="shared" si="83"/>
        <v>32</v>
      </c>
      <c r="AI110" s="11">
        <f t="shared" si="83"/>
        <v>31</v>
      </c>
      <c r="AJ110" s="11">
        <f t="shared" si="83"/>
        <v>30</v>
      </c>
      <c r="AK110" s="11">
        <f t="shared" si="83"/>
        <v>29</v>
      </c>
      <c r="AL110" s="11">
        <f t="shared" si="83"/>
        <v>28</v>
      </c>
      <c r="AM110" s="11">
        <f t="shared" si="83"/>
        <v>27</v>
      </c>
      <c r="AN110" s="11">
        <f t="shared" si="83"/>
        <v>26</v>
      </c>
      <c r="AO110" s="11">
        <f t="shared" si="83"/>
        <v>25</v>
      </c>
      <c r="AP110" s="11">
        <f t="shared" si="83"/>
        <v>24</v>
      </c>
      <c r="AQ110" s="11">
        <f t="shared" si="83"/>
        <v>23</v>
      </c>
      <c r="AR110" s="11">
        <f t="shared" si="83"/>
        <v>22</v>
      </c>
      <c r="AS110" s="11">
        <f t="shared" si="83"/>
        <v>21</v>
      </c>
      <c r="AT110" s="11">
        <f t="shared" si="83"/>
        <v>20</v>
      </c>
      <c r="AU110" s="11">
        <f t="shared" si="83"/>
        <v>19</v>
      </c>
      <c r="AV110" s="11">
        <f t="shared" ref="AV110:BN110" si="84">AV23</f>
        <v>18</v>
      </c>
      <c r="AW110" s="11">
        <f t="shared" si="84"/>
        <v>17</v>
      </c>
      <c r="AX110" s="11">
        <f t="shared" si="84"/>
        <v>16</v>
      </c>
      <c r="AY110" s="11">
        <f t="shared" si="84"/>
        <v>15</v>
      </c>
      <c r="AZ110" s="11">
        <f t="shared" si="84"/>
        <v>14</v>
      </c>
      <c r="BA110" s="11">
        <f t="shared" si="84"/>
        <v>13</v>
      </c>
      <c r="BB110" s="11">
        <f t="shared" si="84"/>
        <v>12</v>
      </c>
      <c r="BC110" s="11">
        <f t="shared" si="84"/>
        <v>11</v>
      </c>
      <c r="BD110" s="11">
        <f t="shared" si="84"/>
        <v>10</v>
      </c>
      <c r="BE110" s="11">
        <f t="shared" si="84"/>
        <v>9</v>
      </c>
      <c r="BF110" s="11">
        <f t="shared" si="84"/>
        <v>8</v>
      </c>
      <c r="BG110" s="11">
        <f t="shared" si="84"/>
        <v>7</v>
      </c>
      <c r="BH110" s="11">
        <f t="shared" si="84"/>
        <v>6</v>
      </c>
      <c r="BI110" s="11">
        <f t="shared" si="84"/>
        <v>5</v>
      </c>
      <c r="BJ110" s="11">
        <f t="shared" si="84"/>
        <v>4</v>
      </c>
      <c r="BK110" s="11">
        <f t="shared" si="84"/>
        <v>3</v>
      </c>
      <c r="BL110" s="11">
        <f t="shared" si="84"/>
        <v>2</v>
      </c>
      <c r="BM110" s="11">
        <f t="shared" si="84"/>
        <v>1</v>
      </c>
      <c r="BN110" s="11">
        <f t="shared" si="84"/>
        <v>0</v>
      </c>
      <c r="BQ110" s="11" t="s">
        <v>2</v>
      </c>
      <c r="BR110" s="107">
        <f>P110</f>
        <v>50</v>
      </c>
      <c r="BS110" s="107">
        <f t="shared" ref="BS110:DP110" si="85">Q110</f>
        <v>49</v>
      </c>
      <c r="BT110" s="107">
        <f t="shared" si="85"/>
        <v>48</v>
      </c>
      <c r="BU110" s="107">
        <f t="shared" si="85"/>
        <v>47</v>
      </c>
      <c r="BV110" s="107">
        <f t="shared" si="85"/>
        <v>46</v>
      </c>
      <c r="BW110" s="107">
        <f t="shared" si="85"/>
        <v>45</v>
      </c>
      <c r="BX110" s="107">
        <f t="shared" si="85"/>
        <v>44</v>
      </c>
      <c r="BY110" s="107">
        <f t="shared" si="85"/>
        <v>43</v>
      </c>
      <c r="BZ110" s="107">
        <f t="shared" si="85"/>
        <v>42</v>
      </c>
      <c r="CA110" s="107">
        <f t="shared" si="85"/>
        <v>41</v>
      </c>
      <c r="CB110" s="107">
        <f t="shared" si="85"/>
        <v>40</v>
      </c>
      <c r="CC110" s="107">
        <f t="shared" si="85"/>
        <v>39</v>
      </c>
      <c r="CD110" s="107">
        <f t="shared" si="85"/>
        <v>38</v>
      </c>
      <c r="CE110" s="107">
        <f t="shared" si="85"/>
        <v>37</v>
      </c>
      <c r="CF110" s="107">
        <f t="shared" si="85"/>
        <v>36</v>
      </c>
      <c r="CG110" s="107">
        <f t="shared" si="85"/>
        <v>35</v>
      </c>
      <c r="CH110" s="107">
        <f t="shared" si="85"/>
        <v>34</v>
      </c>
      <c r="CI110" s="107">
        <f t="shared" si="85"/>
        <v>33</v>
      </c>
      <c r="CJ110" s="107">
        <f t="shared" si="85"/>
        <v>32</v>
      </c>
      <c r="CK110" s="107">
        <f t="shared" si="85"/>
        <v>31</v>
      </c>
      <c r="CL110" s="107">
        <f t="shared" si="85"/>
        <v>30</v>
      </c>
      <c r="CM110" s="107">
        <f t="shared" si="85"/>
        <v>29</v>
      </c>
      <c r="CN110" s="107">
        <f t="shared" si="85"/>
        <v>28</v>
      </c>
      <c r="CO110" s="107">
        <f t="shared" si="85"/>
        <v>27</v>
      </c>
      <c r="CP110" s="107">
        <f t="shared" si="85"/>
        <v>26</v>
      </c>
      <c r="CQ110" s="107">
        <f t="shared" si="85"/>
        <v>25</v>
      </c>
      <c r="CR110" s="107">
        <f t="shared" si="85"/>
        <v>24</v>
      </c>
      <c r="CS110" s="107">
        <f t="shared" si="85"/>
        <v>23</v>
      </c>
      <c r="CT110" s="107">
        <f t="shared" si="85"/>
        <v>22</v>
      </c>
      <c r="CU110" s="107">
        <f t="shared" si="85"/>
        <v>21</v>
      </c>
      <c r="CV110" s="107">
        <f t="shared" si="85"/>
        <v>20</v>
      </c>
      <c r="CW110" s="107">
        <f t="shared" si="85"/>
        <v>19</v>
      </c>
      <c r="CX110" s="107">
        <f t="shared" si="85"/>
        <v>18</v>
      </c>
      <c r="CY110" s="107">
        <f t="shared" si="85"/>
        <v>17</v>
      </c>
      <c r="CZ110" s="107">
        <f t="shared" si="85"/>
        <v>16</v>
      </c>
      <c r="DA110" s="107">
        <f t="shared" si="85"/>
        <v>15</v>
      </c>
      <c r="DB110" s="107">
        <f t="shared" si="85"/>
        <v>14</v>
      </c>
      <c r="DC110" s="107">
        <f t="shared" si="85"/>
        <v>13</v>
      </c>
      <c r="DD110" s="107">
        <f t="shared" si="85"/>
        <v>12</v>
      </c>
      <c r="DE110" s="107">
        <f t="shared" si="85"/>
        <v>11</v>
      </c>
      <c r="DF110" s="107">
        <f t="shared" si="85"/>
        <v>10</v>
      </c>
      <c r="DG110" s="107">
        <f t="shared" si="85"/>
        <v>9</v>
      </c>
      <c r="DH110" s="107">
        <f t="shared" si="85"/>
        <v>8</v>
      </c>
      <c r="DI110" s="107">
        <f t="shared" si="85"/>
        <v>7</v>
      </c>
      <c r="DJ110" s="107">
        <f t="shared" si="85"/>
        <v>6</v>
      </c>
      <c r="DK110" s="107">
        <f t="shared" si="85"/>
        <v>5</v>
      </c>
      <c r="DL110" s="107">
        <f t="shared" si="85"/>
        <v>4</v>
      </c>
      <c r="DM110" s="107">
        <f t="shared" si="85"/>
        <v>3</v>
      </c>
      <c r="DN110" s="107">
        <f t="shared" si="85"/>
        <v>2</v>
      </c>
      <c r="DO110" s="107">
        <f t="shared" si="85"/>
        <v>1</v>
      </c>
      <c r="DP110" s="107">
        <f t="shared" si="85"/>
        <v>0</v>
      </c>
    </row>
    <row r="111" spans="1:120" x14ac:dyDescent="0.25">
      <c r="C111" s="36"/>
      <c r="D111" s="36"/>
      <c r="E111" s="36"/>
      <c r="F111" s="36"/>
      <c r="G111" s="36"/>
      <c r="H111" s="36"/>
      <c r="I111" s="36"/>
      <c r="J111" s="93"/>
      <c r="K111" s="29"/>
      <c r="M111" s="29" t="s">
        <v>63</v>
      </c>
      <c r="O111" s="9">
        <f>P110</f>
        <v>50</v>
      </c>
      <c r="P111" s="16">
        <f t="shared" ref="P111:Y120" si="86">IF(P$110=$O111,P$108*HLOOKUP($O111,$O$19:$BN$48,P$107,0)+1,IF(P$110-$O111=1,P$108*HLOOKUP($O111,$O$15:$BN$30,P$107,0),IF(P$110-$O111=-1,P$108*HLOOKUP($O111,$O$23:$BN$68,P$107,0),0)))</f>
        <v>0.97329199678219092</v>
      </c>
      <c r="Q111" s="114">
        <f t="shared" si="86"/>
        <v>1.3160407311389743E-2</v>
      </c>
      <c r="R111" s="16">
        <f t="shared" si="86"/>
        <v>0</v>
      </c>
      <c r="S111" s="16">
        <f t="shared" si="86"/>
        <v>0</v>
      </c>
      <c r="T111" s="16">
        <f t="shared" si="86"/>
        <v>0</v>
      </c>
      <c r="U111" s="16">
        <f t="shared" si="86"/>
        <v>0</v>
      </c>
      <c r="V111" s="16">
        <f t="shared" si="86"/>
        <v>0</v>
      </c>
      <c r="W111" s="16">
        <f t="shared" si="86"/>
        <v>0</v>
      </c>
      <c r="X111" s="16">
        <f t="shared" si="86"/>
        <v>0</v>
      </c>
      <c r="Y111" s="16">
        <f t="shared" si="86"/>
        <v>0</v>
      </c>
      <c r="Z111" s="16">
        <f t="shared" ref="Z111:AI120" si="87">IF(Z$110=$O111,Z$108*HLOOKUP($O111,$O$19:$BN$48,Z$107,0)+1,IF(Z$110-$O111=1,Z$108*HLOOKUP($O111,$O$15:$BN$30,Z$107,0),IF(Z$110-$O111=-1,Z$108*HLOOKUP($O111,$O$23:$BN$68,Z$107,0),0)))</f>
        <v>0</v>
      </c>
      <c r="AA111" s="16">
        <f t="shared" si="87"/>
        <v>0</v>
      </c>
      <c r="AB111" s="16">
        <f t="shared" si="87"/>
        <v>0</v>
      </c>
      <c r="AC111" s="16">
        <f t="shared" si="87"/>
        <v>0</v>
      </c>
      <c r="AD111" s="16">
        <f t="shared" si="87"/>
        <v>0</v>
      </c>
      <c r="AE111" s="16">
        <f t="shared" si="87"/>
        <v>0</v>
      </c>
      <c r="AF111" s="16">
        <f t="shared" si="87"/>
        <v>0</v>
      </c>
      <c r="AG111" s="16">
        <f t="shared" si="87"/>
        <v>0</v>
      </c>
      <c r="AH111" s="16">
        <f t="shared" si="87"/>
        <v>0</v>
      </c>
      <c r="AI111" s="16">
        <f t="shared" si="87"/>
        <v>0</v>
      </c>
      <c r="AJ111" s="16">
        <f t="shared" ref="AJ111:AS120" si="88">IF(AJ$110=$O111,AJ$108*HLOOKUP($O111,$O$19:$BN$48,AJ$107,0)+1,IF(AJ$110-$O111=1,AJ$108*HLOOKUP($O111,$O$15:$BN$30,AJ$107,0),IF(AJ$110-$O111=-1,AJ$108*HLOOKUP($O111,$O$23:$BN$68,AJ$107,0),0)))</f>
        <v>0</v>
      </c>
      <c r="AK111" s="16">
        <f t="shared" si="88"/>
        <v>0</v>
      </c>
      <c r="AL111" s="16">
        <f t="shared" si="88"/>
        <v>0</v>
      </c>
      <c r="AM111" s="16">
        <f t="shared" si="88"/>
        <v>0</v>
      </c>
      <c r="AN111" s="16">
        <f t="shared" si="88"/>
        <v>0</v>
      </c>
      <c r="AO111" s="16">
        <f t="shared" si="88"/>
        <v>0</v>
      </c>
      <c r="AP111" s="16">
        <f t="shared" si="88"/>
        <v>0</v>
      </c>
      <c r="AQ111" s="16">
        <f t="shared" si="88"/>
        <v>0</v>
      </c>
      <c r="AR111" s="16">
        <f t="shared" si="88"/>
        <v>0</v>
      </c>
      <c r="AS111" s="16">
        <f t="shared" si="88"/>
        <v>0</v>
      </c>
      <c r="AT111" s="16">
        <f t="shared" ref="AT111:BC120" si="89">IF(AT$110=$O111,AT$108*HLOOKUP($O111,$O$19:$BN$48,AT$107,0)+1,IF(AT$110-$O111=1,AT$108*HLOOKUP($O111,$O$15:$BN$30,AT$107,0),IF(AT$110-$O111=-1,AT$108*HLOOKUP($O111,$O$23:$BN$68,AT$107,0),0)))</f>
        <v>0</v>
      </c>
      <c r="AU111" s="16">
        <f t="shared" si="89"/>
        <v>0</v>
      </c>
      <c r="AV111" s="16">
        <f t="shared" si="89"/>
        <v>0</v>
      </c>
      <c r="AW111" s="16">
        <f t="shared" si="89"/>
        <v>0</v>
      </c>
      <c r="AX111" s="16">
        <f t="shared" si="89"/>
        <v>0</v>
      </c>
      <c r="AY111" s="16">
        <f t="shared" si="89"/>
        <v>0</v>
      </c>
      <c r="AZ111" s="16">
        <f t="shared" si="89"/>
        <v>0</v>
      </c>
      <c r="BA111" s="16">
        <f t="shared" si="89"/>
        <v>0</v>
      </c>
      <c r="BB111" s="16">
        <f t="shared" si="89"/>
        <v>0</v>
      </c>
      <c r="BC111" s="16">
        <f t="shared" si="89"/>
        <v>0</v>
      </c>
      <c r="BD111" s="16">
        <f t="shared" ref="BD111:BN120" si="90">IF(BD$110=$O111,BD$108*HLOOKUP($O111,$O$19:$BN$48,BD$107,0)+1,IF(BD$110-$O111=1,BD$108*HLOOKUP($O111,$O$15:$BN$30,BD$107,0),IF(BD$110-$O111=-1,BD$108*HLOOKUP($O111,$O$23:$BN$68,BD$107,0),0)))</f>
        <v>0</v>
      </c>
      <c r="BE111" s="16">
        <f t="shared" si="90"/>
        <v>0</v>
      </c>
      <c r="BF111" s="16">
        <f t="shared" si="90"/>
        <v>0</v>
      </c>
      <c r="BG111" s="16">
        <f t="shared" si="90"/>
        <v>0</v>
      </c>
      <c r="BH111" s="16">
        <f t="shared" si="90"/>
        <v>0</v>
      </c>
      <c r="BI111" s="16">
        <f t="shared" si="90"/>
        <v>0</v>
      </c>
      <c r="BJ111" s="16">
        <f t="shared" si="90"/>
        <v>0</v>
      </c>
      <c r="BK111" s="16">
        <f t="shared" si="90"/>
        <v>0</v>
      </c>
      <c r="BL111" s="16">
        <f t="shared" si="90"/>
        <v>0</v>
      </c>
      <c r="BM111" s="16">
        <f t="shared" si="90"/>
        <v>0</v>
      </c>
      <c r="BN111" s="16">
        <f t="shared" si="90"/>
        <v>0</v>
      </c>
      <c r="BQ111" s="9">
        <f>BR110</f>
        <v>50</v>
      </c>
      <c r="BR111" s="16">
        <f t="shared" ref="BR111:CA120" si="91">IF(BR$110=$O111,BR$108*HLOOKUP($O111,$O$19:$BN$48,BR$107,0)+1,IF(BR$110-$O111=1,BR$108*HLOOKUP($O111,$O$15:$BN$30,BR$107,0),IF(BR$110-$O111=-1,BR$108*HLOOKUP($O111,$O$23:$BN$68,BR$107,0),0)))</f>
        <v>0.80175752729286887</v>
      </c>
      <c r="BS111" s="114">
        <f t="shared" si="91"/>
        <v>9.7684265872157797E-2</v>
      </c>
      <c r="BT111" s="16">
        <f t="shared" si="91"/>
        <v>0</v>
      </c>
      <c r="BU111" s="16">
        <f t="shared" si="91"/>
        <v>0</v>
      </c>
      <c r="BV111" s="16">
        <f t="shared" si="91"/>
        <v>0</v>
      </c>
      <c r="BW111" s="16">
        <f t="shared" si="91"/>
        <v>0</v>
      </c>
      <c r="BX111" s="16">
        <f t="shared" si="91"/>
        <v>0</v>
      </c>
      <c r="BY111" s="16">
        <f t="shared" si="91"/>
        <v>0</v>
      </c>
      <c r="BZ111" s="16">
        <f t="shared" si="91"/>
        <v>0</v>
      </c>
      <c r="CA111" s="16">
        <f t="shared" si="91"/>
        <v>0</v>
      </c>
      <c r="CB111" s="16">
        <f t="shared" ref="CB111:CK120" si="92">IF(CB$110=$O111,CB$108*HLOOKUP($O111,$O$19:$BN$48,CB$107,0)+1,IF(CB$110-$O111=1,CB$108*HLOOKUP($O111,$O$15:$BN$30,CB$107,0),IF(CB$110-$O111=-1,CB$108*HLOOKUP($O111,$O$23:$BN$68,CB$107,0),0)))</f>
        <v>0</v>
      </c>
      <c r="CC111" s="16">
        <f t="shared" si="92"/>
        <v>0</v>
      </c>
      <c r="CD111" s="16">
        <f t="shared" si="92"/>
        <v>0</v>
      </c>
      <c r="CE111" s="16">
        <f t="shared" si="92"/>
        <v>0</v>
      </c>
      <c r="CF111" s="16">
        <f t="shared" si="92"/>
        <v>0</v>
      </c>
      <c r="CG111" s="16">
        <f t="shared" si="92"/>
        <v>0</v>
      </c>
      <c r="CH111" s="16">
        <f t="shared" si="92"/>
        <v>0</v>
      </c>
      <c r="CI111" s="16">
        <f t="shared" si="92"/>
        <v>0</v>
      </c>
      <c r="CJ111" s="16">
        <f t="shared" si="92"/>
        <v>0</v>
      </c>
      <c r="CK111" s="16">
        <f t="shared" si="92"/>
        <v>0</v>
      </c>
      <c r="CL111" s="16">
        <f t="shared" ref="CL111:CU120" si="93">IF(CL$110=$O111,CL$108*HLOOKUP($O111,$O$19:$BN$48,CL$107,0)+1,IF(CL$110-$O111=1,CL$108*HLOOKUP($O111,$O$15:$BN$30,CL$107,0),IF(CL$110-$O111=-1,CL$108*HLOOKUP($O111,$O$23:$BN$68,CL$107,0),0)))</f>
        <v>0</v>
      </c>
      <c r="CM111" s="16">
        <f t="shared" si="93"/>
        <v>0</v>
      </c>
      <c r="CN111" s="16">
        <f t="shared" si="93"/>
        <v>0</v>
      </c>
      <c r="CO111" s="16">
        <f t="shared" si="93"/>
        <v>0</v>
      </c>
      <c r="CP111" s="16">
        <f t="shared" si="93"/>
        <v>0</v>
      </c>
      <c r="CQ111" s="16">
        <f t="shared" si="93"/>
        <v>0</v>
      </c>
      <c r="CR111" s="16">
        <f t="shared" si="93"/>
        <v>0</v>
      </c>
      <c r="CS111" s="16">
        <f t="shared" si="93"/>
        <v>0</v>
      </c>
      <c r="CT111" s="16">
        <f t="shared" si="93"/>
        <v>0</v>
      </c>
      <c r="CU111" s="16">
        <f t="shared" si="93"/>
        <v>0</v>
      </c>
      <c r="CV111" s="16">
        <f t="shared" ref="CV111:DE120" si="94">IF(CV$110=$O111,CV$108*HLOOKUP($O111,$O$19:$BN$48,CV$107,0)+1,IF(CV$110-$O111=1,CV$108*HLOOKUP($O111,$O$15:$BN$30,CV$107,0),IF(CV$110-$O111=-1,CV$108*HLOOKUP($O111,$O$23:$BN$68,CV$107,0),0)))</f>
        <v>0</v>
      </c>
      <c r="CW111" s="16">
        <f t="shared" si="94"/>
        <v>0</v>
      </c>
      <c r="CX111" s="16">
        <f t="shared" si="94"/>
        <v>0</v>
      </c>
      <c r="CY111" s="16">
        <f t="shared" si="94"/>
        <v>0</v>
      </c>
      <c r="CZ111" s="16">
        <f t="shared" si="94"/>
        <v>0</v>
      </c>
      <c r="DA111" s="16">
        <f t="shared" si="94"/>
        <v>0</v>
      </c>
      <c r="DB111" s="16">
        <f t="shared" si="94"/>
        <v>0</v>
      </c>
      <c r="DC111" s="16">
        <f t="shared" si="94"/>
        <v>0</v>
      </c>
      <c r="DD111" s="16">
        <f t="shared" si="94"/>
        <v>0</v>
      </c>
      <c r="DE111" s="16">
        <f t="shared" si="94"/>
        <v>0</v>
      </c>
      <c r="DF111" s="16">
        <f t="shared" ref="DF111:DP120" si="95">IF(DF$110=$O111,DF$108*HLOOKUP($O111,$O$19:$BN$48,DF$107,0)+1,IF(DF$110-$O111=1,DF$108*HLOOKUP($O111,$O$15:$BN$30,DF$107,0),IF(DF$110-$O111=-1,DF$108*HLOOKUP($O111,$O$23:$BN$68,DF$107,0),0)))</f>
        <v>0</v>
      </c>
      <c r="DG111" s="16">
        <f t="shared" si="95"/>
        <v>0</v>
      </c>
      <c r="DH111" s="16">
        <f t="shared" si="95"/>
        <v>0</v>
      </c>
      <c r="DI111" s="16">
        <f t="shared" si="95"/>
        <v>0</v>
      </c>
      <c r="DJ111" s="16">
        <f t="shared" si="95"/>
        <v>0</v>
      </c>
      <c r="DK111" s="16">
        <f t="shared" si="95"/>
        <v>0</v>
      </c>
      <c r="DL111" s="16">
        <f t="shared" si="95"/>
        <v>0</v>
      </c>
      <c r="DM111" s="16">
        <f t="shared" si="95"/>
        <v>0</v>
      </c>
      <c r="DN111" s="16">
        <f t="shared" si="95"/>
        <v>0</v>
      </c>
      <c r="DO111" s="16">
        <f t="shared" si="95"/>
        <v>0</v>
      </c>
      <c r="DP111" s="16">
        <f t="shared" si="95"/>
        <v>0</v>
      </c>
    </row>
    <row r="112" spans="1:120" x14ac:dyDescent="0.25">
      <c r="C112" s="36"/>
      <c r="D112" s="36"/>
      <c r="E112" s="36"/>
      <c r="F112" s="36"/>
      <c r="G112" s="36"/>
      <c r="H112" s="36"/>
      <c r="I112" s="36"/>
      <c r="J112" s="93"/>
      <c r="K112" s="29"/>
      <c r="M112" s="29"/>
      <c r="O112" s="9">
        <f>O111-1</f>
        <v>49</v>
      </c>
      <c r="P112" s="16">
        <f t="shared" si="86"/>
        <v>1.3547595906419362E-2</v>
      </c>
      <c r="Q112" s="16">
        <f t="shared" si="86"/>
        <v>0.97329199678219092</v>
      </c>
      <c r="R112" s="16">
        <f t="shared" si="86"/>
        <v>1.3160407311389743E-2</v>
      </c>
      <c r="S112" s="16">
        <f t="shared" si="86"/>
        <v>0</v>
      </c>
      <c r="T112" s="16">
        <f t="shared" si="86"/>
        <v>0</v>
      </c>
      <c r="U112" s="16">
        <f t="shared" si="86"/>
        <v>0</v>
      </c>
      <c r="V112" s="16">
        <f t="shared" si="86"/>
        <v>0</v>
      </c>
      <c r="W112" s="16">
        <f t="shared" si="86"/>
        <v>0</v>
      </c>
      <c r="X112" s="16">
        <f t="shared" si="86"/>
        <v>0</v>
      </c>
      <c r="Y112" s="16">
        <f t="shared" si="86"/>
        <v>0</v>
      </c>
      <c r="Z112" s="16">
        <f t="shared" si="87"/>
        <v>0</v>
      </c>
      <c r="AA112" s="16">
        <f t="shared" si="87"/>
        <v>0</v>
      </c>
      <c r="AB112" s="16">
        <f t="shared" si="87"/>
        <v>0</v>
      </c>
      <c r="AC112" s="16">
        <f t="shared" si="87"/>
        <v>0</v>
      </c>
      <c r="AD112" s="16">
        <f t="shared" si="87"/>
        <v>0</v>
      </c>
      <c r="AE112" s="16">
        <f t="shared" si="87"/>
        <v>0</v>
      </c>
      <c r="AF112" s="16">
        <f t="shared" si="87"/>
        <v>0</v>
      </c>
      <c r="AG112" s="16">
        <f t="shared" si="87"/>
        <v>0</v>
      </c>
      <c r="AH112" s="16">
        <f t="shared" si="87"/>
        <v>0</v>
      </c>
      <c r="AI112" s="16">
        <f t="shared" si="87"/>
        <v>0</v>
      </c>
      <c r="AJ112" s="16">
        <f t="shared" si="88"/>
        <v>0</v>
      </c>
      <c r="AK112" s="16">
        <f t="shared" si="88"/>
        <v>0</v>
      </c>
      <c r="AL112" s="16">
        <f t="shared" si="88"/>
        <v>0</v>
      </c>
      <c r="AM112" s="16">
        <f t="shared" si="88"/>
        <v>0</v>
      </c>
      <c r="AN112" s="16">
        <f t="shared" si="88"/>
        <v>0</v>
      </c>
      <c r="AO112" s="16">
        <f t="shared" si="88"/>
        <v>0</v>
      </c>
      <c r="AP112" s="16">
        <f t="shared" si="88"/>
        <v>0</v>
      </c>
      <c r="AQ112" s="16">
        <f t="shared" si="88"/>
        <v>0</v>
      </c>
      <c r="AR112" s="16">
        <f t="shared" si="88"/>
        <v>0</v>
      </c>
      <c r="AS112" s="16">
        <f t="shared" si="88"/>
        <v>0</v>
      </c>
      <c r="AT112" s="16">
        <f t="shared" si="89"/>
        <v>0</v>
      </c>
      <c r="AU112" s="16">
        <f t="shared" si="89"/>
        <v>0</v>
      </c>
      <c r="AV112" s="16">
        <f t="shared" si="89"/>
        <v>0</v>
      </c>
      <c r="AW112" s="16">
        <f t="shared" si="89"/>
        <v>0</v>
      </c>
      <c r="AX112" s="16">
        <f t="shared" si="89"/>
        <v>0</v>
      </c>
      <c r="AY112" s="16">
        <f t="shared" si="89"/>
        <v>0</v>
      </c>
      <c r="AZ112" s="16">
        <f t="shared" si="89"/>
        <v>0</v>
      </c>
      <c r="BA112" s="16">
        <f t="shared" si="89"/>
        <v>0</v>
      </c>
      <c r="BB112" s="16">
        <f t="shared" si="89"/>
        <v>0</v>
      </c>
      <c r="BC112" s="16">
        <f t="shared" si="89"/>
        <v>0</v>
      </c>
      <c r="BD112" s="16">
        <f t="shared" si="90"/>
        <v>0</v>
      </c>
      <c r="BE112" s="16">
        <f t="shared" si="90"/>
        <v>0</v>
      </c>
      <c r="BF112" s="16">
        <f t="shared" si="90"/>
        <v>0</v>
      </c>
      <c r="BG112" s="16">
        <f t="shared" si="90"/>
        <v>0</v>
      </c>
      <c r="BH112" s="16">
        <f t="shared" si="90"/>
        <v>0</v>
      </c>
      <c r="BI112" s="16">
        <f t="shared" si="90"/>
        <v>0</v>
      </c>
      <c r="BJ112" s="16">
        <f t="shared" si="90"/>
        <v>0</v>
      </c>
      <c r="BK112" s="16">
        <f t="shared" si="90"/>
        <v>0</v>
      </c>
      <c r="BL112" s="16">
        <f t="shared" si="90"/>
        <v>0</v>
      </c>
      <c r="BM112" s="16">
        <f t="shared" si="90"/>
        <v>0</v>
      </c>
      <c r="BN112" s="16">
        <f t="shared" si="90"/>
        <v>0</v>
      </c>
      <c r="BQ112" s="9">
        <f>BQ111-1</f>
        <v>49</v>
      </c>
      <c r="BR112" s="16">
        <f t="shared" si="91"/>
        <v>0.10055820683497335</v>
      </c>
      <c r="BS112" s="16">
        <f t="shared" si="91"/>
        <v>0.80175752729286887</v>
      </c>
      <c r="BT112" s="16">
        <f t="shared" si="91"/>
        <v>9.7684265872157797E-2</v>
      </c>
      <c r="BU112" s="16">
        <f t="shared" si="91"/>
        <v>0</v>
      </c>
      <c r="BV112" s="16">
        <f t="shared" si="91"/>
        <v>0</v>
      </c>
      <c r="BW112" s="16">
        <f t="shared" si="91"/>
        <v>0</v>
      </c>
      <c r="BX112" s="16">
        <f t="shared" si="91"/>
        <v>0</v>
      </c>
      <c r="BY112" s="16">
        <f t="shared" si="91"/>
        <v>0</v>
      </c>
      <c r="BZ112" s="16">
        <f t="shared" si="91"/>
        <v>0</v>
      </c>
      <c r="CA112" s="16">
        <f t="shared" si="91"/>
        <v>0</v>
      </c>
      <c r="CB112" s="16">
        <f t="shared" si="92"/>
        <v>0</v>
      </c>
      <c r="CC112" s="16">
        <f t="shared" si="92"/>
        <v>0</v>
      </c>
      <c r="CD112" s="16">
        <f t="shared" si="92"/>
        <v>0</v>
      </c>
      <c r="CE112" s="16">
        <f t="shared" si="92"/>
        <v>0</v>
      </c>
      <c r="CF112" s="16">
        <f t="shared" si="92"/>
        <v>0</v>
      </c>
      <c r="CG112" s="16">
        <f t="shared" si="92"/>
        <v>0</v>
      </c>
      <c r="CH112" s="16">
        <f t="shared" si="92"/>
        <v>0</v>
      </c>
      <c r="CI112" s="16">
        <f t="shared" si="92"/>
        <v>0</v>
      </c>
      <c r="CJ112" s="16">
        <f t="shared" si="92"/>
        <v>0</v>
      </c>
      <c r="CK112" s="16">
        <f t="shared" si="92"/>
        <v>0</v>
      </c>
      <c r="CL112" s="16">
        <f t="shared" si="93"/>
        <v>0</v>
      </c>
      <c r="CM112" s="16">
        <f t="shared" si="93"/>
        <v>0</v>
      </c>
      <c r="CN112" s="16">
        <f t="shared" si="93"/>
        <v>0</v>
      </c>
      <c r="CO112" s="16">
        <f t="shared" si="93"/>
        <v>0</v>
      </c>
      <c r="CP112" s="16">
        <f t="shared" si="93"/>
        <v>0</v>
      </c>
      <c r="CQ112" s="16">
        <f t="shared" si="93"/>
        <v>0</v>
      </c>
      <c r="CR112" s="16">
        <f t="shared" si="93"/>
        <v>0</v>
      </c>
      <c r="CS112" s="16">
        <f t="shared" si="93"/>
        <v>0</v>
      </c>
      <c r="CT112" s="16">
        <f t="shared" si="93"/>
        <v>0</v>
      </c>
      <c r="CU112" s="16">
        <f t="shared" si="93"/>
        <v>0</v>
      </c>
      <c r="CV112" s="16">
        <f t="shared" si="94"/>
        <v>0</v>
      </c>
      <c r="CW112" s="16">
        <f t="shared" si="94"/>
        <v>0</v>
      </c>
      <c r="CX112" s="16">
        <f t="shared" si="94"/>
        <v>0</v>
      </c>
      <c r="CY112" s="16">
        <f t="shared" si="94"/>
        <v>0</v>
      </c>
      <c r="CZ112" s="16">
        <f t="shared" si="94"/>
        <v>0</v>
      </c>
      <c r="DA112" s="16">
        <f t="shared" si="94"/>
        <v>0</v>
      </c>
      <c r="DB112" s="16">
        <f t="shared" si="94"/>
        <v>0</v>
      </c>
      <c r="DC112" s="16">
        <f t="shared" si="94"/>
        <v>0</v>
      </c>
      <c r="DD112" s="16">
        <f t="shared" si="94"/>
        <v>0</v>
      </c>
      <c r="DE112" s="16">
        <f t="shared" si="94"/>
        <v>0</v>
      </c>
      <c r="DF112" s="16">
        <f t="shared" si="95"/>
        <v>0</v>
      </c>
      <c r="DG112" s="16">
        <f t="shared" si="95"/>
        <v>0</v>
      </c>
      <c r="DH112" s="16">
        <f t="shared" si="95"/>
        <v>0</v>
      </c>
      <c r="DI112" s="16">
        <f t="shared" si="95"/>
        <v>0</v>
      </c>
      <c r="DJ112" s="16">
        <f t="shared" si="95"/>
        <v>0</v>
      </c>
      <c r="DK112" s="16">
        <f t="shared" si="95"/>
        <v>0</v>
      </c>
      <c r="DL112" s="16">
        <f t="shared" si="95"/>
        <v>0</v>
      </c>
      <c r="DM112" s="16">
        <f t="shared" si="95"/>
        <v>0</v>
      </c>
      <c r="DN112" s="16">
        <f t="shared" si="95"/>
        <v>0</v>
      </c>
      <c r="DO112" s="16">
        <f t="shared" si="95"/>
        <v>0</v>
      </c>
      <c r="DP112" s="16">
        <f t="shared" si="95"/>
        <v>0</v>
      </c>
    </row>
    <row r="113" spans="3:120" x14ac:dyDescent="0.25">
      <c r="C113" s="36"/>
      <c r="D113" s="36"/>
      <c r="E113" s="36"/>
      <c r="F113" s="36"/>
      <c r="G113" s="36"/>
      <c r="H113" s="36"/>
      <c r="I113" s="36"/>
      <c r="J113" s="93"/>
      <c r="K113" s="29"/>
      <c r="M113" s="29"/>
      <c r="O113" s="9">
        <f t="shared" ref="O113:O161" si="96">O112-1</f>
        <v>48</v>
      </c>
      <c r="P113" s="16">
        <f t="shared" si="86"/>
        <v>0</v>
      </c>
      <c r="Q113" s="16">
        <f t="shared" si="86"/>
        <v>1.3547595906419362E-2</v>
      </c>
      <c r="R113" s="16">
        <f t="shared" si="86"/>
        <v>0.97329199678219092</v>
      </c>
      <c r="S113" s="16">
        <f t="shared" si="86"/>
        <v>1.3160407311389743E-2</v>
      </c>
      <c r="T113" s="16">
        <f t="shared" si="86"/>
        <v>0</v>
      </c>
      <c r="U113" s="16">
        <f t="shared" si="86"/>
        <v>0</v>
      </c>
      <c r="V113" s="16">
        <f t="shared" si="86"/>
        <v>0</v>
      </c>
      <c r="W113" s="16">
        <f t="shared" si="86"/>
        <v>0</v>
      </c>
      <c r="X113" s="16">
        <f t="shared" si="86"/>
        <v>0</v>
      </c>
      <c r="Y113" s="16">
        <f t="shared" si="86"/>
        <v>0</v>
      </c>
      <c r="Z113" s="16">
        <f t="shared" si="87"/>
        <v>0</v>
      </c>
      <c r="AA113" s="16">
        <f t="shared" si="87"/>
        <v>0</v>
      </c>
      <c r="AB113" s="16">
        <f t="shared" si="87"/>
        <v>0</v>
      </c>
      <c r="AC113" s="16">
        <f t="shared" si="87"/>
        <v>0</v>
      </c>
      <c r="AD113" s="16">
        <f t="shared" si="87"/>
        <v>0</v>
      </c>
      <c r="AE113" s="16">
        <f t="shared" si="87"/>
        <v>0</v>
      </c>
      <c r="AF113" s="16">
        <f t="shared" si="87"/>
        <v>0</v>
      </c>
      <c r="AG113" s="16">
        <f t="shared" si="87"/>
        <v>0</v>
      </c>
      <c r="AH113" s="16">
        <f t="shared" si="87"/>
        <v>0</v>
      </c>
      <c r="AI113" s="16">
        <f t="shared" si="87"/>
        <v>0</v>
      </c>
      <c r="AJ113" s="16">
        <f t="shared" si="88"/>
        <v>0</v>
      </c>
      <c r="AK113" s="16">
        <f t="shared" si="88"/>
        <v>0</v>
      </c>
      <c r="AL113" s="16">
        <f t="shared" si="88"/>
        <v>0</v>
      </c>
      <c r="AM113" s="16">
        <f t="shared" si="88"/>
        <v>0</v>
      </c>
      <c r="AN113" s="16">
        <f t="shared" si="88"/>
        <v>0</v>
      </c>
      <c r="AO113" s="16">
        <f t="shared" si="88"/>
        <v>0</v>
      </c>
      <c r="AP113" s="16">
        <f t="shared" si="88"/>
        <v>0</v>
      </c>
      <c r="AQ113" s="16">
        <f t="shared" si="88"/>
        <v>0</v>
      </c>
      <c r="AR113" s="16">
        <f t="shared" si="88"/>
        <v>0</v>
      </c>
      <c r="AS113" s="16">
        <f t="shared" si="88"/>
        <v>0</v>
      </c>
      <c r="AT113" s="16">
        <f t="shared" si="89"/>
        <v>0</v>
      </c>
      <c r="AU113" s="16">
        <f t="shared" si="89"/>
        <v>0</v>
      </c>
      <c r="AV113" s="16">
        <f t="shared" si="89"/>
        <v>0</v>
      </c>
      <c r="AW113" s="16">
        <f t="shared" si="89"/>
        <v>0</v>
      </c>
      <c r="AX113" s="16">
        <f t="shared" si="89"/>
        <v>0</v>
      </c>
      <c r="AY113" s="16">
        <f t="shared" si="89"/>
        <v>0</v>
      </c>
      <c r="AZ113" s="16">
        <f t="shared" si="89"/>
        <v>0</v>
      </c>
      <c r="BA113" s="16">
        <f t="shared" si="89"/>
        <v>0</v>
      </c>
      <c r="BB113" s="16">
        <f t="shared" si="89"/>
        <v>0</v>
      </c>
      <c r="BC113" s="16">
        <f t="shared" si="89"/>
        <v>0</v>
      </c>
      <c r="BD113" s="16">
        <f t="shared" si="90"/>
        <v>0</v>
      </c>
      <c r="BE113" s="16">
        <f t="shared" si="90"/>
        <v>0</v>
      </c>
      <c r="BF113" s="16">
        <f t="shared" si="90"/>
        <v>0</v>
      </c>
      <c r="BG113" s="16">
        <f t="shared" si="90"/>
        <v>0</v>
      </c>
      <c r="BH113" s="16">
        <f t="shared" si="90"/>
        <v>0</v>
      </c>
      <c r="BI113" s="16">
        <f t="shared" si="90"/>
        <v>0</v>
      </c>
      <c r="BJ113" s="16">
        <f t="shared" si="90"/>
        <v>0</v>
      </c>
      <c r="BK113" s="16">
        <f t="shared" si="90"/>
        <v>0</v>
      </c>
      <c r="BL113" s="16">
        <f t="shared" si="90"/>
        <v>0</v>
      </c>
      <c r="BM113" s="16">
        <f t="shared" si="90"/>
        <v>0</v>
      </c>
      <c r="BN113" s="16">
        <f t="shared" si="90"/>
        <v>0</v>
      </c>
      <c r="BQ113" s="9">
        <f t="shared" ref="BQ113:BQ161" si="97">BQ112-1</f>
        <v>48</v>
      </c>
      <c r="BR113" s="16">
        <f t="shared" si="91"/>
        <v>0</v>
      </c>
      <c r="BS113" s="16">
        <f t="shared" si="91"/>
        <v>0.10055820683497335</v>
      </c>
      <c r="BT113" s="16">
        <f t="shared" si="91"/>
        <v>0.80175752729286887</v>
      </c>
      <c r="BU113" s="16">
        <f t="shared" si="91"/>
        <v>9.7684265872157797E-2</v>
      </c>
      <c r="BV113" s="16">
        <f t="shared" si="91"/>
        <v>0</v>
      </c>
      <c r="BW113" s="16">
        <f t="shared" si="91"/>
        <v>0</v>
      </c>
      <c r="BX113" s="16">
        <f t="shared" si="91"/>
        <v>0</v>
      </c>
      <c r="BY113" s="16">
        <f t="shared" si="91"/>
        <v>0</v>
      </c>
      <c r="BZ113" s="16">
        <f t="shared" si="91"/>
        <v>0</v>
      </c>
      <c r="CA113" s="16">
        <f t="shared" si="91"/>
        <v>0</v>
      </c>
      <c r="CB113" s="16">
        <f t="shared" si="92"/>
        <v>0</v>
      </c>
      <c r="CC113" s="16">
        <f t="shared" si="92"/>
        <v>0</v>
      </c>
      <c r="CD113" s="16">
        <f t="shared" si="92"/>
        <v>0</v>
      </c>
      <c r="CE113" s="16">
        <f t="shared" si="92"/>
        <v>0</v>
      </c>
      <c r="CF113" s="16">
        <f t="shared" si="92"/>
        <v>0</v>
      </c>
      <c r="CG113" s="16">
        <f t="shared" si="92"/>
        <v>0</v>
      </c>
      <c r="CH113" s="16">
        <f t="shared" si="92"/>
        <v>0</v>
      </c>
      <c r="CI113" s="16">
        <f t="shared" si="92"/>
        <v>0</v>
      </c>
      <c r="CJ113" s="16">
        <f t="shared" si="92"/>
        <v>0</v>
      </c>
      <c r="CK113" s="16">
        <f t="shared" si="92"/>
        <v>0</v>
      </c>
      <c r="CL113" s="16">
        <f t="shared" si="93"/>
        <v>0</v>
      </c>
      <c r="CM113" s="16">
        <f t="shared" si="93"/>
        <v>0</v>
      </c>
      <c r="CN113" s="16">
        <f t="shared" si="93"/>
        <v>0</v>
      </c>
      <c r="CO113" s="16">
        <f t="shared" si="93"/>
        <v>0</v>
      </c>
      <c r="CP113" s="16">
        <f t="shared" si="93"/>
        <v>0</v>
      </c>
      <c r="CQ113" s="16">
        <f t="shared" si="93"/>
        <v>0</v>
      </c>
      <c r="CR113" s="16">
        <f t="shared" si="93"/>
        <v>0</v>
      </c>
      <c r="CS113" s="16">
        <f t="shared" si="93"/>
        <v>0</v>
      </c>
      <c r="CT113" s="16">
        <f t="shared" si="93"/>
        <v>0</v>
      </c>
      <c r="CU113" s="16">
        <f t="shared" si="93"/>
        <v>0</v>
      </c>
      <c r="CV113" s="16">
        <f t="shared" si="94"/>
        <v>0</v>
      </c>
      <c r="CW113" s="16">
        <f t="shared" si="94"/>
        <v>0</v>
      </c>
      <c r="CX113" s="16">
        <f t="shared" si="94"/>
        <v>0</v>
      </c>
      <c r="CY113" s="16">
        <f t="shared" si="94"/>
        <v>0</v>
      </c>
      <c r="CZ113" s="16">
        <f t="shared" si="94"/>
        <v>0</v>
      </c>
      <c r="DA113" s="16">
        <f t="shared" si="94"/>
        <v>0</v>
      </c>
      <c r="DB113" s="16">
        <f t="shared" si="94"/>
        <v>0</v>
      </c>
      <c r="DC113" s="16">
        <f t="shared" si="94"/>
        <v>0</v>
      </c>
      <c r="DD113" s="16">
        <f t="shared" si="94"/>
        <v>0</v>
      </c>
      <c r="DE113" s="16">
        <f t="shared" si="94"/>
        <v>0</v>
      </c>
      <c r="DF113" s="16">
        <f t="shared" si="95"/>
        <v>0</v>
      </c>
      <c r="DG113" s="16">
        <f t="shared" si="95"/>
        <v>0</v>
      </c>
      <c r="DH113" s="16">
        <f t="shared" si="95"/>
        <v>0</v>
      </c>
      <c r="DI113" s="16">
        <f t="shared" si="95"/>
        <v>0</v>
      </c>
      <c r="DJ113" s="16">
        <f t="shared" si="95"/>
        <v>0</v>
      </c>
      <c r="DK113" s="16">
        <f t="shared" si="95"/>
        <v>0</v>
      </c>
      <c r="DL113" s="16">
        <f t="shared" si="95"/>
        <v>0</v>
      </c>
      <c r="DM113" s="16">
        <f t="shared" si="95"/>
        <v>0</v>
      </c>
      <c r="DN113" s="16">
        <f t="shared" si="95"/>
        <v>0</v>
      </c>
      <c r="DO113" s="16">
        <f t="shared" si="95"/>
        <v>0</v>
      </c>
      <c r="DP113" s="16">
        <f t="shared" si="95"/>
        <v>0</v>
      </c>
    </row>
    <row r="114" spans="3:120" x14ac:dyDescent="0.25">
      <c r="C114" s="36"/>
      <c r="D114" s="36"/>
      <c r="E114" s="36"/>
      <c r="F114" s="36"/>
      <c r="G114" s="36"/>
      <c r="H114" s="36"/>
      <c r="I114" s="36"/>
      <c r="J114" s="93"/>
      <c r="K114" s="29"/>
      <c r="M114" s="29"/>
      <c r="O114" s="9">
        <f t="shared" si="96"/>
        <v>47</v>
      </c>
      <c r="P114" s="16">
        <f t="shared" si="86"/>
        <v>0</v>
      </c>
      <c r="Q114" s="16">
        <f t="shared" si="86"/>
        <v>0</v>
      </c>
      <c r="R114" s="16">
        <f t="shared" si="86"/>
        <v>1.3547595906419362E-2</v>
      </c>
      <c r="S114" s="16">
        <f t="shared" si="86"/>
        <v>0.97329199678219092</v>
      </c>
      <c r="T114" s="16">
        <f t="shared" si="86"/>
        <v>1.3160407311389743E-2</v>
      </c>
      <c r="U114" s="16">
        <f t="shared" si="86"/>
        <v>0</v>
      </c>
      <c r="V114" s="16">
        <f t="shared" si="86"/>
        <v>0</v>
      </c>
      <c r="W114" s="16">
        <f t="shared" si="86"/>
        <v>0</v>
      </c>
      <c r="X114" s="16">
        <f t="shared" si="86"/>
        <v>0</v>
      </c>
      <c r="Y114" s="16">
        <f t="shared" si="86"/>
        <v>0</v>
      </c>
      <c r="Z114" s="16">
        <f t="shared" si="87"/>
        <v>0</v>
      </c>
      <c r="AA114" s="16">
        <f t="shared" si="87"/>
        <v>0</v>
      </c>
      <c r="AB114" s="16">
        <f t="shared" si="87"/>
        <v>0</v>
      </c>
      <c r="AC114" s="16">
        <f t="shared" si="87"/>
        <v>0</v>
      </c>
      <c r="AD114" s="16">
        <f t="shared" si="87"/>
        <v>0</v>
      </c>
      <c r="AE114" s="16">
        <f t="shared" si="87"/>
        <v>0</v>
      </c>
      <c r="AF114" s="16">
        <f t="shared" si="87"/>
        <v>0</v>
      </c>
      <c r="AG114" s="16">
        <f t="shared" si="87"/>
        <v>0</v>
      </c>
      <c r="AH114" s="16">
        <f t="shared" si="87"/>
        <v>0</v>
      </c>
      <c r="AI114" s="16">
        <f t="shared" si="87"/>
        <v>0</v>
      </c>
      <c r="AJ114" s="16">
        <f t="shared" si="88"/>
        <v>0</v>
      </c>
      <c r="AK114" s="16">
        <f t="shared" si="88"/>
        <v>0</v>
      </c>
      <c r="AL114" s="16">
        <f t="shared" si="88"/>
        <v>0</v>
      </c>
      <c r="AM114" s="16">
        <f t="shared" si="88"/>
        <v>0</v>
      </c>
      <c r="AN114" s="16">
        <f t="shared" si="88"/>
        <v>0</v>
      </c>
      <c r="AO114" s="16">
        <f t="shared" si="88"/>
        <v>0</v>
      </c>
      <c r="AP114" s="16">
        <f t="shared" si="88"/>
        <v>0</v>
      </c>
      <c r="AQ114" s="16">
        <f t="shared" si="88"/>
        <v>0</v>
      </c>
      <c r="AR114" s="16">
        <f t="shared" si="88"/>
        <v>0</v>
      </c>
      <c r="AS114" s="16">
        <f t="shared" si="88"/>
        <v>0</v>
      </c>
      <c r="AT114" s="16">
        <f t="shared" si="89"/>
        <v>0</v>
      </c>
      <c r="AU114" s="16">
        <f t="shared" si="89"/>
        <v>0</v>
      </c>
      <c r="AV114" s="16">
        <f t="shared" si="89"/>
        <v>0</v>
      </c>
      <c r="AW114" s="16">
        <f t="shared" si="89"/>
        <v>0</v>
      </c>
      <c r="AX114" s="16">
        <f t="shared" si="89"/>
        <v>0</v>
      </c>
      <c r="AY114" s="16">
        <f t="shared" si="89"/>
        <v>0</v>
      </c>
      <c r="AZ114" s="16">
        <f t="shared" si="89"/>
        <v>0</v>
      </c>
      <c r="BA114" s="16">
        <f t="shared" si="89"/>
        <v>0</v>
      </c>
      <c r="BB114" s="16">
        <f t="shared" si="89"/>
        <v>0</v>
      </c>
      <c r="BC114" s="16">
        <f t="shared" si="89"/>
        <v>0</v>
      </c>
      <c r="BD114" s="16">
        <f t="shared" si="90"/>
        <v>0</v>
      </c>
      <c r="BE114" s="16">
        <f t="shared" si="90"/>
        <v>0</v>
      </c>
      <c r="BF114" s="16">
        <f t="shared" si="90"/>
        <v>0</v>
      </c>
      <c r="BG114" s="16">
        <f t="shared" si="90"/>
        <v>0</v>
      </c>
      <c r="BH114" s="16">
        <f t="shared" si="90"/>
        <v>0</v>
      </c>
      <c r="BI114" s="16">
        <f t="shared" si="90"/>
        <v>0</v>
      </c>
      <c r="BJ114" s="16">
        <f t="shared" si="90"/>
        <v>0</v>
      </c>
      <c r="BK114" s="16">
        <f t="shared" si="90"/>
        <v>0</v>
      </c>
      <c r="BL114" s="16">
        <f t="shared" si="90"/>
        <v>0</v>
      </c>
      <c r="BM114" s="16">
        <f t="shared" si="90"/>
        <v>0</v>
      </c>
      <c r="BN114" s="16">
        <f t="shared" si="90"/>
        <v>0</v>
      </c>
      <c r="BQ114" s="9">
        <f t="shared" si="97"/>
        <v>47</v>
      </c>
      <c r="BR114" s="16">
        <f t="shared" si="91"/>
        <v>0</v>
      </c>
      <c r="BS114" s="16">
        <f t="shared" si="91"/>
        <v>0</v>
      </c>
      <c r="BT114" s="16">
        <f t="shared" si="91"/>
        <v>0.110564418911086</v>
      </c>
      <c r="BU114" s="16">
        <f t="shared" si="91"/>
        <v>0.78203107942913641</v>
      </c>
      <c r="BV114" s="16">
        <f t="shared" si="91"/>
        <v>0.10740450165977759</v>
      </c>
      <c r="BW114" s="16">
        <f t="shared" si="91"/>
        <v>0</v>
      </c>
      <c r="BX114" s="16">
        <f t="shared" si="91"/>
        <v>0</v>
      </c>
      <c r="BY114" s="16">
        <f t="shared" si="91"/>
        <v>0</v>
      </c>
      <c r="BZ114" s="16">
        <f t="shared" si="91"/>
        <v>0</v>
      </c>
      <c r="CA114" s="16">
        <f t="shared" si="91"/>
        <v>0</v>
      </c>
      <c r="CB114" s="16">
        <f t="shared" si="92"/>
        <v>0</v>
      </c>
      <c r="CC114" s="16">
        <f t="shared" si="92"/>
        <v>0</v>
      </c>
      <c r="CD114" s="16">
        <f t="shared" si="92"/>
        <v>0</v>
      </c>
      <c r="CE114" s="16">
        <f t="shared" si="92"/>
        <v>0</v>
      </c>
      <c r="CF114" s="16">
        <f t="shared" si="92"/>
        <v>0</v>
      </c>
      <c r="CG114" s="16">
        <f t="shared" si="92"/>
        <v>0</v>
      </c>
      <c r="CH114" s="16">
        <f t="shared" si="92"/>
        <v>0</v>
      </c>
      <c r="CI114" s="16">
        <f t="shared" si="92"/>
        <v>0</v>
      </c>
      <c r="CJ114" s="16">
        <f t="shared" si="92"/>
        <v>0</v>
      </c>
      <c r="CK114" s="16">
        <f t="shared" si="92"/>
        <v>0</v>
      </c>
      <c r="CL114" s="16">
        <f t="shared" si="93"/>
        <v>0</v>
      </c>
      <c r="CM114" s="16">
        <f t="shared" si="93"/>
        <v>0</v>
      </c>
      <c r="CN114" s="16">
        <f t="shared" si="93"/>
        <v>0</v>
      </c>
      <c r="CO114" s="16">
        <f t="shared" si="93"/>
        <v>0</v>
      </c>
      <c r="CP114" s="16">
        <f t="shared" si="93"/>
        <v>0</v>
      </c>
      <c r="CQ114" s="16">
        <f t="shared" si="93"/>
        <v>0</v>
      </c>
      <c r="CR114" s="16">
        <f t="shared" si="93"/>
        <v>0</v>
      </c>
      <c r="CS114" s="16">
        <f t="shared" si="93"/>
        <v>0</v>
      </c>
      <c r="CT114" s="16">
        <f t="shared" si="93"/>
        <v>0</v>
      </c>
      <c r="CU114" s="16">
        <f t="shared" si="93"/>
        <v>0</v>
      </c>
      <c r="CV114" s="16">
        <f t="shared" si="94"/>
        <v>0</v>
      </c>
      <c r="CW114" s="16">
        <f t="shared" si="94"/>
        <v>0</v>
      </c>
      <c r="CX114" s="16">
        <f t="shared" si="94"/>
        <v>0</v>
      </c>
      <c r="CY114" s="16">
        <f t="shared" si="94"/>
        <v>0</v>
      </c>
      <c r="CZ114" s="16">
        <f t="shared" si="94"/>
        <v>0</v>
      </c>
      <c r="DA114" s="16">
        <f t="shared" si="94"/>
        <v>0</v>
      </c>
      <c r="DB114" s="16">
        <f t="shared" si="94"/>
        <v>0</v>
      </c>
      <c r="DC114" s="16">
        <f t="shared" si="94"/>
        <v>0</v>
      </c>
      <c r="DD114" s="16">
        <f t="shared" si="94"/>
        <v>0</v>
      </c>
      <c r="DE114" s="16">
        <f t="shared" si="94"/>
        <v>0</v>
      </c>
      <c r="DF114" s="16">
        <f t="shared" si="95"/>
        <v>0</v>
      </c>
      <c r="DG114" s="16">
        <f t="shared" si="95"/>
        <v>0</v>
      </c>
      <c r="DH114" s="16">
        <f t="shared" si="95"/>
        <v>0</v>
      </c>
      <c r="DI114" s="16">
        <f t="shared" si="95"/>
        <v>0</v>
      </c>
      <c r="DJ114" s="16">
        <f t="shared" si="95"/>
        <v>0</v>
      </c>
      <c r="DK114" s="16">
        <f t="shared" si="95"/>
        <v>0</v>
      </c>
      <c r="DL114" s="16">
        <f t="shared" si="95"/>
        <v>0</v>
      </c>
      <c r="DM114" s="16">
        <f t="shared" si="95"/>
        <v>0</v>
      </c>
      <c r="DN114" s="16">
        <f t="shared" si="95"/>
        <v>0</v>
      </c>
      <c r="DO114" s="16">
        <f t="shared" si="95"/>
        <v>0</v>
      </c>
      <c r="DP114" s="16">
        <f t="shared" si="95"/>
        <v>0</v>
      </c>
    </row>
    <row r="115" spans="3:120" x14ac:dyDescent="0.25">
      <c r="C115" s="36"/>
      <c r="D115" s="36"/>
      <c r="E115" s="36"/>
      <c r="F115" s="36"/>
      <c r="G115" s="36"/>
      <c r="H115" s="36"/>
      <c r="I115" s="36"/>
      <c r="J115" s="93"/>
      <c r="K115" s="29"/>
      <c r="M115" s="29"/>
      <c r="O115" s="9">
        <f t="shared" si="96"/>
        <v>46</v>
      </c>
      <c r="P115" s="16">
        <f t="shared" si="86"/>
        <v>0</v>
      </c>
      <c r="Q115" s="16">
        <f t="shared" si="86"/>
        <v>0</v>
      </c>
      <c r="R115" s="16">
        <f t="shared" si="86"/>
        <v>0</v>
      </c>
      <c r="S115" s="16">
        <f t="shared" si="86"/>
        <v>1.3547595906419362E-2</v>
      </c>
      <c r="T115" s="16">
        <f t="shared" si="86"/>
        <v>0.97329199678219092</v>
      </c>
      <c r="U115" s="16">
        <f t="shared" si="86"/>
        <v>1.3160407311389743E-2</v>
      </c>
      <c r="V115" s="16">
        <f t="shared" si="86"/>
        <v>0</v>
      </c>
      <c r="W115" s="16">
        <f t="shared" si="86"/>
        <v>0</v>
      </c>
      <c r="X115" s="16">
        <f t="shared" si="86"/>
        <v>0</v>
      </c>
      <c r="Y115" s="16">
        <f t="shared" si="86"/>
        <v>0</v>
      </c>
      <c r="Z115" s="16">
        <f t="shared" si="87"/>
        <v>0</v>
      </c>
      <c r="AA115" s="16">
        <f t="shared" si="87"/>
        <v>0</v>
      </c>
      <c r="AB115" s="16">
        <f t="shared" si="87"/>
        <v>0</v>
      </c>
      <c r="AC115" s="16">
        <f t="shared" si="87"/>
        <v>0</v>
      </c>
      <c r="AD115" s="16">
        <f t="shared" si="87"/>
        <v>0</v>
      </c>
      <c r="AE115" s="16">
        <f t="shared" si="87"/>
        <v>0</v>
      </c>
      <c r="AF115" s="16">
        <f t="shared" si="87"/>
        <v>0</v>
      </c>
      <c r="AG115" s="16">
        <f t="shared" si="87"/>
        <v>0</v>
      </c>
      <c r="AH115" s="16">
        <f t="shared" si="87"/>
        <v>0</v>
      </c>
      <c r="AI115" s="16">
        <f t="shared" si="87"/>
        <v>0</v>
      </c>
      <c r="AJ115" s="16">
        <f t="shared" si="88"/>
        <v>0</v>
      </c>
      <c r="AK115" s="16">
        <f t="shared" si="88"/>
        <v>0</v>
      </c>
      <c r="AL115" s="16">
        <f t="shared" si="88"/>
        <v>0</v>
      </c>
      <c r="AM115" s="16">
        <f t="shared" si="88"/>
        <v>0</v>
      </c>
      <c r="AN115" s="16">
        <f t="shared" si="88"/>
        <v>0</v>
      </c>
      <c r="AO115" s="16">
        <f t="shared" si="88"/>
        <v>0</v>
      </c>
      <c r="AP115" s="16">
        <f t="shared" si="88"/>
        <v>0</v>
      </c>
      <c r="AQ115" s="16">
        <f t="shared" si="88"/>
        <v>0</v>
      </c>
      <c r="AR115" s="16">
        <f t="shared" si="88"/>
        <v>0</v>
      </c>
      <c r="AS115" s="16">
        <f t="shared" si="88"/>
        <v>0</v>
      </c>
      <c r="AT115" s="16">
        <f t="shared" si="89"/>
        <v>0</v>
      </c>
      <c r="AU115" s="16">
        <f t="shared" si="89"/>
        <v>0</v>
      </c>
      <c r="AV115" s="16">
        <f t="shared" si="89"/>
        <v>0</v>
      </c>
      <c r="AW115" s="16">
        <f t="shared" si="89"/>
        <v>0</v>
      </c>
      <c r="AX115" s="16">
        <f t="shared" si="89"/>
        <v>0</v>
      </c>
      <c r="AY115" s="16">
        <f t="shared" si="89"/>
        <v>0</v>
      </c>
      <c r="AZ115" s="16">
        <f t="shared" si="89"/>
        <v>0</v>
      </c>
      <c r="BA115" s="16">
        <f t="shared" si="89"/>
        <v>0</v>
      </c>
      <c r="BB115" s="16">
        <f t="shared" si="89"/>
        <v>0</v>
      </c>
      <c r="BC115" s="16">
        <f t="shared" si="89"/>
        <v>0</v>
      </c>
      <c r="BD115" s="16">
        <f t="shared" si="90"/>
        <v>0</v>
      </c>
      <c r="BE115" s="16">
        <f t="shared" si="90"/>
        <v>0</v>
      </c>
      <c r="BF115" s="16">
        <f t="shared" si="90"/>
        <v>0</v>
      </c>
      <c r="BG115" s="16">
        <f t="shared" si="90"/>
        <v>0</v>
      </c>
      <c r="BH115" s="16">
        <f t="shared" si="90"/>
        <v>0</v>
      </c>
      <c r="BI115" s="16">
        <f t="shared" si="90"/>
        <v>0</v>
      </c>
      <c r="BJ115" s="16">
        <f t="shared" si="90"/>
        <v>0</v>
      </c>
      <c r="BK115" s="16">
        <f t="shared" si="90"/>
        <v>0</v>
      </c>
      <c r="BL115" s="16">
        <f t="shared" si="90"/>
        <v>0</v>
      </c>
      <c r="BM115" s="16">
        <f t="shared" si="90"/>
        <v>0</v>
      </c>
      <c r="BN115" s="16">
        <f t="shared" si="90"/>
        <v>0</v>
      </c>
      <c r="BQ115" s="9">
        <f t="shared" si="97"/>
        <v>46</v>
      </c>
      <c r="BR115" s="16">
        <f t="shared" si="91"/>
        <v>0</v>
      </c>
      <c r="BS115" s="16">
        <f t="shared" si="91"/>
        <v>0</v>
      </c>
      <c r="BT115" s="16">
        <f t="shared" si="91"/>
        <v>0</v>
      </c>
      <c r="BU115" s="16">
        <f t="shared" si="91"/>
        <v>0.12991419376074592</v>
      </c>
      <c r="BV115" s="16">
        <f t="shared" si="91"/>
        <v>0.74388454387268965</v>
      </c>
      <c r="BW115" s="16">
        <f t="shared" si="91"/>
        <v>0.12620126236656443</v>
      </c>
      <c r="BX115" s="16">
        <f t="shared" si="91"/>
        <v>0</v>
      </c>
      <c r="BY115" s="16">
        <f t="shared" si="91"/>
        <v>0</v>
      </c>
      <c r="BZ115" s="16">
        <f t="shared" si="91"/>
        <v>0</v>
      </c>
      <c r="CA115" s="16">
        <f t="shared" si="91"/>
        <v>0</v>
      </c>
      <c r="CB115" s="16">
        <f t="shared" si="92"/>
        <v>0</v>
      </c>
      <c r="CC115" s="16">
        <f t="shared" si="92"/>
        <v>0</v>
      </c>
      <c r="CD115" s="16">
        <f t="shared" si="92"/>
        <v>0</v>
      </c>
      <c r="CE115" s="16">
        <f t="shared" si="92"/>
        <v>0</v>
      </c>
      <c r="CF115" s="16">
        <f t="shared" si="92"/>
        <v>0</v>
      </c>
      <c r="CG115" s="16">
        <f t="shared" si="92"/>
        <v>0</v>
      </c>
      <c r="CH115" s="16">
        <f t="shared" si="92"/>
        <v>0</v>
      </c>
      <c r="CI115" s="16">
        <f t="shared" si="92"/>
        <v>0</v>
      </c>
      <c r="CJ115" s="16">
        <f t="shared" si="92"/>
        <v>0</v>
      </c>
      <c r="CK115" s="16">
        <f t="shared" si="92"/>
        <v>0</v>
      </c>
      <c r="CL115" s="16">
        <f t="shared" si="93"/>
        <v>0</v>
      </c>
      <c r="CM115" s="16">
        <f t="shared" si="93"/>
        <v>0</v>
      </c>
      <c r="CN115" s="16">
        <f t="shared" si="93"/>
        <v>0</v>
      </c>
      <c r="CO115" s="16">
        <f t="shared" si="93"/>
        <v>0</v>
      </c>
      <c r="CP115" s="16">
        <f t="shared" si="93"/>
        <v>0</v>
      </c>
      <c r="CQ115" s="16">
        <f t="shared" si="93"/>
        <v>0</v>
      </c>
      <c r="CR115" s="16">
        <f t="shared" si="93"/>
        <v>0</v>
      </c>
      <c r="CS115" s="16">
        <f t="shared" si="93"/>
        <v>0</v>
      </c>
      <c r="CT115" s="16">
        <f t="shared" si="93"/>
        <v>0</v>
      </c>
      <c r="CU115" s="16">
        <f t="shared" si="93"/>
        <v>0</v>
      </c>
      <c r="CV115" s="16">
        <f t="shared" si="94"/>
        <v>0</v>
      </c>
      <c r="CW115" s="16">
        <f t="shared" si="94"/>
        <v>0</v>
      </c>
      <c r="CX115" s="16">
        <f t="shared" si="94"/>
        <v>0</v>
      </c>
      <c r="CY115" s="16">
        <f t="shared" si="94"/>
        <v>0</v>
      </c>
      <c r="CZ115" s="16">
        <f t="shared" si="94"/>
        <v>0</v>
      </c>
      <c r="DA115" s="16">
        <f t="shared" si="94"/>
        <v>0</v>
      </c>
      <c r="DB115" s="16">
        <f t="shared" si="94"/>
        <v>0</v>
      </c>
      <c r="DC115" s="16">
        <f t="shared" si="94"/>
        <v>0</v>
      </c>
      <c r="DD115" s="16">
        <f t="shared" si="94"/>
        <v>0</v>
      </c>
      <c r="DE115" s="16">
        <f t="shared" si="94"/>
        <v>0</v>
      </c>
      <c r="DF115" s="16">
        <f t="shared" si="95"/>
        <v>0</v>
      </c>
      <c r="DG115" s="16">
        <f t="shared" si="95"/>
        <v>0</v>
      </c>
      <c r="DH115" s="16">
        <f t="shared" si="95"/>
        <v>0</v>
      </c>
      <c r="DI115" s="16">
        <f t="shared" si="95"/>
        <v>0</v>
      </c>
      <c r="DJ115" s="16">
        <f t="shared" si="95"/>
        <v>0</v>
      </c>
      <c r="DK115" s="16">
        <f t="shared" si="95"/>
        <v>0</v>
      </c>
      <c r="DL115" s="16">
        <f t="shared" si="95"/>
        <v>0</v>
      </c>
      <c r="DM115" s="16">
        <f t="shared" si="95"/>
        <v>0</v>
      </c>
      <c r="DN115" s="16">
        <f t="shared" si="95"/>
        <v>0</v>
      </c>
      <c r="DO115" s="16">
        <f t="shared" si="95"/>
        <v>0</v>
      </c>
      <c r="DP115" s="16">
        <f t="shared" si="95"/>
        <v>0</v>
      </c>
    </row>
    <row r="116" spans="3:120" x14ac:dyDescent="0.25">
      <c r="J116" s="93"/>
      <c r="L116" s="1"/>
      <c r="N116" s="1"/>
      <c r="O116" s="9">
        <f t="shared" si="96"/>
        <v>45</v>
      </c>
      <c r="P116" s="16">
        <f t="shared" si="86"/>
        <v>0</v>
      </c>
      <c r="Q116" s="16">
        <f t="shared" si="86"/>
        <v>0</v>
      </c>
      <c r="R116" s="16">
        <f t="shared" si="86"/>
        <v>0</v>
      </c>
      <c r="S116" s="16">
        <f t="shared" si="86"/>
        <v>0</v>
      </c>
      <c r="T116" s="16">
        <f t="shared" si="86"/>
        <v>1.3547595906419362E-2</v>
      </c>
      <c r="U116" s="16">
        <f t="shared" si="86"/>
        <v>0.97329199678219092</v>
      </c>
      <c r="V116" s="16">
        <f t="shared" si="86"/>
        <v>1.3160407311389743E-2</v>
      </c>
      <c r="W116" s="16">
        <f t="shared" si="86"/>
        <v>0</v>
      </c>
      <c r="X116" s="16">
        <f t="shared" si="86"/>
        <v>0</v>
      </c>
      <c r="Y116" s="16">
        <f t="shared" si="86"/>
        <v>0</v>
      </c>
      <c r="Z116" s="16">
        <f t="shared" si="87"/>
        <v>0</v>
      </c>
      <c r="AA116" s="16">
        <f t="shared" si="87"/>
        <v>0</v>
      </c>
      <c r="AB116" s="16">
        <f t="shared" si="87"/>
        <v>0</v>
      </c>
      <c r="AC116" s="16">
        <f t="shared" si="87"/>
        <v>0</v>
      </c>
      <c r="AD116" s="16">
        <f t="shared" si="87"/>
        <v>0</v>
      </c>
      <c r="AE116" s="16">
        <f t="shared" si="87"/>
        <v>0</v>
      </c>
      <c r="AF116" s="16">
        <f t="shared" si="87"/>
        <v>0</v>
      </c>
      <c r="AG116" s="16">
        <f t="shared" si="87"/>
        <v>0</v>
      </c>
      <c r="AH116" s="16">
        <f t="shared" si="87"/>
        <v>0</v>
      </c>
      <c r="AI116" s="16">
        <f t="shared" si="87"/>
        <v>0</v>
      </c>
      <c r="AJ116" s="16">
        <f t="shared" si="88"/>
        <v>0</v>
      </c>
      <c r="AK116" s="16">
        <f t="shared" si="88"/>
        <v>0</v>
      </c>
      <c r="AL116" s="16">
        <f t="shared" si="88"/>
        <v>0</v>
      </c>
      <c r="AM116" s="16">
        <f t="shared" si="88"/>
        <v>0</v>
      </c>
      <c r="AN116" s="16">
        <f t="shared" si="88"/>
        <v>0</v>
      </c>
      <c r="AO116" s="16">
        <f t="shared" si="88"/>
        <v>0</v>
      </c>
      <c r="AP116" s="16">
        <f t="shared" si="88"/>
        <v>0</v>
      </c>
      <c r="AQ116" s="16">
        <f t="shared" si="88"/>
        <v>0</v>
      </c>
      <c r="AR116" s="16">
        <f t="shared" si="88"/>
        <v>0</v>
      </c>
      <c r="AS116" s="16">
        <f t="shared" si="88"/>
        <v>0</v>
      </c>
      <c r="AT116" s="16">
        <f t="shared" si="89"/>
        <v>0</v>
      </c>
      <c r="AU116" s="16">
        <f t="shared" si="89"/>
        <v>0</v>
      </c>
      <c r="AV116" s="16">
        <f t="shared" si="89"/>
        <v>0</v>
      </c>
      <c r="AW116" s="16">
        <f t="shared" si="89"/>
        <v>0</v>
      </c>
      <c r="AX116" s="16">
        <f t="shared" si="89"/>
        <v>0</v>
      </c>
      <c r="AY116" s="16">
        <f t="shared" si="89"/>
        <v>0</v>
      </c>
      <c r="AZ116" s="16">
        <f t="shared" si="89"/>
        <v>0</v>
      </c>
      <c r="BA116" s="16">
        <f t="shared" si="89"/>
        <v>0</v>
      </c>
      <c r="BB116" s="16">
        <f t="shared" si="89"/>
        <v>0</v>
      </c>
      <c r="BC116" s="16">
        <f t="shared" si="89"/>
        <v>0</v>
      </c>
      <c r="BD116" s="16">
        <f t="shared" si="90"/>
        <v>0</v>
      </c>
      <c r="BE116" s="16">
        <f t="shared" si="90"/>
        <v>0</v>
      </c>
      <c r="BF116" s="16">
        <f t="shared" si="90"/>
        <v>0</v>
      </c>
      <c r="BG116" s="16">
        <f t="shared" si="90"/>
        <v>0</v>
      </c>
      <c r="BH116" s="16">
        <f t="shared" si="90"/>
        <v>0</v>
      </c>
      <c r="BI116" s="16">
        <f t="shared" si="90"/>
        <v>0</v>
      </c>
      <c r="BJ116" s="16">
        <f t="shared" si="90"/>
        <v>0</v>
      </c>
      <c r="BK116" s="16">
        <f t="shared" si="90"/>
        <v>0</v>
      </c>
      <c r="BL116" s="16">
        <f t="shared" si="90"/>
        <v>0</v>
      </c>
      <c r="BM116" s="16">
        <f t="shared" si="90"/>
        <v>0</v>
      </c>
      <c r="BN116" s="16">
        <f t="shared" si="90"/>
        <v>0</v>
      </c>
      <c r="BQ116" s="9">
        <f t="shared" si="97"/>
        <v>45</v>
      </c>
      <c r="BR116" s="16">
        <f t="shared" si="91"/>
        <v>0</v>
      </c>
      <c r="BS116" s="16">
        <f t="shared" si="91"/>
        <v>0</v>
      </c>
      <c r="BT116" s="16">
        <f t="shared" si="91"/>
        <v>0</v>
      </c>
      <c r="BU116" s="16">
        <f t="shared" si="91"/>
        <v>0</v>
      </c>
      <c r="BV116" s="16">
        <f t="shared" si="91"/>
        <v>0.15082344942105069</v>
      </c>
      <c r="BW116" s="16">
        <f t="shared" si="91"/>
        <v>0.70266361646129549</v>
      </c>
      <c r="BX116" s="16">
        <f t="shared" si="91"/>
        <v>0.14651293411765384</v>
      </c>
      <c r="BY116" s="16">
        <f t="shared" si="91"/>
        <v>0</v>
      </c>
      <c r="BZ116" s="16">
        <f t="shared" si="91"/>
        <v>0</v>
      </c>
      <c r="CA116" s="16">
        <f t="shared" si="91"/>
        <v>0</v>
      </c>
      <c r="CB116" s="16">
        <f t="shared" si="92"/>
        <v>0</v>
      </c>
      <c r="CC116" s="16">
        <f t="shared" si="92"/>
        <v>0</v>
      </c>
      <c r="CD116" s="16">
        <f t="shared" si="92"/>
        <v>0</v>
      </c>
      <c r="CE116" s="16">
        <f t="shared" si="92"/>
        <v>0</v>
      </c>
      <c r="CF116" s="16">
        <f t="shared" si="92"/>
        <v>0</v>
      </c>
      <c r="CG116" s="16">
        <f t="shared" si="92"/>
        <v>0</v>
      </c>
      <c r="CH116" s="16">
        <f t="shared" si="92"/>
        <v>0</v>
      </c>
      <c r="CI116" s="16">
        <f t="shared" si="92"/>
        <v>0</v>
      </c>
      <c r="CJ116" s="16">
        <f t="shared" si="92"/>
        <v>0</v>
      </c>
      <c r="CK116" s="16">
        <f t="shared" si="92"/>
        <v>0</v>
      </c>
      <c r="CL116" s="16">
        <f t="shared" si="93"/>
        <v>0</v>
      </c>
      <c r="CM116" s="16">
        <f t="shared" si="93"/>
        <v>0</v>
      </c>
      <c r="CN116" s="16">
        <f t="shared" si="93"/>
        <v>0</v>
      </c>
      <c r="CO116" s="16">
        <f t="shared" si="93"/>
        <v>0</v>
      </c>
      <c r="CP116" s="16">
        <f t="shared" si="93"/>
        <v>0</v>
      </c>
      <c r="CQ116" s="16">
        <f t="shared" si="93"/>
        <v>0</v>
      </c>
      <c r="CR116" s="16">
        <f t="shared" si="93"/>
        <v>0</v>
      </c>
      <c r="CS116" s="16">
        <f t="shared" si="93"/>
        <v>0</v>
      </c>
      <c r="CT116" s="16">
        <f t="shared" si="93"/>
        <v>0</v>
      </c>
      <c r="CU116" s="16">
        <f t="shared" si="93"/>
        <v>0</v>
      </c>
      <c r="CV116" s="16">
        <f t="shared" si="94"/>
        <v>0</v>
      </c>
      <c r="CW116" s="16">
        <f t="shared" si="94"/>
        <v>0</v>
      </c>
      <c r="CX116" s="16">
        <f t="shared" si="94"/>
        <v>0</v>
      </c>
      <c r="CY116" s="16">
        <f t="shared" si="94"/>
        <v>0</v>
      </c>
      <c r="CZ116" s="16">
        <f t="shared" si="94"/>
        <v>0</v>
      </c>
      <c r="DA116" s="16">
        <f t="shared" si="94"/>
        <v>0</v>
      </c>
      <c r="DB116" s="16">
        <f t="shared" si="94"/>
        <v>0</v>
      </c>
      <c r="DC116" s="16">
        <f t="shared" si="94"/>
        <v>0</v>
      </c>
      <c r="DD116" s="16">
        <f t="shared" si="94"/>
        <v>0</v>
      </c>
      <c r="DE116" s="16">
        <f t="shared" si="94"/>
        <v>0</v>
      </c>
      <c r="DF116" s="16">
        <f t="shared" si="95"/>
        <v>0</v>
      </c>
      <c r="DG116" s="16">
        <f t="shared" si="95"/>
        <v>0</v>
      </c>
      <c r="DH116" s="16">
        <f t="shared" si="95"/>
        <v>0</v>
      </c>
      <c r="DI116" s="16">
        <f t="shared" si="95"/>
        <v>0</v>
      </c>
      <c r="DJ116" s="16">
        <f t="shared" si="95"/>
        <v>0</v>
      </c>
      <c r="DK116" s="16">
        <f t="shared" si="95"/>
        <v>0</v>
      </c>
      <c r="DL116" s="16">
        <f t="shared" si="95"/>
        <v>0</v>
      </c>
      <c r="DM116" s="16">
        <f t="shared" si="95"/>
        <v>0</v>
      </c>
      <c r="DN116" s="16">
        <f t="shared" si="95"/>
        <v>0</v>
      </c>
      <c r="DO116" s="16">
        <f t="shared" si="95"/>
        <v>0</v>
      </c>
      <c r="DP116" s="16">
        <f t="shared" si="95"/>
        <v>0</v>
      </c>
    </row>
    <row r="117" spans="3:120" x14ac:dyDescent="0.25">
      <c r="J117" s="93"/>
      <c r="L117" s="1"/>
      <c r="N117" s="1"/>
      <c r="O117" s="9">
        <f t="shared" si="96"/>
        <v>44</v>
      </c>
      <c r="P117" s="16">
        <f t="shared" si="86"/>
        <v>0</v>
      </c>
      <c r="Q117" s="16">
        <f t="shared" si="86"/>
        <v>0</v>
      </c>
      <c r="R117" s="16">
        <f t="shared" si="86"/>
        <v>0</v>
      </c>
      <c r="S117" s="16">
        <f t="shared" si="86"/>
        <v>0</v>
      </c>
      <c r="T117" s="16">
        <f t="shared" si="86"/>
        <v>0</v>
      </c>
      <c r="U117" s="16">
        <f t="shared" si="86"/>
        <v>1.3547595906419362E-2</v>
      </c>
      <c r="V117" s="16">
        <f t="shared" si="86"/>
        <v>0.97329199678219092</v>
      </c>
      <c r="W117" s="16">
        <f t="shared" si="86"/>
        <v>1.3160407311389743E-2</v>
      </c>
      <c r="X117" s="16">
        <f t="shared" si="86"/>
        <v>0</v>
      </c>
      <c r="Y117" s="16">
        <f t="shared" si="86"/>
        <v>0</v>
      </c>
      <c r="Z117" s="16">
        <f t="shared" si="87"/>
        <v>0</v>
      </c>
      <c r="AA117" s="16">
        <f t="shared" si="87"/>
        <v>0</v>
      </c>
      <c r="AB117" s="16">
        <f t="shared" si="87"/>
        <v>0</v>
      </c>
      <c r="AC117" s="16">
        <f t="shared" si="87"/>
        <v>0</v>
      </c>
      <c r="AD117" s="16">
        <f t="shared" si="87"/>
        <v>0</v>
      </c>
      <c r="AE117" s="16">
        <f t="shared" si="87"/>
        <v>0</v>
      </c>
      <c r="AF117" s="16">
        <f t="shared" si="87"/>
        <v>0</v>
      </c>
      <c r="AG117" s="16">
        <f t="shared" si="87"/>
        <v>0</v>
      </c>
      <c r="AH117" s="16">
        <f t="shared" si="87"/>
        <v>0</v>
      </c>
      <c r="AI117" s="16">
        <f t="shared" si="87"/>
        <v>0</v>
      </c>
      <c r="AJ117" s="16">
        <f t="shared" si="88"/>
        <v>0</v>
      </c>
      <c r="AK117" s="16">
        <f t="shared" si="88"/>
        <v>0</v>
      </c>
      <c r="AL117" s="16">
        <f t="shared" si="88"/>
        <v>0</v>
      </c>
      <c r="AM117" s="16">
        <f t="shared" si="88"/>
        <v>0</v>
      </c>
      <c r="AN117" s="16">
        <f t="shared" si="88"/>
        <v>0</v>
      </c>
      <c r="AO117" s="16">
        <f t="shared" si="88"/>
        <v>0</v>
      </c>
      <c r="AP117" s="16">
        <f t="shared" si="88"/>
        <v>0</v>
      </c>
      <c r="AQ117" s="16">
        <f t="shared" si="88"/>
        <v>0</v>
      </c>
      <c r="AR117" s="16">
        <f t="shared" si="88"/>
        <v>0</v>
      </c>
      <c r="AS117" s="16">
        <f t="shared" si="88"/>
        <v>0</v>
      </c>
      <c r="AT117" s="16">
        <f t="shared" si="89"/>
        <v>0</v>
      </c>
      <c r="AU117" s="16">
        <f t="shared" si="89"/>
        <v>0</v>
      </c>
      <c r="AV117" s="16">
        <f t="shared" si="89"/>
        <v>0</v>
      </c>
      <c r="AW117" s="16">
        <f t="shared" si="89"/>
        <v>0</v>
      </c>
      <c r="AX117" s="16">
        <f t="shared" si="89"/>
        <v>0</v>
      </c>
      <c r="AY117" s="16">
        <f t="shared" si="89"/>
        <v>0</v>
      </c>
      <c r="AZ117" s="16">
        <f t="shared" si="89"/>
        <v>0</v>
      </c>
      <c r="BA117" s="16">
        <f t="shared" si="89"/>
        <v>0</v>
      </c>
      <c r="BB117" s="16">
        <f t="shared" si="89"/>
        <v>0</v>
      </c>
      <c r="BC117" s="16">
        <f t="shared" si="89"/>
        <v>0</v>
      </c>
      <c r="BD117" s="16">
        <f t="shared" si="90"/>
        <v>0</v>
      </c>
      <c r="BE117" s="16">
        <f t="shared" si="90"/>
        <v>0</v>
      </c>
      <c r="BF117" s="16">
        <f t="shared" si="90"/>
        <v>0</v>
      </c>
      <c r="BG117" s="16">
        <f t="shared" si="90"/>
        <v>0</v>
      </c>
      <c r="BH117" s="16">
        <f t="shared" si="90"/>
        <v>0</v>
      </c>
      <c r="BI117" s="16">
        <f t="shared" si="90"/>
        <v>0</v>
      </c>
      <c r="BJ117" s="16">
        <f t="shared" si="90"/>
        <v>0</v>
      </c>
      <c r="BK117" s="16">
        <f t="shared" si="90"/>
        <v>0</v>
      </c>
      <c r="BL117" s="16">
        <f t="shared" si="90"/>
        <v>0</v>
      </c>
      <c r="BM117" s="16">
        <f t="shared" si="90"/>
        <v>0</v>
      </c>
      <c r="BN117" s="16">
        <f t="shared" si="90"/>
        <v>0</v>
      </c>
      <c r="BQ117" s="9">
        <f t="shared" si="97"/>
        <v>44</v>
      </c>
      <c r="BR117" s="16">
        <f t="shared" si="91"/>
        <v>0</v>
      </c>
      <c r="BS117" s="16">
        <f t="shared" si="91"/>
        <v>0</v>
      </c>
      <c r="BT117" s="16">
        <f t="shared" si="91"/>
        <v>0</v>
      </c>
      <c r="BU117" s="16">
        <f t="shared" si="91"/>
        <v>0</v>
      </c>
      <c r="BV117" s="16">
        <f t="shared" si="91"/>
        <v>0</v>
      </c>
      <c r="BW117" s="16">
        <f t="shared" si="91"/>
        <v>0.17329218589200035</v>
      </c>
      <c r="BX117" s="16">
        <f t="shared" si="91"/>
        <v>0.65836829719495382</v>
      </c>
      <c r="BY117" s="16">
        <f t="shared" si="91"/>
        <v>0.16833951691304577</v>
      </c>
      <c r="BZ117" s="16">
        <f t="shared" si="91"/>
        <v>0</v>
      </c>
      <c r="CA117" s="16">
        <f t="shared" si="91"/>
        <v>0</v>
      </c>
      <c r="CB117" s="16">
        <f t="shared" si="92"/>
        <v>0</v>
      </c>
      <c r="CC117" s="16">
        <f t="shared" si="92"/>
        <v>0</v>
      </c>
      <c r="CD117" s="16">
        <f t="shared" si="92"/>
        <v>0</v>
      </c>
      <c r="CE117" s="16">
        <f t="shared" si="92"/>
        <v>0</v>
      </c>
      <c r="CF117" s="16">
        <f t="shared" si="92"/>
        <v>0</v>
      </c>
      <c r="CG117" s="16">
        <f t="shared" si="92"/>
        <v>0</v>
      </c>
      <c r="CH117" s="16">
        <f t="shared" si="92"/>
        <v>0</v>
      </c>
      <c r="CI117" s="16">
        <f t="shared" si="92"/>
        <v>0</v>
      </c>
      <c r="CJ117" s="16">
        <f t="shared" si="92"/>
        <v>0</v>
      </c>
      <c r="CK117" s="16">
        <f t="shared" si="92"/>
        <v>0</v>
      </c>
      <c r="CL117" s="16">
        <f t="shared" si="93"/>
        <v>0</v>
      </c>
      <c r="CM117" s="16">
        <f t="shared" si="93"/>
        <v>0</v>
      </c>
      <c r="CN117" s="16">
        <f t="shared" si="93"/>
        <v>0</v>
      </c>
      <c r="CO117" s="16">
        <f t="shared" si="93"/>
        <v>0</v>
      </c>
      <c r="CP117" s="16">
        <f t="shared" si="93"/>
        <v>0</v>
      </c>
      <c r="CQ117" s="16">
        <f t="shared" si="93"/>
        <v>0</v>
      </c>
      <c r="CR117" s="16">
        <f t="shared" si="93"/>
        <v>0</v>
      </c>
      <c r="CS117" s="16">
        <f t="shared" si="93"/>
        <v>0</v>
      </c>
      <c r="CT117" s="16">
        <f t="shared" si="93"/>
        <v>0</v>
      </c>
      <c r="CU117" s="16">
        <f t="shared" si="93"/>
        <v>0</v>
      </c>
      <c r="CV117" s="16">
        <f t="shared" si="94"/>
        <v>0</v>
      </c>
      <c r="CW117" s="16">
        <f t="shared" si="94"/>
        <v>0</v>
      </c>
      <c r="CX117" s="16">
        <f t="shared" si="94"/>
        <v>0</v>
      </c>
      <c r="CY117" s="16">
        <f t="shared" si="94"/>
        <v>0</v>
      </c>
      <c r="CZ117" s="16">
        <f t="shared" si="94"/>
        <v>0</v>
      </c>
      <c r="DA117" s="16">
        <f t="shared" si="94"/>
        <v>0</v>
      </c>
      <c r="DB117" s="16">
        <f t="shared" si="94"/>
        <v>0</v>
      </c>
      <c r="DC117" s="16">
        <f t="shared" si="94"/>
        <v>0</v>
      </c>
      <c r="DD117" s="16">
        <f t="shared" si="94"/>
        <v>0</v>
      </c>
      <c r="DE117" s="16">
        <f t="shared" si="94"/>
        <v>0</v>
      </c>
      <c r="DF117" s="16">
        <f t="shared" si="95"/>
        <v>0</v>
      </c>
      <c r="DG117" s="16">
        <f t="shared" si="95"/>
        <v>0</v>
      </c>
      <c r="DH117" s="16">
        <f t="shared" si="95"/>
        <v>0</v>
      </c>
      <c r="DI117" s="16">
        <f t="shared" si="95"/>
        <v>0</v>
      </c>
      <c r="DJ117" s="16">
        <f t="shared" si="95"/>
        <v>0</v>
      </c>
      <c r="DK117" s="16">
        <f t="shared" si="95"/>
        <v>0</v>
      </c>
      <c r="DL117" s="16">
        <f t="shared" si="95"/>
        <v>0</v>
      </c>
      <c r="DM117" s="16">
        <f t="shared" si="95"/>
        <v>0</v>
      </c>
      <c r="DN117" s="16">
        <f t="shared" si="95"/>
        <v>0</v>
      </c>
      <c r="DO117" s="16">
        <f t="shared" si="95"/>
        <v>0</v>
      </c>
      <c r="DP117" s="16">
        <f t="shared" si="95"/>
        <v>0</v>
      </c>
    </row>
    <row r="118" spans="3:120" x14ac:dyDescent="0.25">
      <c r="J118" s="93"/>
      <c r="L118" s="1"/>
      <c r="N118" s="1"/>
      <c r="O118" s="9">
        <f t="shared" si="96"/>
        <v>43</v>
      </c>
      <c r="P118" s="16">
        <f t="shared" si="86"/>
        <v>0</v>
      </c>
      <c r="Q118" s="16">
        <f t="shared" si="86"/>
        <v>0</v>
      </c>
      <c r="R118" s="16">
        <f t="shared" si="86"/>
        <v>0</v>
      </c>
      <c r="S118" s="16">
        <f t="shared" si="86"/>
        <v>0</v>
      </c>
      <c r="T118" s="16">
        <f t="shared" si="86"/>
        <v>0</v>
      </c>
      <c r="U118" s="16">
        <f t="shared" si="86"/>
        <v>0</v>
      </c>
      <c r="V118" s="16">
        <f t="shared" si="86"/>
        <v>1.3547595906419362E-2</v>
      </c>
      <c r="W118" s="16">
        <f t="shared" si="86"/>
        <v>0.97329199678219092</v>
      </c>
      <c r="X118" s="16">
        <f t="shared" si="86"/>
        <v>1.3160407311389743E-2</v>
      </c>
      <c r="Y118" s="16">
        <f t="shared" si="86"/>
        <v>0</v>
      </c>
      <c r="Z118" s="16">
        <f t="shared" si="87"/>
        <v>0</v>
      </c>
      <c r="AA118" s="16">
        <f t="shared" si="87"/>
        <v>0</v>
      </c>
      <c r="AB118" s="16">
        <f t="shared" si="87"/>
        <v>0</v>
      </c>
      <c r="AC118" s="16">
        <f t="shared" si="87"/>
        <v>0</v>
      </c>
      <c r="AD118" s="16">
        <f t="shared" si="87"/>
        <v>0</v>
      </c>
      <c r="AE118" s="16">
        <f t="shared" si="87"/>
        <v>0</v>
      </c>
      <c r="AF118" s="16">
        <f t="shared" si="87"/>
        <v>0</v>
      </c>
      <c r="AG118" s="16">
        <f t="shared" si="87"/>
        <v>0</v>
      </c>
      <c r="AH118" s="16">
        <f t="shared" si="87"/>
        <v>0</v>
      </c>
      <c r="AI118" s="16">
        <f t="shared" si="87"/>
        <v>0</v>
      </c>
      <c r="AJ118" s="16">
        <f t="shared" si="88"/>
        <v>0</v>
      </c>
      <c r="AK118" s="16">
        <f t="shared" si="88"/>
        <v>0</v>
      </c>
      <c r="AL118" s="16">
        <f t="shared" si="88"/>
        <v>0</v>
      </c>
      <c r="AM118" s="16">
        <f t="shared" si="88"/>
        <v>0</v>
      </c>
      <c r="AN118" s="16">
        <f t="shared" si="88"/>
        <v>0</v>
      </c>
      <c r="AO118" s="16">
        <f t="shared" si="88"/>
        <v>0</v>
      </c>
      <c r="AP118" s="16">
        <f t="shared" si="88"/>
        <v>0</v>
      </c>
      <c r="AQ118" s="16">
        <f t="shared" si="88"/>
        <v>0</v>
      </c>
      <c r="AR118" s="16">
        <f t="shared" si="88"/>
        <v>0</v>
      </c>
      <c r="AS118" s="16">
        <f t="shared" si="88"/>
        <v>0</v>
      </c>
      <c r="AT118" s="16">
        <f t="shared" si="89"/>
        <v>0</v>
      </c>
      <c r="AU118" s="16">
        <f t="shared" si="89"/>
        <v>0</v>
      </c>
      <c r="AV118" s="16">
        <f t="shared" si="89"/>
        <v>0</v>
      </c>
      <c r="AW118" s="16">
        <f t="shared" si="89"/>
        <v>0</v>
      </c>
      <c r="AX118" s="16">
        <f t="shared" si="89"/>
        <v>0</v>
      </c>
      <c r="AY118" s="16">
        <f t="shared" si="89"/>
        <v>0</v>
      </c>
      <c r="AZ118" s="16">
        <f t="shared" si="89"/>
        <v>0</v>
      </c>
      <c r="BA118" s="16">
        <f t="shared" si="89"/>
        <v>0</v>
      </c>
      <c r="BB118" s="16">
        <f t="shared" si="89"/>
        <v>0</v>
      </c>
      <c r="BC118" s="16">
        <f t="shared" si="89"/>
        <v>0</v>
      </c>
      <c r="BD118" s="16">
        <f t="shared" si="90"/>
        <v>0</v>
      </c>
      <c r="BE118" s="16">
        <f t="shared" si="90"/>
        <v>0</v>
      </c>
      <c r="BF118" s="16">
        <f t="shared" si="90"/>
        <v>0</v>
      </c>
      <c r="BG118" s="16">
        <f t="shared" si="90"/>
        <v>0</v>
      </c>
      <c r="BH118" s="16">
        <f t="shared" si="90"/>
        <v>0</v>
      </c>
      <c r="BI118" s="16">
        <f t="shared" si="90"/>
        <v>0</v>
      </c>
      <c r="BJ118" s="16">
        <f t="shared" si="90"/>
        <v>0</v>
      </c>
      <c r="BK118" s="16">
        <f t="shared" si="90"/>
        <v>0</v>
      </c>
      <c r="BL118" s="16">
        <f t="shared" si="90"/>
        <v>0</v>
      </c>
      <c r="BM118" s="16">
        <f t="shared" si="90"/>
        <v>0</v>
      </c>
      <c r="BN118" s="16">
        <f t="shared" si="90"/>
        <v>0</v>
      </c>
      <c r="BQ118" s="9">
        <f t="shared" si="97"/>
        <v>43</v>
      </c>
      <c r="BR118" s="16">
        <f t="shared" si="91"/>
        <v>0</v>
      </c>
      <c r="BS118" s="16">
        <f t="shared" si="91"/>
        <v>0</v>
      </c>
      <c r="BT118" s="16">
        <f t="shared" si="91"/>
        <v>0</v>
      </c>
      <c r="BU118" s="16">
        <f t="shared" si="91"/>
        <v>0</v>
      </c>
      <c r="BV118" s="16">
        <f t="shared" si="91"/>
        <v>0</v>
      </c>
      <c r="BW118" s="16">
        <f t="shared" si="91"/>
        <v>0</v>
      </c>
      <c r="BX118" s="16">
        <f t="shared" si="91"/>
        <v>0.19732040317359534</v>
      </c>
      <c r="BY118" s="16">
        <f t="shared" si="91"/>
        <v>0.61099858607366397</v>
      </c>
      <c r="BZ118" s="16">
        <f t="shared" si="91"/>
        <v>0.19168101075274074</v>
      </c>
      <c r="CA118" s="16">
        <f t="shared" si="91"/>
        <v>0</v>
      </c>
      <c r="CB118" s="16">
        <f t="shared" si="92"/>
        <v>0</v>
      </c>
      <c r="CC118" s="16">
        <f t="shared" si="92"/>
        <v>0</v>
      </c>
      <c r="CD118" s="16">
        <f t="shared" si="92"/>
        <v>0</v>
      </c>
      <c r="CE118" s="16">
        <f t="shared" si="92"/>
        <v>0</v>
      </c>
      <c r="CF118" s="16">
        <f t="shared" si="92"/>
        <v>0</v>
      </c>
      <c r="CG118" s="16">
        <f t="shared" si="92"/>
        <v>0</v>
      </c>
      <c r="CH118" s="16">
        <f t="shared" si="92"/>
        <v>0</v>
      </c>
      <c r="CI118" s="16">
        <f t="shared" si="92"/>
        <v>0</v>
      </c>
      <c r="CJ118" s="16">
        <f t="shared" si="92"/>
        <v>0</v>
      </c>
      <c r="CK118" s="16">
        <f t="shared" si="92"/>
        <v>0</v>
      </c>
      <c r="CL118" s="16">
        <f t="shared" si="93"/>
        <v>0</v>
      </c>
      <c r="CM118" s="16">
        <f t="shared" si="93"/>
        <v>0</v>
      </c>
      <c r="CN118" s="16">
        <f t="shared" si="93"/>
        <v>0</v>
      </c>
      <c r="CO118" s="16">
        <f t="shared" si="93"/>
        <v>0</v>
      </c>
      <c r="CP118" s="16">
        <f t="shared" si="93"/>
        <v>0</v>
      </c>
      <c r="CQ118" s="16">
        <f t="shared" si="93"/>
        <v>0</v>
      </c>
      <c r="CR118" s="16">
        <f t="shared" si="93"/>
        <v>0</v>
      </c>
      <c r="CS118" s="16">
        <f t="shared" si="93"/>
        <v>0</v>
      </c>
      <c r="CT118" s="16">
        <f t="shared" si="93"/>
        <v>0</v>
      </c>
      <c r="CU118" s="16">
        <f t="shared" si="93"/>
        <v>0</v>
      </c>
      <c r="CV118" s="16">
        <f t="shared" si="94"/>
        <v>0</v>
      </c>
      <c r="CW118" s="16">
        <f t="shared" si="94"/>
        <v>0</v>
      </c>
      <c r="CX118" s="16">
        <f t="shared" si="94"/>
        <v>0</v>
      </c>
      <c r="CY118" s="16">
        <f t="shared" si="94"/>
        <v>0</v>
      </c>
      <c r="CZ118" s="16">
        <f t="shared" si="94"/>
        <v>0</v>
      </c>
      <c r="DA118" s="16">
        <f t="shared" si="94"/>
        <v>0</v>
      </c>
      <c r="DB118" s="16">
        <f t="shared" si="94"/>
        <v>0</v>
      </c>
      <c r="DC118" s="16">
        <f t="shared" si="94"/>
        <v>0</v>
      </c>
      <c r="DD118" s="16">
        <f t="shared" si="94"/>
        <v>0</v>
      </c>
      <c r="DE118" s="16">
        <f t="shared" si="94"/>
        <v>0</v>
      </c>
      <c r="DF118" s="16">
        <f t="shared" si="95"/>
        <v>0</v>
      </c>
      <c r="DG118" s="16">
        <f t="shared" si="95"/>
        <v>0</v>
      </c>
      <c r="DH118" s="16">
        <f t="shared" si="95"/>
        <v>0</v>
      </c>
      <c r="DI118" s="16">
        <f t="shared" si="95"/>
        <v>0</v>
      </c>
      <c r="DJ118" s="16">
        <f t="shared" si="95"/>
        <v>0</v>
      </c>
      <c r="DK118" s="16">
        <f t="shared" si="95"/>
        <v>0</v>
      </c>
      <c r="DL118" s="16">
        <f t="shared" si="95"/>
        <v>0</v>
      </c>
      <c r="DM118" s="16">
        <f t="shared" si="95"/>
        <v>0</v>
      </c>
      <c r="DN118" s="16">
        <f t="shared" si="95"/>
        <v>0</v>
      </c>
      <c r="DO118" s="16">
        <f t="shared" si="95"/>
        <v>0</v>
      </c>
      <c r="DP118" s="16">
        <f t="shared" si="95"/>
        <v>0</v>
      </c>
    </row>
    <row r="119" spans="3:120" x14ac:dyDescent="0.25">
      <c r="J119" s="93"/>
      <c r="L119" s="1"/>
      <c r="N119" s="1"/>
      <c r="O119" s="9">
        <f t="shared" si="96"/>
        <v>42</v>
      </c>
      <c r="P119" s="16">
        <f t="shared" si="86"/>
        <v>0</v>
      </c>
      <c r="Q119" s="16">
        <f t="shared" si="86"/>
        <v>0</v>
      </c>
      <c r="R119" s="16">
        <f t="shared" si="86"/>
        <v>0</v>
      </c>
      <c r="S119" s="16">
        <f t="shared" si="86"/>
        <v>0</v>
      </c>
      <c r="T119" s="16">
        <f t="shared" si="86"/>
        <v>0</v>
      </c>
      <c r="U119" s="16">
        <f t="shared" si="86"/>
        <v>0</v>
      </c>
      <c r="V119" s="16">
        <f t="shared" si="86"/>
        <v>0</v>
      </c>
      <c r="W119" s="16">
        <f t="shared" si="86"/>
        <v>1.3547595906419362E-2</v>
      </c>
      <c r="X119" s="16">
        <f t="shared" si="86"/>
        <v>0.97329199678219092</v>
      </c>
      <c r="Y119" s="16">
        <f t="shared" si="86"/>
        <v>1.3160407311389743E-2</v>
      </c>
      <c r="Z119" s="16">
        <f t="shared" si="87"/>
        <v>0</v>
      </c>
      <c r="AA119" s="16">
        <f t="shared" si="87"/>
        <v>0</v>
      </c>
      <c r="AB119" s="16">
        <f t="shared" si="87"/>
        <v>0</v>
      </c>
      <c r="AC119" s="16">
        <f t="shared" si="87"/>
        <v>0</v>
      </c>
      <c r="AD119" s="16">
        <f t="shared" si="87"/>
        <v>0</v>
      </c>
      <c r="AE119" s="16">
        <f t="shared" si="87"/>
        <v>0</v>
      </c>
      <c r="AF119" s="16">
        <f t="shared" si="87"/>
        <v>0</v>
      </c>
      <c r="AG119" s="16">
        <f t="shared" si="87"/>
        <v>0</v>
      </c>
      <c r="AH119" s="16">
        <f t="shared" si="87"/>
        <v>0</v>
      </c>
      <c r="AI119" s="16">
        <f t="shared" si="87"/>
        <v>0</v>
      </c>
      <c r="AJ119" s="16">
        <f t="shared" si="88"/>
        <v>0</v>
      </c>
      <c r="AK119" s="16">
        <f t="shared" si="88"/>
        <v>0</v>
      </c>
      <c r="AL119" s="16">
        <f t="shared" si="88"/>
        <v>0</v>
      </c>
      <c r="AM119" s="16">
        <f t="shared" si="88"/>
        <v>0</v>
      </c>
      <c r="AN119" s="16">
        <f t="shared" si="88"/>
        <v>0</v>
      </c>
      <c r="AO119" s="16">
        <f t="shared" si="88"/>
        <v>0</v>
      </c>
      <c r="AP119" s="16">
        <f t="shared" si="88"/>
        <v>0</v>
      </c>
      <c r="AQ119" s="16">
        <f t="shared" si="88"/>
        <v>0</v>
      </c>
      <c r="AR119" s="16">
        <f t="shared" si="88"/>
        <v>0</v>
      </c>
      <c r="AS119" s="16">
        <f t="shared" si="88"/>
        <v>0</v>
      </c>
      <c r="AT119" s="16">
        <f t="shared" si="89"/>
        <v>0</v>
      </c>
      <c r="AU119" s="16">
        <f t="shared" si="89"/>
        <v>0</v>
      </c>
      <c r="AV119" s="16">
        <f t="shared" si="89"/>
        <v>0</v>
      </c>
      <c r="AW119" s="16">
        <f t="shared" si="89"/>
        <v>0</v>
      </c>
      <c r="AX119" s="16">
        <f t="shared" si="89"/>
        <v>0</v>
      </c>
      <c r="AY119" s="16">
        <f t="shared" si="89"/>
        <v>0</v>
      </c>
      <c r="AZ119" s="16">
        <f t="shared" si="89"/>
        <v>0</v>
      </c>
      <c r="BA119" s="16">
        <f t="shared" si="89"/>
        <v>0</v>
      </c>
      <c r="BB119" s="16">
        <f t="shared" si="89"/>
        <v>0</v>
      </c>
      <c r="BC119" s="16">
        <f t="shared" si="89"/>
        <v>0</v>
      </c>
      <c r="BD119" s="16">
        <f t="shared" si="90"/>
        <v>0</v>
      </c>
      <c r="BE119" s="16">
        <f t="shared" si="90"/>
        <v>0</v>
      </c>
      <c r="BF119" s="16">
        <f t="shared" si="90"/>
        <v>0</v>
      </c>
      <c r="BG119" s="16">
        <f t="shared" si="90"/>
        <v>0</v>
      </c>
      <c r="BH119" s="16">
        <f t="shared" si="90"/>
        <v>0</v>
      </c>
      <c r="BI119" s="16">
        <f t="shared" si="90"/>
        <v>0</v>
      </c>
      <c r="BJ119" s="16">
        <f t="shared" si="90"/>
        <v>0</v>
      </c>
      <c r="BK119" s="16">
        <f t="shared" si="90"/>
        <v>0</v>
      </c>
      <c r="BL119" s="16">
        <f t="shared" si="90"/>
        <v>0</v>
      </c>
      <c r="BM119" s="16">
        <f t="shared" si="90"/>
        <v>0</v>
      </c>
      <c r="BN119" s="16">
        <f t="shared" si="90"/>
        <v>0</v>
      </c>
      <c r="BQ119" s="9">
        <f t="shared" si="97"/>
        <v>42</v>
      </c>
      <c r="BR119" s="16">
        <f t="shared" si="91"/>
        <v>0</v>
      </c>
      <c r="BS119" s="16">
        <f t="shared" si="91"/>
        <v>0</v>
      </c>
      <c r="BT119" s="16">
        <f t="shared" si="91"/>
        <v>0</v>
      </c>
      <c r="BU119" s="16">
        <f t="shared" si="91"/>
        <v>0</v>
      </c>
      <c r="BV119" s="16">
        <f t="shared" si="91"/>
        <v>0</v>
      </c>
      <c r="BW119" s="16">
        <f t="shared" si="91"/>
        <v>0</v>
      </c>
      <c r="BX119" s="16">
        <f t="shared" si="91"/>
        <v>0</v>
      </c>
      <c r="BY119" s="16">
        <f t="shared" si="91"/>
        <v>0.22290810126583468</v>
      </c>
      <c r="BZ119" s="16">
        <f t="shared" si="91"/>
        <v>0.56055448309742761</v>
      </c>
      <c r="CA119" s="16">
        <f t="shared" si="91"/>
        <v>0.21653741563673778</v>
      </c>
      <c r="CB119" s="16">
        <f t="shared" si="92"/>
        <v>0</v>
      </c>
      <c r="CC119" s="16">
        <f t="shared" si="92"/>
        <v>0</v>
      </c>
      <c r="CD119" s="16">
        <f t="shared" si="92"/>
        <v>0</v>
      </c>
      <c r="CE119" s="16">
        <f t="shared" si="92"/>
        <v>0</v>
      </c>
      <c r="CF119" s="16">
        <f t="shared" si="92"/>
        <v>0</v>
      </c>
      <c r="CG119" s="16">
        <f t="shared" si="92"/>
        <v>0</v>
      </c>
      <c r="CH119" s="16">
        <f t="shared" si="92"/>
        <v>0</v>
      </c>
      <c r="CI119" s="16">
        <f t="shared" si="92"/>
        <v>0</v>
      </c>
      <c r="CJ119" s="16">
        <f t="shared" si="92"/>
        <v>0</v>
      </c>
      <c r="CK119" s="16">
        <f t="shared" si="92"/>
        <v>0</v>
      </c>
      <c r="CL119" s="16">
        <f t="shared" si="93"/>
        <v>0</v>
      </c>
      <c r="CM119" s="16">
        <f t="shared" si="93"/>
        <v>0</v>
      </c>
      <c r="CN119" s="16">
        <f t="shared" si="93"/>
        <v>0</v>
      </c>
      <c r="CO119" s="16">
        <f t="shared" si="93"/>
        <v>0</v>
      </c>
      <c r="CP119" s="16">
        <f t="shared" si="93"/>
        <v>0</v>
      </c>
      <c r="CQ119" s="16">
        <f t="shared" si="93"/>
        <v>0</v>
      </c>
      <c r="CR119" s="16">
        <f t="shared" si="93"/>
        <v>0</v>
      </c>
      <c r="CS119" s="16">
        <f t="shared" si="93"/>
        <v>0</v>
      </c>
      <c r="CT119" s="16">
        <f t="shared" si="93"/>
        <v>0</v>
      </c>
      <c r="CU119" s="16">
        <f t="shared" si="93"/>
        <v>0</v>
      </c>
      <c r="CV119" s="16">
        <f t="shared" si="94"/>
        <v>0</v>
      </c>
      <c r="CW119" s="16">
        <f t="shared" si="94"/>
        <v>0</v>
      </c>
      <c r="CX119" s="16">
        <f t="shared" si="94"/>
        <v>0</v>
      </c>
      <c r="CY119" s="16">
        <f t="shared" si="94"/>
        <v>0</v>
      </c>
      <c r="CZ119" s="16">
        <f t="shared" si="94"/>
        <v>0</v>
      </c>
      <c r="DA119" s="16">
        <f t="shared" si="94"/>
        <v>0</v>
      </c>
      <c r="DB119" s="16">
        <f t="shared" si="94"/>
        <v>0</v>
      </c>
      <c r="DC119" s="16">
        <f t="shared" si="94"/>
        <v>0</v>
      </c>
      <c r="DD119" s="16">
        <f t="shared" si="94"/>
        <v>0</v>
      </c>
      <c r="DE119" s="16">
        <f t="shared" si="94"/>
        <v>0</v>
      </c>
      <c r="DF119" s="16">
        <f t="shared" si="95"/>
        <v>0</v>
      </c>
      <c r="DG119" s="16">
        <f t="shared" si="95"/>
        <v>0</v>
      </c>
      <c r="DH119" s="16">
        <f t="shared" si="95"/>
        <v>0</v>
      </c>
      <c r="DI119" s="16">
        <f t="shared" si="95"/>
        <v>0</v>
      </c>
      <c r="DJ119" s="16">
        <f t="shared" si="95"/>
        <v>0</v>
      </c>
      <c r="DK119" s="16">
        <f t="shared" si="95"/>
        <v>0</v>
      </c>
      <c r="DL119" s="16">
        <f t="shared" si="95"/>
        <v>0</v>
      </c>
      <c r="DM119" s="16">
        <f t="shared" si="95"/>
        <v>0</v>
      </c>
      <c r="DN119" s="16">
        <f t="shared" si="95"/>
        <v>0</v>
      </c>
      <c r="DO119" s="16">
        <f t="shared" si="95"/>
        <v>0</v>
      </c>
      <c r="DP119" s="16">
        <f t="shared" si="95"/>
        <v>0</v>
      </c>
    </row>
    <row r="120" spans="3:120" x14ac:dyDescent="0.25">
      <c r="J120" s="93"/>
      <c r="L120" s="1"/>
      <c r="N120" s="1"/>
      <c r="O120" s="9">
        <f t="shared" si="96"/>
        <v>41</v>
      </c>
      <c r="P120" s="16">
        <f t="shared" si="86"/>
        <v>0</v>
      </c>
      <c r="Q120" s="16">
        <f t="shared" si="86"/>
        <v>0</v>
      </c>
      <c r="R120" s="16">
        <f t="shared" si="86"/>
        <v>0</v>
      </c>
      <c r="S120" s="16">
        <f t="shared" si="86"/>
        <v>0</v>
      </c>
      <c r="T120" s="16">
        <f t="shared" si="86"/>
        <v>0</v>
      </c>
      <c r="U120" s="16">
        <f t="shared" si="86"/>
        <v>0</v>
      </c>
      <c r="V120" s="16">
        <f t="shared" si="86"/>
        <v>0</v>
      </c>
      <c r="W120" s="16">
        <f t="shared" si="86"/>
        <v>0</v>
      </c>
      <c r="X120" s="16">
        <f t="shared" si="86"/>
        <v>1.3547595906419362E-2</v>
      </c>
      <c r="Y120" s="16">
        <f t="shared" si="86"/>
        <v>0.97329199678219092</v>
      </c>
      <c r="Z120" s="16">
        <f t="shared" si="87"/>
        <v>1.3160407311389743E-2</v>
      </c>
      <c r="AA120" s="16">
        <f t="shared" si="87"/>
        <v>0</v>
      </c>
      <c r="AB120" s="16">
        <f t="shared" si="87"/>
        <v>0</v>
      </c>
      <c r="AC120" s="16">
        <f t="shared" si="87"/>
        <v>0</v>
      </c>
      <c r="AD120" s="16">
        <f t="shared" si="87"/>
        <v>0</v>
      </c>
      <c r="AE120" s="16">
        <f t="shared" si="87"/>
        <v>0</v>
      </c>
      <c r="AF120" s="16">
        <f t="shared" si="87"/>
        <v>0</v>
      </c>
      <c r="AG120" s="16">
        <f t="shared" si="87"/>
        <v>0</v>
      </c>
      <c r="AH120" s="16">
        <f t="shared" si="87"/>
        <v>0</v>
      </c>
      <c r="AI120" s="16">
        <f t="shared" si="87"/>
        <v>0</v>
      </c>
      <c r="AJ120" s="16">
        <f t="shared" si="88"/>
        <v>0</v>
      </c>
      <c r="AK120" s="16">
        <f t="shared" si="88"/>
        <v>0</v>
      </c>
      <c r="AL120" s="16">
        <f t="shared" si="88"/>
        <v>0</v>
      </c>
      <c r="AM120" s="16">
        <f t="shared" si="88"/>
        <v>0</v>
      </c>
      <c r="AN120" s="16">
        <f t="shared" si="88"/>
        <v>0</v>
      </c>
      <c r="AO120" s="16">
        <f t="shared" si="88"/>
        <v>0</v>
      </c>
      <c r="AP120" s="16">
        <f t="shared" si="88"/>
        <v>0</v>
      </c>
      <c r="AQ120" s="16">
        <f t="shared" si="88"/>
        <v>0</v>
      </c>
      <c r="AR120" s="16">
        <f t="shared" si="88"/>
        <v>0</v>
      </c>
      <c r="AS120" s="16">
        <f t="shared" si="88"/>
        <v>0</v>
      </c>
      <c r="AT120" s="16">
        <f t="shared" si="89"/>
        <v>0</v>
      </c>
      <c r="AU120" s="16">
        <f t="shared" si="89"/>
        <v>0</v>
      </c>
      <c r="AV120" s="16">
        <f t="shared" si="89"/>
        <v>0</v>
      </c>
      <c r="AW120" s="16">
        <f t="shared" si="89"/>
        <v>0</v>
      </c>
      <c r="AX120" s="16">
        <f t="shared" si="89"/>
        <v>0</v>
      </c>
      <c r="AY120" s="16">
        <f t="shared" si="89"/>
        <v>0</v>
      </c>
      <c r="AZ120" s="16">
        <f t="shared" si="89"/>
        <v>0</v>
      </c>
      <c r="BA120" s="16">
        <f t="shared" si="89"/>
        <v>0</v>
      </c>
      <c r="BB120" s="16">
        <f t="shared" si="89"/>
        <v>0</v>
      </c>
      <c r="BC120" s="16">
        <f t="shared" si="89"/>
        <v>0</v>
      </c>
      <c r="BD120" s="16">
        <f t="shared" si="90"/>
        <v>0</v>
      </c>
      <c r="BE120" s="16">
        <f t="shared" si="90"/>
        <v>0</v>
      </c>
      <c r="BF120" s="16">
        <f t="shared" si="90"/>
        <v>0</v>
      </c>
      <c r="BG120" s="16">
        <f t="shared" si="90"/>
        <v>0</v>
      </c>
      <c r="BH120" s="16">
        <f t="shared" si="90"/>
        <v>0</v>
      </c>
      <c r="BI120" s="16">
        <f t="shared" si="90"/>
        <v>0</v>
      </c>
      <c r="BJ120" s="16">
        <f t="shared" si="90"/>
        <v>0</v>
      </c>
      <c r="BK120" s="16">
        <f t="shared" si="90"/>
        <v>0</v>
      </c>
      <c r="BL120" s="16">
        <f t="shared" si="90"/>
        <v>0</v>
      </c>
      <c r="BM120" s="16">
        <f t="shared" si="90"/>
        <v>0</v>
      </c>
      <c r="BN120" s="16">
        <f t="shared" si="90"/>
        <v>0</v>
      </c>
      <c r="BQ120" s="9">
        <f t="shared" si="97"/>
        <v>41</v>
      </c>
      <c r="BR120" s="16">
        <f t="shared" si="91"/>
        <v>0</v>
      </c>
      <c r="BS120" s="16">
        <f t="shared" si="91"/>
        <v>0</v>
      </c>
      <c r="BT120" s="16">
        <f t="shared" si="91"/>
        <v>0</v>
      </c>
      <c r="BU120" s="16">
        <f t="shared" si="91"/>
        <v>0</v>
      </c>
      <c r="BV120" s="16">
        <f t="shared" si="91"/>
        <v>0</v>
      </c>
      <c r="BW120" s="16">
        <f t="shared" si="91"/>
        <v>0</v>
      </c>
      <c r="BX120" s="16">
        <f t="shared" si="91"/>
        <v>0</v>
      </c>
      <c r="BY120" s="16">
        <f t="shared" si="91"/>
        <v>0</v>
      </c>
      <c r="BZ120" s="16">
        <f t="shared" si="91"/>
        <v>0.25005528016871909</v>
      </c>
      <c r="CA120" s="16">
        <f t="shared" si="91"/>
        <v>0.50703598826624341</v>
      </c>
      <c r="CB120" s="16">
        <f t="shared" si="92"/>
        <v>0.24290873156503748</v>
      </c>
      <c r="CC120" s="16">
        <f t="shared" si="92"/>
        <v>0</v>
      </c>
      <c r="CD120" s="16">
        <f t="shared" si="92"/>
        <v>0</v>
      </c>
      <c r="CE120" s="16">
        <f t="shared" si="92"/>
        <v>0</v>
      </c>
      <c r="CF120" s="16">
        <f t="shared" si="92"/>
        <v>0</v>
      </c>
      <c r="CG120" s="16">
        <f t="shared" si="92"/>
        <v>0</v>
      </c>
      <c r="CH120" s="16">
        <f t="shared" si="92"/>
        <v>0</v>
      </c>
      <c r="CI120" s="16">
        <f t="shared" si="92"/>
        <v>0</v>
      </c>
      <c r="CJ120" s="16">
        <f t="shared" si="92"/>
        <v>0</v>
      </c>
      <c r="CK120" s="16">
        <f t="shared" si="92"/>
        <v>0</v>
      </c>
      <c r="CL120" s="16">
        <f t="shared" si="93"/>
        <v>0</v>
      </c>
      <c r="CM120" s="16">
        <f t="shared" si="93"/>
        <v>0</v>
      </c>
      <c r="CN120" s="16">
        <f t="shared" si="93"/>
        <v>0</v>
      </c>
      <c r="CO120" s="16">
        <f t="shared" si="93"/>
        <v>0</v>
      </c>
      <c r="CP120" s="16">
        <f t="shared" si="93"/>
        <v>0</v>
      </c>
      <c r="CQ120" s="16">
        <f t="shared" si="93"/>
        <v>0</v>
      </c>
      <c r="CR120" s="16">
        <f t="shared" si="93"/>
        <v>0</v>
      </c>
      <c r="CS120" s="16">
        <f t="shared" si="93"/>
        <v>0</v>
      </c>
      <c r="CT120" s="16">
        <f t="shared" si="93"/>
        <v>0</v>
      </c>
      <c r="CU120" s="16">
        <f t="shared" si="93"/>
        <v>0</v>
      </c>
      <c r="CV120" s="16">
        <f t="shared" si="94"/>
        <v>0</v>
      </c>
      <c r="CW120" s="16">
        <f t="shared" si="94"/>
        <v>0</v>
      </c>
      <c r="CX120" s="16">
        <f t="shared" si="94"/>
        <v>0</v>
      </c>
      <c r="CY120" s="16">
        <f t="shared" si="94"/>
        <v>0</v>
      </c>
      <c r="CZ120" s="16">
        <f t="shared" si="94"/>
        <v>0</v>
      </c>
      <c r="DA120" s="16">
        <f t="shared" si="94"/>
        <v>0</v>
      </c>
      <c r="DB120" s="16">
        <f t="shared" si="94"/>
        <v>0</v>
      </c>
      <c r="DC120" s="16">
        <f t="shared" si="94"/>
        <v>0</v>
      </c>
      <c r="DD120" s="16">
        <f t="shared" si="94"/>
        <v>0</v>
      </c>
      <c r="DE120" s="16">
        <f t="shared" si="94"/>
        <v>0</v>
      </c>
      <c r="DF120" s="16">
        <f t="shared" si="95"/>
        <v>0</v>
      </c>
      <c r="DG120" s="16">
        <f t="shared" si="95"/>
        <v>0</v>
      </c>
      <c r="DH120" s="16">
        <f t="shared" si="95"/>
        <v>0</v>
      </c>
      <c r="DI120" s="16">
        <f t="shared" si="95"/>
        <v>0</v>
      </c>
      <c r="DJ120" s="16">
        <f t="shared" si="95"/>
        <v>0</v>
      </c>
      <c r="DK120" s="16">
        <f t="shared" si="95"/>
        <v>0</v>
      </c>
      <c r="DL120" s="16">
        <f t="shared" si="95"/>
        <v>0</v>
      </c>
      <c r="DM120" s="16">
        <f t="shared" si="95"/>
        <v>0</v>
      </c>
      <c r="DN120" s="16">
        <f t="shared" si="95"/>
        <v>0</v>
      </c>
      <c r="DO120" s="16">
        <f t="shared" si="95"/>
        <v>0</v>
      </c>
      <c r="DP120" s="16">
        <f t="shared" si="95"/>
        <v>0</v>
      </c>
    </row>
    <row r="121" spans="3:120" x14ac:dyDescent="0.25">
      <c r="J121" s="93"/>
      <c r="L121" s="1"/>
      <c r="N121" s="1"/>
      <c r="O121" s="9">
        <f t="shared" si="96"/>
        <v>40</v>
      </c>
      <c r="P121" s="16">
        <f t="shared" ref="P121:Y130" si="98">IF(P$110=$O121,P$108*HLOOKUP($O121,$O$19:$BN$48,P$107,0)+1,IF(P$110-$O121=1,P$108*HLOOKUP($O121,$O$15:$BN$30,P$107,0),IF(P$110-$O121=-1,P$108*HLOOKUP($O121,$O$23:$BN$68,P$107,0),0)))</f>
        <v>0</v>
      </c>
      <c r="Q121" s="16">
        <f t="shared" si="98"/>
        <v>0</v>
      </c>
      <c r="R121" s="16">
        <f t="shared" si="98"/>
        <v>0</v>
      </c>
      <c r="S121" s="16">
        <f t="shared" si="98"/>
        <v>0</v>
      </c>
      <c r="T121" s="16">
        <f t="shared" si="98"/>
        <v>0</v>
      </c>
      <c r="U121" s="16">
        <f t="shared" si="98"/>
        <v>0</v>
      </c>
      <c r="V121" s="16">
        <f t="shared" si="98"/>
        <v>0</v>
      </c>
      <c r="W121" s="16">
        <f t="shared" si="98"/>
        <v>0</v>
      </c>
      <c r="X121" s="16">
        <f t="shared" si="98"/>
        <v>0</v>
      </c>
      <c r="Y121" s="16">
        <f t="shared" si="98"/>
        <v>1.3547595906419362E-2</v>
      </c>
      <c r="Z121" s="16">
        <f t="shared" ref="Z121:AI130" si="99">IF(Z$110=$O121,Z$108*HLOOKUP($O121,$O$19:$BN$48,Z$107,0)+1,IF(Z$110-$O121=1,Z$108*HLOOKUP($O121,$O$15:$BN$30,Z$107,0),IF(Z$110-$O121=-1,Z$108*HLOOKUP($O121,$O$23:$BN$68,Z$107,0),0)))</f>
        <v>0.97329199678219092</v>
      </c>
      <c r="AA121" s="16">
        <f t="shared" si="99"/>
        <v>1.3160407311389743E-2</v>
      </c>
      <c r="AB121" s="16">
        <f t="shared" si="99"/>
        <v>0</v>
      </c>
      <c r="AC121" s="16">
        <f t="shared" si="99"/>
        <v>0</v>
      </c>
      <c r="AD121" s="16">
        <f t="shared" si="99"/>
        <v>0</v>
      </c>
      <c r="AE121" s="16">
        <f t="shared" si="99"/>
        <v>0</v>
      </c>
      <c r="AF121" s="16">
        <f t="shared" si="99"/>
        <v>0</v>
      </c>
      <c r="AG121" s="16">
        <f t="shared" si="99"/>
        <v>0</v>
      </c>
      <c r="AH121" s="16">
        <f t="shared" si="99"/>
        <v>0</v>
      </c>
      <c r="AI121" s="16">
        <f t="shared" si="99"/>
        <v>0</v>
      </c>
      <c r="AJ121" s="16">
        <f t="shared" ref="AJ121:AS130" si="100">IF(AJ$110=$O121,AJ$108*HLOOKUP($O121,$O$19:$BN$48,AJ$107,0)+1,IF(AJ$110-$O121=1,AJ$108*HLOOKUP($O121,$O$15:$BN$30,AJ$107,0),IF(AJ$110-$O121=-1,AJ$108*HLOOKUP($O121,$O$23:$BN$68,AJ$107,0),0)))</f>
        <v>0</v>
      </c>
      <c r="AK121" s="16">
        <f t="shared" si="100"/>
        <v>0</v>
      </c>
      <c r="AL121" s="16">
        <f t="shared" si="100"/>
        <v>0</v>
      </c>
      <c r="AM121" s="16">
        <f t="shared" si="100"/>
        <v>0</v>
      </c>
      <c r="AN121" s="16">
        <f t="shared" si="100"/>
        <v>0</v>
      </c>
      <c r="AO121" s="16">
        <f t="shared" si="100"/>
        <v>0</v>
      </c>
      <c r="AP121" s="16">
        <f t="shared" si="100"/>
        <v>0</v>
      </c>
      <c r="AQ121" s="16">
        <f t="shared" si="100"/>
        <v>0</v>
      </c>
      <c r="AR121" s="16">
        <f t="shared" si="100"/>
        <v>0</v>
      </c>
      <c r="AS121" s="16">
        <f t="shared" si="100"/>
        <v>0</v>
      </c>
      <c r="AT121" s="16">
        <f t="shared" ref="AT121:BC130" si="101">IF(AT$110=$O121,AT$108*HLOOKUP($O121,$O$19:$BN$48,AT$107,0)+1,IF(AT$110-$O121=1,AT$108*HLOOKUP($O121,$O$15:$BN$30,AT$107,0),IF(AT$110-$O121=-1,AT$108*HLOOKUP($O121,$O$23:$BN$68,AT$107,0),0)))</f>
        <v>0</v>
      </c>
      <c r="AU121" s="16">
        <f t="shared" si="101"/>
        <v>0</v>
      </c>
      <c r="AV121" s="16">
        <f t="shared" si="101"/>
        <v>0</v>
      </c>
      <c r="AW121" s="16">
        <f t="shared" si="101"/>
        <v>0</v>
      </c>
      <c r="AX121" s="16">
        <f t="shared" si="101"/>
        <v>0</v>
      </c>
      <c r="AY121" s="16">
        <f t="shared" si="101"/>
        <v>0</v>
      </c>
      <c r="AZ121" s="16">
        <f t="shared" si="101"/>
        <v>0</v>
      </c>
      <c r="BA121" s="16">
        <f t="shared" si="101"/>
        <v>0</v>
      </c>
      <c r="BB121" s="16">
        <f t="shared" si="101"/>
        <v>0</v>
      </c>
      <c r="BC121" s="16">
        <f t="shared" si="101"/>
        <v>0</v>
      </c>
      <c r="BD121" s="16">
        <f t="shared" ref="BD121:BN130" si="102">IF(BD$110=$O121,BD$108*HLOOKUP($O121,$O$19:$BN$48,BD$107,0)+1,IF(BD$110-$O121=1,BD$108*HLOOKUP($O121,$O$15:$BN$30,BD$107,0),IF(BD$110-$O121=-1,BD$108*HLOOKUP($O121,$O$23:$BN$68,BD$107,0),0)))</f>
        <v>0</v>
      </c>
      <c r="BE121" s="16">
        <f t="shared" si="102"/>
        <v>0</v>
      </c>
      <c r="BF121" s="16">
        <f t="shared" si="102"/>
        <v>0</v>
      </c>
      <c r="BG121" s="16">
        <f t="shared" si="102"/>
        <v>0</v>
      </c>
      <c r="BH121" s="16">
        <f t="shared" si="102"/>
        <v>0</v>
      </c>
      <c r="BI121" s="16">
        <f t="shared" si="102"/>
        <v>0</v>
      </c>
      <c r="BJ121" s="16">
        <f t="shared" si="102"/>
        <v>0</v>
      </c>
      <c r="BK121" s="16">
        <f t="shared" si="102"/>
        <v>0</v>
      </c>
      <c r="BL121" s="16">
        <f t="shared" si="102"/>
        <v>0</v>
      </c>
      <c r="BM121" s="16">
        <f t="shared" si="102"/>
        <v>0</v>
      </c>
      <c r="BN121" s="16">
        <f t="shared" si="102"/>
        <v>0</v>
      </c>
      <c r="BQ121" s="9">
        <f t="shared" si="97"/>
        <v>40</v>
      </c>
      <c r="BR121" s="16">
        <f t="shared" ref="BR121:CA130" si="103">IF(BR$110=$O121,BR$108*HLOOKUP($O121,$O$19:$BN$48,BR$107,0)+1,IF(BR$110-$O121=1,BR$108*HLOOKUP($O121,$O$15:$BN$30,BR$107,0),IF(BR$110-$O121=-1,BR$108*HLOOKUP($O121,$O$23:$BN$68,BR$107,0),0)))</f>
        <v>0</v>
      </c>
      <c r="BS121" s="16">
        <f t="shared" si="103"/>
        <v>0</v>
      </c>
      <c r="BT121" s="16">
        <f t="shared" si="103"/>
        <v>0</v>
      </c>
      <c r="BU121" s="16">
        <f t="shared" si="103"/>
        <v>0</v>
      </c>
      <c r="BV121" s="16">
        <f t="shared" si="103"/>
        <v>0</v>
      </c>
      <c r="BW121" s="16">
        <f t="shared" si="103"/>
        <v>0</v>
      </c>
      <c r="BX121" s="16">
        <f t="shared" si="103"/>
        <v>0</v>
      </c>
      <c r="BY121" s="16">
        <f t="shared" si="103"/>
        <v>0</v>
      </c>
      <c r="BZ121" s="16">
        <f t="shared" si="103"/>
        <v>0</v>
      </c>
      <c r="CA121" s="16">
        <f t="shared" si="103"/>
        <v>0.27876193988224829</v>
      </c>
      <c r="CB121" s="16">
        <f t="shared" ref="CB121:CK130" si="104">IF(CB$110=$O121,CB$108*HLOOKUP($O121,$O$19:$BN$48,CB$107,0)+1,IF(CB$110-$O121=1,CB$108*HLOOKUP($O121,$O$15:$BN$30,CB$107,0),IF(CB$110-$O121=-1,CB$108*HLOOKUP($O121,$O$23:$BN$68,CB$107,0),0)))</f>
        <v>0.45044310158011203</v>
      </c>
      <c r="CC121" s="16">
        <f t="shared" si="104"/>
        <v>0.27079495853763969</v>
      </c>
      <c r="CD121" s="16">
        <f t="shared" si="104"/>
        <v>0</v>
      </c>
      <c r="CE121" s="16">
        <f t="shared" si="104"/>
        <v>0</v>
      </c>
      <c r="CF121" s="16">
        <f t="shared" si="104"/>
        <v>0</v>
      </c>
      <c r="CG121" s="16">
        <f t="shared" si="104"/>
        <v>0</v>
      </c>
      <c r="CH121" s="16">
        <f t="shared" si="104"/>
        <v>0</v>
      </c>
      <c r="CI121" s="16">
        <f t="shared" si="104"/>
        <v>0</v>
      </c>
      <c r="CJ121" s="16">
        <f t="shared" si="104"/>
        <v>0</v>
      </c>
      <c r="CK121" s="16">
        <f t="shared" si="104"/>
        <v>0</v>
      </c>
      <c r="CL121" s="16">
        <f t="shared" ref="CL121:CU130" si="105">IF(CL$110=$O121,CL$108*HLOOKUP($O121,$O$19:$BN$48,CL$107,0)+1,IF(CL$110-$O121=1,CL$108*HLOOKUP($O121,$O$15:$BN$30,CL$107,0),IF(CL$110-$O121=-1,CL$108*HLOOKUP($O121,$O$23:$BN$68,CL$107,0),0)))</f>
        <v>0</v>
      </c>
      <c r="CM121" s="16">
        <f t="shared" si="105"/>
        <v>0</v>
      </c>
      <c r="CN121" s="16">
        <f t="shared" si="105"/>
        <v>0</v>
      </c>
      <c r="CO121" s="16">
        <f t="shared" si="105"/>
        <v>0</v>
      </c>
      <c r="CP121" s="16">
        <f t="shared" si="105"/>
        <v>0</v>
      </c>
      <c r="CQ121" s="16">
        <f t="shared" si="105"/>
        <v>0</v>
      </c>
      <c r="CR121" s="16">
        <f t="shared" si="105"/>
        <v>0</v>
      </c>
      <c r="CS121" s="16">
        <f t="shared" si="105"/>
        <v>0</v>
      </c>
      <c r="CT121" s="16">
        <f t="shared" si="105"/>
        <v>0</v>
      </c>
      <c r="CU121" s="16">
        <f t="shared" si="105"/>
        <v>0</v>
      </c>
      <c r="CV121" s="16">
        <f t="shared" ref="CV121:DE130" si="106">IF(CV$110=$O121,CV$108*HLOOKUP($O121,$O$19:$BN$48,CV$107,0)+1,IF(CV$110-$O121=1,CV$108*HLOOKUP($O121,$O$15:$BN$30,CV$107,0),IF(CV$110-$O121=-1,CV$108*HLOOKUP($O121,$O$23:$BN$68,CV$107,0),0)))</f>
        <v>0</v>
      </c>
      <c r="CW121" s="16">
        <f t="shared" si="106"/>
        <v>0</v>
      </c>
      <c r="CX121" s="16">
        <f t="shared" si="106"/>
        <v>0</v>
      </c>
      <c r="CY121" s="16">
        <f t="shared" si="106"/>
        <v>0</v>
      </c>
      <c r="CZ121" s="16">
        <f t="shared" si="106"/>
        <v>0</v>
      </c>
      <c r="DA121" s="16">
        <f t="shared" si="106"/>
        <v>0</v>
      </c>
      <c r="DB121" s="16">
        <f t="shared" si="106"/>
        <v>0</v>
      </c>
      <c r="DC121" s="16">
        <f t="shared" si="106"/>
        <v>0</v>
      </c>
      <c r="DD121" s="16">
        <f t="shared" si="106"/>
        <v>0</v>
      </c>
      <c r="DE121" s="16">
        <f t="shared" si="106"/>
        <v>0</v>
      </c>
      <c r="DF121" s="16">
        <f t="shared" ref="DF121:DP130" si="107">IF(DF$110=$O121,DF$108*HLOOKUP($O121,$O$19:$BN$48,DF$107,0)+1,IF(DF$110-$O121=1,DF$108*HLOOKUP($O121,$O$15:$BN$30,DF$107,0),IF(DF$110-$O121=-1,DF$108*HLOOKUP($O121,$O$23:$BN$68,DF$107,0),0)))</f>
        <v>0</v>
      </c>
      <c r="DG121" s="16">
        <f t="shared" si="107"/>
        <v>0</v>
      </c>
      <c r="DH121" s="16">
        <f t="shared" si="107"/>
        <v>0</v>
      </c>
      <c r="DI121" s="16">
        <f t="shared" si="107"/>
        <v>0</v>
      </c>
      <c r="DJ121" s="16">
        <f t="shared" si="107"/>
        <v>0</v>
      </c>
      <c r="DK121" s="16">
        <f t="shared" si="107"/>
        <v>0</v>
      </c>
      <c r="DL121" s="16">
        <f t="shared" si="107"/>
        <v>0</v>
      </c>
      <c r="DM121" s="16">
        <f t="shared" si="107"/>
        <v>0</v>
      </c>
      <c r="DN121" s="16">
        <f t="shared" si="107"/>
        <v>0</v>
      </c>
      <c r="DO121" s="16">
        <f t="shared" si="107"/>
        <v>0</v>
      </c>
      <c r="DP121" s="16">
        <f t="shared" si="107"/>
        <v>0</v>
      </c>
    </row>
    <row r="122" spans="3:120" x14ac:dyDescent="0.25">
      <c r="J122" s="93"/>
      <c r="L122" s="1"/>
      <c r="N122" s="1"/>
      <c r="O122" s="9">
        <f t="shared" si="96"/>
        <v>39</v>
      </c>
      <c r="P122" s="16">
        <f t="shared" si="98"/>
        <v>0</v>
      </c>
      <c r="Q122" s="16">
        <f t="shared" si="98"/>
        <v>0</v>
      </c>
      <c r="R122" s="16">
        <f t="shared" si="98"/>
        <v>0</v>
      </c>
      <c r="S122" s="16">
        <f t="shared" si="98"/>
        <v>0</v>
      </c>
      <c r="T122" s="16">
        <f t="shared" si="98"/>
        <v>0</v>
      </c>
      <c r="U122" s="16">
        <f t="shared" si="98"/>
        <v>0</v>
      </c>
      <c r="V122" s="16">
        <f t="shared" si="98"/>
        <v>0</v>
      </c>
      <c r="W122" s="16">
        <f t="shared" si="98"/>
        <v>0</v>
      </c>
      <c r="X122" s="16">
        <f t="shared" si="98"/>
        <v>0</v>
      </c>
      <c r="Y122" s="16">
        <f t="shared" si="98"/>
        <v>0</v>
      </c>
      <c r="Z122" s="16">
        <f t="shared" si="99"/>
        <v>1.3547595906419362E-2</v>
      </c>
      <c r="AA122" s="16">
        <f t="shared" si="99"/>
        <v>0.97329199678219092</v>
      </c>
      <c r="AB122" s="16">
        <f t="shared" si="99"/>
        <v>1.3160407311389743E-2</v>
      </c>
      <c r="AC122" s="16">
        <f t="shared" si="99"/>
        <v>0</v>
      </c>
      <c r="AD122" s="16">
        <f t="shared" si="99"/>
        <v>0</v>
      </c>
      <c r="AE122" s="16">
        <f t="shared" si="99"/>
        <v>0</v>
      </c>
      <c r="AF122" s="16">
        <f t="shared" si="99"/>
        <v>0</v>
      </c>
      <c r="AG122" s="16">
        <f t="shared" si="99"/>
        <v>0</v>
      </c>
      <c r="AH122" s="16">
        <f t="shared" si="99"/>
        <v>0</v>
      </c>
      <c r="AI122" s="16">
        <f t="shared" si="99"/>
        <v>0</v>
      </c>
      <c r="AJ122" s="16">
        <f t="shared" si="100"/>
        <v>0</v>
      </c>
      <c r="AK122" s="16">
        <f t="shared" si="100"/>
        <v>0</v>
      </c>
      <c r="AL122" s="16">
        <f t="shared" si="100"/>
        <v>0</v>
      </c>
      <c r="AM122" s="16">
        <f t="shared" si="100"/>
        <v>0</v>
      </c>
      <c r="AN122" s="16">
        <f t="shared" si="100"/>
        <v>0</v>
      </c>
      <c r="AO122" s="16">
        <f t="shared" si="100"/>
        <v>0</v>
      </c>
      <c r="AP122" s="16">
        <f t="shared" si="100"/>
        <v>0</v>
      </c>
      <c r="AQ122" s="16">
        <f t="shared" si="100"/>
        <v>0</v>
      </c>
      <c r="AR122" s="16">
        <f t="shared" si="100"/>
        <v>0</v>
      </c>
      <c r="AS122" s="16">
        <f t="shared" si="100"/>
        <v>0</v>
      </c>
      <c r="AT122" s="16">
        <f t="shared" si="101"/>
        <v>0</v>
      </c>
      <c r="AU122" s="16">
        <f t="shared" si="101"/>
        <v>0</v>
      </c>
      <c r="AV122" s="16">
        <f t="shared" si="101"/>
        <v>0</v>
      </c>
      <c r="AW122" s="16">
        <f t="shared" si="101"/>
        <v>0</v>
      </c>
      <c r="AX122" s="16">
        <f t="shared" si="101"/>
        <v>0</v>
      </c>
      <c r="AY122" s="16">
        <f t="shared" si="101"/>
        <v>0</v>
      </c>
      <c r="AZ122" s="16">
        <f t="shared" si="101"/>
        <v>0</v>
      </c>
      <c r="BA122" s="16">
        <f t="shared" si="101"/>
        <v>0</v>
      </c>
      <c r="BB122" s="16">
        <f t="shared" si="101"/>
        <v>0</v>
      </c>
      <c r="BC122" s="16">
        <f t="shared" si="101"/>
        <v>0</v>
      </c>
      <c r="BD122" s="16">
        <f t="shared" si="102"/>
        <v>0</v>
      </c>
      <c r="BE122" s="16">
        <f t="shared" si="102"/>
        <v>0</v>
      </c>
      <c r="BF122" s="16">
        <f t="shared" si="102"/>
        <v>0</v>
      </c>
      <c r="BG122" s="16">
        <f t="shared" si="102"/>
        <v>0</v>
      </c>
      <c r="BH122" s="16">
        <f t="shared" si="102"/>
        <v>0</v>
      </c>
      <c r="BI122" s="16">
        <f t="shared" si="102"/>
        <v>0</v>
      </c>
      <c r="BJ122" s="16">
        <f t="shared" si="102"/>
        <v>0</v>
      </c>
      <c r="BK122" s="16">
        <f t="shared" si="102"/>
        <v>0</v>
      </c>
      <c r="BL122" s="16">
        <f t="shared" si="102"/>
        <v>0</v>
      </c>
      <c r="BM122" s="16">
        <f t="shared" si="102"/>
        <v>0</v>
      </c>
      <c r="BN122" s="16">
        <f t="shared" si="102"/>
        <v>0</v>
      </c>
      <c r="BQ122" s="9">
        <f t="shared" si="97"/>
        <v>39</v>
      </c>
      <c r="BR122" s="16">
        <f t="shared" si="103"/>
        <v>0</v>
      </c>
      <c r="BS122" s="16">
        <f t="shared" si="103"/>
        <v>0</v>
      </c>
      <c r="BT122" s="16">
        <f t="shared" si="103"/>
        <v>0</v>
      </c>
      <c r="BU122" s="16">
        <f t="shared" si="103"/>
        <v>0</v>
      </c>
      <c r="BV122" s="16">
        <f t="shared" si="103"/>
        <v>0</v>
      </c>
      <c r="BW122" s="16">
        <f t="shared" si="103"/>
        <v>0</v>
      </c>
      <c r="BX122" s="16">
        <f t="shared" si="103"/>
        <v>0</v>
      </c>
      <c r="BY122" s="16">
        <f t="shared" si="103"/>
        <v>0</v>
      </c>
      <c r="BZ122" s="16">
        <f t="shared" si="103"/>
        <v>0</v>
      </c>
      <c r="CA122" s="16">
        <f t="shared" si="103"/>
        <v>0</v>
      </c>
      <c r="CB122" s="16">
        <f t="shared" si="104"/>
        <v>0.30902808040642288</v>
      </c>
      <c r="CC122" s="16">
        <f t="shared" si="104"/>
        <v>0.39077582303903213</v>
      </c>
      <c r="CD122" s="16">
        <f t="shared" si="104"/>
        <v>0.30019609655454493</v>
      </c>
      <c r="CE122" s="16">
        <f t="shared" si="104"/>
        <v>0</v>
      </c>
      <c r="CF122" s="16">
        <f t="shared" si="104"/>
        <v>0</v>
      </c>
      <c r="CG122" s="16">
        <f t="shared" si="104"/>
        <v>0</v>
      </c>
      <c r="CH122" s="16">
        <f t="shared" si="104"/>
        <v>0</v>
      </c>
      <c r="CI122" s="16">
        <f t="shared" si="104"/>
        <v>0</v>
      </c>
      <c r="CJ122" s="16">
        <f t="shared" si="104"/>
        <v>0</v>
      </c>
      <c r="CK122" s="16">
        <f t="shared" si="104"/>
        <v>0</v>
      </c>
      <c r="CL122" s="16">
        <f t="shared" si="105"/>
        <v>0</v>
      </c>
      <c r="CM122" s="16">
        <f t="shared" si="105"/>
        <v>0</v>
      </c>
      <c r="CN122" s="16">
        <f t="shared" si="105"/>
        <v>0</v>
      </c>
      <c r="CO122" s="16">
        <f t="shared" si="105"/>
        <v>0</v>
      </c>
      <c r="CP122" s="16">
        <f t="shared" si="105"/>
        <v>0</v>
      </c>
      <c r="CQ122" s="16">
        <f t="shared" si="105"/>
        <v>0</v>
      </c>
      <c r="CR122" s="16">
        <f t="shared" si="105"/>
        <v>0</v>
      </c>
      <c r="CS122" s="16">
        <f t="shared" si="105"/>
        <v>0</v>
      </c>
      <c r="CT122" s="16">
        <f t="shared" si="105"/>
        <v>0</v>
      </c>
      <c r="CU122" s="16">
        <f t="shared" si="105"/>
        <v>0</v>
      </c>
      <c r="CV122" s="16">
        <f t="shared" si="106"/>
        <v>0</v>
      </c>
      <c r="CW122" s="16">
        <f t="shared" si="106"/>
        <v>0</v>
      </c>
      <c r="CX122" s="16">
        <f t="shared" si="106"/>
        <v>0</v>
      </c>
      <c r="CY122" s="16">
        <f t="shared" si="106"/>
        <v>0</v>
      </c>
      <c r="CZ122" s="16">
        <f t="shared" si="106"/>
        <v>0</v>
      </c>
      <c r="DA122" s="16">
        <f t="shared" si="106"/>
        <v>0</v>
      </c>
      <c r="DB122" s="16">
        <f t="shared" si="106"/>
        <v>0</v>
      </c>
      <c r="DC122" s="16">
        <f t="shared" si="106"/>
        <v>0</v>
      </c>
      <c r="DD122" s="16">
        <f t="shared" si="106"/>
        <v>0</v>
      </c>
      <c r="DE122" s="16">
        <f t="shared" si="106"/>
        <v>0</v>
      </c>
      <c r="DF122" s="16">
        <f t="shared" si="107"/>
        <v>0</v>
      </c>
      <c r="DG122" s="16">
        <f t="shared" si="107"/>
        <v>0</v>
      </c>
      <c r="DH122" s="16">
        <f t="shared" si="107"/>
        <v>0</v>
      </c>
      <c r="DI122" s="16">
        <f t="shared" si="107"/>
        <v>0</v>
      </c>
      <c r="DJ122" s="16">
        <f t="shared" si="107"/>
        <v>0</v>
      </c>
      <c r="DK122" s="16">
        <f t="shared" si="107"/>
        <v>0</v>
      </c>
      <c r="DL122" s="16">
        <f t="shared" si="107"/>
        <v>0</v>
      </c>
      <c r="DM122" s="16">
        <f t="shared" si="107"/>
        <v>0</v>
      </c>
      <c r="DN122" s="16">
        <f t="shared" si="107"/>
        <v>0</v>
      </c>
      <c r="DO122" s="16">
        <f t="shared" si="107"/>
        <v>0</v>
      </c>
      <c r="DP122" s="16">
        <f t="shared" si="107"/>
        <v>0</v>
      </c>
    </row>
    <row r="123" spans="3:120" x14ac:dyDescent="0.25">
      <c r="J123" s="93"/>
      <c r="L123" s="1"/>
      <c r="N123" s="1"/>
      <c r="O123" s="9">
        <f t="shared" si="96"/>
        <v>38</v>
      </c>
      <c r="P123" s="16">
        <f t="shared" si="98"/>
        <v>0</v>
      </c>
      <c r="Q123" s="16">
        <f t="shared" si="98"/>
        <v>0</v>
      </c>
      <c r="R123" s="16">
        <f t="shared" si="98"/>
        <v>0</v>
      </c>
      <c r="S123" s="16">
        <f t="shared" si="98"/>
        <v>0</v>
      </c>
      <c r="T123" s="16">
        <f t="shared" si="98"/>
        <v>0</v>
      </c>
      <c r="U123" s="16">
        <f t="shared" si="98"/>
        <v>0</v>
      </c>
      <c r="V123" s="16">
        <f t="shared" si="98"/>
        <v>0</v>
      </c>
      <c r="W123" s="16">
        <f t="shared" si="98"/>
        <v>0</v>
      </c>
      <c r="X123" s="16">
        <f t="shared" si="98"/>
        <v>0</v>
      </c>
      <c r="Y123" s="16">
        <f t="shared" si="98"/>
        <v>0</v>
      </c>
      <c r="Z123" s="16">
        <f t="shared" si="99"/>
        <v>0</v>
      </c>
      <c r="AA123" s="16">
        <f t="shared" si="99"/>
        <v>1.3547595906419362E-2</v>
      </c>
      <c r="AB123" s="16">
        <f t="shared" si="99"/>
        <v>0.97329199678219092</v>
      </c>
      <c r="AC123" s="16">
        <f t="shared" si="99"/>
        <v>1.3160407311389743E-2</v>
      </c>
      <c r="AD123" s="16">
        <f t="shared" si="99"/>
        <v>0</v>
      </c>
      <c r="AE123" s="16">
        <f t="shared" si="99"/>
        <v>0</v>
      </c>
      <c r="AF123" s="16">
        <f t="shared" si="99"/>
        <v>0</v>
      </c>
      <c r="AG123" s="16">
        <f t="shared" si="99"/>
        <v>0</v>
      </c>
      <c r="AH123" s="16">
        <f t="shared" si="99"/>
        <v>0</v>
      </c>
      <c r="AI123" s="16">
        <f t="shared" si="99"/>
        <v>0</v>
      </c>
      <c r="AJ123" s="16">
        <f t="shared" si="100"/>
        <v>0</v>
      </c>
      <c r="AK123" s="16">
        <f t="shared" si="100"/>
        <v>0</v>
      </c>
      <c r="AL123" s="16">
        <f t="shared" si="100"/>
        <v>0</v>
      </c>
      <c r="AM123" s="16">
        <f t="shared" si="100"/>
        <v>0</v>
      </c>
      <c r="AN123" s="16">
        <f t="shared" si="100"/>
        <v>0</v>
      </c>
      <c r="AO123" s="16">
        <f t="shared" si="100"/>
        <v>0</v>
      </c>
      <c r="AP123" s="16">
        <f t="shared" si="100"/>
        <v>0</v>
      </c>
      <c r="AQ123" s="16">
        <f t="shared" si="100"/>
        <v>0</v>
      </c>
      <c r="AR123" s="16">
        <f t="shared" si="100"/>
        <v>0</v>
      </c>
      <c r="AS123" s="16">
        <f t="shared" si="100"/>
        <v>0</v>
      </c>
      <c r="AT123" s="16">
        <f t="shared" si="101"/>
        <v>0</v>
      </c>
      <c r="AU123" s="16">
        <f t="shared" si="101"/>
        <v>0</v>
      </c>
      <c r="AV123" s="16">
        <f t="shared" si="101"/>
        <v>0</v>
      </c>
      <c r="AW123" s="16">
        <f t="shared" si="101"/>
        <v>0</v>
      </c>
      <c r="AX123" s="16">
        <f t="shared" si="101"/>
        <v>0</v>
      </c>
      <c r="AY123" s="16">
        <f t="shared" si="101"/>
        <v>0</v>
      </c>
      <c r="AZ123" s="16">
        <f t="shared" si="101"/>
        <v>0</v>
      </c>
      <c r="BA123" s="16">
        <f t="shared" si="101"/>
        <v>0</v>
      </c>
      <c r="BB123" s="16">
        <f t="shared" si="101"/>
        <v>0</v>
      </c>
      <c r="BC123" s="16">
        <f t="shared" si="101"/>
        <v>0</v>
      </c>
      <c r="BD123" s="16">
        <f t="shared" si="102"/>
        <v>0</v>
      </c>
      <c r="BE123" s="16">
        <f t="shared" si="102"/>
        <v>0</v>
      </c>
      <c r="BF123" s="16">
        <f t="shared" si="102"/>
        <v>0</v>
      </c>
      <c r="BG123" s="16">
        <f t="shared" si="102"/>
        <v>0</v>
      </c>
      <c r="BH123" s="16">
        <f t="shared" si="102"/>
        <v>0</v>
      </c>
      <c r="BI123" s="16">
        <f t="shared" si="102"/>
        <v>0</v>
      </c>
      <c r="BJ123" s="16">
        <f t="shared" si="102"/>
        <v>0</v>
      </c>
      <c r="BK123" s="16">
        <f t="shared" si="102"/>
        <v>0</v>
      </c>
      <c r="BL123" s="16">
        <f t="shared" si="102"/>
        <v>0</v>
      </c>
      <c r="BM123" s="16">
        <f t="shared" si="102"/>
        <v>0</v>
      </c>
      <c r="BN123" s="16">
        <f t="shared" si="102"/>
        <v>0</v>
      </c>
      <c r="BQ123" s="9">
        <f t="shared" si="97"/>
        <v>38</v>
      </c>
      <c r="BR123" s="16">
        <f t="shared" si="103"/>
        <v>0</v>
      </c>
      <c r="BS123" s="16">
        <f t="shared" si="103"/>
        <v>0</v>
      </c>
      <c r="BT123" s="16">
        <f t="shared" si="103"/>
        <v>0</v>
      </c>
      <c r="BU123" s="16">
        <f t="shared" si="103"/>
        <v>0</v>
      </c>
      <c r="BV123" s="16">
        <f t="shared" si="103"/>
        <v>0</v>
      </c>
      <c r="BW123" s="16">
        <f t="shared" si="103"/>
        <v>0</v>
      </c>
      <c r="BX123" s="16">
        <f t="shared" si="103"/>
        <v>0</v>
      </c>
      <c r="BY123" s="16">
        <f t="shared" si="103"/>
        <v>0</v>
      </c>
      <c r="BZ123" s="16">
        <f t="shared" si="103"/>
        <v>0</v>
      </c>
      <c r="CA123" s="16">
        <f t="shared" si="103"/>
        <v>0</v>
      </c>
      <c r="CB123" s="16">
        <f t="shared" si="104"/>
        <v>0</v>
      </c>
      <c r="CC123" s="16">
        <f t="shared" si="104"/>
        <v>0.34085370174124174</v>
      </c>
      <c r="CD123" s="16">
        <f t="shared" si="104"/>
        <v>0.32803415264300595</v>
      </c>
      <c r="CE123" s="16">
        <f t="shared" si="104"/>
        <v>0.33111214561575225</v>
      </c>
      <c r="CF123" s="16">
        <f t="shared" si="104"/>
        <v>0</v>
      </c>
      <c r="CG123" s="16">
        <f t="shared" si="104"/>
        <v>0</v>
      </c>
      <c r="CH123" s="16">
        <f t="shared" si="104"/>
        <v>0</v>
      </c>
      <c r="CI123" s="16">
        <f t="shared" si="104"/>
        <v>0</v>
      </c>
      <c r="CJ123" s="16">
        <f t="shared" si="104"/>
        <v>0</v>
      </c>
      <c r="CK123" s="16">
        <f t="shared" si="104"/>
        <v>0</v>
      </c>
      <c r="CL123" s="16">
        <f t="shared" si="105"/>
        <v>0</v>
      </c>
      <c r="CM123" s="16">
        <f t="shared" si="105"/>
        <v>0</v>
      </c>
      <c r="CN123" s="16">
        <f t="shared" si="105"/>
        <v>0</v>
      </c>
      <c r="CO123" s="16">
        <f t="shared" si="105"/>
        <v>0</v>
      </c>
      <c r="CP123" s="16">
        <f t="shared" si="105"/>
        <v>0</v>
      </c>
      <c r="CQ123" s="16">
        <f t="shared" si="105"/>
        <v>0</v>
      </c>
      <c r="CR123" s="16">
        <f t="shared" si="105"/>
        <v>0</v>
      </c>
      <c r="CS123" s="16">
        <f t="shared" si="105"/>
        <v>0</v>
      </c>
      <c r="CT123" s="16">
        <f t="shared" si="105"/>
        <v>0</v>
      </c>
      <c r="CU123" s="16">
        <f t="shared" si="105"/>
        <v>0</v>
      </c>
      <c r="CV123" s="16">
        <f t="shared" si="106"/>
        <v>0</v>
      </c>
      <c r="CW123" s="16">
        <f t="shared" si="106"/>
        <v>0</v>
      </c>
      <c r="CX123" s="16">
        <f t="shared" si="106"/>
        <v>0</v>
      </c>
      <c r="CY123" s="16">
        <f t="shared" si="106"/>
        <v>0</v>
      </c>
      <c r="CZ123" s="16">
        <f t="shared" si="106"/>
        <v>0</v>
      </c>
      <c r="DA123" s="16">
        <f t="shared" si="106"/>
        <v>0</v>
      </c>
      <c r="DB123" s="16">
        <f t="shared" si="106"/>
        <v>0</v>
      </c>
      <c r="DC123" s="16">
        <f t="shared" si="106"/>
        <v>0</v>
      </c>
      <c r="DD123" s="16">
        <f t="shared" si="106"/>
        <v>0</v>
      </c>
      <c r="DE123" s="16">
        <f t="shared" si="106"/>
        <v>0</v>
      </c>
      <c r="DF123" s="16">
        <f t="shared" si="107"/>
        <v>0</v>
      </c>
      <c r="DG123" s="16">
        <f t="shared" si="107"/>
        <v>0</v>
      </c>
      <c r="DH123" s="16">
        <f t="shared" si="107"/>
        <v>0</v>
      </c>
      <c r="DI123" s="16">
        <f t="shared" si="107"/>
        <v>0</v>
      </c>
      <c r="DJ123" s="16">
        <f t="shared" si="107"/>
        <v>0</v>
      </c>
      <c r="DK123" s="16">
        <f t="shared" si="107"/>
        <v>0</v>
      </c>
      <c r="DL123" s="16">
        <f t="shared" si="107"/>
        <v>0</v>
      </c>
      <c r="DM123" s="16">
        <f t="shared" si="107"/>
        <v>0</v>
      </c>
      <c r="DN123" s="16">
        <f t="shared" si="107"/>
        <v>0</v>
      </c>
      <c r="DO123" s="16">
        <f t="shared" si="107"/>
        <v>0</v>
      </c>
      <c r="DP123" s="16">
        <f t="shared" si="107"/>
        <v>0</v>
      </c>
    </row>
    <row r="124" spans="3:120" x14ac:dyDescent="0.25">
      <c r="J124" s="93"/>
      <c r="L124" s="1"/>
      <c r="N124" s="1"/>
      <c r="O124" s="9">
        <f t="shared" si="96"/>
        <v>37</v>
      </c>
      <c r="P124" s="16">
        <f t="shared" si="98"/>
        <v>0</v>
      </c>
      <c r="Q124" s="16">
        <f t="shared" si="98"/>
        <v>0</v>
      </c>
      <c r="R124" s="16">
        <f t="shared" si="98"/>
        <v>0</v>
      </c>
      <c r="S124" s="16">
        <f t="shared" si="98"/>
        <v>0</v>
      </c>
      <c r="T124" s="16">
        <f t="shared" si="98"/>
        <v>0</v>
      </c>
      <c r="U124" s="16">
        <f t="shared" si="98"/>
        <v>0</v>
      </c>
      <c r="V124" s="16">
        <f t="shared" si="98"/>
        <v>0</v>
      </c>
      <c r="W124" s="16">
        <f t="shared" si="98"/>
        <v>0</v>
      </c>
      <c r="X124" s="16">
        <f t="shared" si="98"/>
        <v>0</v>
      </c>
      <c r="Y124" s="16">
        <f t="shared" si="98"/>
        <v>0</v>
      </c>
      <c r="Z124" s="16">
        <f t="shared" si="99"/>
        <v>0</v>
      </c>
      <c r="AA124" s="16">
        <f t="shared" si="99"/>
        <v>0</v>
      </c>
      <c r="AB124" s="16">
        <f t="shared" si="99"/>
        <v>2.6829221167646904E-2</v>
      </c>
      <c r="AC124" s="16">
        <f t="shared" si="99"/>
        <v>0.94710833344702172</v>
      </c>
      <c r="AD124" s="16">
        <f t="shared" si="99"/>
        <v>2.6062445385331326E-2</v>
      </c>
      <c r="AE124" s="16">
        <f t="shared" si="99"/>
        <v>0</v>
      </c>
      <c r="AF124" s="16">
        <f t="shared" si="99"/>
        <v>0</v>
      </c>
      <c r="AG124" s="16">
        <f t="shared" si="99"/>
        <v>0</v>
      </c>
      <c r="AH124" s="16">
        <f t="shared" si="99"/>
        <v>0</v>
      </c>
      <c r="AI124" s="16">
        <f t="shared" si="99"/>
        <v>0</v>
      </c>
      <c r="AJ124" s="16">
        <f t="shared" si="100"/>
        <v>0</v>
      </c>
      <c r="AK124" s="16">
        <f t="shared" si="100"/>
        <v>0</v>
      </c>
      <c r="AL124" s="16">
        <f t="shared" si="100"/>
        <v>0</v>
      </c>
      <c r="AM124" s="16">
        <f t="shared" si="100"/>
        <v>0</v>
      </c>
      <c r="AN124" s="16">
        <f t="shared" si="100"/>
        <v>0</v>
      </c>
      <c r="AO124" s="16">
        <f t="shared" si="100"/>
        <v>0</v>
      </c>
      <c r="AP124" s="16">
        <f t="shared" si="100"/>
        <v>0</v>
      </c>
      <c r="AQ124" s="16">
        <f t="shared" si="100"/>
        <v>0</v>
      </c>
      <c r="AR124" s="16">
        <f t="shared" si="100"/>
        <v>0</v>
      </c>
      <c r="AS124" s="16">
        <f t="shared" si="100"/>
        <v>0</v>
      </c>
      <c r="AT124" s="16">
        <f t="shared" si="101"/>
        <v>0</v>
      </c>
      <c r="AU124" s="16">
        <f t="shared" si="101"/>
        <v>0</v>
      </c>
      <c r="AV124" s="16">
        <f t="shared" si="101"/>
        <v>0</v>
      </c>
      <c r="AW124" s="16">
        <f t="shared" si="101"/>
        <v>0</v>
      </c>
      <c r="AX124" s="16">
        <f t="shared" si="101"/>
        <v>0</v>
      </c>
      <c r="AY124" s="16">
        <f t="shared" si="101"/>
        <v>0</v>
      </c>
      <c r="AZ124" s="16">
        <f t="shared" si="101"/>
        <v>0</v>
      </c>
      <c r="BA124" s="16">
        <f t="shared" si="101"/>
        <v>0</v>
      </c>
      <c r="BB124" s="16">
        <f t="shared" si="101"/>
        <v>0</v>
      </c>
      <c r="BC124" s="16">
        <f t="shared" si="101"/>
        <v>0</v>
      </c>
      <c r="BD124" s="16">
        <f t="shared" si="102"/>
        <v>0</v>
      </c>
      <c r="BE124" s="16">
        <f t="shared" si="102"/>
        <v>0</v>
      </c>
      <c r="BF124" s="16">
        <f t="shared" si="102"/>
        <v>0</v>
      </c>
      <c r="BG124" s="16">
        <f t="shared" si="102"/>
        <v>0</v>
      </c>
      <c r="BH124" s="16">
        <f t="shared" si="102"/>
        <v>0</v>
      </c>
      <c r="BI124" s="16">
        <f t="shared" si="102"/>
        <v>0</v>
      </c>
      <c r="BJ124" s="16">
        <f t="shared" si="102"/>
        <v>0</v>
      </c>
      <c r="BK124" s="16">
        <f t="shared" si="102"/>
        <v>0</v>
      </c>
      <c r="BL124" s="16">
        <f t="shared" si="102"/>
        <v>0</v>
      </c>
      <c r="BM124" s="16">
        <f t="shared" si="102"/>
        <v>0</v>
      </c>
      <c r="BN124" s="16">
        <f t="shared" si="102"/>
        <v>0</v>
      </c>
      <c r="BQ124" s="9">
        <f t="shared" si="97"/>
        <v>37</v>
      </c>
      <c r="BR124" s="16">
        <f t="shared" si="103"/>
        <v>0</v>
      </c>
      <c r="BS124" s="16">
        <f t="shared" si="103"/>
        <v>0</v>
      </c>
      <c r="BT124" s="16">
        <f t="shared" si="103"/>
        <v>0</v>
      </c>
      <c r="BU124" s="16">
        <f t="shared" si="103"/>
        <v>0</v>
      </c>
      <c r="BV124" s="16">
        <f t="shared" si="103"/>
        <v>0</v>
      </c>
      <c r="BW124" s="16">
        <f t="shared" si="103"/>
        <v>0</v>
      </c>
      <c r="BX124" s="16">
        <f t="shared" si="103"/>
        <v>0</v>
      </c>
      <c r="BY124" s="16">
        <f t="shared" si="103"/>
        <v>0</v>
      </c>
      <c r="BZ124" s="16">
        <f t="shared" si="103"/>
        <v>0</v>
      </c>
      <c r="CA124" s="16">
        <f t="shared" si="103"/>
        <v>0</v>
      </c>
      <c r="CB124" s="16">
        <f t="shared" si="104"/>
        <v>0</v>
      </c>
      <c r="CC124" s="16">
        <f t="shared" si="104"/>
        <v>0</v>
      </c>
      <c r="CD124" s="16">
        <f t="shared" si="104"/>
        <v>0.37423880388670561</v>
      </c>
      <c r="CE124" s="16">
        <f t="shared" si="104"/>
        <v>0.26221809039203225</v>
      </c>
      <c r="CF124" s="16">
        <f t="shared" si="104"/>
        <v>0.36354310572126219</v>
      </c>
      <c r="CG124" s="16">
        <f t="shared" si="104"/>
        <v>0</v>
      </c>
      <c r="CH124" s="16">
        <f t="shared" si="104"/>
        <v>0</v>
      </c>
      <c r="CI124" s="16">
        <f t="shared" si="104"/>
        <v>0</v>
      </c>
      <c r="CJ124" s="16">
        <f t="shared" si="104"/>
        <v>0</v>
      </c>
      <c r="CK124" s="16">
        <f t="shared" si="104"/>
        <v>0</v>
      </c>
      <c r="CL124" s="16">
        <f t="shared" si="105"/>
        <v>0</v>
      </c>
      <c r="CM124" s="16">
        <f t="shared" si="105"/>
        <v>0</v>
      </c>
      <c r="CN124" s="16">
        <f t="shared" si="105"/>
        <v>0</v>
      </c>
      <c r="CO124" s="16">
        <f t="shared" si="105"/>
        <v>0</v>
      </c>
      <c r="CP124" s="16">
        <f t="shared" si="105"/>
        <v>0</v>
      </c>
      <c r="CQ124" s="16">
        <f t="shared" si="105"/>
        <v>0</v>
      </c>
      <c r="CR124" s="16">
        <f t="shared" si="105"/>
        <v>0</v>
      </c>
      <c r="CS124" s="16">
        <f t="shared" si="105"/>
        <v>0</v>
      </c>
      <c r="CT124" s="16">
        <f t="shared" si="105"/>
        <v>0</v>
      </c>
      <c r="CU124" s="16">
        <f t="shared" si="105"/>
        <v>0</v>
      </c>
      <c r="CV124" s="16">
        <f t="shared" si="106"/>
        <v>0</v>
      </c>
      <c r="CW124" s="16">
        <f t="shared" si="106"/>
        <v>0</v>
      </c>
      <c r="CX124" s="16">
        <f t="shared" si="106"/>
        <v>0</v>
      </c>
      <c r="CY124" s="16">
        <f t="shared" si="106"/>
        <v>0</v>
      </c>
      <c r="CZ124" s="16">
        <f t="shared" si="106"/>
        <v>0</v>
      </c>
      <c r="DA124" s="16">
        <f t="shared" si="106"/>
        <v>0</v>
      </c>
      <c r="DB124" s="16">
        <f t="shared" si="106"/>
        <v>0</v>
      </c>
      <c r="DC124" s="16">
        <f t="shared" si="106"/>
        <v>0</v>
      </c>
      <c r="DD124" s="16">
        <f t="shared" si="106"/>
        <v>0</v>
      </c>
      <c r="DE124" s="16">
        <f t="shared" si="106"/>
        <v>0</v>
      </c>
      <c r="DF124" s="16">
        <f t="shared" si="107"/>
        <v>0</v>
      </c>
      <c r="DG124" s="16">
        <f t="shared" si="107"/>
        <v>0</v>
      </c>
      <c r="DH124" s="16">
        <f t="shared" si="107"/>
        <v>0</v>
      </c>
      <c r="DI124" s="16">
        <f t="shared" si="107"/>
        <v>0</v>
      </c>
      <c r="DJ124" s="16">
        <f t="shared" si="107"/>
        <v>0</v>
      </c>
      <c r="DK124" s="16">
        <f t="shared" si="107"/>
        <v>0</v>
      </c>
      <c r="DL124" s="16">
        <f t="shared" si="107"/>
        <v>0</v>
      </c>
      <c r="DM124" s="16">
        <f t="shared" si="107"/>
        <v>0</v>
      </c>
      <c r="DN124" s="16">
        <f t="shared" si="107"/>
        <v>0</v>
      </c>
      <c r="DO124" s="16">
        <f t="shared" si="107"/>
        <v>0</v>
      </c>
      <c r="DP124" s="16">
        <f t="shared" si="107"/>
        <v>0</v>
      </c>
    </row>
    <row r="125" spans="3:120" x14ac:dyDescent="0.25">
      <c r="J125" s="93"/>
      <c r="L125" s="1"/>
      <c r="N125" s="1"/>
      <c r="O125" s="9">
        <f t="shared" si="96"/>
        <v>36</v>
      </c>
      <c r="P125" s="16">
        <f t="shared" si="98"/>
        <v>0</v>
      </c>
      <c r="Q125" s="16">
        <f t="shared" si="98"/>
        <v>0</v>
      </c>
      <c r="R125" s="16">
        <f t="shared" si="98"/>
        <v>0</v>
      </c>
      <c r="S125" s="16">
        <f t="shared" si="98"/>
        <v>0</v>
      </c>
      <c r="T125" s="16">
        <f t="shared" si="98"/>
        <v>0</v>
      </c>
      <c r="U125" s="16">
        <f t="shared" si="98"/>
        <v>0</v>
      </c>
      <c r="V125" s="16">
        <f t="shared" si="98"/>
        <v>0</v>
      </c>
      <c r="W125" s="16">
        <f t="shared" si="98"/>
        <v>0</v>
      </c>
      <c r="X125" s="16">
        <f t="shared" si="98"/>
        <v>0</v>
      </c>
      <c r="Y125" s="16">
        <f t="shared" si="98"/>
        <v>0</v>
      </c>
      <c r="Z125" s="16">
        <f t="shared" si="99"/>
        <v>0</v>
      </c>
      <c r="AA125" s="16">
        <f t="shared" si="99"/>
        <v>0</v>
      </c>
      <c r="AB125" s="16">
        <f t="shared" si="99"/>
        <v>0</v>
      </c>
      <c r="AC125" s="16">
        <f t="shared" si="99"/>
        <v>5.5088831325300382E-2</v>
      </c>
      <c r="AD125" s="16">
        <f t="shared" si="99"/>
        <v>0.89139676925229938</v>
      </c>
      <c r="AE125" s="16">
        <f t="shared" si="99"/>
        <v>5.3514399422400202E-2</v>
      </c>
      <c r="AF125" s="16">
        <f t="shared" si="99"/>
        <v>0</v>
      </c>
      <c r="AG125" s="16">
        <f t="shared" si="99"/>
        <v>0</v>
      </c>
      <c r="AH125" s="16">
        <f t="shared" si="99"/>
        <v>0</v>
      </c>
      <c r="AI125" s="16">
        <f t="shared" si="99"/>
        <v>0</v>
      </c>
      <c r="AJ125" s="16">
        <f t="shared" si="100"/>
        <v>0</v>
      </c>
      <c r="AK125" s="16">
        <f t="shared" si="100"/>
        <v>0</v>
      </c>
      <c r="AL125" s="16">
        <f t="shared" si="100"/>
        <v>0</v>
      </c>
      <c r="AM125" s="16">
        <f t="shared" si="100"/>
        <v>0</v>
      </c>
      <c r="AN125" s="16">
        <f t="shared" si="100"/>
        <v>0</v>
      </c>
      <c r="AO125" s="16">
        <f t="shared" si="100"/>
        <v>0</v>
      </c>
      <c r="AP125" s="16">
        <f t="shared" si="100"/>
        <v>0</v>
      </c>
      <c r="AQ125" s="16">
        <f t="shared" si="100"/>
        <v>0</v>
      </c>
      <c r="AR125" s="16">
        <f t="shared" si="100"/>
        <v>0</v>
      </c>
      <c r="AS125" s="16">
        <f t="shared" si="100"/>
        <v>0</v>
      </c>
      <c r="AT125" s="16">
        <f t="shared" si="101"/>
        <v>0</v>
      </c>
      <c r="AU125" s="16">
        <f t="shared" si="101"/>
        <v>0</v>
      </c>
      <c r="AV125" s="16">
        <f t="shared" si="101"/>
        <v>0</v>
      </c>
      <c r="AW125" s="16">
        <f t="shared" si="101"/>
        <v>0</v>
      </c>
      <c r="AX125" s="16">
        <f t="shared" si="101"/>
        <v>0</v>
      </c>
      <c r="AY125" s="16">
        <f t="shared" si="101"/>
        <v>0</v>
      </c>
      <c r="AZ125" s="16">
        <f t="shared" si="101"/>
        <v>0</v>
      </c>
      <c r="BA125" s="16">
        <f t="shared" si="101"/>
        <v>0</v>
      </c>
      <c r="BB125" s="16">
        <f t="shared" si="101"/>
        <v>0</v>
      </c>
      <c r="BC125" s="16">
        <f t="shared" si="101"/>
        <v>0</v>
      </c>
      <c r="BD125" s="16">
        <f t="shared" si="102"/>
        <v>0</v>
      </c>
      <c r="BE125" s="16">
        <f t="shared" si="102"/>
        <v>0</v>
      </c>
      <c r="BF125" s="16">
        <f t="shared" si="102"/>
        <v>0</v>
      </c>
      <c r="BG125" s="16">
        <f t="shared" si="102"/>
        <v>0</v>
      </c>
      <c r="BH125" s="16">
        <f t="shared" si="102"/>
        <v>0</v>
      </c>
      <c r="BI125" s="16">
        <f t="shared" si="102"/>
        <v>0</v>
      </c>
      <c r="BJ125" s="16">
        <f t="shared" si="102"/>
        <v>0</v>
      </c>
      <c r="BK125" s="16">
        <f t="shared" si="102"/>
        <v>0</v>
      </c>
      <c r="BL125" s="16">
        <f t="shared" si="102"/>
        <v>0</v>
      </c>
      <c r="BM125" s="16">
        <f t="shared" si="102"/>
        <v>0</v>
      </c>
      <c r="BN125" s="16">
        <f t="shared" si="102"/>
        <v>0</v>
      </c>
      <c r="BQ125" s="9">
        <f t="shared" si="97"/>
        <v>36</v>
      </c>
      <c r="BR125" s="16">
        <f t="shared" si="103"/>
        <v>0</v>
      </c>
      <c r="BS125" s="16">
        <f t="shared" si="103"/>
        <v>0</v>
      </c>
      <c r="BT125" s="16">
        <f t="shared" si="103"/>
        <v>0</v>
      </c>
      <c r="BU125" s="16">
        <f t="shared" si="103"/>
        <v>0</v>
      </c>
      <c r="BV125" s="16">
        <f t="shared" si="103"/>
        <v>0</v>
      </c>
      <c r="BW125" s="16">
        <f t="shared" si="103"/>
        <v>0</v>
      </c>
      <c r="BX125" s="16">
        <f t="shared" si="103"/>
        <v>0</v>
      </c>
      <c r="BY125" s="16">
        <f t="shared" si="103"/>
        <v>0</v>
      </c>
      <c r="BZ125" s="16">
        <f t="shared" si="103"/>
        <v>0</v>
      </c>
      <c r="CA125" s="16">
        <f t="shared" si="103"/>
        <v>0</v>
      </c>
      <c r="CB125" s="16">
        <f t="shared" si="104"/>
        <v>0</v>
      </c>
      <c r="CC125" s="16">
        <f t="shared" si="104"/>
        <v>0</v>
      </c>
      <c r="CD125" s="16">
        <f t="shared" si="104"/>
        <v>0</v>
      </c>
      <c r="CE125" s="16">
        <f t="shared" si="104"/>
        <v>0.40918338684281425</v>
      </c>
      <c r="CF125" s="16">
        <f t="shared" si="104"/>
        <v>0.19332763628611116</v>
      </c>
      <c r="CG125" s="16">
        <f t="shared" si="104"/>
        <v>0.39748897687107465</v>
      </c>
      <c r="CH125" s="16">
        <f t="shared" si="104"/>
        <v>0</v>
      </c>
      <c r="CI125" s="16">
        <f t="shared" si="104"/>
        <v>0</v>
      </c>
      <c r="CJ125" s="16">
        <f t="shared" si="104"/>
        <v>0</v>
      </c>
      <c r="CK125" s="16">
        <f t="shared" si="104"/>
        <v>0</v>
      </c>
      <c r="CL125" s="16">
        <f t="shared" si="105"/>
        <v>0</v>
      </c>
      <c r="CM125" s="16">
        <f t="shared" si="105"/>
        <v>0</v>
      </c>
      <c r="CN125" s="16">
        <f t="shared" si="105"/>
        <v>0</v>
      </c>
      <c r="CO125" s="16">
        <f t="shared" si="105"/>
        <v>0</v>
      </c>
      <c r="CP125" s="16">
        <f t="shared" si="105"/>
        <v>0</v>
      </c>
      <c r="CQ125" s="16">
        <f t="shared" si="105"/>
        <v>0</v>
      </c>
      <c r="CR125" s="16">
        <f t="shared" si="105"/>
        <v>0</v>
      </c>
      <c r="CS125" s="16">
        <f t="shared" si="105"/>
        <v>0</v>
      </c>
      <c r="CT125" s="16">
        <f t="shared" si="105"/>
        <v>0</v>
      </c>
      <c r="CU125" s="16">
        <f t="shared" si="105"/>
        <v>0</v>
      </c>
      <c r="CV125" s="16">
        <f t="shared" si="106"/>
        <v>0</v>
      </c>
      <c r="CW125" s="16">
        <f t="shared" si="106"/>
        <v>0</v>
      </c>
      <c r="CX125" s="16">
        <f t="shared" si="106"/>
        <v>0</v>
      </c>
      <c r="CY125" s="16">
        <f t="shared" si="106"/>
        <v>0</v>
      </c>
      <c r="CZ125" s="16">
        <f t="shared" si="106"/>
        <v>0</v>
      </c>
      <c r="DA125" s="16">
        <f t="shared" si="106"/>
        <v>0</v>
      </c>
      <c r="DB125" s="16">
        <f t="shared" si="106"/>
        <v>0</v>
      </c>
      <c r="DC125" s="16">
        <f t="shared" si="106"/>
        <v>0</v>
      </c>
      <c r="DD125" s="16">
        <f t="shared" si="106"/>
        <v>0</v>
      </c>
      <c r="DE125" s="16">
        <f t="shared" si="106"/>
        <v>0</v>
      </c>
      <c r="DF125" s="16">
        <f t="shared" si="107"/>
        <v>0</v>
      </c>
      <c r="DG125" s="16">
        <f t="shared" si="107"/>
        <v>0</v>
      </c>
      <c r="DH125" s="16">
        <f t="shared" si="107"/>
        <v>0</v>
      </c>
      <c r="DI125" s="16">
        <f t="shared" si="107"/>
        <v>0</v>
      </c>
      <c r="DJ125" s="16">
        <f t="shared" si="107"/>
        <v>0</v>
      </c>
      <c r="DK125" s="16">
        <f t="shared" si="107"/>
        <v>0</v>
      </c>
      <c r="DL125" s="16">
        <f t="shared" si="107"/>
        <v>0</v>
      </c>
      <c r="DM125" s="16">
        <f t="shared" si="107"/>
        <v>0</v>
      </c>
      <c r="DN125" s="16">
        <f t="shared" si="107"/>
        <v>0</v>
      </c>
      <c r="DO125" s="16">
        <f t="shared" si="107"/>
        <v>0</v>
      </c>
      <c r="DP125" s="16">
        <f t="shared" si="107"/>
        <v>0</v>
      </c>
    </row>
    <row r="126" spans="3:120" x14ac:dyDescent="0.25">
      <c r="J126" s="93"/>
      <c r="L126" s="1"/>
      <c r="N126" s="1"/>
      <c r="O126" s="9">
        <f t="shared" si="96"/>
        <v>35</v>
      </c>
      <c r="P126" s="16">
        <f t="shared" si="98"/>
        <v>0</v>
      </c>
      <c r="Q126" s="16">
        <f t="shared" si="98"/>
        <v>0</v>
      </c>
      <c r="R126" s="16">
        <f t="shared" si="98"/>
        <v>0</v>
      </c>
      <c r="S126" s="16">
        <f t="shared" si="98"/>
        <v>0</v>
      </c>
      <c r="T126" s="16">
        <f t="shared" si="98"/>
        <v>0</v>
      </c>
      <c r="U126" s="16">
        <f t="shared" si="98"/>
        <v>0</v>
      </c>
      <c r="V126" s="16">
        <f t="shared" si="98"/>
        <v>0</v>
      </c>
      <c r="W126" s="16">
        <f t="shared" si="98"/>
        <v>0</v>
      </c>
      <c r="X126" s="16">
        <f t="shared" si="98"/>
        <v>0</v>
      </c>
      <c r="Y126" s="16">
        <f t="shared" si="98"/>
        <v>0</v>
      </c>
      <c r="Z126" s="16">
        <f t="shared" si="99"/>
        <v>0</v>
      </c>
      <c r="AA126" s="16">
        <f t="shared" si="99"/>
        <v>0</v>
      </c>
      <c r="AB126" s="16">
        <f t="shared" si="99"/>
        <v>0</v>
      </c>
      <c r="AC126" s="16">
        <f t="shared" si="99"/>
        <v>0</v>
      </c>
      <c r="AD126" s="16">
        <f t="shared" si="99"/>
        <v>9.3405981538951105E-2</v>
      </c>
      <c r="AE126" s="16">
        <f t="shared" si="99"/>
        <v>0.81585756818131494</v>
      </c>
      <c r="AF126" s="16">
        <f t="shared" si="99"/>
        <v>9.0736450279733941E-2</v>
      </c>
      <c r="AG126" s="16">
        <f t="shared" si="99"/>
        <v>0</v>
      </c>
      <c r="AH126" s="16">
        <f t="shared" si="99"/>
        <v>0</v>
      </c>
      <c r="AI126" s="16">
        <f t="shared" si="99"/>
        <v>0</v>
      </c>
      <c r="AJ126" s="16">
        <f t="shared" si="100"/>
        <v>0</v>
      </c>
      <c r="AK126" s="16">
        <f t="shared" si="100"/>
        <v>0</v>
      </c>
      <c r="AL126" s="16">
        <f t="shared" si="100"/>
        <v>0</v>
      </c>
      <c r="AM126" s="16">
        <f t="shared" si="100"/>
        <v>0</v>
      </c>
      <c r="AN126" s="16">
        <f t="shared" si="100"/>
        <v>0</v>
      </c>
      <c r="AO126" s="16">
        <f t="shared" si="100"/>
        <v>0</v>
      </c>
      <c r="AP126" s="16">
        <f t="shared" si="100"/>
        <v>0</v>
      </c>
      <c r="AQ126" s="16">
        <f t="shared" si="100"/>
        <v>0</v>
      </c>
      <c r="AR126" s="16">
        <f t="shared" si="100"/>
        <v>0</v>
      </c>
      <c r="AS126" s="16">
        <f t="shared" si="100"/>
        <v>0</v>
      </c>
      <c r="AT126" s="16">
        <f t="shared" si="101"/>
        <v>0</v>
      </c>
      <c r="AU126" s="16">
        <f t="shared" si="101"/>
        <v>0</v>
      </c>
      <c r="AV126" s="16">
        <f t="shared" si="101"/>
        <v>0</v>
      </c>
      <c r="AW126" s="16">
        <f t="shared" si="101"/>
        <v>0</v>
      </c>
      <c r="AX126" s="16">
        <f t="shared" si="101"/>
        <v>0</v>
      </c>
      <c r="AY126" s="16">
        <f t="shared" si="101"/>
        <v>0</v>
      </c>
      <c r="AZ126" s="16">
        <f t="shared" si="101"/>
        <v>0</v>
      </c>
      <c r="BA126" s="16">
        <f t="shared" si="101"/>
        <v>0</v>
      </c>
      <c r="BB126" s="16">
        <f t="shared" si="101"/>
        <v>0</v>
      </c>
      <c r="BC126" s="16">
        <f t="shared" si="101"/>
        <v>0</v>
      </c>
      <c r="BD126" s="16">
        <f t="shared" si="102"/>
        <v>0</v>
      </c>
      <c r="BE126" s="16">
        <f t="shared" si="102"/>
        <v>0</v>
      </c>
      <c r="BF126" s="16">
        <f t="shared" si="102"/>
        <v>0</v>
      </c>
      <c r="BG126" s="16">
        <f t="shared" si="102"/>
        <v>0</v>
      </c>
      <c r="BH126" s="16">
        <f t="shared" si="102"/>
        <v>0</v>
      </c>
      <c r="BI126" s="16">
        <f t="shared" si="102"/>
        <v>0</v>
      </c>
      <c r="BJ126" s="16">
        <f t="shared" si="102"/>
        <v>0</v>
      </c>
      <c r="BK126" s="16">
        <f t="shared" si="102"/>
        <v>0</v>
      </c>
      <c r="BL126" s="16">
        <f t="shared" si="102"/>
        <v>0</v>
      </c>
      <c r="BM126" s="16">
        <f t="shared" si="102"/>
        <v>0</v>
      </c>
      <c r="BN126" s="16">
        <f t="shared" si="102"/>
        <v>0</v>
      </c>
      <c r="BQ126" s="9">
        <f t="shared" si="97"/>
        <v>35</v>
      </c>
      <c r="BR126" s="16">
        <f t="shared" si="103"/>
        <v>0</v>
      </c>
      <c r="BS126" s="16">
        <f t="shared" si="103"/>
        <v>0</v>
      </c>
      <c r="BT126" s="16">
        <f t="shared" si="103"/>
        <v>0</v>
      </c>
      <c r="BU126" s="16">
        <f t="shared" si="103"/>
        <v>0</v>
      </c>
      <c r="BV126" s="16">
        <f t="shared" si="103"/>
        <v>0</v>
      </c>
      <c r="BW126" s="16">
        <f t="shared" si="103"/>
        <v>0</v>
      </c>
      <c r="BX126" s="16">
        <f t="shared" si="103"/>
        <v>0</v>
      </c>
      <c r="BY126" s="16">
        <f t="shared" si="103"/>
        <v>0</v>
      </c>
      <c r="BZ126" s="16">
        <f t="shared" si="103"/>
        <v>0</v>
      </c>
      <c r="CA126" s="16">
        <f t="shared" si="103"/>
        <v>0</v>
      </c>
      <c r="CB126" s="16">
        <f t="shared" si="104"/>
        <v>0</v>
      </c>
      <c r="CC126" s="16">
        <f t="shared" si="104"/>
        <v>0</v>
      </c>
      <c r="CD126" s="16">
        <f t="shared" si="104"/>
        <v>0</v>
      </c>
      <c r="CE126" s="16">
        <f t="shared" si="104"/>
        <v>0</v>
      </c>
      <c r="CF126" s="16">
        <f t="shared" si="104"/>
        <v>0.44568745060956844</v>
      </c>
      <c r="CG126" s="16">
        <f t="shared" si="104"/>
        <v>0.12136279032524122</v>
      </c>
      <c r="CH126" s="16">
        <f t="shared" si="104"/>
        <v>0.43294975906519029</v>
      </c>
      <c r="CI126" s="16">
        <f t="shared" si="104"/>
        <v>0</v>
      </c>
      <c r="CJ126" s="16">
        <f t="shared" si="104"/>
        <v>0</v>
      </c>
      <c r="CK126" s="16">
        <f t="shared" si="104"/>
        <v>0</v>
      </c>
      <c r="CL126" s="16">
        <f t="shared" si="105"/>
        <v>0</v>
      </c>
      <c r="CM126" s="16">
        <f t="shared" si="105"/>
        <v>0</v>
      </c>
      <c r="CN126" s="16">
        <f t="shared" si="105"/>
        <v>0</v>
      </c>
      <c r="CO126" s="16">
        <f t="shared" si="105"/>
        <v>0</v>
      </c>
      <c r="CP126" s="16">
        <f t="shared" si="105"/>
        <v>0</v>
      </c>
      <c r="CQ126" s="16">
        <f t="shared" si="105"/>
        <v>0</v>
      </c>
      <c r="CR126" s="16">
        <f t="shared" si="105"/>
        <v>0</v>
      </c>
      <c r="CS126" s="16">
        <f t="shared" si="105"/>
        <v>0</v>
      </c>
      <c r="CT126" s="16">
        <f t="shared" si="105"/>
        <v>0</v>
      </c>
      <c r="CU126" s="16">
        <f t="shared" si="105"/>
        <v>0</v>
      </c>
      <c r="CV126" s="16">
        <f t="shared" si="106"/>
        <v>0</v>
      </c>
      <c r="CW126" s="16">
        <f t="shared" si="106"/>
        <v>0</v>
      </c>
      <c r="CX126" s="16">
        <f t="shared" si="106"/>
        <v>0</v>
      </c>
      <c r="CY126" s="16">
        <f t="shared" si="106"/>
        <v>0</v>
      </c>
      <c r="CZ126" s="16">
        <f t="shared" si="106"/>
        <v>0</v>
      </c>
      <c r="DA126" s="16">
        <f t="shared" si="106"/>
        <v>0</v>
      </c>
      <c r="DB126" s="16">
        <f t="shared" si="106"/>
        <v>0</v>
      </c>
      <c r="DC126" s="16">
        <f t="shared" si="106"/>
        <v>0</v>
      </c>
      <c r="DD126" s="16">
        <f t="shared" si="106"/>
        <v>0</v>
      </c>
      <c r="DE126" s="16">
        <f t="shared" si="106"/>
        <v>0</v>
      </c>
      <c r="DF126" s="16">
        <f t="shared" si="107"/>
        <v>0</v>
      </c>
      <c r="DG126" s="16">
        <f t="shared" si="107"/>
        <v>0</v>
      </c>
      <c r="DH126" s="16">
        <f t="shared" si="107"/>
        <v>0</v>
      </c>
      <c r="DI126" s="16">
        <f t="shared" si="107"/>
        <v>0</v>
      </c>
      <c r="DJ126" s="16">
        <f t="shared" si="107"/>
        <v>0</v>
      </c>
      <c r="DK126" s="16">
        <f t="shared" si="107"/>
        <v>0</v>
      </c>
      <c r="DL126" s="16">
        <f t="shared" si="107"/>
        <v>0</v>
      </c>
      <c r="DM126" s="16">
        <f t="shared" si="107"/>
        <v>0</v>
      </c>
      <c r="DN126" s="16">
        <f t="shared" si="107"/>
        <v>0</v>
      </c>
      <c r="DO126" s="16">
        <f t="shared" si="107"/>
        <v>0</v>
      </c>
      <c r="DP126" s="16">
        <f t="shared" si="107"/>
        <v>0</v>
      </c>
    </row>
    <row r="127" spans="3:120" x14ac:dyDescent="0.25">
      <c r="J127" s="93"/>
      <c r="L127" s="1"/>
      <c r="N127" s="1"/>
      <c r="O127" s="9">
        <f t="shared" si="96"/>
        <v>34</v>
      </c>
      <c r="P127" s="16">
        <f t="shared" si="98"/>
        <v>0</v>
      </c>
      <c r="Q127" s="16">
        <f t="shared" si="98"/>
        <v>0</v>
      </c>
      <c r="R127" s="16">
        <f t="shared" si="98"/>
        <v>0</v>
      </c>
      <c r="S127" s="16">
        <f t="shared" si="98"/>
        <v>0</v>
      </c>
      <c r="T127" s="16">
        <f t="shared" si="98"/>
        <v>0</v>
      </c>
      <c r="U127" s="16">
        <f t="shared" si="98"/>
        <v>0</v>
      </c>
      <c r="V127" s="16">
        <f t="shared" si="98"/>
        <v>0</v>
      </c>
      <c r="W127" s="16">
        <f t="shared" si="98"/>
        <v>0</v>
      </c>
      <c r="X127" s="16">
        <f t="shared" si="98"/>
        <v>0</v>
      </c>
      <c r="Y127" s="16">
        <f t="shared" si="98"/>
        <v>0</v>
      </c>
      <c r="Z127" s="16">
        <f t="shared" si="99"/>
        <v>0</v>
      </c>
      <c r="AA127" s="16">
        <f t="shared" si="99"/>
        <v>0</v>
      </c>
      <c r="AB127" s="16">
        <f t="shared" si="99"/>
        <v>0</v>
      </c>
      <c r="AC127" s="16">
        <f t="shared" si="99"/>
        <v>0</v>
      </c>
      <c r="AD127" s="16">
        <f t="shared" si="99"/>
        <v>0</v>
      </c>
      <c r="AE127" s="16">
        <f t="shared" si="99"/>
        <v>0.14178067180859785</v>
      </c>
      <c r="AF127" s="16">
        <f t="shared" si="99"/>
        <v>0.72049073023407073</v>
      </c>
      <c r="AG127" s="16">
        <f t="shared" si="99"/>
        <v>0.13772859795733142</v>
      </c>
      <c r="AH127" s="16">
        <f t="shared" si="99"/>
        <v>0</v>
      </c>
      <c r="AI127" s="16">
        <f t="shared" si="99"/>
        <v>0</v>
      </c>
      <c r="AJ127" s="16">
        <f t="shared" si="100"/>
        <v>0</v>
      </c>
      <c r="AK127" s="16">
        <f t="shared" si="100"/>
        <v>0</v>
      </c>
      <c r="AL127" s="16">
        <f t="shared" si="100"/>
        <v>0</v>
      </c>
      <c r="AM127" s="16">
        <f t="shared" si="100"/>
        <v>0</v>
      </c>
      <c r="AN127" s="16">
        <f t="shared" si="100"/>
        <v>0</v>
      </c>
      <c r="AO127" s="16">
        <f t="shared" si="100"/>
        <v>0</v>
      </c>
      <c r="AP127" s="16">
        <f t="shared" si="100"/>
        <v>0</v>
      </c>
      <c r="AQ127" s="16">
        <f t="shared" si="100"/>
        <v>0</v>
      </c>
      <c r="AR127" s="16">
        <f t="shared" si="100"/>
        <v>0</v>
      </c>
      <c r="AS127" s="16">
        <f t="shared" si="100"/>
        <v>0</v>
      </c>
      <c r="AT127" s="16">
        <f t="shared" si="101"/>
        <v>0</v>
      </c>
      <c r="AU127" s="16">
        <f t="shared" si="101"/>
        <v>0</v>
      </c>
      <c r="AV127" s="16">
        <f t="shared" si="101"/>
        <v>0</v>
      </c>
      <c r="AW127" s="16">
        <f t="shared" si="101"/>
        <v>0</v>
      </c>
      <c r="AX127" s="16">
        <f t="shared" si="101"/>
        <v>0</v>
      </c>
      <c r="AY127" s="16">
        <f t="shared" si="101"/>
        <v>0</v>
      </c>
      <c r="AZ127" s="16">
        <f t="shared" si="101"/>
        <v>0</v>
      </c>
      <c r="BA127" s="16">
        <f t="shared" si="101"/>
        <v>0</v>
      </c>
      <c r="BB127" s="16">
        <f t="shared" si="101"/>
        <v>0</v>
      </c>
      <c r="BC127" s="16">
        <f t="shared" si="101"/>
        <v>0</v>
      </c>
      <c r="BD127" s="16">
        <f t="shared" si="102"/>
        <v>0</v>
      </c>
      <c r="BE127" s="16">
        <f t="shared" si="102"/>
        <v>0</v>
      </c>
      <c r="BF127" s="16">
        <f t="shared" si="102"/>
        <v>0</v>
      </c>
      <c r="BG127" s="16">
        <f t="shared" si="102"/>
        <v>0</v>
      </c>
      <c r="BH127" s="16">
        <f t="shared" si="102"/>
        <v>0</v>
      </c>
      <c r="BI127" s="16">
        <f t="shared" si="102"/>
        <v>0</v>
      </c>
      <c r="BJ127" s="16">
        <f t="shared" si="102"/>
        <v>0</v>
      </c>
      <c r="BK127" s="16">
        <f t="shared" si="102"/>
        <v>0</v>
      </c>
      <c r="BL127" s="16">
        <f t="shared" si="102"/>
        <v>0</v>
      </c>
      <c r="BM127" s="16">
        <f t="shared" si="102"/>
        <v>0</v>
      </c>
      <c r="BN127" s="16">
        <f t="shared" si="102"/>
        <v>0</v>
      </c>
      <c r="BQ127" s="9">
        <f t="shared" si="97"/>
        <v>34</v>
      </c>
      <c r="BR127" s="16">
        <f t="shared" si="103"/>
        <v>0</v>
      </c>
      <c r="BS127" s="16">
        <f t="shared" si="103"/>
        <v>0</v>
      </c>
      <c r="BT127" s="16">
        <f t="shared" si="103"/>
        <v>0</v>
      </c>
      <c r="BU127" s="16">
        <f t="shared" si="103"/>
        <v>0</v>
      </c>
      <c r="BV127" s="16">
        <f t="shared" si="103"/>
        <v>0</v>
      </c>
      <c r="BW127" s="16">
        <f t="shared" si="103"/>
        <v>0</v>
      </c>
      <c r="BX127" s="16">
        <f t="shared" si="103"/>
        <v>0</v>
      </c>
      <c r="BY127" s="16">
        <f t="shared" si="103"/>
        <v>0</v>
      </c>
      <c r="BZ127" s="16">
        <f t="shared" si="103"/>
        <v>0</v>
      </c>
      <c r="CA127" s="16">
        <f t="shared" si="103"/>
        <v>0</v>
      </c>
      <c r="CB127" s="16">
        <f t="shared" si="104"/>
        <v>0</v>
      </c>
      <c r="CC127" s="16">
        <f t="shared" si="104"/>
        <v>0</v>
      </c>
      <c r="CD127" s="16">
        <f t="shared" si="104"/>
        <v>0</v>
      </c>
      <c r="CE127" s="16">
        <f t="shared" si="104"/>
        <v>0</v>
      </c>
      <c r="CF127" s="16">
        <f t="shared" si="104"/>
        <v>0</v>
      </c>
      <c r="CG127" s="16">
        <f t="shared" si="104"/>
        <v>0.48375099518696701</v>
      </c>
      <c r="CH127" s="16">
        <f t="shared" si="104"/>
        <v>4.6323552509424992E-2</v>
      </c>
      <c r="CI127" s="16">
        <f t="shared" si="104"/>
        <v>0.46992545230360799</v>
      </c>
      <c r="CJ127" s="16">
        <f t="shared" si="104"/>
        <v>0</v>
      </c>
      <c r="CK127" s="16">
        <f t="shared" si="104"/>
        <v>0</v>
      </c>
      <c r="CL127" s="16">
        <f t="shared" si="105"/>
        <v>0</v>
      </c>
      <c r="CM127" s="16">
        <f t="shared" si="105"/>
        <v>0</v>
      </c>
      <c r="CN127" s="16">
        <f t="shared" si="105"/>
        <v>0</v>
      </c>
      <c r="CO127" s="16">
        <f t="shared" si="105"/>
        <v>0</v>
      </c>
      <c r="CP127" s="16">
        <f t="shared" si="105"/>
        <v>0</v>
      </c>
      <c r="CQ127" s="16">
        <f t="shared" si="105"/>
        <v>0</v>
      </c>
      <c r="CR127" s="16">
        <f t="shared" si="105"/>
        <v>0</v>
      </c>
      <c r="CS127" s="16">
        <f t="shared" si="105"/>
        <v>0</v>
      </c>
      <c r="CT127" s="16">
        <f t="shared" si="105"/>
        <v>0</v>
      </c>
      <c r="CU127" s="16">
        <f t="shared" si="105"/>
        <v>0</v>
      </c>
      <c r="CV127" s="16">
        <f t="shared" si="106"/>
        <v>0</v>
      </c>
      <c r="CW127" s="16">
        <f t="shared" si="106"/>
        <v>0</v>
      </c>
      <c r="CX127" s="16">
        <f t="shared" si="106"/>
        <v>0</v>
      </c>
      <c r="CY127" s="16">
        <f t="shared" si="106"/>
        <v>0</v>
      </c>
      <c r="CZ127" s="16">
        <f t="shared" si="106"/>
        <v>0</v>
      </c>
      <c r="DA127" s="16">
        <f t="shared" si="106"/>
        <v>0</v>
      </c>
      <c r="DB127" s="16">
        <f t="shared" si="106"/>
        <v>0</v>
      </c>
      <c r="DC127" s="16">
        <f t="shared" si="106"/>
        <v>0</v>
      </c>
      <c r="DD127" s="16">
        <f t="shared" si="106"/>
        <v>0</v>
      </c>
      <c r="DE127" s="16">
        <f t="shared" si="106"/>
        <v>0</v>
      </c>
      <c r="DF127" s="16">
        <f t="shared" si="107"/>
        <v>0</v>
      </c>
      <c r="DG127" s="16">
        <f t="shared" si="107"/>
        <v>0</v>
      </c>
      <c r="DH127" s="16">
        <f t="shared" si="107"/>
        <v>0</v>
      </c>
      <c r="DI127" s="16">
        <f t="shared" si="107"/>
        <v>0</v>
      </c>
      <c r="DJ127" s="16">
        <f t="shared" si="107"/>
        <v>0</v>
      </c>
      <c r="DK127" s="16">
        <f t="shared" si="107"/>
        <v>0</v>
      </c>
      <c r="DL127" s="16">
        <f t="shared" si="107"/>
        <v>0</v>
      </c>
      <c r="DM127" s="16">
        <f t="shared" si="107"/>
        <v>0</v>
      </c>
      <c r="DN127" s="16">
        <f t="shared" si="107"/>
        <v>0</v>
      </c>
      <c r="DO127" s="16">
        <f t="shared" si="107"/>
        <v>0</v>
      </c>
      <c r="DP127" s="16">
        <f t="shared" si="107"/>
        <v>0</v>
      </c>
    </row>
    <row r="128" spans="3:120" x14ac:dyDescent="0.25">
      <c r="J128" s="93"/>
      <c r="L128" s="1"/>
      <c r="N128" s="1"/>
      <c r="O128" s="9">
        <f t="shared" si="96"/>
        <v>33</v>
      </c>
      <c r="P128" s="16">
        <f t="shared" si="98"/>
        <v>0</v>
      </c>
      <c r="Q128" s="16">
        <f t="shared" si="98"/>
        <v>0</v>
      </c>
      <c r="R128" s="16">
        <f t="shared" si="98"/>
        <v>0</v>
      </c>
      <c r="S128" s="16">
        <f t="shared" si="98"/>
        <v>0</v>
      </c>
      <c r="T128" s="16">
        <f t="shared" si="98"/>
        <v>0</v>
      </c>
      <c r="U128" s="16">
        <f t="shared" si="98"/>
        <v>0</v>
      </c>
      <c r="V128" s="16">
        <f t="shared" si="98"/>
        <v>0</v>
      </c>
      <c r="W128" s="16">
        <f t="shared" si="98"/>
        <v>0</v>
      </c>
      <c r="X128" s="16">
        <f t="shared" si="98"/>
        <v>0</v>
      </c>
      <c r="Y128" s="16">
        <f t="shared" si="98"/>
        <v>0</v>
      </c>
      <c r="Z128" s="16">
        <f t="shared" si="99"/>
        <v>0</v>
      </c>
      <c r="AA128" s="16">
        <f t="shared" si="99"/>
        <v>0</v>
      </c>
      <c r="AB128" s="16">
        <f t="shared" si="99"/>
        <v>0</v>
      </c>
      <c r="AC128" s="16">
        <f t="shared" si="99"/>
        <v>0</v>
      </c>
      <c r="AD128" s="16">
        <f t="shared" si="99"/>
        <v>0</v>
      </c>
      <c r="AE128" s="16">
        <f t="shared" si="99"/>
        <v>0</v>
      </c>
      <c r="AF128" s="16">
        <f t="shared" si="99"/>
        <v>0.20021290213424117</v>
      </c>
      <c r="AG128" s="16">
        <f t="shared" si="99"/>
        <v>0.60529625541056575</v>
      </c>
      <c r="AH128" s="16">
        <f t="shared" si="99"/>
        <v>0.19449084245519307</v>
      </c>
      <c r="AI128" s="16">
        <f t="shared" si="99"/>
        <v>0</v>
      </c>
      <c r="AJ128" s="16">
        <f t="shared" si="100"/>
        <v>0</v>
      </c>
      <c r="AK128" s="16">
        <f t="shared" si="100"/>
        <v>0</v>
      </c>
      <c r="AL128" s="16">
        <f t="shared" si="100"/>
        <v>0</v>
      </c>
      <c r="AM128" s="16">
        <f t="shared" si="100"/>
        <v>0</v>
      </c>
      <c r="AN128" s="16">
        <f t="shared" si="100"/>
        <v>0</v>
      </c>
      <c r="AO128" s="16">
        <f t="shared" si="100"/>
        <v>0</v>
      </c>
      <c r="AP128" s="16">
        <f t="shared" si="100"/>
        <v>0</v>
      </c>
      <c r="AQ128" s="16">
        <f t="shared" si="100"/>
        <v>0</v>
      </c>
      <c r="AR128" s="16">
        <f t="shared" si="100"/>
        <v>0</v>
      </c>
      <c r="AS128" s="16">
        <f t="shared" si="100"/>
        <v>0</v>
      </c>
      <c r="AT128" s="16">
        <f t="shared" si="101"/>
        <v>0</v>
      </c>
      <c r="AU128" s="16">
        <f t="shared" si="101"/>
        <v>0</v>
      </c>
      <c r="AV128" s="16">
        <f t="shared" si="101"/>
        <v>0</v>
      </c>
      <c r="AW128" s="16">
        <f t="shared" si="101"/>
        <v>0</v>
      </c>
      <c r="AX128" s="16">
        <f t="shared" si="101"/>
        <v>0</v>
      </c>
      <c r="AY128" s="16">
        <f t="shared" si="101"/>
        <v>0</v>
      </c>
      <c r="AZ128" s="16">
        <f t="shared" si="101"/>
        <v>0</v>
      </c>
      <c r="BA128" s="16">
        <f t="shared" si="101"/>
        <v>0</v>
      </c>
      <c r="BB128" s="16">
        <f t="shared" si="101"/>
        <v>0</v>
      </c>
      <c r="BC128" s="16">
        <f t="shared" si="101"/>
        <v>0</v>
      </c>
      <c r="BD128" s="16">
        <f t="shared" si="102"/>
        <v>0</v>
      </c>
      <c r="BE128" s="16">
        <f t="shared" si="102"/>
        <v>0</v>
      </c>
      <c r="BF128" s="16">
        <f t="shared" si="102"/>
        <v>0</v>
      </c>
      <c r="BG128" s="16">
        <f t="shared" si="102"/>
        <v>0</v>
      </c>
      <c r="BH128" s="16">
        <f t="shared" si="102"/>
        <v>0</v>
      </c>
      <c r="BI128" s="16">
        <f t="shared" si="102"/>
        <v>0</v>
      </c>
      <c r="BJ128" s="16">
        <f t="shared" si="102"/>
        <v>0</v>
      </c>
      <c r="BK128" s="16">
        <f t="shared" si="102"/>
        <v>0</v>
      </c>
      <c r="BL128" s="16">
        <f t="shared" si="102"/>
        <v>0</v>
      </c>
      <c r="BM128" s="16">
        <f t="shared" si="102"/>
        <v>0</v>
      </c>
      <c r="BN128" s="16">
        <f t="shared" si="102"/>
        <v>0</v>
      </c>
      <c r="BQ128" s="9">
        <f t="shared" si="97"/>
        <v>33</v>
      </c>
      <c r="BR128" s="16">
        <f t="shared" si="103"/>
        <v>0</v>
      </c>
      <c r="BS128" s="16">
        <f t="shared" si="103"/>
        <v>0</v>
      </c>
      <c r="BT128" s="16">
        <f t="shared" si="103"/>
        <v>0</v>
      </c>
      <c r="BU128" s="16">
        <f t="shared" si="103"/>
        <v>0</v>
      </c>
      <c r="BV128" s="16">
        <f t="shared" si="103"/>
        <v>0</v>
      </c>
      <c r="BW128" s="16">
        <f t="shared" si="103"/>
        <v>0</v>
      </c>
      <c r="BX128" s="16">
        <f t="shared" si="103"/>
        <v>0</v>
      </c>
      <c r="BY128" s="16">
        <f t="shared" si="103"/>
        <v>0</v>
      </c>
      <c r="BZ128" s="16">
        <f t="shared" si="103"/>
        <v>0</v>
      </c>
      <c r="CA128" s="16">
        <f t="shared" si="103"/>
        <v>0</v>
      </c>
      <c r="CB128" s="16">
        <f t="shared" si="104"/>
        <v>0</v>
      </c>
      <c r="CC128" s="16">
        <f t="shared" si="104"/>
        <v>0</v>
      </c>
      <c r="CD128" s="16">
        <f t="shared" si="104"/>
        <v>0</v>
      </c>
      <c r="CE128" s="16">
        <f t="shared" si="104"/>
        <v>0</v>
      </c>
      <c r="CF128" s="16">
        <f t="shared" si="104"/>
        <v>0</v>
      </c>
      <c r="CG128" s="16">
        <f t="shared" si="104"/>
        <v>0</v>
      </c>
      <c r="CH128" s="16">
        <f t="shared" si="104"/>
        <v>0.52337402057501026</v>
      </c>
      <c r="CI128" s="16">
        <f t="shared" si="104"/>
        <v>-3.1790077161338193E-2</v>
      </c>
      <c r="CJ128" s="16">
        <f t="shared" si="104"/>
        <v>0.50841605658632805</v>
      </c>
      <c r="CK128" s="16">
        <f t="shared" si="104"/>
        <v>0</v>
      </c>
      <c r="CL128" s="16">
        <f t="shared" si="105"/>
        <v>0</v>
      </c>
      <c r="CM128" s="16">
        <f t="shared" si="105"/>
        <v>0</v>
      </c>
      <c r="CN128" s="16">
        <f t="shared" si="105"/>
        <v>0</v>
      </c>
      <c r="CO128" s="16">
        <f t="shared" si="105"/>
        <v>0</v>
      </c>
      <c r="CP128" s="16">
        <f t="shared" si="105"/>
        <v>0</v>
      </c>
      <c r="CQ128" s="16">
        <f t="shared" si="105"/>
        <v>0</v>
      </c>
      <c r="CR128" s="16">
        <f t="shared" si="105"/>
        <v>0</v>
      </c>
      <c r="CS128" s="16">
        <f t="shared" si="105"/>
        <v>0</v>
      </c>
      <c r="CT128" s="16">
        <f t="shared" si="105"/>
        <v>0</v>
      </c>
      <c r="CU128" s="16">
        <f t="shared" si="105"/>
        <v>0</v>
      </c>
      <c r="CV128" s="16">
        <f t="shared" si="106"/>
        <v>0</v>
      </c>
      <c r="CW128" s="16">
        <f t="shared" si="106"/>
        <v>0</v>
      </c>
      <c r="CX128" s="16">
        <f t="shared" si="106"/>
        <v>0</v>
      </c>
      <c r="CY128" s="16">
        <f t="shared" si="106"/>
        <v>0</v>
      </c>
      <c r="CZ128" s="16">
        <f t="shared" si="106"/>
        <v>0</v>
      </c>
      <c r="DA128" s="16">
        <f t="shared" si="106"/>
        <v>0</v>
      </c>
      <c r="DB128" s="16">
        <f t="shared" si="106"/>
        <v>0</v>
      </c>
      <c r="DC128" s="16">
        <f t="shared" si="106"/>
        <v>0</v>
      </c>
      <c r="DD128" s="16">
        <f t="shared" si="106"/>
        <v>0</v>
      </c>
      <c r="DE128" s="16">
        <f t="shared" si="106"/>
        <v>0</v>
      </c>
      <c r="DF128" s="16">
        <f t="shared" si="107"/>
        <v>0</v>
      </c>
      <c r="DG128" s="16">
        <f t="shared" si="107"/>
        <v>0</v>
      </c>
      <c r="DH128" s="16">
        <f t="shared" si="107"/>
        <v>0</v>
      </c>
      <c r="DI128" s="16">
        <f t="shared" si="107"/>
        <v>0</v>
      </c>
      <c r="DJ128" s="16">
        <f t="shared" si="107"/>
        <v>0</v>
      </c>
      <c r="DK128" s="16">
        <f t="shared" si="107"/>
        <v>0</v>
      </c>
      <c r="DL128" s="16">
        <f t="shared" si="107"/>
        <v>0</v>
      </c>
      <c r="DM128" s="16">
        <f t="shared" si="107"/>
        <v>0</v>
      </c>
      <c r="DN128" s="16">
        <f t="shared" si="107"/>
        <v>0</v>
      </c>
      <c r="DO128" s="16">
        <f t="shared" si="107"/>
        <v>0</v>
      </c>
      <c r="DP128" s="16">
        <f t="shared" si="107"/>
        <v>0</v>
      </c>
    </row>
    <row r="129" spans="10:120" x14ac:dyDescent="0.25">
      <c r="J129" s="93"/>
      <c r="L129" s="1"/>
      <c r="N129" s="1"/>
      <c r="O129" s="9">
        <f t="shared" si="96"/>
        <v>32</v>
      </c>
      <c r="P129" s="16">
        <f t="shared" si="98"/>
        <v>0</v>
      </c>
      <c r="Q129" s="16">
        <f t="shared" si="98"/>
        <v>0</v>
      </c>
      <c r="R129" s="16">
        <f t="shared" si="98"/>
        <v>0</v>
      </c>
      <c r="S129" s="16">
        <f t="shared" si="98"/>
        <v>0</v>
      </c>
      <c r="T129" s="16">
        <f t="shared" si="98"/>
        <v>0</v>
      </c>
      <c r="U129" s="16">
        <f t="shared" si="98"/>
        <v>0</v>
      </c>
      <c r="V129" s="16">
        <f t="shared" si="98"/>
        <v>0</v>
      </c>
      <c r="W129" s="16">
        <f t="shared" si="98"/>
        <v>0</v>
      </c>
      <c r="X129" s="16">
        <f t="shared" si="98"/>
        <v>0</v>
      </c>
      <c r="Y129" s="16">
        <f t="shared" si="98"/>
        <v>0</v>
      </c>
      <c r="Z129" s="16">
        <f t="shared" si="99"/>
        <v>0</v>
      </c>
      <c r="AA129" s="16">
        <f t="shared" si="99"/>
        <v>0</v>
      </c>
      <c r="AB129" s="16">
        <f t="shared" si="99"/>
        <v>0</v>
      </c>
      <c r="AC129" s="16">
        <f t="shared" si="99"/>
        <v>0</v>
      </c>
      <c r="AD129" s="16">
        <f t="shared" si="99"/>
        <v>0</v>
      </c>
      <c r="AE129" s="16">
        <f t="shared" si="99"/>
        <v>0</v>
      </c>
      <c r="AF129" s="16">
        <f t="shared" si="99"/>
        <v>0</v>
      </c>
      <c r="AG129" s="16">
        <f t="shared" si="99"/>
        <v>0.26870267251588092</v>
      </c>
      <c r="AH129" s="16">
        <f t="shared" si="99"/>
        <v>0.47027414371080023</v>
      </c>
      <c r="AI129" s="16">
        <f t="shared" si="99"/>
        <v>0.2610231837733189</v>
      </c>
      <c r="AJ129" s="16">
        <f t="shared" si="100"/>
        <v>0</v>
      </c>
      <c r="AK129" s="16">
        <f t="shared" si="100"/>
        <v>0</v>
      </c>
      <c r="AL129" s="16">
        <f t="shared" si="100"/>
        <v>0</v>
      </c>
      <c r="AM129" s="16">
        <f t="shared" si="100"/>
        <v>0</v>
      </c>
      <c r="AN129" s="16">
        <f t="shared" si="100"/>
        <v>0</v>
      </c>
      <c r="AO129" s="16">
        <f t="shared" si="100"/>
        <v>0</v>
      </c>
      <c r="AP129" s="16">
        <f t="shared" si="100"/>
        <v>0</v>
      </c>
      <c r="AQ129" s="16">
        <f t="shared" si="100"/>
        <v>0</v>
      </c>
      <c r="AR129" s="16">
        <f t="shared" si="100"/>
        <v>0</v>
      </c>
      <c r="AS129" s="16">
        <f t="shared" si="100"/>
        <v>0</v>
      </c>
      <c r="AT129" s="16">
        <f t="shared" si="101"/>
        <v>0</v>
      </c>
      <c r="AU129" s="16">
        <f t="shared" si="101"/>
        <v>0</v>
      </c>
      <c r="AV129" s="16">
        <f t="shared" si="101"/>
        <v>0</v>
      </c>
      <c r="AW129" s="16">
        <f t="shared" si="101"/>
        <v>0</v>
      </c>
      <c r="AX129" s="16">
        <f t="shared" si="101"/>
        <v>0</v>
      </c>
      <c r="AY129" s="16">
        <f t="shared" si="101"/>
        <v>0</v>
      </c>
      <c r="AZ129" s="16">
        <f t="shared" si="101"/>
        <v>0</v>
      </c>
      <c r="BA129" s="16">
        <f t="shared" si="101"/>
        <v>0</v>
      </c>
      <c r="BB129" s="16">
        <f t="shared" si="101"/>
        <v>0</v>
      </c>
      <c r="BC129" s="16">
        <f t="shared" si="101"/>
        <v>0</v>
      </c>
      <c r="BD129" s="16">
        <f t="shared" si="102"/>
        <v>0</v>
      </c>
      <c r="BE129" s="16">
        <f t="shared" si="102"/>
        <v>0</v>
      </c>
      <c r="BF129" s="16">
        <f t="shared" si="102"/>
        <v>0</v>
      </c>
      <c r="BG129" s="16">
        <f t="shared" si="102"/>
        <v>0</v>
      </c>
      <c r="BH129" s="16">
        <f t="shared" si="102"/>
        <v>0</v>
      </c>
      <c r="BI129" s="16">
        <f t="shared" si="102"/>
        <v>0</v>
      </c>
      <c r="BJ129" s="16">
        <f t="shared" si="102"/>
        <v>0</v>
      </c>
      <c r="BK129" s="16">
        <f t="shared" si="102"/>
        <v>0</v>
      </c>
      <c r="BL129" s="16">
        <f t="shared" si="102"/>
        <v>0</v>
      </c>
      <c r="BM129" s="16">
        <f t="shared" si="102"/>
        <v>0</v>
      </c>
      <c r="BN129" s="16">
        <f t="shared" si="102"/>
        <v>0</v>
      </c>
      <c r="BQ129" s="9">
        <f t="shared" si="97"/>
        <v>32</v>
      </c>
      <c r="BR129" s="16">
        <f t="shared" si="103"/>
        <v>0</v>
      </c>
      <c r="BS129" s="16">
        <f t="shared" si="103"/>
        <v>0</v>
      </c>
      <c r="BT129" s="16">
        <f t="shared" si="103"/>
        <v>0</v>
      </c>
      <c r="BU129" s="16">
        <f t="shared" si="103"/>
        <v>0</v>
      </c>
      <c r="BV129" s="16">
        <f t="shared" si="103"/>
        <v>0</v>
      </c>
      <c r="BW129" s="16">
        <f t="shared" si="103"/>
        <v>0</v>
      </c>
      <c r="BX129" s="16">
        <f t="shared" si="103"/>
        <v>0</v>
      </c>
      <c r="BY129" s="16">
        <f t="shared" si="103"/>
        <v>0</v>
      </c>
      <c r="BZ129" s="16">
        <f t="shared" si="103"/>
        <v>0</v>
      </c>
      <c r="CA129" s="16">
        <f t="shared" si="103"/>
        <v>0</v>
      </c>
      <c r="CB129" s="16">
        <f t="shared" si="104"/>
        <v>0</v>
      </c>
      <c r="CC129" s="16">
        <f t="shared" si="104"/>
        <v>0</v>
      </c>
      <c r="CD129" s="16">
        <f t="shared" si="104"/>
        <v>0</v>
      </c>
      <c r="CE129" s="16">
        <f t="shared" si="104"/>
        <v>0</v>
      </c>
      <c r="CF129" s="16">
        <f t="shared" si="104"/>
        <v>0</v>
      </c>
      <c r="CG129" s="16">
        <f t="shared" si="104"/>
        <v>0</v>
      </c>
      <c r="CH129" s="16">
        <f t="shared" si="104"/>
        <v>0</v>
      </c>
      <c r="CI129" s="16">
        <f t="shared" si="104"/>
        <v>0.56455652677369872</v>
      </c>
      <c r="CJ129" s="16">
        <f t="shared" si="104"/>
        <v>-0.11297809868704967</v>
      </c>
      <c r="CK129" s="16">
        <f t="shared" si="104"/>
        <v>0.54842157191335084</v>
      </c>
      <c r="CL129" s="16">
        <f t="shared" si="105"/>
        <v>0</v>
      </c>
      <c r="CM129" s="16">
        <f t="shared" si="105"/>
        <v>0</v>
      </c>
      <c r="CN129" s="16">
        <f t="shared" si="105"/>
        <v>0</v>
      </c>
      <c r="CO129" s="16">
        <f t="shared" si="105"/>
        <v>0</v>
      </c>
      <c r="CP129" s="16">
        <f t="shared" si="105"/>
        <v>0</v>
      </c>
      <c r="CQ129" s="16">
        <f t="shared" si="105"/>
        <v>0</v>
      </c>
      <c r="CR129" s="16">
        <f t="shared" si="105"/>
        <v>0</v>
      </c>
      <c r="CS129" s="16">
        <f t="shared" si="105"/>
        <v>0</v>
      </c>
      <c r="CT129" s="16">
        <f t="shared" si="105"/>
        <v>0</v>
      </c>
      <c r="CU129" s="16">
        <f t="shared" si="105"/>
        <v>0</v>
      </c>
      <c r="CV129" s="16">
        <f t="shared" si="106"/>
        <v>0</v>
      </c>
      <c r="CW129" s="16">
        <f t="shared" si="106"/>
        <v>0</v>
      </c>
      <c r="CX129" s="16">
        <f t="shared" si="106"/>
        <v>0</v>
      </c>
      <c r="CY129" s="16">
        <f t="shared" si="106"/>
        <v>0</v>
      </c>
      <c r="CZ129" s="16">
        <f t="shared" si="106"/>
        <v>0</v>
      </c>
      <c r="DA129" s="16">
        <f t="shared" si="106"/>
        <v>0</v>
      </c>
      <c r="DB129" s="16">
        <f t="shared" si="106"/>
        <v>0</v>
      </c>
      <c r="DC129" s="16">
        <f t="shared" si="106"/>
        <v>0</v>
      </c>
      <c r="DD129" s="16">
        <f t="shared" si="106"/>
        <v>0</v>
      </c>
      <c r="DE129" s="16">
        <f t="shared" si="106"/>
        <v>0</v>
      </c>
      <c r="DF129" s="16">
        <f t="shared" si="107"/>
        <v>0</v>
      </c>
      <c r="DG129" s="16">
        <f t="shared" si="107"/>
        <v>0</v>
      </c>
      <c r="DH129" s="16">
        <f t="shared" si="107"/>
        <v>0</v>
      </c>
      <c r="DI129" s="16">
        <f t="shared" si="107"/>
        <v>0</v>
      </c>
      <c r="DJ129" s="16">
        <f t="shared" si="107"/>
        <v>0</v>
      </c>
      <c r="DK129" s="16">
        <f t="shared" si="107"/>
        <v>0</v>
      </c>
      <c r="DL129" s="16">
        <f t="shared" si="107"/>
        <v>0</v>
      </c>
      <c r="DM129" s="16">
        <f t="shared" si="107"/>
        <v>0</v>
      </c>
      <c r="DN129" s="16">
        <f t="shared" si="107"/>
        <v>0</v>
      </c>
      <c r="DO129" s="16">
        <f t="shared" si="107"/>
        <v>0</v>
      </c>
      <c r="DP129" s="16">
        <f t="shared" si="107"/>
        <v>0</v>
      </c>
    </row>
    <row r="130" spans="10:120" x14ac:dyDescent="0.25">
      <c r="J130" s="93"/>
      <c r="L130" s="1"/>
      <c r="N130" s="1"/>
      <c r="O130" s="9">
        <f t="shared" si="96"/>
        <v>31</v>
      </c>
      <c r="P130" s="16">
        <f t="shared" si="98"/>
        <v>0</v>
      </c>
      <c r="Q130" s="16">
        <f t="shared" si="98"/>
        <v>0</v>
      </c>
      <c r="R130" s="16">
        <f t="shared" si="98"/>
        <v>0</v>
      </c>
      <c r="S130" s="16">
        <f t="shared" si="98"/>
        <v>0</v>
      </c>
      <c r="T130" s="16">
        <f t="shared" si="98"/>
        <v>0</v>
      </c>
      <c r="U130" s="16">
        <f t="shared" si="98"/>
        <v>0</v>
      </c>
      <c r="V130" s="16">
        <f t="shared" si="98"/>
        <v>0</v>
      </c>
      <c r="W130" s="16">
        <f t="shared" si="98"/>
        <v>0</v>
      </c>
      <c r="X130" s="16">
        <f t="shared" si="98"/>
        <v>0</v>
      </c>
      <c r="Y130" s="16">
        <f t="shared" si="98"/>
        <v>0</v>
      </c>
      <c r="Z130" s="16">
        <f t="shared" si="99"/>
        <v>0</v>
      </c>
      <c r="AA130" s="16">
        <f t="shared" si="99"/>
        <v>0</v>
      </c>
      <c r="AB130" s="16">
        <f t="shared" si="99"/>
        <v>0</v>
      </c>
      <c r="AC130" s="16">
        <f t="shared" si="99"/>
        <v>0</v>
      </c>
      <c r="AD130" s="16">
        <f t="shared" si="99"/>
        <v>0</v>
      </c>
      <c r="AE130" s="16">
        <f t="shared" si="99"/>
        <v>0</v>
      </c>
      <c r="AF130" s="16">
        <f t="shared" si="99"/>
        <v>0</v>
      </c>
      <c r="AG130" s="16">
        <f t="shared" si="99"/>
        <v>0</v>
      </c>
      <c r="AH130" s="16">
        <f t="shared" si="99"/>
        <v>0.34724998295351872</v>
      </c>
      <c r="AI130" s="16">
        <f t="shared" si="99"/>
        <v>0.31542439513477094</v>
      </c>
      <c r="AJ130" s="16">
        <f t="shared" si="100"/>
        <v>0.33732562191171034</v>
      </c>
      <c r="AK130" s="16">
        <f t="shared" si="100"/>
        <v>0</v>
      </c>
      <c r="AL130" s="16">
        <f t="shared" si="100"/>
        <v>0</v>
      </c>
      <c r="AM130" s="16">
        <f t="shared" si="100"/>
        <v>0</v>
      </c>
      <c r="AN130" s="16">
        <f t="shared" si="100"/>
        <v>0</v>
      </c>
      <c r="AO130" s="16">
        <f t="shared" si="100"/>
        <v>0</v>
      </c>
      <c r="AP130" s="16">
        <f t="shared" si="100"/>
        <v>0</v>
      </c>
      <c r="AQ130" s="16">
        <f t="shared" si="100"/>
        <v>0</v>
      </c>
      <c r="AR130" s="16">
        <f t="shared" si="100"/>
        <v>0</v>
      </c>
      <c r="AS130" s="16">
        <f t="shared" si="100"/>
        <v>0</v>
      </c>
      <c r="AT130" s="16">
        <f t="shared" si="101"/>
        <v>0</v>
      </c>
      <c r="AU130" s="16">
        <f t="shared" si="101"/>
        <v>0</v>
      </c>
      <c r="AV130" s="16">
        <f t="shared" si="101"/>
        <v>0</v>
      </c>
      <c r="AW130" s="16">
        <f t="shared" si="101"/>
        <v>0</v>
      </c>
      <c r="AX130" s="16">
        <f t="shared" si="101"/>
        <v>0</v>
      </c>
      <c r="AY130" s="16">
        <f t="shared" si="101"/>
        <v>0</v>
      </c>
      <c r="AZ130" s="16">
        <f t="shared" si="101"/>
        <v>0</v>
      </c>
      <c r="BA130" s="16">
        <f t="shared" si="101"/>
        <v>0</v>
      </c>
      <c r="BB130" s="16">
        <f t="shared" si="101"/>
        <v>0</v>
      </c>
      <c r="BC130" s="16">
        <f t="shared" si="101"/>
        <v>0</v>
      </c>
      <c r="BD130" s="16">
        <f t="shared" si="102"/>
        <v>0</v>
      </c>
      <c r="BE130" s="16">
        <f t="shared" si="102"/>
        <v>0</v>
      </c>
      <c r="BF130" s="16">
        <f t="shared" si="102"/>
        <v>0</v>
      </c>
      <c r="BG130" s="16">
        <f t="shared" si="102"/>
        <v>0</v>
      </c>
      <c r="BH130" s="16">
        <f t="shared" si="102"/>
        <v>0</v>
      </c>
      <c r="BI130" s="16">
        <f t="shared" si="102"/>
        <v>0</v>
      </c>
      <c r="BJ130" s="16">
        <f t="shared" si="102"/>
        <v>0</v>
      </c>
      <c r="BK130" s="16">
        <f t="shared" si="102"/>
        <v>0</v>
      </c>
      <c r="BL130" s="16">
        <f t="shared" si="102"/>
        <v>0</v>
      </c>
      <c r="BM130" s="16">
        <f t="shared" si="102"/>
        <v>0</v>
      </c>
      <c r="BN130" s="16">
        <f t="shared" si="102"/>
        <v>0</v>
      </c>
      <c r="BQ130" s="9">
        <f t="shared" si="97"/>
        <v>31</v>
      </c>
      <c r="BR130" s="16">
        <f t="shared" si="103"/>
        <v>0</v>
      </c>
      <c r="BS130" s="16">
        <f t="shared" si="103"/>
        <v>0</v>
      </c>
      <c r="BT130" s="16">
        <f t="shared" si="103"/>
        <v>0</v>
      </c>
      <c r="BU130" s="16">
        <f t="shared" si="103"/>
        <v>0</v>
      </c>
      <c r="BV130" s="16">
        <f t="shared" si="103"/>
        <v>0</v>
      </c>
      <c r="BW130" s="16">
        <f t="shared" si="103"/>
        <v>0</v>
      </c>
      <c r="BX130" s="16">
        <f t="shared" si="103"/>
        <v>0</v>
      </c>
      <c r="BY130" s="16">
        <f t="shared" si="103"/>
        <v>0</v>
      </c>
      <c r="BZ130" s="16">
        <f t="shared" si="103"/>
        <v>0</v>
      </c>
      <c r="CA130" s="16">
        <f t="shared" si="103"/>
        <v>0</v>
      </c>
      <c r="CB130" s="16">
        <f t="shared" si="104"/>
        <v>0</v>
      </c>
      <c r="CC130" s="16">
        <f t="shared" si="104"/>
        <v>0</v>
      </c>
      <c r="CD130" s="16">
        <f t="shared" si="104"/>
        <v>0</v>
      </c>
      <c r="CE130" s="16">
        <f t="shared" si="104"/>
        <v>0</v>
      </c>
      <c r="CF130" s="16">
        <f t="shared" si="104"/>
        <v>0</v>
      </c>
      <c r="CG130" s="16">
        <f t="shared" si="104"/>
        <v>0</v>
      </c>
      <c r="CH130" s="16">
        <f t="shared" si="104"/>
        <v>0</v>
      </c>
      <c r="CI130" s="16">
        <f t="shared" si="104"/>
        <v>0</v>
      </c>
      <c r="CJ130" s="16">
        <f t="shared" si="104"/>
        <v>0.60729851378303246</v>
      </c>
      <c r="CK130" s="16">
        <f t="shared" si="104"/>
        <v>-0.19724051206770898</v>
      </c>
      <c r="CL130" s="16">
        <f t="shared" si="105"/>
        <v>0.58994199828467675</v>
      </c>
      <c r="CM130" s="16">
        <f t="shared" si="105"/>
        <v>0</v>
      </c>
      <c r="CN130" s="16">
        <f t="shared" si="105"/>
        <v>0</v>
      </c>
      <c r="CO130" s="16">
        <f t="shared" si="105"/>
        <v>0</v>
      </c>
      <c r="CP130" s="16">
        <f t="shared" si="105"/>
        <v>0</v>
      </c>
      <c r="CQ130" s="16">
        <f t="shared" si="105"/>
        <v>0</v>
      </c>
      <c r="CR130" s="16">
        <f t="shared" si="105"/>
        <v>0</v>
      </c>
      <c r="CS130" s="16">
        <f t="shared" si="105"/>
        <v>0</v>
      </c>
      <c r="CT130" s="16">
        <f t="shared" si="105"/>
        <v>0</v>
      </c>
      <c r="CU130" s="16">
        <f t="shared" si="105"/>
        <v>0</v>
      </c>
      <c r="CV130" s="16">
        <f t="shared" si="106"/>
        <v>0</v>
      </c>
      <c r="CW130" s="16">
        <f t="shared" si="106"/>
        <v>0</v>
      </c>
      <c r="CX130" s="16">
        <f t="shared" si="106"/>
        <v>0</v>
      </c>
      <c r="CY130" s="16">
        <f t="shared" si="106"/>
        <v>0</v>
      </c>
      <c r="CZ130" s="16">
        <f t="shared" si="106"/>
        <v>0</v>
      </c>
      <c r="DA130" s="16">
        <f t="shared" si="106"/>
        <v>0</v>
      </c>
      <c r="DB130" s="16">
        <f t="shared" si="106"/>
        <v>0</v>
      </c>
      <c r="DC130" s="16">
        <f t="shared" si="106"/>
        <v>0</v>
      </c>
      <c r="DD130" s="16">
        <f t="shared" si="106"/>
        <v>0</v>
      </c>
      <c r="DE130" s="16">
        <f t="shared" si="106"/>
        <v>0</v>
      </c>
      <c r="DF130" s="16">
        <f t="shared" si="107"/>
        <v>0</v>
      </c>
      <c r="DG130" s="16">
        <f t="shared" si="107"/>
        <v>0</v>
      </c>
      <c r="DH130" s="16">
        <f t="shared" si="107"/>
        <v>0</v>
      </c>
      <c r="DI130" s="16">
        <f t="shared" si="107"/>
        <v>0</v>
      </c>
      <c r="DJ130" s="16">
        <f t="shared" si="107"/>
        <v>0</v>
      </c>
      <c r="DK130" s="16">
        <f t="shared" si="107"/>
        <v>0</v>
      </c>
      <c r="DL130" s="16">
        <f t="shared" si="107"/>
        <v>0</v>
      </c>
      <c r="DM130" s="16">
        <f t="shared" si="107"/>
        <v>0</v>
      </c>
      <c r="DN130" s="16">
        <f t="shared" si="107"/>
        <v>0</v>
      </c>
      <c r="DO130" s="16">
        <f t="shared" si="107"/>
        <v>0</v>
      </c>
      <c r="DP130" s="16">
        <f t="shared" si="107"/>
        <v>0</v>
      </c>
    </row>
    <row r="131" spans="10:120" x14ac:dyDescent="0.25">
      <c r="J131" s="93"/>
      <c r="L131" s="1"/>
      <c r="N131" s="1"/>
      <c r="O131" s="9">
        <f t="shared" si="96"/>
        <v>30</v>
      </c>
      <c r="P131" s="16">
        <f t="shared" ref="P131:Y140" si="108">IF(P$110=$O131,P$108*HLOOKUP($O131,$O$19:$BN$48,P$107,0)+1,IF(P$110-$O131=1,P$108*HLOOKUP($O131,$O$15:$BN$30,P$107,0),IF(P$110-$O131=-1,P$108*HLOOKUP($O131,$O$23:$BN$68,P$107,0),0)))</f>
        <v>0</v>
      </c>
      <c r="Q131" s="16">
        <f t="shared" si="108"/>
        <v>0</v>
      </c>
      <c r="R131" s="16">
        <f t="shared" si="108"/>
        <v>0</v>
      </c>
      <c r="S131" s="16">
        <f t="shared" si="108"/>
        <v>0</v>
      </c>
      <c r="T131" s="16">
        <f t="shared" si="108"/>
        <v>0</v>
      </c>
      <c r="U131" s="16">
        <f t="shared" si="108"/>
        <v>0</v>
      </c>
      <c r="V131" s="16">
        <f t="shared" si="108"/>
        <v>0</v>
      </c>
      <c r="W131" s="16">
        <f t="shared" si="108"/>
        <v>0</v>
      </c>
      <c r="X131" s="16">
        <f t="shared" si="108"/>
        <v>0</v>
      </c>
      <c r="Y131" s="16">
        <f t="shared" si="108"/>
        <v>0</v>
      </c>
      <c r="Z131" s="16">
        <f t="shared" ref="Z131:AI140" si="109">IF(Z$110=$O131,Z$108*HLOOKUP($O131,$O$19:$BN$48,Z$107,0)+1,IF(Z$110-$O131=1,Z$108*HLOOKUP($O131,$O$15:$BN$30,Z$107,0),IF(Z$110-$O131=-1,Z$108*HLOOKUP($O131,$O$23:$BN$68,Z$107,0),0)))</f>
        <v>0</v>
      </c>
      <c r="AA131" s="16">
        <f t="shared" si="109"/>
        <v>0</v>
      </c>
      <c r="AB131" s="16">
        <f t="shared" si="109"/>
        <v>0</v>
      </c>
      <c r="AC131" s="16">
        <f t="shared" si="109"/>
        <v>0</v>
      </c>
      <c r="AD131" s="16">
        <f t="shared" si="109"/>
        <v>0</v>
      </c>
      <c r="AE131" s="16">
        <f t="shared" si="109"/>
        <v>0</v>
      </c>
      <c r="AF131" s="16">
        <f t="shared" si="109"/>
        <v>0</v>
      </c>
      <c r="AG131" s="16">
        <f t="shared" si="109"/>
        <v>0</v>
      </c>
      <c r="AH131" s="16">
        <f t="shared" si="109"/>
        <v>0</v>
      </c>
      <c r="AI131" s="16">
        <f t="shared" si="109"/>
        <v>0.4358548334471522</v>
      </c>
      <c r="AJ131" s="16">
        <f t="shared" ref="AJ131:AS140" si="110">IF(AJ$110=$O131,AJ$108*HLOOKUP($O131,$O$19:$BN$48,AJ$107,0)+1,IF(AJ$110-$O131=1,AJ$108*HLOOKUP($O131,$O$15:$BN$30,AJ$107,0),IF(AJ$110-$O131=-1,AJ$108*HLOOKUP($O131,$O$23:$BN$68,AJ$107,0),0)))</f>
        <v>0.14074700968248266</v>
      </c>
      <c r="AK131" s="16">
        <f t="shared" si="110"/>
        <v>0.42339815687036514</v>
      </c>
      <c r="AL131" s="16">
        <f t="shared" si="110"/>
        <v>0</v>
      </c>
      <c r="AM131" s="16">
        <f t="shared" si="110"/>
        <v>0</v>
      </c>
      <c r="AN131" s="16">
        <f t="shared" si="110"/>
        <v>0</v>
      </c>
      <c r="AO131" s="16">
        <f t="shared" si="110"/>
        <v>0</v>
      </c>
      <c r="AP131" s="16">
        <f t="shared" si="110"/>
        <v>0</v>
      </c>
      <c r="AQ131" s="16">
        <f t="shared" si="110"/>
        <v>0</v>
      </c>
      <c r="AR131" s="16">
        <f t="shared" si="110"/>
        <v>0</v>
      </c>
      <c r="AS131" s="16">
        <f t="shared" si="110"/>
        <v>0</v>
      </c>
      <c r="AT131" s="16">
        <f t="shared" ref="AT131:BC140" si="111">IF(AT$110=$O131,AT$108*HLOOKUP($O131,$O$19:$BN$48,AT$107,0)+1,IF(AT$110-$O131=1,AT$108*HLOOKUP($O131,$O$15:$BN$30,AT$107,0),IF(AT$110-$O131=-1,AT$108*HLOOKUP($O131,$O$23:$BN$68,AT$107,0),0)))</f>
        <v>0</v>
      </c>
      <c r="AU131" s="16">
        <f t="shared" si="111"/>
        <v>0</v>
      </c>
      <c r="AV131" s="16">
        <f t="shared" si="111"/>
        <v>0</v>
      </c>
      <c r="AW131" s="16">
        <f t="shared" si="111"/>
        <v>0</v>
      </c>
      <c r="AX131" s="16">
        <f t="shared" si="111"/>
        <v>0</v>
      </c>
      <c r="AY131" s="16">
        <f t="shared" si="111"/>
        <v>0</v>
      </c>
      <c r="AZ131" s="16">
        <f t="shared" si="111"/>
        <v>0</v>
      </c>
      <c r="BA131" s="16">
        <f t="shared" si="111"/>
        <v>0</v>
      </c>
      <c r="BB131" s="16">
        <f t="shared" si="111"/>
        <v>0</v>
      </c>
      <c r="BC131" s="16">
        <f t="shared" si="111"/>
        <v>0</v>
      </c>
      <c r="BD131" s="16">
        <f t="shared" ref="BD131:BN140" si="112">IF(BD$110=$O131,BD$108*HLOOKUP($O131,$O$19:$BN$48,BD$107,0)+1,IF(BD$110-$O131=1,BD$108*HLOOKUP($O131,$O$15:$BN$30,BD$107,0),IF(BD$110-$O131=-1,BD$108*HLOOKUP($O131,$O$23:$BN$68,BD$107,0),0)))</f>
        <v>0</v>
      </c>
      <c r="BE131" s="16">
        <f t="shared" si="112"/>
        <v>0</v>
      </c>
      <c r="BF131" s="16">
        <f t="shared" si="112"/>
        <v>0</v>
      </c>
      <c r="BG131" s="16">
        <f t="shared" si="112"/>
        <v>0</v>
      </c>
      <c r="BH131" s="16">
        <f t="shared" si="112"/>
        <v>0</v>
      </c>
      <c r="BI131" s="16">
        <f t="shared" si="112"/>
        <v>0</v>
      </c>
      <c r="BJ131" s="16">
        <f t="shared" si="112"/>
        <v>0</v>
      </c>
      <c r="BK131" s="16">
        <f t="shared" si="112"/>
        <v>0</v>
      </c>
      <c r="BL131" s="16">
        <f t="shared" si="112"/>
        <v>0</v>
      </c>
      <c r="BM131" s="16">
        <f t="shared" si="112"/>
        <v>0</v>
      </c>
      <c r="BN131" s="16">
        <f t="shared" si="112"/>
        <v>0</v>
      </c>
      <c r="BQ131" s="9">
        <f t="shared" si="97"/>
        <v>30</v>
      </c>
      <c r="BR131" s="16">
        <f t="shared" ref="BR131:CA140" si="113">IF(BR$110=$O131,BR$108*HLOOKUP($O131,$O$19:$BN$48,BR$107,0)+1,IF(BR$110-$O131=1,BR$108*HLOOKUP($O131,$O$15:$BN$30,BR$107,0),IF(BR$110-$O131=-1,BR$108*HLOOKUP($O131,$O$23:$BN$68,BR$107,0),0)))</f>
        <v>0</v>
      </c>
      <c r="BS131" s="16">
        <f t="shared" si="113"/>
        <v>0</v>
      </c>
      <c r="BT131" s="16">
        <f t="shared" si="113"/>
        <v>0</v>
      </c>
      <c r="BU131" s="16">
        <f t="shared" si="113"/>
        <v>0</v>
      </c>
      <c r="BV131" s="16">
        <f t="shared" si="113"/>
        <v>0</v>
      </c>
      <c r="BW131" s="16">
        <f t="shared" si="113"/>
        <v>0</v>
      </c>
      <c r="BX131" s="16">
        <f t="shared" si="113"/>
        <v>0</v>
      </c>
      <c r="BY131" s="16">
        <f t="shared" si="113"/>
        <v>0</v>
      </c>
      <c r="BZ131" s="16">
        <f t="shared" si="113"/>
        <v>0</v>
      </c>
      <c r="CA131" s="16">
        <f t="shared" si="113"/>
        <v>0</v>
      </c>
      <c r="CB131" s="16">
        <f t="shared" ref="CB131:CK140" si="114">IF(CB$110=$O131,CB$108*HLOOKUP($O131,$O$19:$BN$48,CB$107,0)+1,IF(CB$110-$O131=1,CB$108*HLOOKUP($O131,$O$15:$BN$30,CB$107,0),IF(CB$110-$O131=-1,CB$108*HLOOKUP($O131,$O$23:$BN$68,CB$107,0),0)))</f>
        <v>0</v>
      </c>
      <c r="CC131" s="16">
        <f t="shared" si="114"/>
        <v>0</v>
      </c>
      <c r="CD131" s="16">
        <f t="shared" si="114"/>
        <v>0</v>
      </c>
      <c r="CE131" s="16">
        <f t="shared" si="114"/>
        <v>0</v>
      </c>
      <c r="CF131" s="16">
        <f t="shared" si="114"/>
        <v>0</v>
      </c>
      <c r="CG131" s="16">
        <f t="shared" si="114"/>
        <v>0</v>
      </c>
      <c r="CH131" s="16">
        <f t="shared" si="114"/>
        <v>0</v>
      </c>
      <c r="CI131" s="16">
        <f t="shared" si="114"/>
        <v>0</v>
      </c>
      <c r="CJ131" s="16">
        <f t="shared" si="114"/>
        <v>0</v>
      </c>
      <c r="CK131" s="16">
        <f t="shared" si="114"/>
        <v>0.65159998160301036</v>
      </c>
      <c r="CL131" s="16">
        <f t="shared" ref="CL131:CU140" si="115">IF(CL$110=$O131,CL$108*HLOOKUP($O131,$O$19:$BN$48,CL$107,0)+1,IF(CL$110-$O131=1,CL$108*HLOOKUP($O131,$O$15:$BN$30,CL$107,0),IF(CL$110-$O131=-1,CL$108*HLOOKUP($O131,$O$23:$BN$68,CL$107,0),0)))</f>
        <v>-0.28457731730331504</v>
      </c>
      <c r="CM131" s="16">
        <f t="shared" si="115"/>
        <v>0.63297733570030468</v>
      </c>
      <c r="CN131" s="16">
        <f t="shared" si="115"/>
        <v>0</v>
      </c>
      <c r="CO131" s="16">
        <f t="shared" si="115"/>
        <v>0</v>
      </c>
      <c r="CP131" s="16">
        <f t="shared" si="115"/>
        <v>0</v>
      </c>
      <c r="CQ131" s="16">
        <f t="shared" si="115"/>
        <v>0</v>
      </c>
      <c r="CR131" s="16">
        <f t="shared" si="115"/>
        <v>0</v>
      </c>
      <c r="CS131" s="16">
        <f t="shared" si="115"/>
        <v>0</v>
      </c>
      <c r="CT131" s="16">
        <f t="shared" si="115"/>
        <v>0</v>
      </c>
      <c r="CU131" s="16">
        <f t="shared" si="115"/>
        <v>0</v>
      </c>
      <c r="CV131" s="16">
        <f t="shared" ref="CV131:DE140" si="116">IF(CV$110=$O131,CV$108*HLOOKUP($O131,$O$19:$BN$48,CV$107,0)+1,IF(CV$110-$O131=1,CV$108*HLOOKUP($O131,$O$15:$BN$30,CV$107,0),IF(CV$110-$O131=-1,CV$108*HLOOKUP($O131,$O$23:$BN$68,CV$107,0),0)))</f>
        <v>0</v>
      </c>
      <c r="CW131" s="16">
        <f t="shared" si="116"/>
        <v>0</v>
      </c>
      <c r="CX131" s="16">
        <f t="shared" si="116"/>
        <v>0</v>
      </c>
      <c r="CY131" s="16">
        <f t="shared" si="116"/>
        <v>0</v>
      </c>
      <c r="CZ131" s="16">
        <f t="shared" si="116"/>
        <v>0</v>
      </c>
      <c r="DA131" s="16">
        <f t="shared" si="116"/>
        <v>0</v>
      </c>
      <c r="DB131" s="16">
        <f t="shared" si="116"/>
        <v>0</v>
      </c>
      <c r="DC131" s="16">
        <f t="shared" si="116"/>
        <v>0</v>
      </c>
      <c r="DD131" s="16">
        <f t="shared" si="116"/>
        <v>0</v>
      </c>
      <c r="DE131" s="16">
        <f t="shared" si="116"/>
        <v>0</v>
      </c>
      <c r="DF131" s="16">
        <f t="shared" ref="DF131:DP140" si="117">IF(DF$110=$O131,DF$108*HLOOKUP($O131,$O$19:$BN$48,DF$107,0)+1,IF(DF$110-$O131=1,DF$108*HLOOKUP($O131,$O$15:$BN$30,DF$107,0),IF(DF$110-$O131=-1,DF$108*HLOOKUP($O131,$O$23:$BN$68,DF$107,0),0)))</f>
        <v>0</v>
      </c>
      <c r="DG131" s="16">
        <f t="shared" si="117"/>
        <v>0</v>
      </c>
      <c r="DH131" s="16">
        <f t="shared" si="117"/>
        <v>0</v>
      </c>
      <c r="DI131" s="16">
        <f t="shared" si="117"/>
        <v>0</v>
      </c>
      <c r="DJ131" s="16">
        <f t="shared" si="117"/>
        <v>0</v>
      </c>
      <c r="DK131" s="16">
        <f t="shared" si="117"/>
        <v>0</v>
      </c>
      <c r="DL131" s="16">
        <f t="shared" si="117"/>
        <v>0</v>
      </c>
      <c r="DM131" s="16">
        <f t="shared" si="117"/>
        <v>0</v>
      </c>
      <c r="DN131" s="16">
        <f t="shared" si="117"/>
        <v>0</v>
      </c>
      <c r="DO131" s="16">
        <f t="shared" si="117"/>
        <v>0</v>
      </c>
      <c r="DP131" s="16">
        <f t="shared" si="117"/>
        <v>0</v>
      </c>
    </row>
    <row r="132" spans="10:120" x14ac:dyDescent="0.25">
      <c r="J132" s="93"/>
      <c r="O132" s="9">
        <f t="shared" si="96"/>
        <v>29</v>
      </c>
      <c r="P132" s="16">
        <f t="shared" si="108"/>
        <v>0</v>
      </c>
      <c r="Q132" s="16">
        <f t="shared" si="108"/>
        <v>0</v>
      </c>
      <c r="R132" s="16">
        <f t="shared" si="108"/>
        <v>0</v>
      </c>
      <c r="S132" s="16">
        <f t="shared" si="108"/>
        <v>0</v>
      </c>
      <c r="T132" s="16">
        <f t="shared" si="108"/>
        <v>0</v>
      </c>
      <c r="U132" s="16">
        <f t="shared" si="108"/>
        <v>0</v>
      </c>
      <c r="V132" s="16">
        <f t="shared" si="108"/>
        <v>0</v>
      </c>
      <c r="W132" s="16">
        <f t="shared" si="108"/>
        <v>0</v>
      </c>
      <c r="X132" s="16">
        <f t="shared" si="108"/>
        <v>0</v>
      </c>
      <c r="Y132" s="16">
        <f t="shared" si="108"/>
        <v>0</v>
      </c>
      <c r="Z132" s="16">
        <f t="shared" si="109"/>
        <v>0</v>
      </c>
      <c r="AA132" s="16">
        <f t="shared" si="109"/>
        <v>0</v>
      </c>
      <c r="AB132" s="16">
        <f t="shared" si="109"/>
        <v>0</v>
      </c>
      <c r="AC132" s="16">
        <f t="shared" si="109"/>
        <v>0</v>
      </c>
      <c r="AD132" s="16">
        <f t="shared" si="109"/>
        <v>0</v>
      </c>
      <c r="AE132" s="16">
        <f t="shared" si="109"/>
        <v>0</v>
      </c>
      <c r="AF132" s="16">
        <f t="shared" si="109"/>
        <v>0</v>
      </c>
      <c r="AG132" s="16">
        <f t="shared" si="109"/>
        <v>0</v>
      </c>
      <c r="AH132" s="16">
        <f t="shared" si="109"/>
        <v>0</v>
      </c>
      <c r="AI132" s="16">
        <f t="shared" si="109"/>
        <v>0</v>
      </c>
      <c r="AJ132" s="16">
        <f t="shared" si="110"/>
        <v>0.49073925967617937</v>
      </c>
      <c r="AK132" s="16">
        <f t="shared" si="110"/>
        <v>3.254674725526574E-2</v>
      </c>
      <c r="AL132" s="16">
        <f t="shared" si="110"/>
        <v>0.47671399306855489</v>
      </c>
      <c r="AM132" s="16">
        <f t="shared" si="110"/>
        <v>0</v>
      </c>
      <c r="AN132" s="16">
        <f t="shared" si="110"/>
        <v>0</v>
      </c>
      <c r="AO132" s="16">
        <f t="shared" si="110"/>
        <v>0</v>
      </c>
      <c r="AP132" s="16">
        <f t="shared" si="110"/>
        <v>0</v>
      </c>
      <c r="AQ132" s="16">
        <f t="shared" si="110"/>
        <v>0</v>
      </c>
      <c r="AR132" s="16">
        <f t="shared" si="110"/>
        <v>0</v>
      </c>
      <c r="AS132" s="16">
        <f t="shared" si="110"/>
        <v>0</v>
      </c>
      <c r="AT132" s="16">
        <f t="shared" si="111"/>
        <v>0</v>
      </c>
      <c r="AU132" s="16">
        <f t="shared" si="111"/>
        <v>0</v>
      </c>
      <c r="AV132" s="16">
        <f t="shared" si="111"/>
        <v>0</v>
      </c>
      <c r="AW132" s="16">
        <f t="shared" si="111"/>
        <v>0</v>
      </c>
      <c r="AX132" s="16">
        <f t="shared" si="111"/>
        <v>0</v>
      </c>
      <c r="AY132" s="16">
        <f t="shared" si="111"/>
        <v>0</v>
      </c>
      <c r="AZ132" s="16">
        <f t="shared" si="111"/>
        <v>0</v>
      </c>
      <c r="BA132" s="16">
        <f t="shared" si="111"/>
        <v>0</v>
      </c>
      <c r="BB132" s="16">
        <f t="shared" si="111"/>
        <v>0</v>
      </c>
      <c r="BC132" s="16">
        <f t="shared" si="111"/>
        <v>0</v>
      </c>
      <c r="BD132" s="16">
        <f t="shared" si="112"/>
        <v>0</v>
      </c>
      <c r="BE132" s="16">
        <f t="shared" si="112"/>
        <v>0</v>
      </c>
      <c r="BF132" s="16">
        <f t="shared" si="112"/>
        <v>0</v>
      </c>
      <c r="BG132" s="16">
        <f t="shared" si="112"/>
        <v>0</v>
      </c>
      <c r="BH132" s="16">
        <f t="shared" si="112"/>
        <v>0</v>
      </c>
      <c r="BI132" s="16">
        <f t="shared" si="112"/>
        <v>0</v>
      </c>
      <c r="BJ132" s="16">
        <f t="shared" si="112"/>
        <v>0</v>
      </c>
      <c r="BK132" s="16">
        <f t="shared" si="112"/>
        <v>0</v>
      </c>
      <c r="BL132" s="16">
        <f t="shared" si="112"/>
        <v>0</v>
      </c>
      <c r="BM132" s="16">
        <f t="shared" si="112"/>
        <v>0</v>
      </c>
      <c r="BN132" s="16">
        <f t="shared" si="112"/>
        <v>0</v>
      </c>
      <c r="BQ132" s="9">
        <f t="shared" si="97"/>
        <v>29</v>
      </c>
      <c r="BR132" s="16">
        <f t="shared" si="113"/>
        <v>0</v>
      </c>
      <c r="BS132" s="16">
        <f t="shared" si="113"/>
        <v>0</v>
      </c>
      <c r="BT132" s="16">
        <f t="shared" si="113"/>
        <v>0</v>
      </c>
      <c r="BU132" s="16">
        <f t="shared" si="113"/>
        <v>0</v>
      </c>
      <c r="BV132" s="16">
        <f t="shared" si="113"/>
        <v>0</v>
      </c>
      <c r="BW132" s="16">
        <f t="shared" si="113"/>
        <v>0</v>
      </c>
      <c r="BX132" s="16">
        <f t="shared" si="113"/>
        <v>0</v>
      </c>
      <c r="BY132" s="16">
        <f t="shared" si="113"/>
        <v>0</v>
      </c>
      <c r="BZ132" s="16">
        <f t="shared" si="113"/>
        <v>0</v>
      </c>
      <c r="CA132" s="16">
        <f t="shared" si="113"/>
        <v>0</v>
      </c>
      <c r="CB132" s="16">
        <f t="shared" si="114"/>
        <v>0</v>
      </c>
      <c r="CC132" s="16">
        <f t="shared" si="114"/>
        <v>0</v>
      </c>
      <c r="CD132" s="16">
        <f t="shared" si="114"/>
        <v>0</v>
      </c>
      <c r="CE132" s="16">
        <f t="shared" si="114"/>
        <v>0</v>
      </c>
      <c r="CF132" s="16">
        <f t="shared" si="114"/>
        <v>0</v>
      </c>
      <c r="CG132" s="16">
        <f t="shared" si="114"/>
        <v>0</v>
      </c>
      <c r="CH132" s="16">
        <f t="shared" si="114"/>
        <v>0</v>
      </c>
      <c r="CI132" s="16">
        <f t="shared" si="114"/>
        <v>0</v>
      </c>
      <c r="CJ132" s="16">
        <f t="shared" si="114"/>
        <v>0</v>
      </c>
      <c r="CK132" s="16">
        <f t="shared" si="114"/>
        <v>0</v>
      </c>
      <c r="CL132" s="16">
        <f t="shared" si="115"/>
        <v>0.65909970057541933</v>
      </c>
      <c r="CM132" s="16">
        <f t="shared" si="115"/>
        <v>-0.29936241421876497</v>
      </c>
      <c r="CN132" s="16">
        <f t="shared" si="115"/>
        <v>0.64026271364334564</v>
      </c>
      <c r="CO132" s="16">
        <f t="shared" si="115"/>
        <v>0</v>
      </c>
      <c r="CP132" s="16">
        <f t="shared" si="115"/>
        <v>0</v>
      </c>
      <c r="CQ132" s="16">
        <f t="shared" si="115"/>
        <v>0</v>
      </c>
      <c r="CR132" s="16">
        <f t="shared" si="115"/>
        <v>0</v>
      </c>
      <c r="CS132" s="16">
        <f t="shared" si="115"/>
        <v>0</v>
      </c>
      <c r="CT132" s="16">
        <f t="shared" si="115"/>
        <v>0</v>
      </c>
      <c r="CU132" s="16">
        <f t="shared" si="115"/>
        <v>0</v>
      </c>
      <c r="CV132" s="16">
        <f t="shared" si="116"/>
        <v>0</v>
      </c>
      <c r="CW132" s="16">
        <f t="shared" si="116"/>
        <v>0</v>
      </c>
      <c r="CX132" s="16">
        <f t="shared" si="116"/>
        <v>0</v>
      </c>
      <c r="CY132" s="16">
        <f t="shared" si="116"/>
        <v>0</v>
      </c>
      <c r="CZ132" s="16">
        <f t="shared" si="116"/>
        <v>0</v>
      </c>
      <c r="DA132" s="16">
        <f t="shared" si="116"/>
        <v>0</v>
      </c>
      <c r="DB132" s="16">
        <f t="shared" si="116"/>
        <v>0</v>
      </c>
      <c r="DC132" s="16">
        <f t="shared" si="116"/>
        <v>0</v>
      </c>
      <c r="DD132" s="16">
        <f t="shared" si="116"/>
        <v>0</v>
      </c>
      <c r="DE132" s="16">
        <f t="shared" si="116"/>
        <v>0</v>
      </c>
      <c r="DF132" s="16">
        <f t="shared" si="117"/>
        <v>0</v>
      </c>
      <c r="DG132" s="16">
        <f t="shared" si="117"/>
        <v>0</v>
      </c>
      <c r="DH132" s="16">
        <f t="shared" si="117"/>
        <v>0</v>
      </c>
      <c r="DI132" s="16">
        <f t="shared" si="117"/>
        <v>0</v>
      </c>
      <c r="DJ132" s="16">
        <f t="shared" si="117"/>
        <v>0</v>
      </c>
      <c r="DK132" s="16">
        <f t="shared" si="117"/>
        <v>0</v>
      </c>
      <c r="DL132" s="16">
        <f t="shared" si="117"/>
        <v>0</v>
      </c>
      <c r="DM132" s="16">
        <f t="shared" si="117"/>
        <v>0</v>
      </c>
      <c r="DN132" s="16">
        <f t="shared" si="117"/>
        <v>0</v>
      </c>
      <c r="DO132" s="16">
        <f t="shared" si="117"/>
        <v>0</v>
      </c>
      <c r="DP132" s="16">
        <f t="shared" si="117"/>
        <v>0</v>
      </c>
    </row>
    <row r="133" spans="10:120" x14ac:dyDescent="0.25">
      <c r="J133" s="93"/>
      <c r="O133" s="9">
        <f t="shared" si="96"/>
        <v>28</v>
      </c>
      <c r="P133" s="16">
        <f t="shared" si="108"/>
        <v>0</v>
      </c>
      <c r="Q133" s="16">
        <f t="shared" si="108"/>
        <v>0</v>
      </c>
      <c r="R133" s="16">
        <f t="shared" si="108"/>
        <v>0</v>
      </c>
      <c r="S133" s="16">
        <f t="shared" si="108"/>
        <v>0</v>
      </c>
      <c r="T133" s="16">
        <f t="shared" si="108"/>
        <v>0</v>
      </c>
      <c r="U133" s="16">
        <f t="shared" si="108"/>
        <v>0</v>
      </c>
      <c r="V133" s="16">
        <f t="shared" si="108"/>
        <v>0</v>
      </c>
      <c r="W133" s="16">
        <f t="shared" si="108"/>
        <v>0</v>
      </c>
      <c r="X133" s="16">
        <f t="shared" si="108"/>
        <v>0</v>
      </c>
      <c r="Y133" s="16">
        <f t="shared" si="108"/>
        <v>0</v>
      </c>
      <c r="Z133" s="16">
        <f t="shared" si="109"/>
        <v>0</v>
      </c>
      <c r="AA133" s="16">
        <f t="shared" si="109"/>
        <v>0</v>
      </c>
      <c r="AB133" s="16">
        <f t="shared" si="109"/>
        <v>0</v>
      </c>
      <c r="AC133" s="16">
        <f t="shared" si="109"/>
        <v>0</v>
      </c>
      <c r="AD133" s="16">
        <f t="shared" si="109"/>
        <v>0</v>
      </c>
      <c r="AE133" s="16">
        <f t="shared" si="109"/>
        <v>0</v>
      </c>
      <c r="AF133" s="16">
        <f t="shared" si="109"/>
        <v>0</v>
      </c>
      <c r="AG133" s="16">
        <f t="shared" si="109"/>
        <v>0</v>
      </c>
      <c r="AH133" s="16">
        <f t="shared" si="109"/>
        <v>0</v>
      </c>
      <c r="AI133" s="16">
        <f t="shared" si="109"/>
        <v>0</v>
      </c>
      <c r="AJ133" s="16">
        <f t="shared" si="110"/>
        <v>0</v>
      </c>
      <c r="AK133" s="16">
        <f t="shared" si="110"/>
        <v>0.40221301760057793</v>
      </c>
      <c r="AL133" s="16">
        <f t="shared" si="110"/>
        <v>0.20706916249023655</v>
      </c>
      <c r="AM133" s="16">
        <f t="shared" si="110"/>
        <v>0.39071781990918547</v>
      </c>
      <c r="AN133" s="16">
        <f t="shared" si="110"/>
        <v>0</v>
      </c>
      <c r="AO133" s="16">
        <f t="shared" si="110"/>
        <v>0</v>
      </c>
      <c r="AP133" s="16">
        <f t="shared" si="110"/>
        <v>0</v>
      </c>
      <c r="AQ133" s="16">
        <f t="shared" si="110"/>
        <v>0</v>
      </c>
      <c r="AR133" s="16">
        <f t="shared" si="110"/>
        <v>0</v>
      </c>
      <c r="AS133" s="16">
        <f t="shared" si="110"/>
        <v>0</v>
      </c>
      <c r="AT133" s="16">
        <f t="shared" si="111"/>
        <v>0</v>
      </c>
      <c r="AU133" s="16">
        <f t="shared" si="111"/>
        <v>0</v>
      </c>
      <c r="AV133" s="16">
        <f t="shared" si="111"/>
        <v>0</v>
      </c>
      <c r="AW133" s="16">
        <f t="shared" si="111"/>
        <v>0</v>
      </c>
      <c r="AX133" s="16">
        <f t="shared" si="111"/>
        <v>0</v>
      </c>
      <c r="AY133" s="16">
        <f t="shared" si="111"/>
        <v>0</v>
      </c>
      <c r="AZ133" s="16">
        <f t="shared" si="111"/>
        <v>0</v>
      </c>
      <c r="BA133" s="16">
        <f t="shared" si="111"/>
        <v>0</v>
      </c>
      <c r="BB133" s="16">
        <f t="shared" si="111"/>
        <v>0</v>
      </c>
      <c r="BC133" s="16">
        <f t="shared" si="111"/>
        <v>0</v>
      </c>
      <c r="BD133" s="16">
        <f t="shared" si="112"/>
        <v>0</v>
      </c>
      <c r="BE133" s="16">
        <f t="shared" si="112"/>
        <v>0</v>
      </c>
      <c r="BF133" s="16">
        <f t="shared" si="112"/>
        <v>0</v>
      </c>
      <c r="BG133" s="16">
        <f t="shared" si="112"/>
        <v>0</v>
      </c>
      <c r="BH133" s="16">
        <f t="shared" si="112"/>
        <v>0</v>
      </c>
      <c r="BI133" s="16">
        <f t="shared" si="112"/>
        <v>0</v>
      </c>
      <c r="BJ133" s="16">
        <f t="shared" si="112"/>
        <v>0</v>
      </c>
      <c r="BK133" s="16">
        <f t="shared" si="112"/>
        <v>0</v>
      </c>
      <c r="BL133" s="16">
        <f t="shared" si="112"/>
        <v>0</v>
      </c>
      <c r="BM133" s="16">
        <f t="shared" si="112"/>
        <v>0</v>
      </c>
      <c r="BN133" s="16">
        <f t="shared" si="112"/>
        <v>0</v>
      </c>
      <c r="BQ133" s="9">
        <f t="shared" si="97"/>
        <v>28</v>
      </c>
      <c r="BR133" s="16">
        <f t="shared" si="113"/>
        <v>0</v>
      </c>
      <c r="BS133" s="16">
        <f t="shared" si="113"/>
        <v>0</v>
      </c>
      <c r="BT133" s="16">
        <f t="shared" si="113"/>
        <v>0</v>
      </c>
      <c r="BU133" s="16">
        <f t="shared" si="113"/>
        <v>0</v>
      </c>
      <c r="BV133" s="16">
        <f t="shared" si="113"/>
        <v>0</v>
      </c>
      <c r="BW133" s="16">
        <f t="shared" si="113"/>
        <v>0</v>
      </c>
      <c r="BX133" s="16">
        <f t="shared" si="113"/>
        <v>0</v>
      </c>
      <c r="BY133" s="16">
        <f t="shared" si="113"/>
        <v>0</v>
      </c>
      <c r="BZ133" s="16">
        <f t="shared" si="113"/>
        <v>0</v>
      </c>
      <c r="CA133" s="16">
        <f t="shared" si="113"/>
        <v>0</v>
      </c>
      <c r="CB133" s="16">
        <f t="shared" si="114"/>
        <v>0</v>
      </c>
      <c r="CC133" s="16">
        <f t="shared" si="114"/>
        <v>0</v>
      </c>
      <c r="CD133" s="16">
        <f t="shared" si="114"/>
        <v>0</v>
      </c>
      <c r="CE133" s="16">
        <f t="shared" si="114"/>
        <v>0</v>
      </c>
      <c r="CF133" s="16">
        <f t="shared" si="114"/>
        <v>0</v>
      </c>
      <c r="CG133" s="16">
        <f t="shared" si="114"/>
        <v>0</v>
      </c>
      <c r="CH133" s="16">
        <f t="shared" si="114"/>
        <v>0</v>
      </c>
      <c r="CI133" s="16">
        <f t="shared" si="114"/>
        <v>0</v>
      </c>
      <c r="CJ133" s="16">
        <f t="shared" si="114"/>
        <v>0</v>
      </c>
      <c r="CK133" s="16">
        <f t="shared" si="114"/>
        <v>0</v>
      </c>
      <c r="CL133" s="16">
        <f t="shared" si="115"/>
        <v>0</v>
      </c>
      <c r="CM133" s="16">
        <f t="shared" si="115"/>
        <v>0.54057767401785162</v>
      </c>
      <c r="CN133" s="16">
        <f t="shared" si="115"/>
        <v>-6.5705705785289226E-2</v>
      </c>
      <c r="CO133" s="16">
        <f t="shared" si="115"/>
        <v>0.52512803176743772</v>
      </c>
      <c r="CP133" s="16">
        <f t="shared" si="115"/>
        <v>0</v>
      </c>
      <c r="CQ133" s="16">
        <f t="shared" si="115"/>
        <v>0</v>
      </c>
      <c r="CR133" s="16">
        <f t="shared" si="115"/>
        <v>0</v>
      </c>
      <c r="CS133" s="16">
        <f t="shared" si="115"/>
        <v>0</v>
      </c>
      <c r="CT133" s="16">
        <f t="shared" si="115"/>
        <v>0</v>
      </c>
      <c r="CU133" s="16">
        <f t="shared" si="115"/>
        <v>0</v>
      </c>
      <c r="CV133" s="16">
        <f t="shared" si="116"/>
        <v>0</v>
      </c>
      <c r="CW133" s="16">
        <f t="shared" si="116"/>
        <v>0</v>
      </c>
      <c r="CX133" s="16">
        <f t="shared" si="116"/>
        <v>0</v>
      </c>
      <c r="CY133" s="16">
        <f t="shared" si="116"/>
        <v>0</v>
      </c>
      <c r="CZ133" s="16">
        <f t="shared" si="116"/>
        <v>0</v>
      </c>
      <c r="DA133" s="16">
        <f t="shared" si="116"/>
        <v>0</v>
      </c>
      <c r="DB133" s="16">
        <f t="shared" si="116"/>
        <v>0</v>
      </c>
      <c r="DC133" s="16">
        <f t="shared" si="116"/>
        <v>0</v>
      </c>
      <c r="DD133" s="16">
        <f t="shared" si="116"/>
        <v>0</v>
      </c>
      <c r="DE133" s="16">
        <f t="shared" si="116"/>
        <v>0</v>
      </c>
      <c r="DF133" s="16">
        <f t="shared" si="117"/>
        <v>0</v>
      </c>
      <c r="DG133" s="16">
        <f t="shared" si="117"/>
        <v>0</v>
      </c>
      <c r="DH133" s="16">
        <f t="shared" si="117"/>
        <v>0</v>
      </c>
      <c r="DI133" s="16">
        <f t="shared" si="117"/>
        <v>0</v>
      </c>
      <c r="DJ133" s="16">
        <f t="shared" si="117"/>
        <v>0</v>
      </c>
      <c r="DK133" s="16">
        <f t="shared" si="117"/>
        <v>0</v>
      </c>
      <c r="DL133" s="16">
        <f t="shared" si="117"/>
        <v>0</v>
      </c>
      <c r="DM133" s="16">
        <f t="shared" si="117"/>
        <v>0</v>
      </c>
      <c r="DN133" s="16">
        <f t="shared" si="117"/>
        <v>0</v>
      </c>
      <c r="DO133" s="16">
        <f t="shared" si="117"/>
        <v>0</v>
      </c>
      <c r="DP133" s="16">
        <f t="shared" si="117"/>
        <v>0</v>
      </c>
    </row>
    <row r="134" spans="10:120" x14ac:dyDescent="0.25">
      <c r="J134" s="93"/>
      <c r="O134" s="9">
        <f t="shared" si="96"/>
        <v>27</v>
      </c>
      <c r="P134" s="16">
        <f t="shared" si="108"/>
        <v>0</v>
      </c>
      <c r="Q134" s="16">
        <f t="shared" si="108"/>
        <v>0</v>
      </c>
      <c r="R134" s="16">
        <f t="shared" si="108"/>
        <v>0</v>
      </c>
      <c r="S134" s="16">
        <f t="shared" si="108"/>
        <v>0</v>
      </c>
      <c r="T134" s="16">
        <f t="shared" si="108"/>
        <v>0</v>
      </c>
      <c r="U134" s="16">
        <f t="shared" si="108"/>
        <v>0</v>
      </c>
      <c r="V134" s="16">
        <f t="shared" si="108"/>
        <v>0</v>
      </c>
      <c r="W134" s="16">
        <f t="shared" si="108"/>
        <v>0</v>
      </c>
      <c r="X134" s="16">
        <f t="shared" si="108"/>
        <v>0</v>
      </c>
      <c r="Y134" s="16">
        <f t="shared" si="108"/>
        <v>0</v>
      </c>
      <c r="Z134" s="16">
        <f t="shared" si="109"/>
        <v>0</v>
      </c>
      <c r="AA134" s="16">
        <f t="shared" si="109"/>
        <v>0</v>
      </c>
      <c r="AB134" s="16">
        <f t="shared" si="109"/>
        <v>0</v>
      </c>
      <c r="AC134" s="16">
        <f t="shared" si="109"/>
        <v>0</v>
      </c>
      <c r="AD134" s="16">
        <f t="shared" si="109"/>
        <v>0</v>
      </c>
      <c r="AE134" s="16">
        <f t="shared" si="109"/>
        <v>0</v>
      </c>
      <c r="AF134" s="16">
        <f t="shared" si="109"/>
        <v>0</v>
      </c>
      <c r="AG134" s="16">
        <f t="shared" si="109"/>
        <v>0</v>
      </c>
      <c r="AH134" s="16">
        <f t="shared" si="109"/>
        <v>0</v>
      </c>
      <c r="AI134" s="16">
        <f t="shared" si="109"/>
        <v>0</v>
      </c>
      <c r="AJ134" s="16">
        <f t="shared" si="110"/>
        <v>0</v>
      </c>
      <c r="AK134" s="16">
        <f t="shared" si="110"/>
        <v>0</v>
      </c>
      <c r="AL134" s="16">
        <f t="shared" si="110"/>
        <v>0.32568166995536668</v>
      </c>
      <c r="AM134" s="16">
        <f t="shared" si="110"/>
        <v>0.3579446014456491</v>
      </c>
      <c r="AN134" s="16">
        <f t="shared" si="110"/>
        <v>0.31637372859898427</v>
      </c>
      <c r="AO134" s="16">
        <f t="shared" si="110"/>
        <v>0</v>
      </c>
      <c r="AP134" s="16">
        <f t="shared" si="110"/>
        <v>0</v>
      </c>
      <c r="AQ134" s="16">
        <f t="shared" si="110"/>
        <v>0</v>
      </c>
      <c r="AR134" s="16">
        <f t="shared" si="110"/>
        <v>0</v>
      </c>
      <c r="AS134" s="16">
        <f t="shared" si="110"/>
        <v>0</v>
      </c>
      <c r="AT134" s="16">
        <f t="shared" si="111"/>
        <v>0</v>
      </c>
      <c r="AU134" s="16">
        <f t="shared" si="111"/>
        <v>0</v>
      </c>
      <c r="AV134" s="16">
        <f t="shared" si="111"/>
        <v>0</v>
      </c>
      <c r="AW134" s="16">
        <f t="shared" si="111"/>
        <v>0</v>
      </c>
      <c r="AX134" s="16">
        <f t="shared" si="111"/>
        <v>0</v>
      </c>
      <c r="AY134" s="16">
        <f t="shared" si="111"/>
        <v>0</v>
      </c>
      <c r="AZ134" s="16">
        <f t="shared" si="111"/>
        <v>0</v>
      </c>
      <c r="BA134" s="16">
        <f t="shared" si="111"/>
        <v>0</v>
      </c>
      <c r="BB134" s="16">
        <f t="shared" si="111"/>
        <v>0</v>
      </c>
      <c r="BC134" s="16">
        <f t="shared" si="111"/>
        <v>0</v>
      </c>
      <c r="BD134" s="16">
        <f t="shared" si="112"/>
        <v>0</v>
      </c>
      <c r="BE134" s="16">
        <f t="shared" si="112"/>
        <v>0</v>
      </c>
      <c r="BF134" s="16">
        <f t="shared" si="112"/>
        <v>0</v>
      </c>
      <c r="BG134" s="16">
        <f t="shared" si="112"/>
        <v>0</v>
      </c>
      <c r="BH134" s="16">
        <f t="shared" si="112"/>
        <v>0</v>
      </c>
      <c r="BI134" s="16">
        <f t="shared" si="112"/>
        <v>0</v>
      </c>
      <c r="BJ134" s="16">
        <f t="shared" si="112"/>
        <v>0</v>
      </c>
      <c r="BK134" s="16">
        <f t="shared" si="112"/>
        <v>0</v>
      </c>
      <c r="BL134" s="16">
        <f t="shared" si="112"/>
        <v>0</v>
      </c>
      <c r="BM134" s="16">
        <f t="shared" si="112"/>
        <v>0</v>
      </c>
      <c r="BN134" s="16">
        <f t="shared" si="112"/>
        <v>0</v>
      </c>
      <c r="BQ134" s="9">
        <f t="shared" si="97"/>
        <v>27</v>
      </c>
      <c r="BR134" s="16">
        <f t="shared" si="113"/>
        <v>0</v>
      </c>
      <c r="BS134" s="16">
        <f t="shared" si="113"/>
        <v>0</v>
      </c>
      <c r="BT134" s="16">
        <f t="shared" si="113"/>
        <v>0</v>
      </c>
      <c r="BU134" s="16">
        <f t="shared" si="113"/>
        <v>0</v>
      </c>
      <c r="BV134" s="16">
        <f t="shared" si="113"/>
        <v>0</v>
      </c>
      <c r="BW134" s="16">
        <f t="shared" si="113"/>
        <v>0</v>
      </c>
      <c r="BX134" s="16">
        <f t="shared" si="113"/>
        <v>0</v>
      </c>
      <c r="BY134" s="16">
        <f t="shared" si="113"/>
        <v>0</v>
      </c>
      <c r="BZ134" s="16">
        <f t="shared" si="113"/>
        <v>0</v>
      </c>
      <c r="CA134" s="16">
        <f t="shared" si="113"/>
        <v>0</v>
      </c>
      <c r="CB134" s="16">
        <f t="shared" si="114"/>
        <v>0</v>
      </c>
      <c r="CC134" s="16">
        <f t="shared" si="114"/>
        <v>0</v>
      </c>
      <c r="CD134" s="16">
        <f t="shared" si="114"/>
        <v>0</v>
      </c>
      <c r="CE134" s="16">
        <f t="shared" si="114"/>
        <v>0</v>
      </c>
      <c r="CF134" s="16">
        <f t="shared" si="114"/>
        <v>0</v>
      </c>
      <c r="CG134" s="16">
        <f t="shared" si="114"/>
        <v>0</v>
      </c>
      <c r="CH134" s="16">
        <f t="shared" si="114"/>
        <v>0</v>
      </c>
      <c r="CI134" s="16">
        <f t="shared" si="114"/>
        <v>0</v>
      </c>
      <c r="CJ134" s="16">
        <f t="shared" si="114"/>
        <v>0</v>
      </c>
      <c r="CK134" s="16">
        <f t="shared" si="114"/>
        <v>0</v>
      </c>
      <c r="CL134" s="16">
        <f t="shared" si="115"/>
        <v>0</v>
      </c>
      <c r="CM134" s="16">
        <f t="shared" si="115"/>
        <v>0</v>
      </c>
      <c r="CN134" s="16">
        <f t="shared" si="115"/>
        <v>0.43919759217394677</v>
      </c>
      <c r="CO134" s="16">
        <f t="shared" si="115"/>
        <v>0.13415702785483719</v>
      </c>
      <c r="CP134" s="16">
        <f t="shared" si="115"/>
        <v>0.42664537997121604</v>
      </c>
      <c r="CQ134" s="16">
        <f t="shared" si="115"/>
        <v>0</v>
      </c>
      <c r="CR134" s="16">
        <f t="shared" si="115"/>
        <v>0</v>
      </c>
      <c r="CS134" s="16">
        <f t="shared" si="115"/>
        <v>0</v>
      </c>
      <c r="CT134" s="16">
        <f t="shared" si="115"/>
        <v>0</v>
      </c>
      <c r="CU134" s="16">
        <f t="shared" si="115"/>
        <v>0</v>
      </c>
      <c r="CV134" s="16">
        <f t="shared" si="116"/>
        <v>0</v>
      </c>
      <c r="CW134" s="16">
        <f t="shared" si="116"/>
        <v>0</v>
      </c>
      <c r="CX134" s="16">
        <f t="shared" si="116"/>
        <v>0</v>
      </c>
      <c r="CY134" s="16">
        <f t="shared" si="116"/>
        <v>0</v>
      </c>
      <c r="CZ134" s="16">
        <f t="shared" si="116"/>
        <v>0</v>
      </c>
      <c r="DA134" s="16">
        <f t="shared" si="116"/>
        <v>0</v>
      </c>
      <c r="DB134" s="16">
        <f t="shared" si="116"/>
        <v>0</v>
      </c>
      <c r="DC134" s="16">
        <f t="shared" si="116"/>
        <v>0</v>
      </c>
      <c r="DD134" s="16">
        <f t="shared" si="116"/>
        <v>0</v>
      </c>
      <c r="DE134" s="16">
        <f t="shared" si="116"/>
        <v>0</v>
      </c>
      <c r="DF134" s="16">
        <f t="shared" si="117"/>
        <v>0</v>
      </c>
      <c r="DG134" s="16">
        <f t="shared" si="117"/>
        <v>0</v>
      </c>
      <c r="DH134" s="16">
        <f t="shared" si="117"/>
        <v>0</v>
      </c>
      <c r="DI134" s="16">
        <f t="shared" si="117"/>
        <v>0</v>
      </c>
      <c r="DJ134" s="16">
        <f t="shared" si="117"/>
        <v>0</v>
      </c>
      <c r="DK134" s="16">
        <f t="shared" si="117"/>
        <v>0</v>
      </c>
      <c r="DL134" s="16">
        <f t="shared" si="117"/>
        <v>0</v>
      </c>
      <c r="DM134" s="16">
        <f t="shared" si="117"/>
        <v>0</v>
      </c>
      <c r="DN134" s="16">
        <f t="shared" si="117"/>
        <v>0</v>
      </c>
      <c r="DO134" s="16">
        <f t="shared" si="117"/>
        <v>0</v>
      </c>
      <c r="DP134" s="16">
        <f t="shared" si="117"/>
        <v>0</v>
      </c>
    </row>
    <row r="135" spans="10:120" x14ac:dyDescent="0.25">
      <c r="J135" s="93"/>
      <c r="O135" s="9">
        <f t="shared" si="96"/>
        <v>26</v>
      </c>
      <c r="P135" s="16">
        <f t="shared" si="108"/>
        <v>0</v>
      </c>
      <c r="Q135" s="16">
        <f t="shared" si="108"/>
        <v>0</v>
      </c>
      <c r="R135" s="16">
        <f t="shared" si="108"/>
        <v>0</v>
      </c>
      <c r="S135" s="16">
        <f t="shared" si="108"/>
        <v>0</v>
      </c>
      <c r="T135" s="16">
        <f t="shared" si="108"/>
        <v>0</v>
      </c>
      <c r="U135" s="16">
        <f t="shared" si="108"/>
        <v>0</v>
      </c>
      <c r="V135" s="16">
        <f t="shared" si="108"/>
        <v>0</v>
      </c>
      <c r="W135" s="16">
        <f t="shared" si="108"/>
        <v>0</v>
      </c>
      <c r="X135" s="16">
        <f t="shared" si="108"/>
        <v>0</v>
      </c>
      <c r="Y135" s="16">
        <f t="shared" si="108"/>
        <v>0</v>
      </c>
      <c r="Z135" s="16">
        <f t="shared" si="109"/>
        <v>0</v>
      </c>
      <c r="AA135" s="16">
        <f t="shared" si="109"/>
        <v>0</v>
      </c>
      <c r="AB135" s="16">
        <f t="shared" si="109"/>
        <v>0</v>
      </c>
      <c r="AC135" s="16">
        <f t="shared" si="109"/>
        <v>0</v>
      </c>
      <c r="AD135" s="16">
        <f t="shared" si="109"/>
        <v>0</v>
      </c>
      <c r="AE135" s="16">
        <f t="shared" si="109"/>
        <v>0</v>
      </c>
      <c r="AF135" s="16">
        <f t="shared" si="109"/>
        <v>0</v>
      </c>
      <c r="AG135" s="16">
        <f t="shared" si="109"/>
        <v>0</v>
      </c>
      <c r="AH135" s="16">
        <f t="shared" si="109"/>
        <v>0</v>
      </c>
      <c r="AI135" s="16">
        <f t="shared" si="109"/>
        <v>0</v>
      </c>
      <c r="AJ135" s="16">
        <f t="shared" si="110"/>
        <v>0</v>
      </c>
      <c r="AK135" s="16">
        <f t="shared" si="110"/>
        <v>0</v>
      </c>
      <c r="AL135" s="16">
        <f t="shared" si="110"/>
        <v>0</v>
      </c>
      <c r="AM135" s="16">
        <f t="shared" si="110"/>
        <v>0.28043676613140761</v>
      </c>
      <c r="AN135" s="16">
        <f t="shared" si="110"/>
        <v>0.44714131540632873</v>
      </c>
      <c r="AO135" s="16">
        <f t="shared" si="110"/>
        <v>0.27242191846226366</v>
      </c>
      <c r="AP135" s="16">
        <f t="shared" si="110"/>
        <v>0</v>
      </c>
      <c r="AQ135" s="16">
        <f t="shared" si="110"/>
        <v>0</v>
      </c>
      <c r="AR135" s="16">
        <f t="shared" si="110"/>
        <v>0</v>
      </c>
      <c r="AS135" s="16">
        <f t="shared" si="110"/>
        <v>0</v>
      </c>
      <c r="AT135" s="16">
        <f t="shared" si="111"/>
        <v>0</v>
      </c>
      <c r="AU135" s="16">
        <f t="shared" si="111"/>
        <v>0</v>
      </c>
      <c r="AV135" s="16">
        <f t="shared" si="111"/>
        <v>0</v>
      </c>
      <c r="AW135" s="16">
        <f t="shared" si="111"/>
        <v>0</v>
      </c>
      <c r="AX135" s="16">
        <f t="shared" si="111"/>
        <v>0</v>
      </c>
      <c r="AY135" s="16">
        <f t="shared" si="111"/>
        <v>0</v>
      </c>
      <c r="AZ135" s="16">
        <f t="shared" si="111"/>
        <v>0</v>
      </c>
      <c r="BA135" s="16">
        <f t="shared" si="111"/>
        <v>0</v>
      </c>
      <c r="BB135" s="16">
        <f t="shared" si="111"/>
        <v>0</v>
      </c>
      <c r="BC135" s="16">
        <f t="shared" si="111"/>
        <v>0</v>
      </c>
      <c r="BD135" s="16">
        <f t="shared" si="112"/>
        <v>0</v>
      </c>
      <c r="BE135" s="16">
        <f t="shared" si="112"/>
        <v>0</v>
      </c>
      <c r="BF135" s="16">
        <f t="shared" si="112"/>
        <v>0</v>
      </c>
      <c r="BG135" s="16">
        <f t="shared" si="112"/>
        <v>0</v>
      </c>
      <c r="BH135" s="16">
        <f t="shared" si="112"/>
        <v>0</v>
      </c>
      <c r="BI135" s="16">
        <f t="shared" si="112"/>
        <v>0</v>
      </c>
      <c r="BJ135" s="16">
        <f t="shared" si="112"/>
        <v>0</v>
      </c>
      <c r="BK135" s="16">
        <f t="shared" si="112"/>
        <v>0</v>
      </c>
      <c r="BL135" s="16">
        <f t="shared" si="112"/>
        <v>0</v>
      </c>
      <c r="BM135" s="16">
        <f t="shared" si="112"/>
        <v>0</v>
      </c>
      <c r="BN135" s="16">
        <f t="shared" si="112"/>
        <v>0</v>
      </c>
      <c r="BQ135" s="9">
        <f t="shared" si="97"/>
        <v>26</v>
      </c>
      <c r="BR135" s="16">
        <f t="shared" si="113"/>
        <v>0</v>
      </c>
      <c r="BS135" s="16">
        <f t="shared" si="113"/>
        <v>0</v>
      </c>
      <c r="BT135" s="16">
        <f t="shared" si="113"/>
        <v>0</v>
      </c>
      <c r="BU135" s="16">
        <f t="shared" si="113"/>
        <v>0</v>
      </c>
      <c r="BV135" s="16">
        <f t="shared" si="113"/>
        <v>0</v>
      </c>
      <c r="BW135" s="16">
        <f t="shared" si="113"/>
        <v>0</v>
      </c>
      <c r="BX135" s="16">
        <f t="shared" si="113"/>
        <v>0</v>
      </c>
      <c r="BY135" s="16">
        <f t="shared" si="113"/>
        <v>0</v>
      </c>
      <c r="BZ135" s="16">
        <f t="shared" si="113"/>
        <v>0</v>
      </c>
      <c r="CA135" s="16">
        <f t="shared" si="113"/>
        <v>0</v>
      </c>
      <c r="CB135" s="16">
        <f t="shared" si="114"/>
        <v>0</v>
      </c>
      <c r="CC135" s="16">
        <f t="shared" si="114"/>
        <v>0</v>
      </c>
      <c r="CD135" s="16">
        <f t="shared" si="114"/>
        <v>0</v>
      </c>
      <c r="CE135" s="16">
        <f t="shared" si="114"/>
        <v>0</v>
      </c>
      <c r="CF135" s="16">
        <f t="shared" si="114"/>
        <v>0</v>
      </c>
      <c r="CG135" s="16">
        <f t="shared" si="114"/>
        <v>0</v>
      </c>
      <c r="CH135" s="16">
        <f t="shared" si="114"/>
        <v>0</v>
      </c>
      <c r="CI135" s="16">
        <f t="shared" si="114"/>
        <v>0</v>
      </c>
      <c r="CJ135" s="16">
        <f t="shared" si="114"/>
        <v>0</v>
      </c>
      <c r="CK135" s="16">
        <f t="shared" si="114"/>
        <v>0</v>
      </c>
      <c r="CL135" s="16">
        <f t="shared" si="115"/>
        <v>0</v>
      </c>
      <c r="CM135" s="16">
        <f t="shared" si="115"/>
        <v>0</v>
      </c>
      <c r="CN135" s="16">
        <f t="shared" si="115"/>
        <v>0</v>
      </c>
      <c r="CO135" s="16">
        <f t="shared" si="115"/>
        <v>0.38790347230588451</v>
      </c>
      <c r="CP135" s="16">
        <f t="shared" si="115"/>
        <v>0.23527928806646281</v>
      </c>
      <c r="CQ135" s="16">
        <f t="shared" si="115"/>
        <v>0.37681723962765268</v>
      </c>
      <c r="CR135" s="16">
        <f t="shared" si="115"/>
        <v>0</v>
      </c>
      <c r="CS135" s="16">
        <f t="shared" si="115"/>
        <v>0</v>
      </c>
      <c r="CT135" s="16">
        <f t="shared" si="115"/>
        <v>0</v>
      </c>
      <c r="CU135" s="16">
        <f t="shared" si="115"/>
        <v>0</v>
      </c>
      <c r="CV135" s="16">
        <f t="shared" si="116"/>
        <v>0</v>
      </c>
      <c r="CW135" s="16">
        <f t="shared" si="116"/>
        <v>0</v>
      </c>
      <c r="CX135" s="16">
        <f t="shared" si="116"/>
        <v>0</v>
      </c>
      <c r="CY135" s="16">
        <f t="shared" si="116"/>
        <v>0</v>
      </c>
      <c r="CZ135" s="16">
        <f t="shared" si="116"/>
        <v>0</v>
      </c>
      <c r="DA135" s="16">
        <f t="shared" si="116"/>
        <v>0</v>
      </c>
      <c r="DB135" s="16">
        <f t="shared" si="116"/>
        <v>0</v>
      </c>
      <c r="DC135" s="16">
        <f t="shared" si="116"/>
        <v>0</v>
      </c>
      <c r="DD135" s="16">
        <f t="shared" si="116"/>
        <v>0</v>
      </c>
      <c r="DE135" s="16">
        <f t="shared" si="116"/>
        <v>0</v>
      </c>
      <c r="DF135" s="16">
        <f t="shared" si="117"/>
        <v>0</v>
      </c>
      <c r="DG135" s="16">
        <f t="shared" si="117"/>
        <v>0</v>
      </c>
      <c r="DH135" s="16">
        <f t="shared" si="117"/>
        <v>0</v>
      </c>
      <c r="DI135" s="16">
        <f t="shared" si="117"/>
        <v>0</v>
      </c>
      <c r="DJ135" s="16">
        <f t="shared" si="117"/>
        <v>0</v>
      </c>
      <c r="DK135" s="16">
        <f t="shared" si="117"/>
        <v>0</v>
      </c>
      <c r="DL135" s="16">
        <f t="shared" si="117"/>
        <v>0</v>
      </c>
      <c r="DM135" s="16">
        <f t="shared" si="117"/>
        <v>0</v>
      </c>
      <c r="DN135" s="16">
        <f t="shared" si="117"/>
        <v>0</v>
      </c>
      <c r="DO135" s="16">
        <f t="shared" si="117"/>
        <v>0</v>
      </c>
      <c r="DP135" s="16">
        <f t="shared" si="117"/>
        <v>0</v>
      </c>
    </row>
    <row r="136" spans="10:120" x14ac:dyDescent="0.25">
      <c r="J136" s="93"/>
      <c r="O136" s="9">
        <f t="shared" si="96"/>
        <v>25</v>
      </c>
      <c r="P136" s="16">
        <f t="shared" si="108"/>
        <v>0</v>
      </c>
      <c r="Q136" s="16">
        <f t="shared" si="108"/>
        <v>0</v>
      </c>
      <c r="R136" s="16">
        <f t="shared" si="108"/>
        <v>0</v>
      </c>
      <c r="S136" s="16">
        <f t="shared" si="108"/>
        <v>0</v>
      </c>
      <c r="T136" s="16">
        <f t="shared" si="108"/>
        <v>0</v>
      </c>
      <c r="U136" s="16">
        <f t="shared" si="108"/>
        <v>0</v>
      </c>
      <c r="V136" s="16">
        <f t="shared" si="108"/>
        <v>0</v>
      </c>
      <c r="W136" s="16">
        <f t="shared" si="108"/>
        <v>0</v>
      </c>
      <c r="X136" s="16">
        <f t="shared" si="108"/>
        <v>0</v>
      </c>
      <c r="Y136" s="16">
        <f t="shared" si="108"/>
        <v>0</v>
      </c>
      <c r="Z136" s="16">
        <f t="shared" si="109"/>
        <v>0</v>
      </c>
      <c r="AA136" s="16">
        <f t="shared" si="109"/>
        <v>0</v>
      </c>
      <c r="AB136" s="16">
        <f t="shared" si="109"/>
        <v>0</v>
      </c>
      <c r="AC136" s="16">
        <f t="shared" si="109"/>
        <v>0</v>
      </c>
      <c r="AD136" s="16">
        <f t="shared" si="109"/>
        <v>0</v>
      </c>
      <c r="AE136" s="16">
        <f t="shared" si="109"/>
        <v>0</v>
      </c>
      <c r="AF136" s="16">
        <f t="shared" si="109"/>
        <v>0</v>
      </c>
      <c r="AG136" s="16">
        <f t="shared" si="109"/>
        <v>0</v>
      </c>
      <c r="AH136" s="16">
        <f t="shared" si="109"/>
        <v>0</v>
      </c>
      <c r="AI136" s="16">
        <f t="shared" si="109"/>
        <v>0</v>
      </c>
      <c r="AJ136" s="16">
        <f t="shared" si="110"/>
        <v>0</v>
      </c>
      <c r="AK136" s="16">
        <f t="shared" si="110"/>
        <v>0</v>
      </c>
      <c r="AL136" s="16">
        <f t="shared" si="110"/>
        <v>0</v>
      </c>
      <c r="AM136" s="16">
        <f t="shared" si="110"/>
        <v>0</v>
      </c>
      <c r="AN136" s="16">
        <f t="shared" si="110"/>
        <v>0.23857397522786369</v>
      </c>
      <c r="AO136" s="16">
        <f t="shared" si="110"/>
        <v>0.52967046389004868</v>
      </c>
      <c r="AP136" s="16">
        <f t="shared" si="110"/>
        <v>0.2317555608820876</v>
      </c>
      <c r="AQ136" s="16">
        <f t="shared" si="110"/>
        <v>0</v>
      </c>
      <c r="AR136" s="16">
        <f t="shared" si="110"/>
        <v>0</v>
      </c>
      <c r="AS136" s="16">
        <f t="shared" si="110"/>
        <v>0</v>
      </c>
      <c r="AT136" s="16">
        <f t="shared" si="111"/>
        <v>0</v>
      </c>
      <c r="AU136" s="16">
        <f t="shared" si="111"/>
        <v>0</v>
      </c>
      <c r="AV136" s="16">
        <f t="shared" si="111"/>
        <v>0</v>
      </c>
      <c r="AW136" s="16">
        <f t="shared" si="111"/>
        <v>0</v>
      </c>
      <c r="AX136" s="16">
        <f t="shared" si="111"/>
        <v>0</v>
      </c>
      <c r="AY136" s="16">
        <f t="shared" si="111"/>
        <v>0</v>
      </c>
      <c r="AZ136" s="16">
        <f t="shared" si="111"/>
        <v>0</v>
      </c>
      <c r="BA136" s="16">
        <f t="shared" si="111"/>
        <v>0</v>
      </c>
      <c r="BB136" s="16">
        <f t="shared" si="111"/>
        <v>0</v>
      </c>
      <c r="BC136" s="16">
        <f t="shared" si="111"/>
        <v>0</v>
      </c>
      <c r="BD136" s="16">
        <f t="shared" si="112"/>
        <v>0</v>
      </c>
      <c r="BE136" s="16">
        <f t="shared" si="112"/>
        <v>0</v>
      </c>
      <c r="BF136" s="16">
        <f t="shared" si="112"/>
        <v>0</v>
      </c>
      <c r="BG136" s="16">
        <f t="shared" si="112"/>
        <v>0</v>
      </c>
      <c r="BH136" s="16">
        <f t="shared" si="112"/>
        <v>0</v>
      </c>
      <c r="BI136" s="16">
        <f t="shared" si="112"/>
        <v>0</v>
      </c>
      <c r="BJ136" s="16">
        <f t="shared" si="112"/>
        <v>0</v>
      </c>
      <c r="BK136" s="16">
        <f t="shared" si="112"/>
        <v>0</v>
      </c>
      <c r="BL136" s="16">
        <f t="shared" si="112"/>
        <v>0</v>
      </c>
      <c r="BM136" s="16">
        <f t="shared" si="112"/>
        <v>0</v>
      </c>
      <c r="BN136" s="16">
        <f t="shared" si="112"/>
        <v>0</v>
      </c>
      <c r="BQ136" s="9">
        <f t="shared" si="97"/>
        <v>25</v>
      </c>
      <c r="BR136" s="16">
        <f t="shared" si="113"/>
        <v>0</v>
      </c>
      <c r="BS136" s="16">
        <f t="shared" si="113"/>
        <v>0</v>
      </c>
      <c r="BT136" s="16">
        <f t="shared" si="113"/>
        <v>0</v>
      </c>
      <c r="BU136" s="16">
        <f t="shared" si="113"/>
        <v>0</v>
      </c>
      <c r="BV136" s="16">
        <f t="shared" si="113"/>
        <v>0</v>
      </c>
      <c r="BW136" s="16">
        <f t="shared" si="113"/>
        <v>0</v>
      </c>
      <c r="BX136" s="16">
        <f t="shared" si="113"/>
        <v>0</v>
      </c>
      <c r="BY136" s="16">
        <f t="shared" si="113"/>
        <v>0</v>
      </c>
      <c r="BZ136" s="16">
        <f t="shared" si="113"/>
        <v>0</v>
      </c>
      <c r="CA136" s="16">
        <f t="shared" si="113"/>
        <v>0</v>
      </c>
      <c r="CB136" s="16">
        <f t="shared" si="114"/>
        <v>0</v>
      </c>
      <c r="CC136" s="16">
        <f t="shared" si="114"/>
        <v>0</v>
      </c>
      <c r="CD136" s="16">
        <f t="shared" si="114"/>
        <v>0</v>
      </c>
      <c r="CE136" s="16">
        <f t="shared" si="114"/>
        <v>0</v>
      </c>
      <c r="CF136" s="16">
        <f t="shared" si="114"/>
        <v>0</v>
      </c>
      <c r="CG136" s="16">
        <f t="shared" si="114"/>
        <v>0</v>
      </c>
      <c r="CH136" s="16">
        <f t="shared" si="114"/>
        <v>0</v>
      </c>
      <c r="CI136" s="16">
        <f t="shared" si="114"/>
        <v>0</v>
      </c>
      <c r="CJ136" s="16">
        <f t="shared" si="114"/>
        <v>0</v>
      </c>
      <c r="CK136" s="16">
        <f t="shared" si="114"/>
        <v>0</v>
      </c>
      <c r="CL136" s="16">
        <f t="shared" si="115"/>
        <v>0</v>
      </c>
      <c r="CM136" s="16">
        <f t="shared" si="115"/>
        <v>0</v>
      </c>
      <c r="CN136" s="16">
        <f t="shared" si="115"/>
        <v>0</v>
      </c>
      <c r="CO136" s="16">
        <f t="shared" si="115"/>
        <v>0</v>
      </c>
      <c r="CP136" s="16">
        <f t="shared" si="115"/>
        <v>0.33979351162170934</v>
      </c>
      <c r="CQ136" s="16">
        <f t="shared" si="115"/>
        <v>0.33012423278117609</v>
      </c>
      <c r="CR136" s="16">
        <f t="shared" si="115"/>
        <v>0.33008225559711457</v>
      </c>
      <c r="CS136" s="16">
        <f t="shared" si="115"/>
        <v>0</v>
      </c>
      <c r="CT136" s="16">
        <f t="shared" si="115"/>
        <v>0</v>
      </c>
      <c r="CU136" s="16">
        <f t="shared" si="115"/>
        <v>0</v>
      </c>
      <c r="CV136" s="16">
        <f t="shared" si="116"/>
        <v>0</v>
      </c>
      <c r="CW136" s="16">
        <f t="shared" si="116"/>
        <v>0</v>
      </c>
      <c r="CX136" s="16">
        <f t="shared" si="116"/>
        <v>0</v>
      </c>
      <c r="CY136" s="16">
        <f t="shared" si="116"/>
        <v>0</v>
      </c>
      <c r="CZ136" s="16">
        <f t="shared" si="116"/>
        <v>0</v>
      </c>
      <c r="DA136" s="16">
        <f t="shared" si="116"/>
        <v>0</v>
      </c>
      <c r="DB136" s="16">
        <f t="shared" si="116"/>
        <v>0</v>
      </c>
      <c r="DC136" s="16">
        <f t="shared" si="116"/>
        <v>0</v>
      </c>
      <c r="DD136" s="16">
        <f t="shared" si="116"/>
        <v>0</v>
      </c>
      <c r="DE136" s="16">
        <f t="shared" si="116"/>
        <v>0</v>
      </c>
      <c r="DF136" s="16">
        <f t="shared" si="117"/>
        <v>0</v>
      </c>
      <c r="DG136" s="16">
        <f t="shared" si="117"/>
        <v>0</v>
      </c>
      <c r="DH136" s="16">
        <f t="shared" si="117"/>
        <v>0</v>
      </c>
      <c r="DI136" s="16">
        <f t="shared" si="117"/>
        <v>0</v>
      </c>
      <c r="DJ136" s="16">
        <f t="shared" si="117"/>
        <v>0</v>
      </c>
      <c r="DK136" s="16">
        <f t="shared" si="117"/>
        <v>0</v>
      </c>
      <c r="DL136" s="16">
        <f t="shared" si="117"/>
        <v>0</v>
      </c>
      <c r="DM136" s="16">
        <f t="shared" si="117"/>
        <v>0</v>
      </c>
      <c r="DN136" s="16">
        <f t="shared" si="117"/>
        <v>0</v>
      </c>
      <c r="DO136" s="16">
        <f t="shared" si="117"/>
        <v>0</v>
      </c>
      <c r="DP136" s="16">
        <f t="shared" si="117"/>
        <v>0</v>
      </c>
    </row>
    <row r="137" spans="10:120" x14ac:dyDescent="0.25">
      <c r="J137" s="93"/>
      <c r="O137" s="9">
        <f t="shared" si="96"/>
        <v>24</v>
      </c>
      <c r="P137" s="16">
        <f t="shared" si="108"/>
        <v>0</v>
      </c>
      <c r="Q137" s="16">
        <f t="shared" si="108"/>
        <v>0</v>
      </c>
      <c r="R137" s="16">
        <f t="shared" si="108"/>
        <v>0</v>
      </c>
      <c r="S137" s="16">
        <f t="shared" si="108"/>
        <v>0</v>
      </c>
      <c r="T137" s="16">
        <f t="shared" si="108"/>
        <v>0</v>
      </c>
      <c r="U137" s="16">
        <f t="shared" si="108"/>
        <v>0</v>
      </c>
      <c r="V137" s="16">
        <f t="shared" si="108"/>
        <v>0</v>
      </c>
      <c r="W137" s="16">
        <f t="shared" si="108"/>
        <v>0</v>
      </c>
      <c r="X137" s="16">
        <f t="shared" si="108"/>
        <v>0</v>
      </c>
      <c r="Y137" s="16">
        <f t="shared" si="108"/>
        <v>0</v>
      </c>
      <c r="Z137" s="16">
        <f t="shared" si="109"/>
        <v>0</v>
      </c>
      <c r="AA137" s="16">
        <f t="shared" si="109"/>
        <v>0</v>
      </c>
      <c r="AB137" s="16">
        <f t="shared" si="109"/>
        <v>0</v>
      </c>
      <c r="AC137" s="16">
        <f t="shared" si="109"/>
        <v>0</v>
      </c>
      <c r="AD137" s="16">
        <f t="shared" si="109"/>
        <v>0</v>
      </c>
      <c r="AE137" s="16">
        <f t="shared" si="109"/>
        <v>0</v>
      </c>
      <c r="AF137" s="16">
        <f t="shared" si="109"/>
        <v>0</v>
      </c>
      <c r="AG137" s="16">
        <f t="shared" si="109"/>
        <v>0</v>
      </c>
      <c r="AH137" s="16">
        <f t="shared" si="109"/>
        <v>0</v>
      </c>
      <c r="AI137" s="16">
        <f t="shared" si="109"/>
        <v>0</v>
      </c>
      <c r="AJ137" s="16">
        <f t="shared" si="110"/>
        <v>0</v>
      </c>
      <c r="AK137" s="16">
        <f t="shared" si="110"/>
        <v>0</v>
      </c>
      <c r="AL137" s="16">
        <f t="shared" si="110"/>
        <v>0</v>
      </c>
      <c r="AM137" s="16">
        <f t="shared" si="110"/>
        <v>0</v>
      </c>
      <c r="AN137" s="16">
        <f t="shared" si="110"/>
        <v>0</v>
      </c>
      <c r="AO137" s="16">
        <f t="shared" si="110"/>
        <v>0.24121657884087361</v>
      </c>
      <c r="AP137" s="16">
        <f t="shared" si="110"/>
        <v>0.52446078194447043</v>
      </c>
      <c r="AQ137" s="16">
        <f t="shared" si="110"/>
        <v>0.23432263921465596</v>
      </c>
      <c r="AR137" s="16">
        <f t="shared" si="110"/>
        <v>0</v>
      </c>
      <c r="AS137" s="16">
        <f t="shared" si="110"/>
        <v>0</v>
      </c>
      <c r="AT137" s="16">
        <f t="shared" si="111"/>
        <v>0</v>
      </c>
      <c r="AU137" s="16">
        <f t="shared" si="111"/>
        <v>0</v>
      </c>
      <c r="AV137" s="16">
        <f t="shared" si="111"/>
        <v>0</v>
      </c>
      <c r="AW137" s="16">
        <f t="shared" si="111"/>
        <v>0</v>
      </c>
      <c r="AX137" s="16">
        <f t="shared" si="111"/>
        <v>0</v>
      </c>
      <c r="AY137" s="16">
        <f t="shared" si="111"/>
        <v>0</v>
      </c>
      <c r="AZ137" s="16">
        <f t="shared" si="111"/>
        <v>0</v>
      </c>
      <c r="BA137" s="16">
        <f t="shared" si="111"/>
        <v>0</v>
      </c>
      <c r="BB137" s="16">
        <f t="shared" si="111"/>
        <v>0</v>
      </c>
      <c r="BC137" s="16">
        <f t="shared" si="111"/>
        <v>0</v>
      </c>
      <c r="BD137" s="16">
        <f t="shared" si="112"/>
        <v>0</v>
      </c>
      <c r="BE137" s="16">
        <f t="shared" si="112"/>
        <v>0</v>
      </c>
      <c r="BF137" s="16">
        <f t="shared" si="112"/>
        <v>0</v>
      </c>
      <c r="BG137" s="16">
        <f t="shared" si="112"/>
        <v>0</v>
      </c>
      <c r="BH137" s="16">
        <f t="shared" si="112"/>
        <v>0</v>
      </c>
      <c r="BI137" s="16">
        <f t="shared" si="112"/>
        <v>0</v>
      </c>
      <c r="BJ137" s="16">
        <f t="shared" si="112"/>
        <v>0</v>
      </c>
      <c r="BK137" s="16">
        <f t="shared" si="112"/>
        <v>0</v>
      </c>
      <c r="BL137" s="16">
        <f t="shared" si="112"/>
        <v>0</v>
      </c>
      <c r="BM137" s="16">
        <f t="shared" si="112"/>
        <v>0</v>
      </c>
      <c r="BN137" s="16">
        <f t="shared" si="112"/>
        <v>0</v>
      </c>
      <c r="BQ137" s="9">
        <f t="shared" si="97"/>
        <v>24</v>
      </c>
      <c r="BR137" s="16">
        <f t="shared" si="113"/>
        <v>0</v>
      </c>
      <c r="BS137" s="16">
        <f t="shared" si="113"/>
        <v>0</v>
      </c>
      <c r="BT137" s="16">
        <f t="shared" si="113"/>
        <v>0</v>
      </c>
      <c r="BU137" s="16">
        <f t="shared" si="113"/>
        <v>0</v>
      </c>
      <c r="BV137" s="16">
        <f t="shared" si="113"/>
        <v>0</v>
      </c>
      <c r="BW137" s="16">
        <f t="shared" si="113"/>
        <v>0</v>
      </c>
      <c r="BX137" s="16">
        <f t="shared" si="113"/>
        <v>0</v>
      </c>
      <c r="BY137" s="16">
        <f t="shared" si="113"/>
        <v>0</v>
      </c>
      <c r="BZ137" s="16">
        <f t="shared" si="113"/>
        <v>0</v>
      </c>
      <c r="CA137" s="16">
        <f t="shared" si="113"/>
        <v>0</v>
      </c>
      <c r="CB137" s="16">
        <f t="shared" si="114"/>
        <v>0</v>
      </c>
      <c r="CC137" s="16">
        <f t="shared" si="114"/>
        <v>0</v>
      </c>
      <c r="CD137" s="16">
        <f t="shared" si="114"/>
        <v>0</v>
      </c>
      <c r="CE137" s="16">
        <f t="shared" si="114"/>
        <v>0</v>
      </c>
      <c r="CF137" s="16">
        <f t="shared" si="114"/>
        <v>0</v>
      </c>
      <c r="CG137" s="16">
        <f t="shared" si="114"/>
        <v>0</v>
      </c>
      <c r="CH137" s="16">
        <f t="shared" si="114"/>
        <v>0</v>
      </c>
      <c r="CI137" s="16">
        <f t="shared" si="114"/>
        <v>0</v>
      </c>
      <c r="CJ137" s="16">
        <f t="shared" si="114"/>
        <v>0</v>
      </c>
      <c r="CK137" s="16">
        <f t="shared" si="114"/>
        <v>0</v>
      </c>
      <c r="CL137" s="16">
        <f t="shared" si="115"/>
        <v>0</v>
      </c>
      <c r="CM137" s="16">
        <f t="shared" si="115"/>
        <v>0</v>
      </c>
      <c r="CN137" s="16">
        <f t="shared" si="115"/>
        <v>0</v>
      </c>
      <c r="CO137" s="16">
        <f t="shared" si="115"/>
        <v>0</v>
      </c>
      <c r="CP137" s="16">
        <f t="shared" si="115"/>
        <v>0</v>
      </c>
      <c r="CQ137" s="16">
        <f t="shared" si="115"/>
        <v>0.35429008075848784</v>
      </c>
      <c r="CR137" s="16">
        <f t="shared" si="115"/>
        <v>0.30154540463877366</v>
      </c>
      <c r="CS137" s="16">
        <f t="shared" si="115"/>
        <v>0.3441645146027385</v>
      </c>
      <c r="CT137" s="16">
        <f t="shared" si="115"/>
        <v>0</v>
      </c>
      <c r="CU137" s="16">
        <f t="shared" si="115"/>
        <v>0</v>
      </c>
      <c r="CV137" s="16">
        <f t="shared" si="116"/>
        <v>0</v>
      </c>
      <c r="CW137" s="16">
        <f t="shared" si="116"/>
        <v>0</v>
      </c>
      <c r="CX137" s="16">
        <f t="shared" si="116"/>
        <v>0</v>
      </c>
      <c r="CY137" s="16">
        <f t="shared" si="116"/>
        <v>0</v>
      </c>
      <c r="CZ137" s="16">
        <f t="shared" si="116"/>
        <v>0</v>
      </c>
      <c r="DA137" s="16">
        <f t="shared" si="116"/>
        <v>0</v>
      </c>
      <c r="DB137" s="16">
        <f t="shared" si="116"/>
        <v>0</v>
      </c>
      <c r="DC137" s="16">
        <f t="shared" si="116"/>
        <v>0</v>
      </c>
      <c r="DD137" s="16">
        <f t="shared" si="116"/>
        <v>0</v>
      </c>
      <c r="DE137" s="16">
        <f t="shared" si="116"/>
        <v>0</v>
      </c>
      <c r="DF137" s="16">
        <f t="shared" si="117"/>
        <v>0</v>
      </c>
      <c r="DG137" s="16">
        <f t="shared" si="117"/>
        <v>0</v>
      </c>
      <c r="DH137" s="16">
        <f t="shared" si="117"/>
        <v>0</v>
      </c>
      <c r="DI137" s="16">
        <f t="shared" si="117"/>
        <v>0</v>
      </c>
      <c r="DJ137" s="16">
        <f t="shared" si="117"/>
        <v>0</v>
      </c>
      <c r="DK137" s="16">
        <f t="shared" si="117"/>
        <v>0</v>
      </c>
      <c r="DL137" s="16">
        <f t="shared" si="117"/>
        <v>0</v>
      </c>
      <c r="DM137" s="16">
        <f t="shared" si="117"/>
        <v>0</v>
      </c>
      <c r="DN137" s="16">
        <f t="shared" si="117"/>
        <v>0</v>
      </c>
      <c r="DO137" s="16">
        <f t="shared" si="117"/>
        <v>0</v>
      </c>
      <c r="DP137" s="16">
        <f t="shared" si="117"/>
        <v>0</v>
      </c>
    </row>
    <row r="138" spans="10:120" x14ac:dyDescent="0.25">
      <c r="J138" s="93"/>
      <c r="O138" s="9">
        <f t="shared" si="96"/>
        <v>23</v>
      </c>
      <c r="P138" s="16">
        <f t="shared" si="108"/>
        <v>0</v>
      </c>
      <c r="Q138" s="16">
        <f t="shared" si="108"/>
        <v>0</v>
      </c>
      <c r="R138" s="16">
        <f t="shared" si="108"/>
        <v>0</v>
      </c>
      <c r="S138" s="16">
        <f t="shared" si="108"/>
        <v>0</v>
      </c>
      <c r="T138" s="16">
        <f t="shared" si="108"/>
        <v>0</v>
      </c>
      <c r="U138" s="16">
        <f t="shared" si="108"/>
        <v>0</v>
      </c>
      <c r="V138" s="16">
        <f t="shared" si="108"/>
        <v>0</v>
      </c>
      <c r="W138" s="16">
        <f t="shared" si="108"/>
        <v>0</v>
      </c>
      <c r="X138" s="16">
        <f t="shared" si="108"/>
        <v>0</v>
      </c>
      <c r="Y138" s="16">
        <f t="shared" si="108"/>
        <v>0</v>
      </c>
      <c r="Z138" s="16">
        <f t="shared" si="109"/>
        <v>0</v>
      </c>
      <c r="AA138" s="16">
        <f t="shared" si="109"/>
        <v>0</v>
      </c>
      <c r="AB138" s="16">
        <f t="shared" si="109"/>
        <v>0</v>
      </c>
      <c r="AC138" s="16">
        <f t="shared" si="109"/>
        <v>0</v>
      </c>
      <c r="AD138" s="16">
        <f t="shared" si="109"/>
        <v>0</v>
      </c>
      <c r="AE138" s="16">
        <f t="shared" si="109"/>
        <v>0</v>
      </c>
      <c r="AF138" s="16">
        <f t="shared" si="109"/>
        <v>0</v>
      </c>
      <c r="AG138" s="16">
        <f t="shared" si="109"/>
        <v>0</v>
      </c>
      <c r="AH138" s="16">
        <f t="shared" si="109"/>
        <v>0</v>
      </c>
      <c r="AI138" s="16">
        <f t="shared" si="109"/>
        <v>0</v>
      </c>
      <c r="AJ138" s="16">
        <f t="shared" si="110"/>
        <v>0</v>
      </c>
      <c r="AK138" s="16">
        <f t="shared" si="110"/>
        <v>0</v>
      </c>
      <c r="AL138" s="16">
        <f t="shared" si="110"/>
        <v>0</v>
      </c>
      <c r="AM138" s="16">
        <f t="shared" si="110"/>
        <v>0</v>
      </c>
      <c r="AN138" s="16">
        <f t="shared" si="110"/>
        <v>0</v>
      </c>
      <c r="AO138" s="16">
        <f t="shared" si="110"/>
        <v>0</v>
      </c>
      <c r="AP138" s="16">
        <f t="shared" si="110"/>
        <v>0.24387373756915104</v>
      </c>
      <c r="AQ138" s="16">
        <f t="shared" si="110"/>
        <v>0.5192224057517294</v>
      </c>
      <c r="AR138" s="16">
        <f t="shared" si="110"/>
        <v>0.23690385667911953</v>
      </c>
      <c r="AS138" s="16">
        <f t="shared" si="110"/>
        <v>0</v>
      </c>
      <c r="AT138" s="16">
        <f t="shared" si="111"/>
        <v>0</v>
      </c>
      <c r="AU138" s="16">
        <f t="shared" si="111"/>
        <v>0</v>
      </c>
      <c r="AV138" s="16">
        <f t="shared" si="111"/>
        <v>0</v>
      </c>
      <c r="AW138" s="16">
        <f t="shared" si="111"/>
        <v>0</v>
      </c>
      <c r="AX138" s="16">
        <f t="shared" si="111"/>
        <v>0</v>
      </c>
      <c r="AY138" s="16">
        <f t="shared" si="111"/>
        <v>0</v>
      </c>
      <c r="AZ138" s="16">
        <f t="shared" si="111"/>
        <v>0</v>
      </c>
      <c r="BA138" s="16">
        <f t="shared" si="111"/>
        <v>0</v>
      </c>
      <c r="BB138" s="16">
        <f t="shared" si="111"/>
        <v>0</v>
      </c>
      <c r="BC138" s="16">
        <f t="shared" si="111"/>
        <v>0</v>
      </c>
      <c r="BD138" s="16">
        <f t="shared" si="112"/>
        <v>0</v>
      </c>
      <c r="BE138" s="16">
        <f t="shared" si="112"/>
        <v>0</v>
      </c>
      <c r="BF138" s="16">
        <f t="shared" si="112"/>
        <v>0</v>
      </c>
      <c r="BG138" s="16">
        <f t="shared" si="112"/>
        <v>0</v>
      </c>
      <c r="BH138" s="16">
        <f t="shared" si="112"/>
        <v>0</v>
      </c>
      <c r="BI138" s="16">
        <f t="shared" si="112"/>
        <v>0</v>
      </c>
      <c r="BJ138" s="16">
        <f t="shared" si="112"/>
        <v>0</v>
      </c>
      <c r="BK138" s="16">
        <f t="shared" si="112"/>
        <v>0</v>
      </c>
      <c r="BL138" s="16">
        <f t="shared" si="112"/>
        <v>0</v>
      </c>
      <c r="BM138" s="16">
        <f t="shared" si="112"/>
        <v>0</v>
      </c>
      <c r="BN138" s="16">
        <f t="shared" si="112"/>
        <v>0</v>
      </c>
      <c r="BQ138" s="9">
        <f t="shared" si="97"/>
        <v>23</v>
      </c>
      <c r="BR138" s="16">
        <f t="shared" si="113"/>
        <v>0</v>
      </c>
      <c r="BS138" s="16">
        <f t="shared" si="113"/>
        <v>0</v>
      </c>
      <c r="BT138" s="16">
        <f t="shared" si="113"/>
        <v>0</v>
      </c>
      <c r="BU138" s="16">
        <f t="shared" si="113"/>
        <v>0</v>
      </c>
      <c r="BV138" s="16">
        <f t="shared" si="113"/>
        <v>0</v>
      </c>
      <c r="BW138" s="16">
        <f t="shared" si="113"/>
        <v>0</v>
      </c>
      <c r="BX138" s="16">
        <f t="shared" si="113"/>
        <v>0</v>
      </c>
      <c r="BY138" s="16">
        <f t="shared" si="113"/>
        <v>0</v>
      </c>
      <c r="BZ138" s="16">
        <f t="shared" si="113"/>
        <v>0</v>
      </c>
      <c r="CA138" s="16">
        <f t="shared" si="113"/>
        <v>0</v>
      </c>
      <c r="CB138" s="16">
        <f t="shared" si="114"/>
        <v>0</v>
      </c>
      <c r="CC138" s="16">
        <f t="shared" si="114"/>
        <v>0</v>
      </c>
      <c r="CD138" s="16">
        <f t="shared" si="114"/>
        <v>0</v>
      </c>
      <c r="CE138" s="16">
        <f t="shared" si="114"/>
        <v>0</v>
      </c>
      <c r="CF138" s="16">
        <f t="shared" si="114"/>
        <v>0</v>
      </c>
      <c r="CG138" s="16">
        <f t="shared" si="114"/>
        <v>0</v>
      </c>
      <c r="CH138" s="16">
        <f t="shared" si="114"/>
        <v>0</v>
      </c>
      <c r="CI138" s="16">
        <f t="shared" si="114"/>
        <v>0</v>
      </c>
      <c r="CJ138" s="16">
        <f t="shared" si="114"/>
        <v>0</v>
      </c>
      <c r="CK138" s="16">
        <f t="shared" si="114"/>
        <v>0</v>
      </c>
      <c r="CL138" s="16">
        <f t="shared" si="115"/>
        <v>0</v>
      </c>
      <c r="CM138" s="16">
        <f t="shared" si="115"/>
        <v>0</v>
      </c>
      <c r="CN138" s="16">
        <f t="shared" si="115"/>
        <v>0</v>
      </c>
      <c r="CO138" s="16">
        <f t="shared" si="115"/>
        <v>0</v>
      </c>
      <c r="CP138" s="16">
        <f t="shared" si="115"/>
        <v>0</v>
      </c>
      <c r="CQ138" s="16">
        <f t="shared" si="115"/>
        <v>0</v>
      </c>
      <c r="CR138" s="16">
        <f t="shared" si="115"/>
        <v>0.36908945699527651</v>
      </c>
      <c r="CS138" s="16">
        <f t="shared" si="115"/>
        <v>0.27236961648536195</v>
      </c>
      <c r="CT138" s="16">
        <f t="shared" si="115"/>
        <v>0.35854092651936154</v>
      </c>
      <c r="CU138" s="16">
        <f t="shared" si="115"/>
        <v>0</v>
      </c>
      <c r="CV138" s="16">
        <f t="shared" si="116"/>
        <v>0</v>
      </c>
      <c r="CW138" s="16">
        <f t="shared" si="116"/>
        <v>0</v>
      </c>
      <c r="CX138" s="16">
        <f t="shared" si="116"/>
        <v>0</v>
      </c>
      <c r="CY138" s="16">
        <f t="shared" si="116"/>
        <v>0</v>
      </c>
      <c r="CZ138" s="16">
        <f t="shared" si="116"/>
        <v>0</v>
      </c>
      <c r="DA138" s="16">
        <f t="shared" si="116"/>
        <v>0</v>
      </c>
      <c r="DB138" s="16">
        <f t="shared" si="116"/>
        <v>0</v>
      </c>
      <c r="DC138" s="16">
        <f t="shared" si="116"/>
        <v>0</v>
      </c>
      <c r="DD138" s="16">
        <f t="shared" si="116"/>
        <v>0</v>
      </c>
      <c r="DE138" s="16">
        <f t="shared" si="116"/>
        <v>0</v>
      </c>
      <c r="DF138" s="16">
        <f t="shared" si="117"/>
        <v>0</v>
      </c>
      <c r="DG138" s="16">
        <f t="shared" si="117"/>
        <v>0</v>
      </c>
      <c r="DH138" s="16">
        <f t="shared" si="117"/>
        <v>0</v>
      </c>
      <c r="DI138" s="16">
        <f t="shared" si="117"/>
        <v>0</v>
      </c>
      <c r="DJ138" s="16">
        <f t="shared" si="117"/>
        <v>0</v>
      </c>
      <c r="DK138" s="16">
        <f t="shared" si="117"/>
        <v>0</v>
      </c>
      <c r="DL138" s="16">
        <f t="shared" si="117"/>
        <v>0</v>
      </c>
      <c r="DM138" s="16">
        <f t="shared" si="117"/>
        <v>0</v>
      </c>
      <c r="DN138" s="16">
        <f t="shared" si="117"/>
        <v>0</v>
      </c>
      <c r="DO138" s="16">
        <f t="shared" si="117"/>
        <v>0</v>
      </c>
      <c r="DP138" s="16">
        <f t="shared" si="117"/>
        <v>0</v>
      </c>
    </row>
    <row r="139" spans="10:120" x14ac:dyDescent="0.25">
      <c r="J139" s="93"/>
      <c r="O139" s="9">
        <f t="shared" si="96"/>
        <v>22</v>
      </c>
      <c r="P139" s="16">
        <f t="shared" si="108"/>
        <v>0</v>
      </c>
      <c r="Q139" s="16">
        <f t="shared" si="108"/>
        <v>0</v>
      </c>
      <c r="R139" s="16">
        <f t="shared" si="108"/>
        <v>0</v>
      </c>
      <c r="S139" s="16">
        <f t="shared" si="108"/>
        <v>0</v>
      </c>
      <c r="T139" s="16">
        <f t="shared" si="108"/>
        <v>0</v>
      </c>
      <c r="U139" s="16">
        <f t="shared" si="108"/>
        <v>0</v>
      </c>
      <c r="V139" s="16">
        <f t="shared" si="108"/>
        <v>0</v>
      </c>
      <c r="W139" s="16">
        <f t="shared" si="108"/>
        <v>0</v>
      </c>
      <c r="X139" s="16">
        <f t="shared" si="108"/>
        <v>0</v>
      </c>
      <c r="Y139" s="16">
        <f t="shared" si="108"/>
        <v>0</v>
      </c>
      <c r="Z139" s="16">
        <f t="shared" si="109"/>
        <v>0</v>
      </c>
      <c r="AA139" s="16">
        <f t="shared" si="109"/>
        <v>0</v>
      </c>
      <c r="AB139" s="16">
        <f t="shared" si="109"/>
        <v>0</v>
      </c>
      <c r="AC139" s="16">
        <f t="shared" si="109"/>
        <v>0</v>
      </c>
      <c r="AD139" s="16">
        <f t="shared" si="109"/>
        <v>0</v>
      </c>
      <c r="AE139" s="16">
        <f t="shared" si="109"/>
        <v>0</v>
      </c>
      <c r="AF139" s="16">
        <f t="shared" si="109"/>
        <v>0</v>
      </c>
      <c r="AG139" s="16">
        <f t="shared" si="109"/>
        <v>0</v>
      </c>
      <c r="AH139" s="16">
        <f t="shared" si="109"/>
        <v>0</v>
      </c>
      <c r="AI139" s="16">
        <f t="shared" si="109"/>
        <v>0</v>
      </c>
      <c r="AJ139" s="16">
        <f t="shared" si="110"/>
        <v>0</v>
      </c>
      <c r="AK139" s="16">
        <f t="shared" si="110"/>
        <v>0</v>
      </c>
      <c r="AL139" s="16">
        <f t="shared" si="110"/>
        <v>0</v>
      </c>
      <c r="AM139" s="16">
        <f t="shared" si="110"/>
        <v>0</v>
      </c>
      <c r="AN139" s="16">
        <f t="shared" si="110"/>
        <v>0</v>
      </c>
      <c r="AO139" s="16">
        <f t="shared" si="110"/>
        <v>0</v>
      </c>
      <c r="AP139" s="16">
        <f t="shared" si="110"/>
        <v>0</v>
      </c>
      <c r="AQ139" s="16">
        <f t="shared" si="110"/>
        <v>0.24716775113795039</v>
      </c>
      <c r="AR139" s="16">
        <f t="shared" si="110"/>
        <v>0.51272852110956102</v>
      </c>
      <c r="AS139" s="16">
        <f t="shared" si="110"/>
        <v>0.24010372775248859</v>
      </c>
      <c r="AT139" s="16">
        <f t="shared" si="111"/>
        <v>0</v>
      </c>
      <c r="AU139" s="16">
        <f t="shared" si="111"/>
        <v>0</v>
      </c>
      <c r="AV139" s="16">
        <f t="shared" si="111"/>
        <v>0</v>
      </c>
      <c r="AW139" s="16">
        <f t="shared" si="111"/>
        <v>0</v>
      </c>
      <c r="AX139" s="16">
        <f t="shared" si="111"/>
        <v>0</v>
      </c>
      <c r="AY139" s="16">
        <f t="shared" si="111"/>
        <v>0</v>
      </c>
      <c r="AZ139" s="16">
        <f t="shared" si="111"/>
        <v>0</v>
      </c>
      <c r="BA139" s="16">
        <f t="shared" si="111"/>
        <v>0</v>
      </c>
      <c r="BB139" s="16">
        <f t="shared" si="111"/>
        <v>0</v>
      </c>
      <c r="BC139" s="16">
        <f t="shared" si="111"/>
        <v>0</v>
      </c>
      <c r="BD139" s="16">
        <f t="shared" si="112"/>
        <v>0</v>
      </c>
      <c r="BE139" s="16">
        <f t="shared" si="112"/>
        <v>0</v>
      </c>
      <c r="BF139" s="16">
        <f t="shared" si="112"/>
        <v>0</v>
      </c>
      <c r="BG139" s="16">
        <f t="shared" si="112"/>
        <v>0</v>
      </c>
      <c r="BH139" s="16">
        <f t="shared" si="112"/>
        <v>0</v>
      </c>
      <c r="BI139" s="16">
        <f t="shared" si="112"/>
        <v>0</v>
      </c>
      <c r="BJ139" s="16">
        <f t="shared" si="112"/>
        <v>0</v>
      </c>
      <c r="BK139" s="16">
        <f t="shared" si="112"/>
        <v>0</v>
      </c>
      <c r="BL139" s="16">
        <f t="shared" si="112"/>
        <v>0</v>
      </c>
      <c r="BM139" s="16">
        <f t="shared" si="112"/>
        <v>0</v>
      </c>
      <c r="BN139" s="16">
        <f t="shared" si="112"/>
        <v>0</v>
      </c>
      <c r="BQ139" s="9">
        <f t="shared" si="97"/>
        <v>22</v>
      </c>
      <c r="BR139" s="16">
        <f t="shared" si="113"/>
        <v>0</v>
      </c>
      <c r="BS139" s="16">
        <f t="shared" si="113"/>
        <v>0</v>
      </c>
      <c r="BT139" s="16">
        <f t="shared" si="113"/>
        <v>0</v>
      </c>
      <c r="BU139" s="16">
        <f t="shared" si="113"/>
        <v>0</v>
      </c>
      <c r="BV139" s="16">
        <f t="shared" si="113"/>
        <v>0</v>
      </c>
      <c r="BW139" s="16">
        <f t="shared" si="113"/>
        <v>0</v>
      </c>
      <c r="BX139" s="16">
        <f t="shared" si="113"/>
        <v>0</v>
      </c>
      <c r="BY139" s="16">
        <f t="shared" si="113"/>
        <v>0</v>
      </c>
      <c r="BZ139" s="16">
        <f t="shared" si="113"/>
        <v>0</v>
      </c>
      <c r="CA139" s="16">
        <f t="shared" si="113"/>
        <v>0</v>
      </c>
      <c r="CB139" s="16">
        <f t="shared" si="114"/>
        <v>0</v>
      </c>
      <c r="CC139" s="16">
        <f t="shared" si="114"/>
        <v>0</v>
      </c>
      <c r="CD139" s="16">
        <f t="shared" si="114"/>
        <v>0</v>
      </c>
      <c r="CE139" s="16">
        <f t="shared" si="114"/>
        <v>0</v>
      </c>
      <c r="CF139" s="16">
        <f t="shared" si="114"/>
        <v>0</v>
      </c>
      <c r="CG139" s="16">
        <f t="shared" si="114"/>
        <v>0</v>
      </c>
      <c r="CH139" s="16">
        <f t="shared" si="114"/>
        <v>0</v>
      </c>
      <c r="CI139" s="16">
        <f t="shared" si="114"/>
        <v>0</v>
      </c>
      <c r="CJ139" s="16">
        <f t="shared" si="114"/>
        <v>0</v>
      </c>
      <c r="CK139" s="16">
        <f t="shared" si="114"/>
        <v>0</v>
      </c>
      <c r="CL139" s="16">
        <f t="shared" si="115"/>
        <v>0</v>
      </c>
      <c r="CM139" s="16">
        <f t="shared" si="115"/>
        <v>0</v>
      </c>
      <c r="CN139" s="16">
        <f t="shared" si="115"/>
        <v>0</v>
      </c>
      <c r="CO139" s="16">
        <f t="shared" si="115"/>
        <v>0</v>
      </c>
      <c r="CP139" s="16">
        <f t="shared" si="115"/>
        <v>0</v>
      </c>
      <c r="CQ139" s="16">
        <f t="shared" si="115"/>
        <v>0</v>
      </c>
      <c r="CR139" s="16">
        <f t="shared" si="115"/>
        <v>0</v>
      </c>
      <c r="CS139" s="16">
        <f t="shared" si="115"/>
        <v>0.35597156639404332</v>
      </c>
      <c r="CT139" s="16">
        <f t="shared" si="115"/>
        <v>0.2982304900166276</v>
      </c>
      <c r="CU139" s="16">
        <f t="shared" si="115"/>
        <v>0.34579794358932903</v>
      </c>
      <c r="CV139" s="16">
        <f t="shared" si="116"/>
        <v>0</v>
      </c>
      <c r="CW139" s="16">
        <f t="shared" si="116"/>
        <v>0</v>
      </c>
      <c r="CX139" s="16">
        <f t="shared" si="116"/>
        <v>0</v>
      </c>
      <c r="CY139" s="16">
        <f t="shared" si="116"/>
        <v>0</v>
      </c>
      <c r="CZ139" s="16">
        <f t="shared" si="116"/>
        <v>0</v>
      </c>
      <c r="DA139" s="16">
        <f t="shared" si="116"/>
        <v>0</v>
      </c>
      <c r="DB139" s="16">
        <f t="shared" si="116"/>
        <v>0</v>
      </c>
      <c r="DC139" s="16">
        <f t="shared" si="116"/>
        <v>0</v>
      </c>
      <c r="DD139" s="16">
        <f t="shared" si="116"/>
        <v>0</v>
      </c>
      <c r="DE139" s="16">
        <f t="shared" si="116"/>
        <v>0</v>
      </c>
      <c r="DF139" s="16">
        <f t="shared" si="117"/>
        <v>0</v>
      </c>
      <c r="DG139" s="16">
        <f t="shared" si="117"/>
        <v>0</v>
      </c>
      <c r="DH139" s="16">
        <f t="shared" si="117"/>
        <v>0</v>
      </c>
      <c r="DI139" s="16">
        <f t="shared" si="117"/>
        <v>0</v>
      </c>
      <c r="DJ139" s="16">
        <f t="shared" si="117"/>
        <v>0</v>
      </c>
      <c r="DK139" s="16">
        <f t="shared" si="117"/>
        <v>0</v>
      </c>
      <c r="DL139" s="16">
        <f t="shared" si="117"/>
        <v>0</v>
      </c>
      <c r="DM139" s="16">
        <f t="shared" si="117"/>
        <v>0</v>
      </c>
      <c r="DN139" s="16">
        <f t="shared" si="117"/>
        <v>0</v>
      </c>
      <c r="DO139" s="16">
        <f t="shared" si="117"/>
        <v>0</v>
      </c>
      <c r="DP139" s="16">
        <f t="shared" si="117"/>
        <v>0</v>
      </c>
    </row>
    <row r="140" spans="10:120" x14ac:dyDescent="0.25">
      <c r="J140" s="93"/>
      <c r="O140" s="9">
        <f t="shared" si="96"/>
        <v>21</v>
      </c>
      <c r="P140" s="16">
        <f t="shared" si="108"/>
        <v>0</v>
      </c>
      <c r="Q140" s="16">
        <f t="shared" si="108"/>
        <v>0</v>
      </c>
      <c r="R140" s="16">
        <f t="shared" si="108"/>
        <v>0</v>
      </c>
      <c r="S140" s="16">
        <f t="shared" si="108"/>
        <v>0</v>
      </c>
      <c r="T140" s="16">
        <f t="shared" si="108"/>
        <v>0</v>
      </c>
      <c r="U140" s="16">
        <f t="shared" si="108"/>
        <v>0</v>
      </c>
      <c r="V140" s="16">
        <f t="shared" si="108"/>
        <v>0</v>
      </c>
      <c r="W140" s="16">
        <f t="shared" si="108"/>
        <v>0</v>
      </c>
      <c r="X140" s="16">
        <f t="shared" si="108"/>
        <v>0</v>
      </c>
      <c r="Y140" s="16">
        <f t="shared" si="108"/>
        <v>0</v>
      </c>
      <c r="Z140" s="16">
        <f t="shared" si="109"/>
        <v>0</v>
      </c>
      <c r="AA140" s="16">
        <f t="shared" si="109"/>
        <v>0</v>
      </c>
      <c r="AB140" s="16">
        <f t="shared" si="109"/>
        <v>0</v>
      </c>
      <c r="AC140" s="16">
        <f t="shared" si="109"/>
        <v>0</v>
      </c>
      <c r="AD140" s="16">
        <f t="shared" si="109"/>
        <v>0</v>
      </c>
      <c r="AE140" s="16">
        <f t="shared" si="109"/>
        <v>0</v>
      </c>
      <c r="AF140" s="16">
        <f t="shared" si="109"/>
        <v>0</v>
      </c>
      <c r="AG140" s="16">
        <f t="shared" si="109"/>
        <v>0</v>
      </c>
      <c r="AH140" s="16">
        <f t="shared" si="109"/>
        <v>0</v>
      </c>
      <c r="AI140" s="16">
        <f t="shared" si="109"/>
        <v>0</v>
      </c>
      <c r="AJ140" s="16">
        <f t="shared" si="110"/>
        <v>0</v>
      </c>
      <c r="AK140" s="16">
        <f t="shared" si="110"/>
        <v>0</v>
      </c>
      <c r="AL140" s="16">
        <f t="shared" si="110"/>
        <v>0</v>
      </c>
      <c r="AM140" s="16">
        <f t="shared" si="110"/>
        <v>0</v>
      </c>
      <c r="AN140" s="16">
        <f t="shared" si="110"/>
        <v>0</v>
      </c>
      <c r="AO140" s="16">
        <f t="shared" si="110"/>
        <v>0</v>
      </c>
      <c r="AP140" s="16">
        <f t="shared" si="110"/>
        <v>0</v>
      </c>
      <c r="AQ140" s="16">
        <f t="shared" si="110"/>
        <v>0</v>
      </c>
      <c r="AR140" s="16">
        <f t="shared" si="110"/>
        <v>0.25056246047883979</v>
      </c>
      <c r="AS140" s="16">
        <f t="shared" si="110"/>
        <v>0.50603612279577315</v>
      </c>
      <c r="AT140" s="16">
        <f t="shared" si="111"/>
        <v>0.24340141672538707</v>
      </c>
      <c r="AU140" s="16">
        <f t="shared" si="111"/>
        <v>0</v>
      </c>
      <c r="AV140" s="16">
        <f t="shared" si="111"/>
        <v>0</v>
      </c>
      <c r="AW140" s="16">
        <f t="shared" si="111"/>
        <v>0</v>
      </c>
      <c r="AX140" s="16">
        <f t="shared" si="111"/>
        <v>0</v>
      </c>
      <c r="AY140" s="16">
        <f t="shared" si="111"/>
        <v>0</v>
      </c>
      <c r="AZ140" s="16">
        <f t="shared" si="111"/>
        <v>0</v>
      </c>
      <c r="BA140" s="16">
        <f t="shared" si="111"/>
        <v>0</v>
      </c>
      <c r="BB140" s="16">
        <f t="shared" si="111"/>
        <v>0</v>
      </c>
      <c r="BC140" s="16">
        <f t="shared" si="111"/>
        <v>0</v>
      </c>
      <c r="BD140" s="16">
        <f t="shared" si="112"/>
        <v>0</v>
      </c>
      <c r="BE140" s="16">
        <f t="shared" si="112"/>
        <v>0</v>
      </c>
      <c r="BF140" s="16">
        <f t="shared" si="112"/>
        <v>0</v>
      </c>
      <c r="BG140" s="16">
        <f t="shared" si="112"/>
        <v>0</v>
      </c>
      <c r="BH140" s="16">
        <f t="shared" si="112"/>
        <v>0</v>
      </c>
      <c r="BI140" s="16">
        <f t="shared" si="112"/>
        <v>0</v>
      </c>
      <c r="BJ140" s="16">
        <f t="shared" si="112"/>
        <v>0</v>
      </c>
      <c r="BK140" s="16">
        <f t="shared" si="112"/>
        <v>0</v>
      </c>
      <c r="BL140" s="16">
        <f t="shared" si="112"/>
        <v>0</v>
      </c>
      <c r="BM140" s="16">
        <f t="shared" si="112"/>
        <v>0</v>
      </c>
      <c r="BN140" s="16">
        <f t="shared" si="112"/>
        <v>0</v>
      </c>
      <c r="BQ140" s="9">
        <f t="shared" si="97"/>
        <v>21</v>
      </c>
      <c r="BR140" s="16">
        <f t="shared" si="113"/>
        <v>0</v>
      </c>
      <c r="BS140" s="16">
        <f t="shared" si="113"/>
        <v>0</v>
      </c>
      <c r="BT140" s="16">
        <f t="shared" si="113"/>
        <v>0</v>
      </c>
      <c r="BU140" s="16">
        <f t="shared" si="113"/>
        <v>0</v>
      </c>
      <c r="BV140" s="16">
        <f t="shared" si="113"/>
        <v>0</v>
      </c>
      <c r="BW140" s="16">
        <f t="shared" si="113"/>
        <v>0</v>
      </c>
      <c r="BX140" s="16">
        <f t="shared" si="113"/>
        <v>0</v>
      </c>
      <c r="BY140" s="16">
        <f t="shared" si="113"/>
        <v>0</v>
      </c>
      <c r="BZ140" s="16">
        <f t="shared" si="113"/>
        <v>0</v>
      </c>
      <c r="CA140" s="16">
        <f t="shared" si="113"/>
        <v>0</v>
      </c>
      <c r="CB140" s="16">
        <f t="shared" si="114"/>
        <v>0</v>
      </c>
      <c r="CC140" s="16">
        <f t="shared" si="114"/>
        <v>0</v>
      </c>
      <c r="CD140" s="16">
        <f t="shared" si="114"/>
        <v>0</v>
      </c>
      <c r="CE140" s="16">
        <f t="shared" si="114"/>
        <v>0</v>
      </c>
      <c r="CF140" s="16">
        <f t="shared" si="114"/>
        <v>0</v>
      </c>
      <c r="CG140" s="16">
        <f t="shared" si="114"/>
        <v>0</v>
      </c>
      <c r="CH140" s="16">
        <f t="shared" si="114"/>
        <v>0</v>
      </c>
      <c r="CI140" s="16">
        <f t="shared" si="114"/>
        <v>0</v>
      </c>
      <c r="CJ140" s="16">
        <f t="shared" si="114"/>
        <v>0</v>
      </c>
      <c r="CK140" s="16">
        <f t="shared" si="114"/>
        <v>0</v>
      </c>
      <c r="CL140" s="16">
        <f t="shared" si="115"/>
        <v>0</v>
      </c>
      <c r="CM140" s="16">
        <f t="shared" si="115"/>
        <v>0</v>
      </c>
      <c r="CN140" s="16">
        <f t="shared" si="115"/>
        <v>0</v>
      </c>
      <c r="CO140" s="16">
        <f t="shared" si="115"/>
        <v>0</v>
      </c>
      <c r="CP140" s="16">
        <f t="shared" si="115"/>
        <v>0</v>
      </c>
      <c r="CQ140" s="16">
        <f t="shared" si="115"/>
        <v>0</v>
      </c>
      <c r="CR140" s="16">
        <f t="shared" si="115"/>
        <v>0</v>
      </c>
      <c r="CS140" s="16">
        <f t="shared" si="115"/>
        <v>0</v>
      </c>
      <c r="CT140" s="16">
        <f t="shared" si="115"/>
        <v>0.33969221656764736</v>
      </c>
      <c r="CU140" s="16">
        <f t="shared" si="115"/>
        <v>0.33032392788933562</v>
      </c>
      <c r="CV140" s="16">
        <f t="shared" si="116"/>
        <v>0.32998385554301701</v>
      </c>
      <c r="CW140" s="16">
        <f t="shared" si="116"/>
        <v>0</v>
      </c>
      <c r="CX140" s="16">
        <f t="shared" si="116"/>
        <v>0</v>
      </c>
      <c r="CY140" s="16">
        <f t="shared" si="116"/>
        <v>0</v>
      </c>
      <c r="CZ140" s="16">
        <f t="shared" si="116"/>
        <v>0</v>
      </c>
      <c r="DA140" s="16">
        <f t="shared" si="116"/>
        <v>0</v>
      </c>
      <c r="DB140" s="16">
        <f t="shared" si="116"/>
        <v>0</v>
      </c>
      <c r="DC140" s="16">
        <f t="shared" si="116"/>
        <v>0</v>
      </c>
      <c r="DD140" s="16">
        <f t="shared" si="116"/>
        <v>0</v>
      </c>
      <c r="DE140" s="16">
        <f t="shared" si="116"/>
        <v>0</v>
      </c>
      <c r="DF140" s="16">
        <f t="shared" si="117"/>
        <v>0</v>
      </c>
      <c r="DG140" s="16">
        <f t="shared" si="117"/>
        <v>0</v>
      </c>
      <c r="DH140" s="16">
        <f t="shared" si="117"/>
        <v>0</v>
      </c>
      <c r="DI140" s="16">
        <f t="shared" si="117"/>
        <v>0</v>
      </c>
      <c r="DJ140" s="16">
        <f t="shared" si="117"/>
        <v>0</v>
      </c>
      <c r="DK140" s="16">
        <f t="shared" si="117"/>
        <v>0</v>
      </c>
      <c r="DL140" s="16">
        <f t="shared" si="117"/>
        <v>0</v>
      </c>
      <c r="DM140" s="16">
        <f t="shared" si="117"/>
        <v>0</v>
      </c>
      <c r="DN140" s="16">
        <f t="shared" si="117"/>
        <v>0</v>
      </c>
      <c r="DO140" s="16">
        <f t="shared" si="117"/>
        <v>0</v>
      </c>
      <c r="DP140" s="16">
        <f t="shared" si="117"/>
        <v>0</v>
      </c>
    </row>
    <row r="141" spans="10:120" x14ac:dyDescent="0.25">
      <c r="J141" s="93"/>
      <c r="O141" s="9">
        <f t="shared" si="96"/>
        <v>20</v>
      </c>
      <c r="P141" s="16">
        <f t="shared" ref="P141:Y150" si="118">IF(P$110=$O141,P$108*HLOOKUP($O141,$O$19:$BN$48,P$107,0)+1,IF(P$110-$O141=1,P$108*HLOOKUP($O141,$O$15:$BN$30,P$107,0),IF(P$110-$O141=-1,P$108*HLOOKUP($O141,$O$23:$BN$68,P$107,0),0)))</f>
        <v>0</v>
      </c>
      <c r="Q141" s="16">
        <f t="shared" si="118"/>
        <v>0</v>
      </c>
      <c r="R141" s="16">
        <f t="shared" si="118"/>
        <v>0</v>
      </c>
      <c r="S141" s="16">
        <f t="shared" si="118"/>
        <v>0</v>
      </c>
      <c r="T141" s="16">
        <f t="shared" si="118"/>
        <v>0</v>
      </c>
      <c r="U141" s="16">
        <f t="shared" si="118"/>
        <v>0</v>
      </c>
      <c r="V141" s="16">
        <f t="shared" si="118"/>
        <v>0</v>
      </c>
      <c r="W141" s="16">
        <f t="shared" si="118"/>
        <v>0</v>
      </c>
      <c r="X141" s="16">
        <f t="shared" si="118"/>
        <v>0</v>
      </c>
      <c r="Y141" s="16">
        <f t="shared" si="118"/>
        <v>0</v>
      </c>
      <c r="Z141" s="16">
        <f t="shared" ref="Z141:AI150" si="119">IF(Z$110=$O141,Z$108*HLOOKUP($O141,$O$19:$BN$48,Z$107,0)+1,IF(Z$110-$O141=1,Z$108*HLOOKUP($O141,$O$15:$BN$30,Z$107,0),IF(Z$110-$O141=-1,Z$108*HLOOKUP($O141,$O$23:$BN$68,Z$107,0),0)))</f>
        <v>0</v>
      </c>
      <c r="AA141" s="16">
        <f t="shared" si="119"/>
        <v>0</v>
      </c>
      <c r="AB141" s="16">
        <f t="shared" si="119"/>
        <v>0</v>
      </c>
      <c r="AC141" s="16">
        <f t="shared" si="119"/>
        <v>0</v>
      </c>
      <c r="AD141" s="16">
        <f t="shared" si="119"/>
        <v>0</v>
      </c>
      <c r="AE141" s="16">
        <f t="shared" si="119"/>
        <v>0</v>
      </c>
      <c r="AF141" s="16">
        <f t="shared" si="119"/>
        <v>0</v>
      </c>
      <c r="AG141" s="16">
        <f t="shared" si="119"/>
        <v>0</v>
      </c>
      <c r="AH141" s="16">
        <f t="shared" si="119"/>
        <v>0</v>
      </c>
      <c r="AI141" s="16">
        <f t="shared" si="119"/>
        <v>0</v>
      </c>
      <c r="AJ141" s="16">
        <f t="shared" ref="AJ141:AS150" si="120">IF(AJ$110=$O141,AJ$108*HLOOKUP($O141,$O$19:$BN$48,AJ$107,0)+1,IF(AJ$110-$O141=1,AJ$108*HLOOKUP($O141,$O$15:$BN$30,AJ$107,0),IF(AJ$110-$O141=-1,AJ$108*HLOOKUP($O141,$O$23:$BN$68,AJ$107,0),0)))</f>
        <v>0</v>
      </c>
      <c r="AK141" s="16">
        <f t="shared" si="120"/>
        <v>0</v>
      </c>
      <c r="AL141" s="16">
        <f t="shared" si="120"/>
        <v>0</v>
      </c>
      <c r="AM141" s="16">
        <f t="shared" si="120"/>
        <v>0</v>
      </c>
      <c r="AN141" s="16">
        <f t="shared" si="120"/>
        <v>0</v>
      </c>
      <c r="AO141" s="16">
        <f t="shared" si="120"/>
        <v>0</v>
      </c>
      <c r="AP141" s="16">
        <f t="shared" si="120"/>
        <v>0</v>
      </c>
      <c r="AQ141" s="16">
        <f t="shared" si="120"/>
        <v>0</v>
      </c>
      <c r="AR141" s="16">
        <f t="shared" si="120"/>
        <v>0</v>
      </c>
      <c r="AS141" s="16">
        <f t="shared" si="120"/>
        <v>0.25262168532798301</v>
      </c>
      <c r="AT141" s="16">
        <f t="shared" ref="AT141:BC150" si="121">IF(AT$110=$O141,AT$108*HLOOKUP($O141,$O$19:$BN$48,AT$107,0)+1,IF(AT$110-$O141=1,AT$108*HLOOKUP($O141,$O$15:$BN$30,AT$107,0),IF(AT$110-$O141=-1,AT$108*HLOOKUP($O141,$O$23:$BN$68,AT$107,0),0)))</f>
        <v>0.50197652548588811</v>
      </c>
      <c r="AU141" s="16">
        <f t="shared" si="121"/>
        <v>0.24540178918612887</v>
      </c>
      <c r="AV141" s="16">
        <f t="shared" si="121"/>
        <v>0</v>
      </c>
      <c r="AW141" s="16">
        <f t="shared" si="121"/>
        <v>0</v>
      </c>
      <c r="AX141" s="16">
        <f t="shared" si="121"/>
        <v>0</v>
      </c>
      <c r="AY141" s="16">
        <f t="shared" si="121"/>
        <v>0</v>
      </c>
      <c r="AZ141" s="16">
        <f t="shared" si="121"/>
        <v>0</v>
      </c>
      <c r="BA141" s="16">
        <f t="shared" si="121"/>
        <v>0</v>
      </c>
      <c r="BB141" s="16">
        <f t="shared" si="121"/>
        <v>0</v>
      </c>
      <c r="BC141" s="16">
        <f t="shared" si="121"/>
        <v>0</v>
      </c>
      <c r="BD141" s="16">
        <f t="shared" ref="BD141:BN150" si="122">IF(BD$110=$O141,BD$108*HLOOKUP($O141,$O$19:$BN$48,BD$107,0)+1,IF(BD$110-$O141=1,BD$108*HLOOKUP($O141,$O$15:$BN$30,BD$107,0),IF(BD$110-$O141=-1,BD$108*HLOOKUP($O141,$O$23:$BN$68,BD$107,0),0)))</f>
        <v>0</v>
      </c>
      <c r="BE141" s="16">
        <f t="shared" si="122"/>
        <v>0</v>
      </c>
      <c r="BF141" s="16">
        <f t="shared" si="122"/>
        <v>0</v>
      </c>
      <c r="BG141" s="16">
        <f t="shared" si="122"/>
        <v>0</v>
      </c>
      <c r="BH141" s="16">
        <f t="shared" si="122"/>
        <v>0</v>
      </c>
      <c r="BI141" s="16">
        <f t="shared" si="122"/>
        <v>0</v>
      </c>
      <c r="BJ141" s="16">
        <f t="shared" si="122"/>
        <v>0</v>
      </c>
      <c r="BK141" s="16">
        <f t="shared" si="122"/>
        <v>0</v>
      </c>
      <c r="BL141" s="16">
        <f t="shared" si="122"/>
        <v>0</v>
      </c>
      <c r="BM141" s="16">
        <f t="shared" si="122"/>
        <v>0</v>
      </c>
      <c r="BN141" s="16">
        <f t="shared" si="122"/>
        <v>0</v>
      </c>
      <c r="BQ141" s="9">
        <f t="shared" si="97"/>
        <v>20</v>
      </c>
      <c r="BR141" s="16">
        <f t="shared" ref="BR141:CA150" si="123">IF(BR$110=$O141,BR$108*HLOOKUP($O141,$O$19:$BN$48,BR$107,0)+1,IF(BR$110-$O141=1,BR$108*HLOOKUP($O141,$O$15:$BN$30,BR$107,0),IF(BR$110-$O141=-1,BR$108*HLOOKUP($O141,$O$23:$BN$68,BR$107,0),0)))</f>
        <v>0</v>
      </c>
      <c r="BS141" s="16">
        <f t="shared" si="123"/>
        <v>0</v>
      </c>
      <c r="BT141" s="16">
        <f t="shared" si="123"/>
        <v>0</v>
      </c>
      <c r="BU141" s="16">
        <f t="shared" si="123"/>
        <v>0</v>
      </c>
      <c r="BV141" s="16">
        <f t="shared" si="123"/>
        <v>0</v>
      </c>
      <c r="BW141" s="16">
        <f t="shared" si="123"/>
        <v>0</v>
      </c>
      <c r="BX141" s="16">
        <f t="shared" si="123"/>
        <v>0</v>
      </c>
      <c r="BY141" s="16">
        <f t="shared" si="123"/>
        <v>0</v>
      </c>
      <c r="BZ141" s="16">
        <f t="shared" si="123"/>
        <v>0</v>
      </c>
      <c r="CA141" s="16">
        <f t="shared" si="123"/>
        <v>0</v>
      </c>
      <c r="CB141" s="16">
        <f t="shared" ref="CB141:CK150" si="124">IF(CB$110=$O141,CB$108*HLOOKUP($O141,$O$19:$BN$48,CB$107,0)+1,IF(CB$110-$O141=1,CB$108*HLOOKUP($O141,$O$15:$BN$30,CB$107,0),IF(CB$110-$O141=-1,CB$108*HLOOKUP($O141,$O$23:$BN$68,CB$107,0),0)))</f>
        <v>0</v>
      </c>
      <c r="CC141" s="16">
        <f t="shared" si="124"/>
        <v>0</v>
      </c>
      <c r="CD141" s="16">
        <f t="shared" si="124"/>
        <v>0</v>
      </c>
      <c r="CE141" s="16">
        <f t="shared" si="124"/>
        <v>0</v>
      </c>
      <c r="CF141" s="16">
        <f t="shared" si="124"/>
        <v>0</v>
      </c>
      <c r="CG141" s="16">
        <f t="shared" si="124"/>
        <v>0</v>
      </c>
      <c r="CH141" s="16">
        <f t="shared" si="124"/>
        <v>0</v>
      </c>
      <c r="CI141" s="16">
        <f t="shared" si="124"/>
        <v>0</v>
      </c>
      <c r="CJ141" s="16">
        <f t="shared" si="124"/>
        <v>0</v>
      </c>
      <c r="CK141" s="16">
        <f t="shared" si="124"/>
        <v>0</v>
      </c>
      <c r="CL141" s="16">
        <f t="shared" ref="CL141:CU150" si="125">IF(CL$110=$O141,CL$108*HLOOKUP($O141,$O$19:$BN$48,CL$107,0)+1,IF(CL$110-$O141=1,CL$108*HLOOKUP($O141,$O$15:$BN$30,CL$107,0),IF(CL$110-$O141=-1,CL$108*HLOOKUP($O141,$O$23:$BN$68,CL$107,0),0)))</f>
        <v>0</v>
      </c>
      <c r="CM141" s="16">
        <f t="shared" si="125"/>
        <v>0</v>
      </c>
      <c r="CN141" s="16">
        <f t="shared" si="125"/>
        <v>0</v>
      </c>
      <c r="CO141" s="16">
        <f t="shared" si="125"/>
        <v>0</v>
      </c>
      <c r="CP141" s="16">
        <f t="shared" si="125"/>
        <v>0</v>
      </c>
      <c r="CQ141" s="16">
        <f t="shared" si="125"/>
        <v>0</v>
      </c>
      <c r="CR141" s="16">
        <f t="shared" si="125"/>
        <v>0</v>
      </c>
      <c r="CS141" s="16">
        <f t="shared" si="125"/>
        <v>0</v>
      </c>
      <c r="CT141" s="16">
        <f t="shared" si="125"/>
        <v>0</v>
      </c>
      <c r="CU141" s="16">
        <f t="shared" si="125"/>
        <v>0.3484098259730295</v>
      </c>
      <c r="CV141" s="16">
        <f t="shared" ref="CV141:DE150" si="126">IF(CV$110=$O141,CV$108*HLOOKUP($O141,$O$19:$BN$48,CV$107,0)+1,IF(CV$110-$O141=1,CV$108*HLOOKUP($O141,$O$15:$BN$30,CV$107,0),IF(CV$110-$O141=-1,CV$108*HLOOKUP($O141,$O$23:$BN$68,CV$107,0),0)))</f>
        <v>0.3131378572640503</v>
      </c>
      <c r="CW141" s="16">
        <f t="shared" si="126"/>
        <v>0.33845231676292015</v>
      </c>
      <c r="CX141" s="16">
        <f t="shared" si="126"/>
        <v>0</v>
      </c>
      <c r="CY141" s="16">
        <f t="shared" si="126"/>
        <v>0</v>
      </c>
      <c r="CZ141" s="16">
        <f t="shared" si="126"/>
        <v>0</v>
      </c>
      <c r="DA141" s="16">
        <f t="shared" si="126"/>
        <v>0</v>
      </c>
      <c r="DB141" s="16">
        <f t="shared" si="126"/>
        <v>0</v>
      </c>
      <c r="DC141" s="16">
        <f t="shared" si="126"/>
        <v>0</v>
      </c>
      <c r="DD141" s="16">
        <f t="shared" si="126"/>
        <v>0</v>
      </c>
      <c r="DE141" s="16">
        <f t="shared" si="126"/>
        <v>0</v>
      </c>
      <c r="DF141" s="16">
        <f t="shared" ref="DF141:DP150" si="127">IF(DF$110=$O141,DF$108*HLOOKUP($O141,$O$19:$BN$48,DF$107,0)+1,IF(DF$110-$O141=1,DF$108*HLOOKUP($O141,$O$15:$BN$30,DF$107,0),IF(DF$110-$O141=-1,DF$108*HLOOKUP($O141,$O$23:$BN$68,DF$107,0),0)))</f>
        <v>0</v>
      </c>
      <c r="DG141" s="16">
        <f t="shared" si="127"/>
        <v>0</v>
      </c>
      <c r="DH141" s="16">
        <f t="shared" si="127"/>
        <v>0</v>
      </c>
      <c r="DI141" s="16">
        <f t="shared" si="127"/>
        <v>0</v>
      </c>
      <c r="DJ141" s="16">
        <f t="shared" si="127"/>
        <v>0</v>
      </c>
      <c r="DK141" s="16">
        <f t="shared" si="127"/>
        <v>0</v>
      </c>
      <c r="DL141" s="16">
        <f t="shared" si="127"/>
        <v>0</v>
      </c>
      <c r="DM141" s="16">
        <f t="shared" si="127"/>
        <v>0</v>
      </c>
      <c r="DN141" s="16">
        <f t="shared" si="127"/>
        <v>0</v>
      </c>
      <c r="DO141" s="16">
        <f t="shared" si="127"/>
        <v>0</v>
      </c>
      <c r="DP141" s="16">
        <f t="shared" si="127"/>
        <v>0</v>
      </c>
    </row>
    <row r="142" spans="10:120" x14ac:dyDescent="0.25">
      <c r="J142" s="93"/>
      <c r="O142" s="9">
        <f t="shared" si="96"/>
        <v>19</v>
      </c>
      <c r="P142" s="16">
        <f t="shared" si="118"/>
        <v>0</v>
      </c>
      <c r="Q142" s="16">
        <f t="shared" si="118"/>
        <v>0</v>
      </c>
      <c r="R142" s="16">
        <f t="shared" si="118"/>
        <v>0</v>
      </c>
      <c r="S142" s="16">
        <f t="shared" si="118"/>
        <v>0</v>
      </c>
      <c r="T142" s="16">
        <f t="shared" si="118"/>
        <v>0</v>
      </c>
      <c r="U142" s="16">
        <f t="shared" si="118"/>
        <v>0</v>
      </c>
      <c r="V142" s="16">
        <f t="shared" si="118"/>
        <v>0</v>
      </c>
      <c r="W142" s="16">
        <f t="shared" si="118"/>
        <v>0</v>
      </c>
      <c r="X142" s="16">
        <f t="shared" si="118"/>
        <v>0</v>
      </c>
      <c r="Y142" s="16">
        <f t="shared" si="118"/>
        <v>0</v>
      </c>
      <c r="Z142" s="16">
        <f t="shared" si="119"/>
        <v>0</v>
      </c>
      <c r="AA142" s="16">
        <f t="shared" si="119"/>
        <v>0</v>
      </c>
      <c r="AB142" s="16">
        <f t="shared" si="119"/>
        <v>0</v>
      </c>
      <c r="AC142" s="16">
        <f t="shared" si="119"/>
        <v>0</v>
      </c>
      <c r="AD142" s="16">
        <f t="shared" si="119"/>
        <v>0</v>
      </c>
      <c r="AE142" s="16">
        <f t="shared" si="119"/>
        <v>0</v>
      </c>
      <c r="AF142" s="16">
        <f t="shared" si="119"/>
        <v>0</v>
      </c>
      <c r="AG142" s="16">
        <f t="shared" si="119"/>
        <v>0</v>
      </c>
      <c r="AH142" s="16">
        <f t="shared" si="119"/>
        <v>0</v>
      </c>
      <c r="AI142" s="16">
        <f t="shared" si="119"/>
        <v>0</v>
      </c>
      <c r="AJ142" s="16">
        <f t="shared" si="120"/>
        <v>0</v>
      </c>
      <c r="AK142" s="16">
        <f t="shared" si="120"/>
        <v>0</v>
      </c>
      <c r="AL142" s="16">
        <f t="shared" si="120"/>
        <v>0</v>
      </c>
      <c r="AM142" s="16">
        <f t="shared" si="120"/>
        <v>0</v>
      </c>
      <c r="AN142" s="16">
        <f t="shared" si="120"/>
        <v>0</v>
      </c>
      <c r="AO142" s="16">
        <f t="shared" si="120"/>
        <v>0</v>
      </c>
      <c r="AP142" s="16">
        <f t="shared" si="120"/>
        <v>0</v>
      </c>
      <c r="AQ142" s="16">
        <f t="shared" si="120"/>
        <v>0</v>
      </c>
      <c r="AR142" s="16">
        <f t="shared" si="120"/>
        <v>0</v>
      </c>
      <c r="AS142" s="16">
        <f t="shared" si="120"/>
        <v>0</v>
      </c>
      <c r="AT142" s="16">
        <f t="shared" si="121"/>
        <v>0.25429890454701815</v>
      </c>
      <c r="AU142" s="16">
        <f t="shared" si="121"/>
        <v>0.49867002176313269</v>
      </c>
      <c r="AV142" s="16">
        <f t="shared" si="121"/>
        <v>0.24703107368984914</v>
      </c>
      <c r="AW142" s="16">
        <f t="shared" si="121"/>
        <v>0</v>
      </c>
      <c r="AX142" s="16">
        <f t="shared" si="121"/>
        <v>0</v>
      </c>
      <c r="AY142" s="16">
        <f t="shared" si="121"/>
        <v>0</v>
      </c>
      <c r="AZ142" s="16">
        <f t="shared" si="121"/>
        <v>0</v>
      </c>
      <c r="BA142" s="16">
        <f t="shared" si="121"/>
        <v>0</v>
      </c>
      <c r="BB142" s="16">
        <f t="shared" si="121"/>
        <v>0</v>
      </c>
      <c r="BC142" s="16">
        <f t="shared" si="121"/>
        <v>0</v>
      </c>
      <c r="BD142" s="16">
        <f t="shared" si="122"/>
        <v>0</v>
      </c>
      <c r="BE142" s="16">
        <f t="shared" si="122"/>
        <v>0</v>
      </c>
      <c r="BF142" s="16">
        <f t="shared" si="122"/>
        <v>0</v>
      </c>
      <c r="BG142" s="16">
        <f t="shared" si="122"/>
        <v>0</v>
      </c>
      <c r="BH142" s="16">
        <f t="shared" si="122"/>
        <v>0</v>
      </c>
      <c r="BI142" s="16">
        <f t="shared" si="122"/>
        <v>0</v>
      </c>
      <c r="BJ142" s="16">
        <f t="shared" si="122"/>
        <v>0</v>
      </c>
      <c r="BK142" s="16">
        <f t="shared" si="122"/>
        <v>0</v>
      </c>
      <c r="BL142" s="16">
        <f t="shared" si="122"/>
        <v>0</v>
      </c>
      <c r="BM142" s="16">
        <f t="shared" si="122"/>
        <v>0</v>
      </c>
      <c r="BN142" s="16">
        <f t="shared" si="122"/>
        <v>0</v>
      </c>
      <c r="BQ142" s="9">
        <f t="shared" si="97"/>
        <v>19</v>
      </c>
      <c r="BR142" s="16">
        <f t="shared" si="123"/>
        <v>0</v>
      </c>
      <c r="BS142" s="16">
        <f t="shared" si="123"/>
        <v>0</v>
      </c>
      <c r="BT142" s="16">
        <f t="shared" si="123"/>
        <v>0</v>
      </c>
      <c r="BU142" s="16">
        <f t="shared" si="123"/>
        <v>0</v>
      </c>
      <c r="BV142" s="16">
        <f t="shared" si="123"/>
        <v>0</v>
      </c>
      <c r="BW142" s="16">
        <f t="shared" si="123"/>
        <v>0</v>
      </c>
      <c r="BX142" s="16">
        <f t="shared" si="123"/>
        <v>0</v>
      </c>
      <c r="BY142" s="16">
        <f t="shared" si="123"/>
        <v>0</v>
      </c>
      <c r="BZ142" s="16">
        <f t="shared" si="123"/>
        <v>0</v>
      </c>
      <c r="CA142" s="16">
        <f t="shared" si="123"/>
        <v>0</v>
      </c>
      <c r="CB142" s="16">
        <f t="shared" si="124"/>
        <v>0</v>
      </c>
      <c r="CC142" s="16">
        <f t="shared" si="124"/>
        <v>0</v>
      </c>
      <c r="CD142" s="16">
        <f t="shared" si="124"/>
        <v>0</v>
      </c>
      <c r="CE142" s="16">
        <f t="shared" si="124"/>
        <v>0</v>
      </c>
      <c r="CF142" s="16">
        <f t="shared" si="124"/>
        <v>0</v>
      </c>
      <c r="CG142" s="16">
        <f t="shared" si="124"/>
        <v>0</v>
      </c>
      <c r="CH142" s="16">
        <f t="shared" si="124"/>
        <v>0</v>
      </c>
      <c r="CI142" s="16">
        <f t="shared" si="124"/>
        <v>0</v>
      </c>
      <c r="CJ142" s="16">
        <f t="shared" si="124"/>
        <v>0</v>
      </c>
      <c r="CK142" s="16">
        <f t="shared" si="124"/>
        <v>0</v>
      </c>
      <c r="CL142" s="16">
        <f t="shared" si="125"/>
        <v>0</v>
      </c>
      <c r="CM142" s="16">
        <f t="shared" si="125"/>
        <v>0</v>
      </c>
      <c r="CN142" s="16">
        <f t="shared" si="125"/>
        <v>0</v>
      </c>
      <c r="CO142" s="16">
        <f t="shared" si="125"/>
        <v>0</v>
      </c>
      <c r="CP142" s="16">
        <f t="shared" si="125"/>
        <v>0</v>
      </c>
      <c r="CQ142" s="16">
        <f t="shared" si="125"/>
        <v>0</v>
      </c>
      <c r="CR142" s="16">
        <f t="shared" si="125"/>
        <v>0</v>
      </c>
      <c r="CS142" s="16">
        <f t="shared" si="125"/>
        <v>0</v>
      </c>
      <c r="CT142" s="16">
        <f t="shared" si="125"/>
        <v>0</v>
      </c>
      <c r="CU142" s="16">
        <f t="shared" si="125"/>
        <v>0</v>
      </c>
      <c r="CV142" s="16">
        <f t="shared" si="126"/>
        <v>0.3645519788935252</v>
      </c>
      <c r="CW142" s="16">
        <f t="shared" si="126"/>
        <v>0.28131489213274741</v>
      </c>
      <c r="CX142" s="16">
        <f t="shared" si="126"/>
        <v>0.3541331289737274</v>
      </c>
      <c r="CY142" s="16">
        <f t="shared" si="126"/>
        <v>0</v>
      </c>
      <c r="CZ142" s="16">
        <f t="shared" si="126"/>
        <v>0</v>
      </c>
      <c r="DA142" s="16">
        <f t="shared" si="126"/>
        <v>0</v>
      </c>
      <c r="DB142" s="16">
        <f t="shared" si="126"/>
        <v>0</v>
      </c>
      <c r="DC142" s="16">
        <f t="shared" si="126"/>
        <v>0</v>
      </c>
      <c r="DD142" s="16">
        <f t="shared" si="126"/>
        <v>0</v>
      </c>
      <c r="DE142" s="16">
        <f t="shared" si="126"/>
        <v>0</v>
      </c>
      <c r="DF142" s="16">
        <f t="shared" si="127"/>
        <v>0</v>
      </c>
      <c r="DG142" s="16">
        <f t="shared" si="127"/>
        <v>0</v>
      </c>
      <c r="DH142" s="16">
        <f t="shared" si="127"/>
        <v>0</v>
      </c>
      <c r="DI142" s="16">
        <f t="shared" si="127"/>
        <v>0</v>
      </c>
      <c r="DJ142" s="16">
        <f t="shared" si="127"/>
        <v>0</v>
      </c>
      <c r="DK142" s="16">
        <f t="shared" si="127"/>
        <v>0</v>
      </c>
      <c r="DL142" s="16">
        <f t="shared" si="127"/>
        <v>0</v>
      </c>
      <c r="DM142" s="16">
        <f t="shared" si="127"/>
        <v>0</v>
      </c>
      <c r="DN142" s="16">
        <f t="shared" si="127"/>
        <v>0</v>
      </c>
      <c r="DO142" s="16">
        <f t="shared" si="127"/>
        <v>0</v>
      </c>
      <c r="DP142" s="16">
        <f t="shared" si="127"/>
        <v>0</v>
      </c>
    </row>
    <row r="143" spans="10:120" x14ac:dyDescent="0.25">
      <c r="J143" s="93"/>
      <c r="O143" s="9">
        <f t="shared" si="96"/>
        <v>18</v>
      </c>
      <c r="P143" s="16">
        <f t="shared" si="118"/>
        <v>0</v>
      </c>
      <c r="Q143" s="16">
        <f t="shared" si="118"/>
        <v>0</v>
      </c>
      <c r="R143" s="16">
        <f t="shared" si="118"/>
        <v>0</v>
      </c>
      <c r="S143" s="16">
        <f t="shared" si="118"/>
        <v>0</v>
      </c>
      <c r="T143" s="16">
        <f t="shared" si="118"/>
        <v>0</v>
      </c>
      <c r="U143" s="16">
        <f t="shared" si="118"/>
        <v>0</v>
      </c>
      <c r="V143" s="16">
        <f t="shared" si="118"/>
        <v>0</v>
      </c>
      <c r="W143" s="16">
        <f t="shared" si="118"/>
        <v>0</v>
      </c>
      <c r="X143" s="16">
        <f t="shared" si="118"/>
        <v>0</v>
      </c>
      <c r="Y143" s="16">
        <f t="shared" si="118"/>
        <v>0</v>
      </c>
      <c r="Z143" s="16">
        <f t="shared" si="119"/>
        <v>0</v>
      </c>
      <c r="AA143" s="16">
        <f t="shared" si="119"/>
        <v>0</v>
      </c>
      <c r="AB143" s="16">
        <f t="shared" si="119"/>
        <v>0</v>
      </c>
      <c r="AC143" s="16">
        <f t="shared" si="119"/>
        <v>0</v>
      </c>
      <c r="AD143" s="16">
        <f t="shared" si="119"/>
        <v>0</v>
      </c>
      <c r="AE143" s="16">
        <f t="shared" si="119"/>
        <v>0</v>
      </c>
      <c r="AF143" s="16">
        <f t="shared" si="119"/>
        <v>0</v>
      </c>
      <c r="AG143" s="16">
        <f t="shared" si="119"/>
        <v>0</v>
      </c>
      <c r="AH143" s="16">
        <f t="shared" si="119"/>
        <v>0</v>
      </c>
      <c r="AI143" s="16">
        <f t="shared" si="119"/>
        <v>0</v>
      </c>
      <c r="AJ143" s="16">
        <f t="shared" si="120"/>
        <v>0</v>
      </c>
      <c r="AK143" s="16">
        <f t="shared" si="120"/>
        <v>0</v>
      </c>
      <c r="AL143" s="16">
        <f t="shared" si="120"/>
        <v>0</v>
      </c>
      <c r="AM143" s="16">
        <f t="shared" si="120"/>
        <v>0</v>
      </c>
      <c r="AN143" s="16">
        <f t="shared" si="120"/>
        <v>0</v>
      </c>
      <c r="AO143" s="16">
        <f t="shared" si="120"/>
        <v>0</v>
      </c>
      <c r="AP143" s="16">
        <f t="shared" si="120"/>
        <v>0</v>
      </c>
      <c r="AQ143" s="16">
        <f t="shared" si="120"/>
        <v>0</v>
      </c>
      <c r="AR143" s="16">
        <f t="shared" si="120"/>
        <v>0</v>
      </c>
      <c r="AS143" s="16">
        <f t="shared" si="120"/>
        <v>0</v>
      </c>
      <c r="AT143" s="16">
        <f t="shared" si="121"/>
        <v>0</v>
      </c>
      <c r="AU143" s="16">
        <f t="shared" si="121"/>
        <v>0.25598167310072956</v>
      </c>
      <c r="AV143" s="16">
        <f t="shared" si="121"/>
        <v>0.49535257797031507</v>
      </c>
      <c r="AW143" s="16">
        <f t="shared" si="121"/>
        <v>0.24866574892895535</v>
      </c>
      <c r="AX143" s="16">
        <f t="shared" si="121"/>
        <v>0</v>
      </c>
      <c r="AY143" s="16">
        <f t="shared" si="121"/>
        <v>0</v>
      </c>
      <c r="AZ143" s="16">
        <f t="shared" si="121"/>
        <v>0</v>
      </c>
      <c r="BA143" s="16">
        <f t="shared" si="121"/>
        <v>0</v>
      </c>
      <c r="BB143" s="16">
        <f t="shared" si="121"/>
        <v>0</v>
      </c>
      <c r="BC143" s="16">
        <f t="shared" si="121"/>
        <v>0</v>
      </c>
      <c r="BD143" s="16">
        <f t="shared" si="122"/>
        <v>0</v>
      </c>
      <c r="BE143" s="16">
        <f t="shared" si="122"/>
        <v>0</v>
      </c>
      <c r="BF143" s="16">
        <f t="shared" si="122"/>
        <v>0</v>
      </c>
      <c r="BG143" s="16">
        <f t="shared" si="122"/>
        <v>0</v>
      </c>
      <c r="BH143" s="16">
        <f t="shared" si="122"/>
        <v>0</v>
      </c>
      <c r="BI143" s="16">
        <f t="shared" si="122"/>
        <v>0</v>
      </c>
      <c r="BJ143" s="16">
        <f t="shared" si="122"/>
        <v>0</v>
      </c>
      <c r="BK143" s="16">
        <f t="shared" si="122"/>
        <v>0</v>
      </c>
      <c r="BL143" s="16">
        <f t="shared" si="122"/>
        <v>0</v>
      </c>
      <c r="BM143" s="16">
        <f t="shared" si="122"/>
        <v>0</v>
      </c>
      <c r="BN143" s="16">
        <f t="shared" si="122"/>
        <v>0</v>
      </c>
      <c r="BQ143" s="9">
        <f t="shared" si="97"/>
        <v>18</v>
      </c>
      <c r="BR143" s="16">
        <f t="shared" si="123"/>
        <v>0</v>
      </c>
      <c r="BS143" s="16">
        <f t="shared" si="123"/>
        <v>0</v>
      </c>
      <c r="BT143" s="16">
        <f t="shared" si="123"/>
        <v>0</v>
      </c>
      <c r="BU143" s="16">
        <f t="shared" si="123"/>
        <v>0</v>
      </c>
      <c r="BV143" s="16">
        <f t="shared" si="123"/>
        <v>0</v>
      </c>
      <c r="BW143" s="16">
        <f t="shared" si="123"/>
        <v>0</v>
      </c>
      <c r="BX143" s="16">
        <f t="shared" si="123"/>
        <v>0</v>
      </c>
      <c r="BY143" s="16">
        <f t="shared" si="123"/>
        <v>0</v>
      </c>
      <c r="BZ143" s="16">
        <f t="shared" si="123"/>
        <v>0</v>
      </c>
      <c r="CA143" s="16">
        <f t="shared" si="123"/>
        <v>0</v>
      </c>
      <c r="CB143" s="16">
        <f t="shared" si="124"/>
        <v>0</v>
      </c>
      <c r="CC143" s="16">
        <f t="shared" si="124"/>
        <v>0</v>
      </c>
      <c r="CD143" s="16">
        <f t="shared" si="124"/>
        <v>0</v>
      </c>
      <c r="CE143" s="16">
        <f t="shared" si="124"/>
        <v>0</v>
      </c>
      <c r="CF143" s="16">
        <f t="shared" si="124"/>
        <v>0</v>
      </c>
      <c r="CG143" s="16">
        <f t="shared" si="124"/>
        <v>0</v>
      </c>
      <c r="CH143" s="16">
        <f t="shared" si="124"/>
        <v>0</v>
      </c>
      <c r="CI143" s="16">
        <f t="shared" si="124"/>
        <v>0</v>
      </c>
      <c r="CJ143" s="16">
        <f t="shared" si="124"/>
        <v>0</v>
      </c>
      <c r="CK143" s="16">
        <f t="shared" si="124"/>
        <v>0</v>
      </c>
      <c r="CL143" s="16">
        <f t="shared" si="125"/>
        <v>0</v>
      </c>
      <c r="CM143" s="16">
        <f t="shared" si="125"/>
        <v>0</v>
      </c>
      <c r="CN143" s="16">
        <f t="shared" si="125"/>
        <v>0</v>
      </c>
      <c r="CO143" s="16">
        <f t="shared" si="125"/>
        <v>0</v>
      </c>
      <c r="CP143" s="16">
        <f t="shared" si="125"/>
        <v>0</v>
      </c>
      <c r="CQ143" s="16">
        <f t="shared" si="125"/>
        <v>0</v>
      </c>
      <c r="CR143" s="16">
        <f t="shared" si="125"/>
        <v>0</v>
      </c>
      <c r="CS143" s="16">
        <f t="shared" si="125"/>
        <v>0</v>
      </c>
      <c r="CT143" s="16">
        <f t="shared" si="125"/>
        <v>0</v>
      </c>
      <c r="CU143" s="16">
        <f t="shared" si="125"/>
        <v>0</v>
      </c>
      <c r="CV143" s="16">
        <f t="shared" si="126"/>
        <v>0</v>
      </c>
      <c r="CW143" s="16">
        <f t="shared" si="126"/>
        <v>0.38105965280059839</v>
      </c>
      <c r="CX143" s="16">
        <f t="shared" si="126"/>
        <v>0.24877133157232756</v>
      </c>
      <c r="CY143" s="16">
        <f t="shared" si="126"/>
        <v>0.37016901562707399</v>
      </c>
      <c r="CZ143" s="16">
        <f t="shared" si="126"/>
        <v>0</v>
      </c>
      <c r="DA143" s="16">
        <f t="shared" si="126"/>
        <v>0</v>
      </c>
      <c r="DB143" s="16">
        <f t="shared" si="126"/>
        <v>0</v>
      </c>
      <c r="DC143" s="16">
        <f t="shared" si="126"/>
        <v>0</v>
      </c>
      <c r="DD143" s="16">
        <f t="shared" si="126"/>
        <v>0</v>
      </c>
      <c r="DE143" s="16">
        <f t="shared" si="126"/>
        <v>0</v>
      </c>
      <c r="DF143" s="16">
        <f t="shared" si="127"/>
        <v>0</v>
      </c>
      <c r="DG143" s="16">
        <f t="shared" si="127"/>
        <v>0</v>
      </c>
      <c r="DH143" s="16">
        <f t="shared" si="127"/>
        <v>0</v>
      </c>
      <c r="DI143" s="16">
        <f t="shared" si="127"/>
        <v>0</v>
      </c>
      <c r="DJ143" s="16">
        <f t="shared" si="127"/>
        <v>0</v>
      </c>
      <c r="DK143" s="16">
        <f t="shared" si="127"/>
        <v>0</v>
      </c>
      <c r="DL143" s="16">
        <f t="shared" si="127"/>
        <v>0</v>
      </c>
      <c r="DM143" s="16">
        <f t="shared" si="127"/>
        <v>0</v>
      </c>
      <c r="DN143" s="16">
        <f t="shared" si="127"/>
        <v>0</v>
      </c>
      <c r="DO143" s="16">
        <f t="shared" si="127"/>
        <v>0</v>
      </c>
      <c r="DP143" s="16">
        <f t="shared" si="127"/>
        <v>0</v>
      </c>
    </row>
    <row r="144" spans="10:120" x14ac:dyDescent="0.25">
      <c r="J144" s="93"/>
      <c r="O144" s="9">
        <f t="shared" si="96"/>
        <v>17</v>
      </c>
      <c r="P144" s="16">
        <f t="shared" si="118"/>
        <v>0</v>
      </c>
      <c r="Q144" s="16">
        <f t="shared" si="118"/>
        <v>0</v>
      </c>
      <c r="R144" s="16">
        <f t="shared" si="118"/>
        <v>0</v>
      </c>
      <c r="S144" s="16">
        <f t="shared" si="118"/>
        <v>0</v>
      </c>
      <c r="T144" s="16">
        <f t="shared" si="118"/>
        <v>0</v>
      </c>
      <c r="U144" s="16">
        <f t="shared" si="118"/>
        <v>0</v>
      </c>
      <c r="V144" s="16">
        <f t="shared" si="118"/>
        <v>0</v>
      </c>
      <c r="W144" s="16">
        <f t="shared" si="118"/>
        <v>0</v>
      </c>
      <c r="X144" s="16">
        <f t="shared" si="118"/>
        <v>0</v>
      </c>
      <c r="Y144" s="16">
        <f t="shared" si="118"/>
        <v>0</v>
      </c>
      <c r="Z144" s="16">
        <f t="shared" si="119"/>
        <v>0</v>
      </c>
      <c r="AA144" s="16">
        <f t="shared" si="119"/>
        <v>0</v>
      </c>
      <c r="AB144" s="16">
        <f t="shared" si="119"/>
        <v>0</v>
      </c>
      <c r="AC144" s="16">
        <f t="shared" si="119"/>
        <v>0</v>
      </c>
      <c r="AD144" s="16">
        <f t="shared" si="119"/>
        <v>0</v>
      </c>
      <c r="AE144" s="16">
        <f t="shared" si="119"/>
        <v>0</v>
      </c>
      <c r="AF144" s="16">
        <f t="shared" si="119"/>
        <v>0</v>
      </c>
      <c r="AG144" s="16">
        <f t="shared" si="119"/>
        <v>0</v>
      </c>
      <c r="AH144" s="16">
        <f t="shared" si="119"/>
        <v>0</v>
      </c>
      <c r="AI144" s="16">
        <f t="shared" si="119"/>
        <v>0</v>
      </c>
      <c r="AJ144" s="16">
        <f t="shared" si="120"/>
        <v>0</v>
      </c>
      <c r="AK144" s="16">
        <f t="shared" si="120"/>
        <v>0</v>
      </c>
      <c r="AL144" s="16">
        <f t="shared" si="120"/>
        <v>0</v>
      </c>
      <c r="AM144" s="16">
        <f t="shared" si="120"/>
        <v>0</v>
      </c>
      <c r="AN144" s="16">
        <f t="shared" si="120"/>
        <v>0</v>
      </c>
      <c r="AO144" s="16">
        <f t="shared" si="120"/>
        <v>0</v>
      </c>
      <c r="AP144" s="16">
        <f t="shared" si="120"/>
        <v>0</v>
      </c>
      <c r="AQ144" s="16">
        <f t="shared" si="120"/>
        <v>0</v>
      </c>
      <c r="AR144" s="16">
        <f t="shared" si="120"/>
        <v>0</v>
      </c>
      <c r="AS144" s="16">
        <f t="shared" si="120"/>
        <v>0</v>
      </c>
      <c r="AT144" s="16">
        <f t="shared" si="121"/>
        <v>0</v>
      </c>
      <c r="AU144" s="16">
        <f t="shared" si="121"/>
        <v>0</v>
      </c>
      <c r="AV144" s="16">
        <f t="shared" si="121"/>
        <v>0.25766999098911703</v>
      </c>
      <c r="AW144" s="16">
        <f t="shared" si="121"/>
        <v>0.49202419410743559</v>
      </c>
      <c r="AX144" s="16">
        <f t="shared" si="121"/>
        <v>0.25030581490344733</v>
      </c>
      <c r="AY144" s="16">
        <f t="shared" si="121"/>
        <v>0</v>
      </c>
      <c r="AZ144" s="16">
        <f t="shared" si="121"/>
        <v>0</v>
      </c>
      <c r="BA144" s="16">
        <f t="shared" si="121"/>
        <v>0</v>
      </c>
      <c r="BB144" s="16">
        <f t="shared" si="121"/>
        <v>0</v>
      </c>
      <c r="BC144" s="16">
        <f t="shared" si="121"/>
        <v>0</v>
      </c>
      <c r="BD144" s="16">
        <f t="shared" si="122"/>
        <v>0</v>
      </c>
      <c r="BE144" s="16">
        <f t="shared" si="122"/>
        <v>0</v>
      </c>
      <c r="BF144" s="16">
        <f t="shared" si="122"/>
        <v>0</v>
      </c>
      <c r="BG144" s="16">
        <f t="shared" si="122"/>
        <v>0</v>
      </c>
      <c r="BH144" s="16">
        <f t="shared" si="122"/>
        <v>0</v>
      </c>
      <c r="BI144" s="16">
        <f t="shared" si="122"/>
        <v>0</v>
      </c>
      <c r="BJ144" s="16">
        <f t="shared" si="122"/>
        <v>0</v>
      </c>
      <c r="BK144" s="16">
        <f t="shared" si="122"/>
        <v>0</v>
      </c>
      <c r="BL144" s="16">
        <f t="shared" si="122"/>
        <v>0</v>
      </c>
      <c r="BM144" s="16">
        <f t="shared" si="122"/>
        <v>0</v>
      </c>
      <c r="BN144" s="16">
        <f t="shared" si="122"/>
        <v>0</v>
      </c>
      <c r="BQ144" s="9">
        <f t="shared" si="97"/>
        <v>17</v>
      </c>
      <c r="BR144" s="16">
        <f t="shared" si="123"/>
        <v>0</v>
      </c>
      <c r="BS144" s="16">
        <f t="shared" si="123"/>
        <v>0</v>
      </c>
      <c r="BT144" s="16">
        <f t="shared" si="123"/>
        <v>0</v>
      </c>
      <c r="BU144" s="16">
        <f t="shared" si="123"/>
        <v>0</v>
      </c>
      <c r="BV144" s="16">
        <f t="shared" si="123"/>
        <v>0</v>
      </c>
      <c r="BW144" s="16">
        <f t="shared" si="123"/>
        <v>0</v>
      </c>
      <c r="BX144" s="16">
        <f t="shared" si="123"/>
        <v>0</v>
      </c>
      <c r="BY144" s="16">
        <f t="shared" si="123"/>
        <v>0</v>
      </c>
      <c r="BZ144" s="16">
        <f t="shared" si="123"/>
        <v>0</v>
      </c>
      <c r="CA144" s="16">
        <f t="shared" si="123"/>
        <v>0</v>
      </c>
      <c r="CB144" s="16">
        <f t="shared" si="124"/>
        <v>0</v>
      </c>
      <c r="CC144" s="16">
        <f t="shared" si="124"/>
        <v>0</v>
      </c>
      <c r="CD144" s="16">
        <f t="shared" si="124"/>
        <v>0</v>
      </c>
      <c r="CE144" s="16">
        <f t="shared" si="124"/>
        <v>0</v>
      </c>
      <c r="CF144" s="16">
        <f t="shared" si="124"/>
        <v>0</v>
      </c>
      <c r="CG144" s="16">
        <f t="shared" si="124"/>
        <v>0</v>
      </c>
      <c r="CH144" s="16">
        <f t="shared" si="124"/>
        <v>0</v>
      </c>
      <c r="CI144" s="16">
        <f t="shared" si="124"/>
        <v>0</v>
      </c>
      <c r="CJ144" s="16">
        <f t="shared" si="124"/>
        <v>0</v>
      </c>
      <c r="CK144" s="16">
        <f t="shared" si="124"/>
        <v>0</v>
      </c>
      <c r="CL144" s="16">
        <f t="shared" si="125"/>
        <v>0</v>
      </c>
      <c r="CM144" s="16">
        <f t="shared" si="125"/>
        <v>0</v>
      </c>
      <c r="CN144" s="16">
        <f t="shared" si="125"/>
        <v>0</v>
      </c>
      <c r="CO144" s="16">
        <f t="shared" si="125"/>
        <v>0</v>
      </c>
      <c r="CP144" s="16">
        <f t="shared" si="125"/>
        <v>0</v>
      </c>
      <c r="CQ144" s="16">
        <f t="shared" si="125"/>
        <v>0</v>
      </c>
      <c r="CR144" s="16">
        <f t="shared" si="125"/>
        <v>0</v>
      </c>
      <c r="CS144" s="16">
        <f t="shared" si="125"/>
        <v>0</v>
      </c>
      <c r="CT144" s="16">
        <f t="shared" si="125"/>
        <v>0</v>
      </c>
      <c r="CU144" s="16">
        <f t="shared" si="125"/>
        <v>0</v>
      </c>
      <c r="CV144" s="16">
        <f t="shared" si="126"/>
        <v>0</v>
      </c>
      <c r="CW144" s="16">
        <f t="shared" si="126"/>
        <v>0</v>
      </c>
      <c r="CX144" s="16">
        <f t="shared" si="126"/>
        <v>0.39793284769424836</v>
      </c>
      <c r="CY144" s="16">
        <f t="shared" si="126"/>
        <v>0.2155071755827922</v>
      </c>
      <c r="CZ144" s="16">
        <f t="shared" si="126"/>
        <v>0.38655997672295939</v>
      </c>
      <c r="DA144" s="16">
        <f t="shared" si="126"/>
        <v>0</v>
      </c>
      <c r="DB144" s="16">
        <f t="shared" si="126"/>
        <v>0</v>
      </c>
      <c r="DC144" s="16">
        <f t="shared" si="126"/>
        <v>0</v>
      </c>
      <c r="DD144" s="16">
        <f t="shared" si="126"/>
        <v>0</v>
      </c>
      <c r="DE144" s="16">
        <f t="shared" si="126"/>
        <v>0</v>
      </c>
      <c r="DF144" s="16">
        <f t="shared" si="127"/>
        <v>0</v>
      </c>
      <c r="DG144" s="16">
        <f t="shared" si="127"/>
        <v>0</v>
      </c>
      <c r="DH144" s="16">
        <f t="shared" si="127"/>
        <v>0</v>
      </c>
      <c r="DI144" s="16">
        <f t="shared" si="127"/>
        <v>0</v>
      </c>
      <c r="DJ144" s="16">
        <f t="shared" si="127"/>
        <v>0</v>
      </c>
      <c r="DK144" s="16">
        <f t="shared" si="127"/>
        <v>0</v>
      </c>
      <c r="DL144" s="16">
        <f t="shared" si="127"/>
        <v>0</v>
      </c>
      <c r="DM144" s="16">
        <f t="shared" si="127"/>
        <v>0</v>
      </c>
      <c r="DN144" s="16">
        <f t="shared" si="127"/>
        <v>0</v>
      </c>
      <c r="DO144" s="16">
        <f t="shared" si="127"/>
        <v>0</v>
      </c>
      <c r="DP144" s="16">
        <f t="shared" si="127"/>
        <v>0</v>
      </c>
    </row>
    <row r="145" spans="10:120" x14ac:dyDescent="0.25">
      <c r="J145" s="93"/>
      <c r="O145" s="9">
        <f t="shared" si="96"/>
        <v>16</v>
      </c>
      <c r="P145" s="16">
        <f t="shared" si="118"/>
        <v>0</v>
      </c>
      <c r="Q145" s="16">
        <f t="shared" si="118"/>
        <v>0</v>
      </c>
      <c r="R145" s="16">
        <f t="shared" si="118"/>
        <v>0</v>
      </c>
      <c r="S145" s="16">
        <f t="shared" si="118"/>
        <v>0</v>
      </c>
      <c r="T145" s="16">
        <f t="shared" si="118"/>
        <v>0</v>
      </c>
      <c r="U145" s="16">
        <f t="shared" si="118"/>
        <v>0</v>
      </c>
      <c r="V145" s="16">
        <f t="shared" si="118"/>
        <v>0</v>
      </c>
      <c r="W145" s="16">
        <f t="shared" si="118"/>
        <v>0</v>
      </c>
      <c r="X145" s="16">
        <f t="shared" si="118"/>
        <v>0</v>
      </c>
      <c r="Y145" s="16">
        <f t="shared" si="118"/>
        <v>0</v>
      </c>
      <c r="Z145" s="16">
        <f t="shared" si="119"/>
        <v>0</v>
      </c>
      <c r="AA145" s="16">
        <f t="shared" si="119"/>
        <v>0</v>
      </c>
      <c r="AB145" s="16">
        <f t="shared" si="119"/>
        <v>0</v>
      </c>
      <c r="AC145" s="16">
        <f t="shared" si="119"/>
        <v>0</v>
      </c>
      <c r="AD145" s="16">
        <f t="shared" si="119"/>
        <v>0</v>
      </c>
      <c r="AE145" s="16">
        <f t="shared" si="119"/>
        <v>0</v>
      </c>
      <c r="AF145" s="16">
        <f t="shared" si="119"/>
        <v>0</v>
      </c>
      <c r="AG145" s="16">
        <f t="shared" si="119"/>
        <v>0</v>
      </c>
      <c r="AH145" s="16">
        <f t="shared" si="119"/>
        <v>0</v>
      </c>
      <c r="AI145" s="16">
        <f t="shared" si="119"/>
        <v>0</v>
      </c>
      <c r="AJ145" s="16">
        <f t="shared" si="120"/>
        <v>0</v>
      </c>
      <c r="AK145" s="16">
        <f t="shared" si="120"/>
        <v>0</v>
      </c>
      <c r="AL145" s="16">
        <f t="shared" si="120"/>
        <v>0</v>
      </c>
      <c r="AM145" s="16">
        <f t="shared" si="120"/>
        <v>0</v>
      </c>
      <c r="AN145" s="16">
        <f t="shared" si="120"/>
        <v>0</v>
      </c>
      <c r="AO145" s="16">
        <f t="shared" si="120"/>
        <v>0</v>
      </c>
      <c r="AP145" s="16">
        <f t="shared" si="120"/>
        <v>0</v>
      </c>
      <c r="AQ145" s="16">
        <f t="shared" si="120"/>
        <v>0</v>
      </c>
      <c r="AR145" s="16">
        <f t="shared" si="120"/>
        <v>0</v>
      </c>
      <c r="AS145" s="16">
        <f t="shared" si="120"/>
        <v>0</v>
      </c>
      <c r="AT145" s="16">
        <f t="shared" si="121"/>
        <v>0</v>
      </c>
      <c r="AU145" s="16">
        <f t="shared" si="121"/>
        <v>0</v>
      </c>
      <c r="AV145" s="16">
        <f t="shared" si="121"/>
        <v>0</v>
      </c>
      <c r="AW145" s="16">
        <f t="shared" si="121"/>
        <v>0.25936385821218089</v>
      </c>
      <c r="AX145" s="16">
        <f t="shared" si="121"/>
        <v>0.4886848701744938</v>
      </c>
      <c r="AY145" s="16">
        <f t="shared" si="121"/>
        <v>0.25195127161332531</v>
      </c>
      <c r="AZ145" s="16">
        <f t="shared" si="121"/>
        <v>0</v>
      </c>
      <c r="BA145" s="16">
        <f t="shared" si="121"/>
        <v>0</v>
      </c>
      <c r="BB145" s="16">
        <f t="shared" si="121"/>
        <v>0</v>
      </c>
      <c r="BC145" s="16">
        <f t="shared" si="121"/>
        <v>0</v>
      </c>
      <c r="BD145" s="16">
        <f t="shared" si="122"/>
        <v>0</v>
      </c>
      <c r="BE145" s="16">
        <f t="shared" si="122"/>
        <v>0</v>
      </c>
      <c r="BF145" s="16">
        <f t="shared" si="122"/>
        <v>0</v>
      </c>
      <c r="BG145" s="16">
        <f t="shared" si="122"/>
        <v>0</v>
      </c>
      <c r="BH145" s="16">
        <f t="shared" si="122"/>
        <v>0</v>
      </c>
      <c r="BI145" s="16">
        <f t="shared" si="122"/>
        <v>0</v>
      </c>
      <c r="BJ145" s="16">
        <f t="shared" si="122"/>
        <v>0</v>
      </c>
      <c r="BK145" s="16">
        <f t="shared" si="122"/>
        <v>0</v>
      </c>
      <c r="BL145" s="16">
        <f t="shared" si="122"/>
        <v>0</v>
      </c>
      <c r="BM145" s="16">
        <f t="shared" si="122"/>
        <v>0</v>
      </c>
      <c r="BN145" s="16">
        <f t="shared" si="122"/>
        <v>0</v>
      </c>
      <c r="BQ145" s="9">
        <f t="shared" si="97"/>
        <v>16</v>
      </c>
      <c r="BR145" s="16">
        <f t="shared" si="123"/>
        <v>0</v>
      </c>
      <c r="BS145" s="16">
        <f t="shared" si="123"/>
        <v>0</v>
      </c>
      <c r="BT145" s="16">
        <f t="shared" si="123"/>
        <v>0</v>
      </c>
      <c r="BU145" s="16">
        <f t="shared" si="123"/>
        <v>0</v>
      </c>
      <c r="BV145" s="16">
        <f t="shared" si="123"/>
        <v>0</v>
      </c>
      <c r="BW145" s="16">
        <f t="shared" si="123"/>
        <v>0</v>
      </c>
      <c r="BX145" s="16">
        <f t="shared" si="123"/>
        <v>0</v>
      </c>
      <c r="BY145" s="16">
        <f t="shared" si="123"/>
        <v>0</v>
      </c>
      <c r="BZ145" s="16">
        <f t="shared" si="123"/>
        <v>0</v>
      </c>
      <c r="CA145" s="16">
        <f t="shared" si="123"/>
        <v>0</v>
      </c>
      <c r="CB145" s="16">
        <f t="shared" si="124"/>
        <v>0</v>
      </c>
      <c r="CC145" s="16">
        <f t="shared" si="124"/>
        <v>0</v>
      </c>
      <c r="CD145" s="16">
        <f t="shared" si="124"/>
        <v>0</v>
      </c>
      <c r="CE145" s="16">
        <f t="shared" si="124"/>
        <v>0</v>
      </c>
      <c r="CF145" s="16">
        <f t="shared" si="124"/>
        <v>0</v>
      </c>
      <c r="CG145" s="16">
        <f t="shared" si="124"/>
        <v>0</v>
      </c>
      <c r="CH145" s="16">
        <f t="shared" si="124"/>
        <v>0</v>
      </c>
      <c r="CI145" s="16">
        <f t="shared" si="124"/>
        <v>0</v>
      </c>
      <c r="CJ145" s="16">
        <f t="shared" si="124"/>
        <v>0</v>
      </c>
      <c r="CK145" s="16">
        <f t="shared" si="124"/>
        <v>0</v>
      </c>
      <c r="CL145" s="16">
        <f t="shared" si="125"/>
        <v>0</v>
      </c>
      <c r="CM145" s="16">
        <f t="shared" si="125"/>
        <v>0</v>
      </c>
      <c r="CN145" s="16">
        <f t="shared" si="125"/>
        <v>0</v>
      </c>
      <c r="CO145" s="16">
        <f t="shared" si="125"/>
        <v>0</v>
      </c>
      <c r="CP145" s="16">
        <f t="shared" si="125"/>
        <v>0</v>
      </c>
      <c r="CQ145" s="16">
        <f t="shared" si="125"/>
        <v>0</v>
      </c>
      <c r="CR145" s="16">
        <f t="shared" si="125"/>
        <v>0</v>
      </c>
      <c r="CS145" s="16">
        <f t="shared" si="125"/>
        <v>0</v>
      </c>
      <c r="CT145" s="16">
        <f t="shared" si="125"/>
        <v>0</v>
      </c>
      <c r="CU145" s="16">
        <f t="shared" si="125"/>
        <v>0</v>
      </c>
      <c r="CV145" s="16">
        <f t="shared" si="126"/>
        <v>0</v>
      </c>
      <c r="CW145" s="16">
        <f t="shared" si="126"/>
        <v>0</v>
      </c>
      <c r="CX145" s="16">
        <f t="shared" si="126"/>
        <v>0</v>
      </c>
      <c r="CY145" s="16">
        <f t="shared" si="126"/>
        <v>0.41517156357447582</v>
      </c>
      <c r="CZ145" s="16">
        <f t="shared" si="126"/>
        <v>0.18152242416414011</v>
      </c>
      <c r="DA145" s="16">
        <f t="shared" si="126"/>
        <v>0.40330601226138402</v>
      </c>
      <c r="DB145" s="16">
        <f t="shared" si="126"/>
        <v>0</v>
      </c>
      <c r="DC145" s="16">
        <f t="shared" si="126"/>
        <v>0</v>
      </c>
      <c r="DD145" s="16">
        <f t="shared" si="126"/>
        <v>0</v>
      </c>
      <c r="DE145" s="16">
        <f t="shared" si="126"/>
        <v>0</v>
      </c>
      <c r="DF145" s="16">
        <f t="shared" si="127"/>
        <v>0</v>
      </c>
      <c r="DG145" s="16">
        <f t="shared" si="127"/>
        <v>0</v>
      </c>
      <c r="DH145" s="16">
        <f t="shared" si="127"/>
        <v>0</v>
      </c>
      <c r="DI145" s="16">
        <f t="shared" si="127"/>
        <v>0</v>
      </c>
      <c r="DJ145" s="16">
        <f t="shared" si="127"/>
        <v>0</v>
      </c>
      <c r="DK145" s="16">
        <f t="shared" si="127"/>
        <v>0</v>
      </c>
      <c r="DL145" s="16">
        <f t="shared" si="127"/>
        <v>0</v>
      </c>
      <c r="DM145" s="16">
        <f t="shared" si="127"/>
        <v>0</v>
      </c>
      <c r="DN145" s="16">
        <f t="shared" si="127"/>
        <v>0</v>
      </c>
      <c r="DO145" s="16">
        <f t="shared" si="127"/>
        <v>0</v>
      </c>
      <c r="DP145" s="16">
        <f t="shared" si="127"/>
        <v>0</v>
      </c>
    </row>
    <row r="146" spans="10:120" x14ac:dyDescent="0.25">
      <c r="J146" s="93"/>
      <c r="O146" s="9">
        <f t="shared" si="96"/>
        <v>15</v>
      </c>
      <c r="P146" s="16">
        <f t="shared" si="118"/>
        <v>0</v>
      </c>
      <c r="Q146" s="16">
        <f t="shared" si="118"/>
        <v>0</v>
      </c>
      <c r="R146" s="16">
        <f t="shared" si="118"/>
        <v>0</v>
      </c>
      <c r="S146" s="16">
        <f t="shared" si="118"/>
        <v>0</v>
      </c>
      <c r="T146" s="16">
        <f t="shared" si="118"/>
        <v>0</v>
      </c>
      <c r="U146" s="16">
        <f t="shared" si="118"/>
        <v>0</v>
      </c>
      <c r="V146" s="16">
        <f t="shared" si="118"/>
        <v>0</v>
      </c>
      <c r="W146" s="16">
        <f t="shared" si="118"/>
        <v>0</v>
      </c>
      <c r="X146" s="16">
        <f t="shared" si="118"/>
        <v>0</v>
      </c>
      <c r="Y146" s="16">
        <f t="shared" si="118"/>
        <v>0</v>
      </c>
      <c r="Z146" s="16">
        <f t="shared" si="119"/>
        <v>0</v>
      </c>
      <c r="AA146" s="16">
        <f t="shared" si="119"/>
        <v>0</v>
      </c>
      <c r="AB146" s="16">
        <f t="shared" si="119"/>
        <v>0</v>
      </c>
      <c r="AC146" s="16">
        <f t="shared" si="119"/>
        <v>0</v>
      </c>
      <c r="AD146" s="16">
        <f t="shared" si="119"/>
        <v>0</v>
      </c>
      <c r="AE146" s="16">
        <f t="shared" si="119"/>
        <v>0</v>
      </c>
      <c r="AF146" s="16">
        <f t="shared" si="119"/>
        <v>0</v>
      </c>
      <c r="AG146" s="16">
        <f t="shared" si="119"/>
        <v>0</v>
      </c>
      <c r="AH146" s="16">
        <f t="shared" si="119"/>
        <v>0</v>
      </c>
      <c r="AI146" s="16">
        <f t="shared" si="119"/>
        <v>0</v>
      </c>
      <c r="AJ146" s="16">
        <f t="shared" si="120"/>
        <v>0</v>
      </c>
      <c r="AK146" s="16">
        <f t="shared" si="120"/>
        <v>0</v>
      </c>
      <c r="AL146" s="16">
        <f t="shared" si="120"/>
        <v>0</v>
      </c>
      <c r="AM146" s="16">
        <f t="shared" si="120"/>
        <v>0</v>
      </c>
      <c r="AN146" s="16">
        <f t="shared" si="120"/>
        <v>0</v>
      </c>
      <c r="AO146" s="16">
        <f t="shared" si="120"/>
        <v>0</v>
      </c>
      <c r="AP146" s="16">
        <f t="shared" si="120"/>
        <v>0</v>
      </c>
      <c r="AQ146" s="16">
        <f t="shared" si="120"/>
        <v>0</v>
      </c>
      <c r="AR146" s="16">
        <f t="shared" si="120"/>
        <v>0</v>
      </c>
      <c r="AS146" s="16">
        <f t="shared" si="120"/>
        <v>0</v>
      </c>
      <c r="AT146" s="16">
        <f t="shared" si="121"/>
        <v>0</v>
      </c>
      <c r="AU146" s="16">
        <f t="shared" si="121"/>
        <v>0</v>
      </c>
      <c r="AV146" s="16">
        <f t="shared" si="121"/>
        <v>0</v>
      </c>
      <c r="AW146" s="16">
        <f t="shared" si="121"/>
        <v>0</v>
      </c>
      <c r="AX146" s="16">
        <f t="shared" si="121"/>
        <v>0.26106327476992086</v>
      </c>
      <c r="AY146" s="16">
        <f t="shared" si="121"/>
        <v>0.48533460617149005</v>
      </c>
      <c r="AZ146" s="16">
        <f t="shared" si="121"/>
        <v>0.25360211905858904</v>
      </c>
      <c r="BA146" s="16">
        <f t="shared" si="121"/>
        <v>0</v>
      </c>
      <c r="BB146" s="16">
        <f t="shared" si="121"/>
        <v>0</v>
      </c>
      <c r="BC146" s="16">
        <f t="shared" si="121"/>
        <v>0</v>
      </c>
      <c r="BD146" s="16">
        <f t="shared" si="122"/>
        <v>0</v>
      </c>
      <c r="BE146" s="16">
        <f t="shared" si="122"/>
        <v>0</v>
      </c>
      <c r="BF146" s="16">
        <f t="shared" si="122"/>
        <v>0</v>
      </c>
      <c r="BG146" s="16">
        <f t="shared" si="122"/>
        <v>0</v>
      </c>
      <c r="BH146" s="16">
        <f t="shared" si="122"/>
        <v>0</v>
      </c>
      <c r="BI146" s="16">
        <f t="shared" si="122"/>
        <v>0</v>
      </c>
      <c r="BJ146" s="16">
        <f t="shared" si="122"/>
        <v>0</v>
      </c>
      <c r="BK146" s="16">
        <f t="shared" si="122"/>
        <v>0</v>
      </c>
      <c r="BL146" s="16">
        <f t="shared" si="122"/>
        <v>0</v>
      </c>
      <c r="BM146" s="16">
        <f t="shared" si="122"/>
        <v>0</v>
      </c>
      <c r="BN146" s="16">
        <f t="shared" si="122"/>
        <v>0</v>
      </c>
      <c r="BQ146" s="9">
        <f t="shared" si="97"/>
        <v>15</v>
      </c>
      <c r="BR146" s="16">
        <f t="shared" si="123"/>
        <v>0</v>
      </c>
      <c r="BS146" s="16">
        <f t="shared" si="123"/>
        <v>0</v>
      </c>
      <c r="BT146" s="16">
        <f t="shared" si="123"/>
        <v>0</v>
      </c>
      <c r="BU146" s="16">
        <f t="shared" si="123"/>
        <v>0</v>
      </c>
      <c r="BV146" s="16">
        <f t="shared" si="123"/>
        <v>0</v>
      </c>
      <c r="BW146" s="16">
        <f t="shared" si="123"/>
        <v>0</v>
      </c>
      <c r="BX146" s="16">
        <f t="shared" si="123"/>
        <v>0</v>
      </c>
      <c r="BY146" s="16">
        <f t="shared" si="123"/>
        <v>0</v>
      </c>
      <c r="BZ146" s="16">
        <f t="shared" si="123"/>
        <v>0</v>
      </c>
      <c r="CA146" s="16">
        <f t="shared" si="123"/>
        <v>0</v>
      </c>
      <c r="CB146" s="16">
        <f t="shared" si="124"/>
        <v>0</v>
      </c>
      <c r="CC146" s="16">
        <f t="shared" si="124"/>
        <v>0</v>
      </c>
      <c r="CD146" s="16">
        <f t="shared" si="124"/>
        <v>0</v>
      </c>
      <c r="CE146" s="16">
        <f t="shared" si="124"/>
        <v>0</v>
      </c>
      <c r="CF146" s="16">
        <f t="shared" si="124"/>
        <v>0</v>
      </c>
      <c r="CG146" s="16">
        <f t="shared" si="124"/>
        <v>0</v>
      </c>
      <c r="CH146" s="16">
        <f t="shared" si="124"/>
        <v>0</v>
      </c>
      <c r="CI146" s="16">
        <f t="shared" si="124"/>
        <v>0</v>
      </c>
      <c r="CJ146" s="16">
        <f t="shared" si="124"/>
        <v>0</v>
      </c>
      <c r="CK146" s="16">
        <f t="shared" si="124"/>
        <v>0</v>
      </c>
      <c r="CL146" s="16">
        <f t="shared" si="125"/>
        <v>0</v>
      </c>
      <c r="CM146" s="16">
        <f t="shared" si="125"/>
        <v>0</v>
      </c>
      <c r="CN146" s="16">
        <f t="shared" si="125"/>
        <v>0</v>
      </c>
      <c r="CO146" s="16">
        <f t="shared" si="125"/>
        <v>0</v>
      </c>
      <c r="CP146" s="16">
        <f t="shared" si="125"/>
        <v>0</v>
      </c>
      <c r="CQ146" s="16">
        <f t="shared" si="125"/>
        <v>0</v>
      </c>
      <c r="CR146" s="16">
        <f t="shared" si="125"/>
        <v>0</v>
      </c>
      <c r="CS146" s="16">
        <f t="shared" si="125"/>
        <v>0</v>
      </c>
      <c r="CT146" s="16">
        <f t="shared" si="125"/>
        <v>0</v>
      </c>
      <c r="CU146" s="16">
        <f t="shared" si="125"/>
        <v>0</v>
      </c>
      <c r="CV146" s="16">
        <f t="shared" si="126"/>
        <v>0</v>
      </c>
      <c r="CW146" s="16">
        <f t="shared" si="126"/>
        <v>0</v>
      </c>
      <c r="CX146" s="16">
        <f t="shared" si="126"/>
        <v>0</v>
      </c>
      <c r="CY146" s="16">
        <f t="shared" si="126"/>
        <v>0</v>
      </c>
      <c r="CZ146" s="16">
        <f t="shared" si="126"/>
        <v>0.43277580044128039</v>
      </c>
      <c r="DA146" s="16">
        <f t="shared" si="126"/>
        <v>0.14681707731637184</v>
      </c>
      <c r="DB146" s="16">
        <f t="shared" si="126"/>
        <v>0.42040712224234783</v>
      </c>
      <c r="DC146" s="16">
        <f t="shared" si="126"/>
        <v>0</v>
      </c>
      <c r="DD146" s="16">
        <f t="shared" si="126"/>
        <v>0</v>
      </c>
      <c r="DE146" s="16">
        <f t="shared" si="126"/>
        <v>0</v>
      </c>
      <c r="DF146" s="16">
        <f t="shared" si="127"/>
        <v>0</v>
      </c>
      <c r="DG146" s="16">
        <f t="shared" si="127"/>
        <v>0</v>
      </c>
      <c r="DH146" s="16">
        <f t="shared" si="127"/>
        <v>0</v>
      </c>
      <c r="DI146" s="16">
        <f t="shared" si="127"/>
        <v>0</v>
      </c>
      <c r="DJ146" s="16">
        <f t="shared" si="127"/>
        <v>0</v>
      </c>
      <c r="DK146" s="16">
        <f t="shared" si="127"/>
        <v>0</v>
      </c>
      <c r="DL146" s="16">
        <f t="shared" si="127"/>
        <v>0</v>
      </c>
      <c r="DM146" s="16">
        <f t="shared" si="127"/>
        <v>0</v>
      </c>
      <c r="DN146" s="16">
        <f t="shared" si="127"/>
        <v>0</v>
      </c>
      <c r="DO146" s="16">
        <f t="shared" si="127"/>
        <v>0</v>
      </c>
      <c r="DP146" s="16">
        <f t="shared" si="127"/>
        <v>0</v>
      </c>
    </row>
    <row r="147" spans="10:120" x14ac:dyDescent="0.25">
      <c r="J147" s="93"/>
      <c r="O147" s="9">
        <f t="shared" si="96"/>
        <v>14</v>
      </c>
      <c r="P147" s="16">
        <f t="shared" si="118"/>
        <v>0</v>
      </c>
      <c r="Q147" s="16">
        <f t="shared" si="118"/>
        <v>0</v>
      </c>
      <c r="R147" s="16">
        <f t="shared" si="118"/>
        <v>0</v>
      </c>
      <c r="S147" s="16">
        <f t="shared" si="118"/>
        <v>0</v>
      </c>
      <c r="T147" s="16">
        <f t="shared" si="118"/>
        <v>0</v>
      </c>
      <c r="U147" s="16">
        <f t="shared" si="118"/>
        <v>0</v>
      </c>
      <c r="V147" s="16">
        <f t="shared" si="118"/>
        <v>0</v>
      </c>
      <c r="W147" s="16">
        <f t="shared" si="118"/>
        <v>0</v>
      </c>
      <c r="X147" s="16">
        <f t="shared" si="118"/>
        <v>0</v>
      </c>
      <c r="Y147" s="16">
        <f t="shared" si="118"/>
        <v>0</v>
      </c>
      <c r="Z147" s="16">
        <f t="shared" si="119"/>
        <v>0</v>
      </c>
      <c r="AA147" s="16">
        <f t="shared" si="119"/>
        <v>0</v>
      </c>
      <c r="AB147" s="16">
        <f t="shared" si="119"/>
        <v>0</v>
      </c>
      <c r="AC147" s="16">
        <f t="shared" si="119"/>
        <v>0</v>
      </c>
      <c r="AD147" s="16">
        <f t="shared" si="119"/>
        <v>0</v>
      </c>
      <c r="AE147" s="16">
        <f t="shared" si="119"/>
        <v>0</v>
      </c>
      <c r="AF147" s="16">
        <f t="shared" si="119"/>
        <v>0</v>
      </c>
      <c r="AG147" s="16">
        <f t="shared" si="119"/>
        <v>0</v>
      </c>
      <c r="AH147" s="16">
        <f t="shared" si="119"/>
        <v>0</v>
      </c>
      <c r="AI147" s="16">
        <f t="shared" si="119"/>
        <v>0</v>
      </c>
      <c r="AJ147" s="16">
        <f t="shared" si="120"/>
        <v>0</v>
      </c>
      <c r="AK147" s="16">
        <f t="shared" si="120"/>
        <v>0</v>
      </c>
      <c r="AL147" s="16">
        <f t="shared" si="120"/>
        <v>0</v>
      </c>
      <c r="AM147" s="16">
        <f t="shared" si="120"/>
        <v>0</v>
      </c>
      <c r="AN147" s="16">
        <f t="shared" si="120"/>
        <v>0</v>
      </c>
      <c r="AO147" s="16">
        <f t="shared" si="120"/>
        <v>0</v>
      </c>
      <c r="AP147" s="16">
        <f t="shared" si="120"/>
        <v>0</v>
      </c>
      <c r="AQ147" s="16">
        <f t="shared" si="120"/>
        <v>0</v>
      </c>
      <c r="AR147" s="16">
        <f t="shared" si="120"/>
        <v>0</v>
      </c>
      <c r="AS147" s="16">
        <f t="shared" si="120"/>
        <v>0</v>
      </c>
      <c r="AT147" s="16">
        <f t="shared" si="121"/>
        <v>0</v>
      </c>
      <c r="AU147" s="16">
        <f t="shared" si="121"/>
        <v>0</v>
      </c>
      <c r="AV147" s="16">
        <f t="shared" si="121"/>
        <v>0</v>
      </c>
      <c r="AW147" s="16">
        <f t="shared" si="121"/>
        <v>0</v>
      </c>
      <c r="AX147" s="16">
        <f t="shared" si="121"/>
        <v>0</v>
      </c>
      <c r="AY147" s="16">
        <f t="shared" si="121"/>
        <v>0.26276824066233706</v>
      </c>
      <c r="AZ147" s="16">
        <f t="shared" si="121"/>
        <v>0.48197340209842432</v>
      </c>
      <c r="BA147" s="16">
        <f t="shared" si="121"/>
        <v>0.25525835723923868</v>
      </c>
      <c r="BB147" s="16">
        <f t="shared" si="121"/>
        <v>0</v>
      </c>
      <c r="BC147" s="16">
        <f t="shared" si="121"/>
        <v>0</v>
      </c>
      <c r="BD147" s="16">
        <f t="shared" si="122"/>
        <v>0</v>
      </c>
      <c r="BE147" s="16">
        <f t="shared" si="122"/>
        <v>0</v>
      </c>
      <c r="BF147" s="16">
        <f t="shared" si="122"/>
        <v>0</v>
      </c>
      <c r="BG147" s="16">
        <f t="shared" si="122"/>
        <v>0</v>
      </c>
      <c r="BH147" s="16">
        <f t="shared" si="122"/>
        <v>0</v>
      </c>
      <c r="BI147" s="16">
        <f t="shared" si="122"/>
        <v>0</v>
      </c>
      <c r="BJ147" s="16">
        <f t="shared" si="122"/>
        <v>0</v>
      </c>
      <c r="BK147" s="16">
        <f t="shared" si="122"/>
        <v>0</v>
      </c>
      <c r="BL147" s="16">
        <f t="shared" si="122"/>
        <v>0</v>
      </c>
      <c r="BM147" s="16">
        <f t="shared" si="122"/>
        <v>0</v>
      </c>
      <c r="BN147" s="16">
        <f t="shared" si="122"/>
        <v>0</v>
      </c>
      <c r="BQ147" s="9">
        <f t="shared" si="97"/>
        <v>14</v>
      </c>
      <c r="BR147" s="16">
        <f t="shared" si="123"/>
        <v>0</v>
      </c>
      <c r="BS147" s="16">
        <f t="shared" si="123"/>
        <v>0</v>
      </c>
      <c r="BT147" s="16">
        <f t="shared" si="123"/>
        <v>0</v>
      </c>
      <c r="BU147" s="16">
        <f t="shared" si="123"/>
        <v>0</v>
      </c>
      <c r="BV147" s="16">
        <f t="shared" si="123"/>
        <v>0</v>
      </c>
      <c r="BW147" s="16">
        <f t="shared" si="123"/>
        <v>0</v>
      </c>
      <c r="BX147" s="16">
        <f t="shared" si="123"/>
        <v>0</v>
      </c>
      <c r="BY147" s="16">
        <f t="shared" si="123"/>
        <v>0</v>
      </c>
      <c r="BZ147" s="16">
        <f t="shared" si="123"/>
        <v>0</v>
      </c>
      <c r="CA147" s="16">
        <f t="shared" si="123"/>
        <v>0</v>
      </c>
      <c r="CB147" s="16">
        <f t="shared" si="124"/>
        <v>0</v>
      </c>
      <c r="CC147" s="16">
        <f t="shared" si="124"/>
        <v>0</v>
      </c>
      <c r="CD147" s="16">
        <f t="shared" si="124"/>
        <v>0</v>
      </c>
      <c r="CE147" s="16">
        <f t="shared" si="124"/>
        <v>0</v>
      </c>
      <c r="CF147" s="16">
        <f t="shared" si="124"/>
        <v>0</v>
      </c>
      <c r="CG147" s="16">
        <f t="shared" si="124"/>
        <v>0</v>
      </c>
      <c r="CH147" s="16">
        <f t="shared" si="124"/>
        <v>0</v>
      </c>
      <c r="CI147" s="16">
        <f t="shared" si="124"/>
        <v>0</v>
      </c>
      <c r="CJ147" s="16">
        <f t="shared" si="124"/>
        <v>0</v>
      </c>
      <c r="CK147" s="16">
        <f t="shared" si="124"/>
        <v>0</v>
      </c>
      <c r="CL147" s="16">
        <f t="shared" si="125"/>
        <v>0</v>
      </c>
      <c r="CM147" s="16">
        <f t="shared" si="125"/>
        <v>0</v>
      </c>
      <c r="CN147" s="16">
        <f t="shared" si="125"/>
        <v>0</v>
      </c>
      <c r="CO147" s="16">
        <f t="shared" si="125"/>
        <v>0</v>
      </c>
      <c r="CP147" s="16">
        <f t="shared" si="125"/>
        <v>0</v>
      </c>
      <c r="CQ147" s="16">
        <f t="shared" si="125"/>
        <v>0</v>
      </c>
      <c r="CR147" s="16">
        <f t="shared" si="125"/>
        <v>0</v>
      </c>
      <c r="CS147" s="16">
        <f t="shared" si="125"/>
        <v>0</v>
      </c>
      <c r="CT147" s="16">
        <f t="shared" si="125"/>
        <v>0</v>
      </c>
      <c r="CU147" s="16">
        <f t="shared" si="125"/>
        <v>0</v>
      </c>
      <c r="CV147" s="16">
        <f t="shared" si="126"/>
        <v>0</v>
      </c>
      <c r="CW147" s="16">
        <f t="shared" si="126"/>
        <v>0</v>
      </c>
      <c r="CX147" s="16">
        <f t="shared" si="126"/>
        <v>0</v>
      </c>
      <c r="CY147" s="16">
        <f t="shared" si="126"/>
        <v>0</v>
      </c>
      <c r="CZ147" s="16">
        <f t="shared" si="126"/>
        <v>0</v>
      </c>
      <c r="DA147" s="16">
        <f t="shared" si="126"/>
        <v>0.4507455582946614</v>
      </c>
      <c r="DB147" s="16">
        <f t="shared" si="126"/>
        <v>0.11139113503948872</v>
      </c>
      <c r="DC147" s="16">
        <f t="shared" si="126"/>
        <v>0.43786330666584994</v>
      </c>
      <c r="DD147" s="16">
        <f t="shared" si="126"/>
        <v>0</v>
      </c>
      <c r="DE147" s="16">
        <f t="shared" si="126"/>
        <v>0</v>
      </c>
      <c r="DF147" s="16">
        <f t="shared" si="127"/>
        <v>0</v>
      </c>
      <c r="DG147" s="16">
        <f t="shared" si="127"/>
        <v>0</v>
      </c>
      <c r="DH147" s="16">
        <f t="shared" si="127"/>
        <v>0</v>
      </c>
      <c r="DI147" s="16">
        <f t="shared" si="127"/>
        <v>0</v>
      </c>
      <c r="DJ147" s="16">
        <f t="shared" si="127"/>
        <v>0</v>
      </c>
      <c r="DK147" s="16">
        <f t="shared" si="127"/>
        <v>0</v>
      </c>
      <c r="DL147" s="16">
        <f t="shared" si="127"/>
        <v>0</v>
      </c>
      <c r="DM147" s="16">
        <f t="shared" si="127"/>
        <v>0</v>
      </c>
      <c r="DN147" s="16">
        <f t="shared" si="127"/>
        <v>0</v>
      </c>
      <c r="DO147" s="16">
        <f t="shared" si="127"/>
        <v>0</v>
      </c>
      <c r="DP147" s="16">
        <f t="shared" si="127"/>
        <v>0</v>
      </c>
    </row>
    <row r="148" spans="10:120" x14ac:dyDescent="0.25">
      <c r="J148" s="93"/>
      <c r="O148" s="9">
        <f t="shared" si="96"/>
        <v>13</v>
      </c>
      <c r="P148" s="16">
        <f t="shared" si="118"/>
        <v>0</v>
      </c>
      <c r="Q148" s="16">
        <f t="shared" si="118"/>
        <v>0</v>
      </c>
      <c r="R148" s="16">
        <f t="shared" si="118"/>
        <v>0</v>
      </c>
      <c r="S148" s="16">
        <f t="shared" si="118"/>
        <v>0</v>
      </c>
      <c r="T148" s="16">
        <f t="shared" si="118"/>
        <v>0</v>
      </c>
      <c r="U148" s="16">
        <f t="shared" si="118"/>
        <v>0</v>
      </c>
      <c r="V148" s="16">
        <f t="shared" si="118"/>
        <v>0</v>
      </c>
      <c r="W148" s="16">
        <f t="shared" si="118"/>
        <v>0</v>
      </c>
      <c r="X148" s="16">
        <f t="shared" si="118"/>
        <v>0</v>
      </c>
      <c r="Y148" s="16">
        <f t="shared" si="118"/>
        <v>0</v>
      </c>
      <c r="Z148" s="16">
        <f t="shared" si="119"/>
        <v>0</v>
      </c>
      <c r="AA148" s="16">
        <f t="shared" si="119"/>
        <v>0</v>
      </c>
      <c r="AB148" s="16">
        <f t="shared" si="119"/>
        <v>0</v>
      </c>
      <c r="AC148" s="16">
        <f t="shared" si="119"/>
        <v>0</v>
      </c>
      <c r="AD148" s="16">
        <f t="shared" si="119"/>
        <v>0</v>
      </c>
      <c r="AE148" s="16">
        <f t="shared" si="119"/>
        <v>0</v>
      </c>
      <c r="AF148" s="16">
        <f t="shared" si="119"/>
        <v>0</v>
      </c>
      <c r="AG148" s="16">
        <f t="shared" si="119"/>
        <v>0</v>
      </c>
      <c r="AH148" s="16">
        <f t="shared" si="119"/>
        <v>0</v>
      </c>
      <c r="AI148" s="16">
        <f t="shared" si="119"/>
        <v>0</v>
      </c>
      <c r="AJ148" s="16">
        <f t="shared" si="120"/>
        <v>0</v>
      </c>
      <c r="AK148" s="16">
        <f t="shared" si="120"/>
        <v>0</v>
      </c>
      <c r="AL148" s="16">
        <f t="shared" si="120"/>
        <v>0</v>
      </c>
      <c r="AM148" s="16">
        <f t="shared" si="120"/>
        <v>0</v>
      </c>
      <c r="AN148" s="16">
        <f t="shared" si="120"/>
        <v>0</v>
      </c>
      <c r="AO148" s="16">
        <f t="shared" si="120"/>
        <v>0</v>
      </c>
      <c r="AP148" s="16">
        <f t="shared" si="120"/>
        <v>0</v>
      </c>
      <c r="AQ148" s="16">
        <f t="shared" si="120"/>
        <v>0</v>
      </c>
      <c r="AR148" s="16">
        <f t="shared" si="120"/>
        <v>0</v>
      </c>
      <c r="AS148" s="16">
        <f t="shared" si="120"/>
        <v>0</v>
      </c>
      <c r="AT148" s="16">
        <f t="shared" si="121"/>
        <v>0</v>
      </c>
      <c r="AU148" s="16">
        <f t="shared" si="121"/>
        <v>0</v>
      </c>
      <c r="AV148" s="16">
        <f t="shared" si="121"/>
        <v>0</v>
      </c>
      <c r="AW148" s="16">
        <f t="shared" si="121"/>
        <v>0</v>
      </c>
      <c r="AX148" s="16">
        <f t="shared" si="121"/>
        <v>0</v>
      </c>
      <c r="AY148" s="16">
        <f t="shared" si="121"/>
        <v>0</v>
      </c>
      <c r="AZ148" s="16">
        <f t="shared" si="121"/>
        <v>0.26447875588942943</v>
      </c>
      <c r="BA148" s="16">
        <f t="shared" si="121"/>
        <v>0.47860125795529651</v>
      </c>
      <c r="BB148" s="16">
        <f t="shared" si="121"/>
        <v>0.25691998615527412</v>
      </c>
      <c r="BC148" s="16">
        <f t="shared" si="121"/>
        <v>0</v>
      </c>
      <c r="BD148" s="16">
        <f t="shared" si="122"/>
        <v>0</v>
      </c>
      <c r="BE148" s="16">
        <f t="shared" si="122"/>
        <v>0</v>
      </c>
      <c r="BF148" s="16">
        <f t="shared" si="122"/>
        <v>0</v>
      </c>
      <c r="BG148" s="16">
        <f t="shared" si="122"/>
        <v>0</v>
      </c>
      <c r="BH148" s="16">
        <f t="shared" si="122"/>
        <v>0</v>
      </c>
      <c r="BI148" s="16">
        <f t="shared" si="122"/>
        <v>0</v>
      </c>
      <c r="BJ148" s="16">
        <f t="shared" si="122"/>
        <v>0</v>
      </c>
      <c r="BK148" s="16">
        <f t="shared" si="122"/>
        <v>0</v>
      </c>
      <c r="BL148" s="16">
        <f t="shared" si="122"/>
        <v>0</v>
      </c>
      <c r="BM148" s="16">
        <f t="shared" si="122"/>
        <v>0</v>
      </c>
      <c r="BN148" s="16">
        <f t="shared" si="122"/>
        <v>0</v>
      </c>
      <c r="BQ148" s="9">
        <f t="shared" si="97"/>
        <v>13</v>
      </c>
      <c r="BR148" s="16">
        <f t="shared" si="123"/>
        <v>0</v>
      </c>
      <c r="BS148" s="16">
        <f t="shared" si="123"/>
        <v>0</v>
      </c>
      <c r="BT148" s="16">
        <f t="shared" si="123"/>
        <v>0</v>
      </c>
      <c r="BU148" s="16">
        <f t="shared" si="123"/>
        <v>0</v>
      </c>
      <c r="BV148" s="16">
        <f t="shared" si="123"/>
        <v>0</v>
      </c>
      <c r="BW148" s="16">
        <f t="shared" si="123"/>
        <v>0</v>
      </c>
      <c r="BX148" s="16">
        <f t="shared" si="123"/>
        <v>0</v>
      </c>
      <c r="BY148" s="16">
        <f t="shared" si="123"/>
        <v>0</v>
      </c>
      <c r="BZ148" s="16">
        <f t="shared" si="123"/>
        <v>0</v>
      </c>
      <c r="CA148" s="16">
        <f t="shared" si="123"/>
        <v>0</v>
      </c>
      <c r="CB148" s="16">
        <f t="shared" si="124"/>
        <v>0</v>
      </c>
      <c r="CC148" s="16">
        <f t="shared" si="124"/>
        <v>0</v>
      </c>
      <c r="CD148" s="16">
        <f t="shared" si="124"/>
        <v>0</v>
      </c>
      <c r="CE148" s="16">
        <f t="shared" si="124"/>
        <v>0</v>
      </c>
      <c r="CF148" s="16">
        <f t="shared" si="124"/>
        <v>0</v>
      </c>
      <c r="CG148" s="16">
        <f t="shared" si="124"/>
        <v>0</v>
      </c>
      <c r="CH148" s="16">
        <f t="shared" si="124"/>
        <v>0</v>
      </c>
      <c r="CI148" s="16">
        <f t="shared" si="124"/>
        <v>0</v>
      </c>
      <c r="CJ148" s="16">
        <f t="shared" si="124"/>
        <v>0</v>
      </c>
      <c r="CK148" s="16">
        <f t="shared" si="124"/>
        <v>0</v>
      </c>
      <c r="CL148" s="16">
        <f t="shared" si="125"/>
        <v>0</v>
      </c>
      <c r="CM148" s="16">
        <f t="shared" si="125"/>
        <v>0</v>
      </c>
      <c r="CN148" s="16">
        <f t="shared" si="125"/>
        <v>0</v>
      </c>
      <c r="CO148" s="16">
        <f t="shared" si="125"/>
        <v>0</v>
      </c>
      <c r="CP148" s="16">
        <f t="shared" si="125"/>
        <v>0</v>
      </c>
      <c r="CQ148" s="16">
        <f t="shared" si="125"/>
        <v>0</v>
      </c>
      <c r="CR148" s="16">
        <f t="shared" si="125"/>
        <v>0</v>
      </c>
      <c r="CS148" s="16">
        <f t="shared" si="125"/>
        <v>0</v>
      </c>
      <c r="CT148" s="16">
        <f t="shared" si="125"/>
        <v>0</v>
      </c>
      <c r="CU148" s="16">
        <f t="shared" si="125"/>
        <v>0</v>
      </c>
      <c r="CV148" s="16">
        <f t="shared" si="126"/>
        <v>0</v>
      </c>
      <c r="CW148" s="16">
        <f t="shared" si="126"/>
        <v>0</v>
      </c>
      <c r="CX148" s="16">
        <f t="shared" si="126"/>
        <v>0</v>
      </c>
      <c r="CY148" s="16">
        <f t="shared" si="126"/>
        <v>0</v>
      </c>
      <c r="CZ148" s="16">
        <f t="shared" si="126"/>
        <v>0</v>
      </c>
      <c r="DA148" s="16">
        <f t="shared" si="126"/>
        <v>0</v>
      </c>
      <c r="DB148" s="16">
        <f t="shared" si="126"/>
        <v>0.46908083713462007</v>
      </c>
      <c r="DC148" s="16">
        <f t="shared" si="126"/>
        <v>7.5244597333488428E-2</v>
      </c>
      <c r="DD148" s="16">
        <f t="shared" si="126"/>
        <v>0.45567456553189156</v>
      </c>
      <c r="DE148" s="16">
        <f t="shared" si="126"/>
        <v>0</v>
      </c>
      <c r="DF148" s="16">
        <f t="shared" si="127"/>
        <v>0</v>
      </c>
      <c r="DG148" s="16">
        <f t="shared" si="127"/>
        <v>0</v>
      </c>
      <c r="DH148" s="16">
        <f t="shared" si="127"/>
        <v>0</v>
      </c>
      <c r="DI148" s="16">
        <f t="shared" si="127"/>
        <v>0</v>
      </c>
      <c r="DJ148" s="16">
        <f t="shared" si="127"/>
        <v>0</v>
      </c>
      <c r="DK148" s="16">
        <f t="shared" si="127"/>
        <v>0</v>
      </c>
      <c r="DL148" s="16">
        <f t="shared" si="127"/>
        <v>0</v>
      </c>
      <c r="DM148" s="16">
        <f t="shared" si="127"/>
        <v>0</v>
      </c>
      <c r="DN148" s="16">
        <f t="shared" si="127"/>
        <v>0</v>
      </c>
      <c r="DO148" s="16">
        <f t="shared" si="127"/>
        <v>0</v>
      </c>
      <c r="DP148" s="16">
        <f t="shared" si="127"/>
        <v>0</v>
      </c>
    </row>
    <row r="149" spans="10:120" x14ac:dyDescent="0.25">
      <c r="J149" s="93"/>
      <c r="O149" s="9">
        <f t="shared" si="96"/>
        <v>12</v>
      </c>
      <c r="P149" s="16">
        <f t="shared" si="118"/>
        <v>0</v>
      </c>
      <c r="Q149" s="16">
        <f t="shared" si="118"/>
        <v>0</v>
      </c>
      <c r="R149" s="16">
        <f t="shared" si="118"/>
        <v>0</v>
      </c>
      <c r="S149" s="16">
        <f t="shared" si="118"/>
        <v>0</v>
      </c>
      <c r="T149" s="16">
        <f t="shared" si="118"/>
        <v>0</v>
      </c>
      <c r="U149" s="16">
        <f t="shared" si="118"/>
        <v>0</v>
      </c>
      <c r="V149" s="16">
        <f t="shared" si="118"/>
        <v>0</v>
      </c>
      <c r="W149" s="16">
        <f t="shared" si="118"/>
        <v>0</v>
      </c>
      <c r="X149" s="16">
        <f t="shared" si="118"/>
        <v>0</v>
      </c>
      <c r="Y149" s="16">
        <f t="shared" si="118"/>
        <v>0</v>
      </c>
      <c r="Z149" s="16">
        <f t="shared" si="119"/>
        <v>0</v>
      </c>
      <c r="AA149" s="16">
        <f t="shared" si="119"/>
        <v>0</v>
      </c>
      <c r="AB149" s="16">
        <f t="shared" si="119"/>
        <v>0</v>
      </c>
      <c r="AC149" s="16">
        <f t="shared" si="119"/>
        <v>0</v>
      </c>
      <c r="AD149" s="16">
        <f t="shared" si="119"/>
        <v>0</v>
      </c>
      <c r="AE149" s="16">
        <f t="shared" si="119"/>
        <v>0</v>
      </c>
      <c r="AF149" s="16">
        <f t="shared" si="119"/>
        <v>0</v>
      </c>
      <c r="AG149" s="16">
        <f t="shared" si="119"/>
        <v>0</v>
      </c>
      <c r="AH149" s="16">
        <f t="shared" si="119"/>
        <v>0</v>
      </c>
      <c r="AI149" s="16">
        <f t="shared" si="119"/>
        <v>0</v>
      </c>
      <c r="AJ149" s="16">
        <f t="shared" si="120"/>
        <v>0</v>
      </c>
      <c r="AK149" s="16">
        <f t="shared" si="120"/>
        <v>0</v>
      </c>
      <c r="AL149" s="16">
        <f t="shared" si="120"/>
        <v>0</v>
      </c>
      <c r="AM149" s="16">
        <f t="shared" si="120"/>
        <v>0</v>
      </c>
      <c r="AN149" s="16">
        <f t="shared" si="120"/>
        <v>0</v>
      </c>
      <c r="AO149" s="16">
        <f t="shared" si="120"/>
        <v>0</v>
      </c>
      <c r="AP149" s="16">
        <f t="shared" si="120"/>
        <v>0</v>
      </c>
      <c r="AQ149" s="16">
        <f t="shared" si="120"/>
        <v>0</v>
      </c>
      <c r="AR149" s="16">
        <f t="shared" si="120"/>
        <v>0</v>
      </c>
      <c r="AS149" s="16">
        <f t="shared" si="120"/>
        <v>0</v>
      </c>
      <c r="AT149" s="16">
        <f t="shared" si="121"/>
        <v>0</v>
      </c>
      <c r="AU149" s="16">
        <f t="shared" si="121"/>
        <v>0</v>
      </c>
      <c r="AV149" s="16">
        <f t="shared" si="121"/>
        <v>0</v>
      </c>
      <c r="AW149" s="16">
        <f t="shared" si="121"/>
        <v>0</v>
      </c>
      <c r="AX149" s="16">
        <f t="shared" si="121"/>
        <v>0</v>
      </c>
      <c r="AY149" s="16">
        <f t="shared" si="121"/>
        <v>0</v>
      </c>
      <c r="AZ149" s="16">
        <f t="shared" si="121"/>
        <v>0</v>
      </c>
      <c r="BA149" s="16">
        <f t="shared" si="121"/>
        <v>0.26562523935700999</v>
      </c>
      <c r="BB149" s="16">
        <f t="shared" si="121"/>
        <v>0.47634105737411447</v>
      </c>
      <c r="BC149" s="16">
        <f t="shared" si="121"/>
        <v>0.25803370326887548</v>
      </c>
      <c r="BD149" s="16">
        <f t="shared" si="122"/>
        <v>0</v>
      </c>
      <c r="BE149" s="16">
        <f t="shared" si="122"/>
        <v>0</v>
      </c>
      <c r="BF149" s="16">
        <f t="shared" si="122"/>
        <v>0</v>
      </c>
      <c r="BG149" s="16">
        <f t="shared" si="122"/>
        <v>0</v>
      </c>
      <c r="BH149" s="16">
        <f t="shared" si="122"/>
        <v>0</v>
      </c>
      <c r="BI149" s="16">
        <f t="shared" si="122"/>
        <v>0</v>
      </c>
      <c r="BJ149" s="16">
        <f t="shared" si="122"/>
        <v>0</v>
      </c>
      <c r="BK149" s="16">
        <f t="shared" si="122"/>
        <v>0</v>
      </c>
      <c r="BL149" s="16">
        <f t="shared" si="122"/>
        <v>0</v>
      </c>
      <c r="BM149" s="16">
        <f t="shared" si="122"/>
        <v>0</v>
      </c>
      <c r="BN149" s="16">
        <f t="shared" si="122"/>
        <v>0</v>
      </c>
      <c r="BQ149" s="9">
        <f t="shared" si="97"/>
        <v>12</v>
      </c>
      <c r="BR149" s="16">
        <f t="shared" si="123"/>
        <v>0</v>
      </c>
      <c r="BS149" s="16">
        <f t="shared" si="123"/>
        <v>0</v>
      </c>
      <c r="BT149" s="16">
        <f t="shared" si="123"/>
        <v>0</v>
      </c>
      <c r="BU149" s="16">
        <f t="shared" si="123"/>
        <v>0</v>
      </c>
      <c r="BV149" s="16">
        <f t="shared" si="123"/>
        <v>0</v>
      </c>
      <c r="BW149" s="16">
        <f t="shared" si="123"/>
        <v>0</v>
      </c>
      <c r="BX149" s="16">
        <f t="shared" si="123"/>
        <v>0</v>
      </c>
      <c r="BY149" s="16">
        <f t="shared" si="123"/>
        <v>0</v>
      </c>
      <c r="BZ149" s="16">
        <f t="shared" si="123"/>
        <v>0</v>
      </c>
      <c r="CA149" s="16">
        <f t="shared" si="123"/>
        <v>0</v>
      </c>
      <c r="CB149" s="16">
        <f t="shared" si="124"/>
        <v>0</v>
      </c>
      <c r="CC149" s="16">
        <f t="shared" si="124"/>
        <v>0</v>
      </c>
      <c r="CD149" s="16">
        <f t="shared" si="124"/>
        <v>0</v>
      </c>
      <c r="CE149" s="16">
        <f t="shared" si="124"/>
        <v>0</v>
      </c>
      <c r="CF149" s="16">
        <f t="shared" si="124"/>
        <v>0</v>
      </c>
      <c r="CG149" s="16">
        <f t="shared" si="124"/>
        <v>0</v>
      </c>
      <c r="CH149" s="16">
        <f t="shared" si="124"/>
        <v>0</v>
      </c>
      <c r="CI149" s="16">
        <f t="shared" si="124"/>
        <v>0</v>
      </c>
      <c r="CJ149" s="16">
        <f t="shared" si="124"/>
        <v>0</v>
      </c>
      <c r="CK149" s="16">
        <f t="shared" si="124"/>
        <v>0</v>
      </c>
      <c r="CL149" s="16">
        <f t="shared" si="125"/>
        <v>0</v>
      </c>
      <c r="CM149" s="16">
        <f t="shared" si="125"/>
        <v>0</v>
      </c>
      <c r="CN149" s="16">
        <f t="shared" si="125"/>
        <v>0</v>
      </c>
      <c r="CO149" s="16">
        <f t="shared" si="125"/>
        <v>0</v>
      </c>
      <c r="CP149" s="16">
        <f t="shared" si="125"/>
        <v>0</v>
      </c>
      <c r="CQ149" s="16">
        <f t="shared" si="125"/>
        <v>0</v>
      </c>
      <c r="CR149" s="16">
        <f t="shared" si="125"/>
        <v>0</v>
      </c>
      <c r="CS149" s="16">
        <f t="shared" si="125"/>
        <v>0</v>
      </c>
      <c r="CT149" s="16">
        <f t="shared" si="125"/>
        <v>0</v>
      </c>
      <c r="CU149" s="16">
        <f t="shared" si="125"/>
        <v>0</v>
      </c>
      <c r="CV149" s="16">
        <f t="shared" si="126"/>
        <v>0</v>
      </c>
      <c r="CW149" s="16">
        <f t="shared" si="126"/>
        <v>0</v>
      </c>
      <c r="CX149" s="16">
        <f t="shared" si="126"/>
        <v>0</v>
      </c>
      <c r="CY149" s="16">
        <f t="shared" si="126"/>
        <v>0</v>
      </c>
      <c r="CZ149" s="16">
        <f t="shared" si="126"/>
        <v>0</v>
      </c>
      <c r="DA149" s="16">
        <f t="shared" si="126"/>
        <v>0</v>
      </c>
      <c r="DB149" s="16">
        <f t="shared" si="126"/>
        <v>0</v>
      </c>
      <c r="DC149" s="16">
        <f t="shared" si="126"/>
        <v>0.48154082842126616</v>
      </c>
      <c r="DD149" s="16">
        <f t="shared" si="126"/>
        <v>5.0680719751346026E-2</v>
      </c>
      <c r="DE149" s="16">
        <f t="shared" si="126"/>
        <v>0.46777845182738781</v>
      </c>
      <c r="DF149" s="16">
        <f t="shared" si="127"/>
        <v>0</v>
      </c>
      <c r="DG149" s="16">
        <f t="shared" si="127"/>
        <v>0</v>
      </c>
      <c r="DH149" s="16">
        <f t="shared" si="127"/>
        <v>0</v>
      </c>
      <c r="DI149" s="16">
        <f t="shared" si="127"/>
        <v>0</v>
      </c>
      <c r="DJ149" s="16">
        <f t="shared" si="127"/>
        <v>0</v>
      </c>
      <c r="DK149" s="16">
        <f t="shared" si="127"/>
        <v>0</v>
      </c>
      <c r="DL149" s="16">
        <f t="shared" si="127"/>
        <v>0</v>
      </c>
      <c r="DM149" s="16">
        <f t="shared" si="127"/>
        <v>0</v>
      </c>
      <c r="DN149" s="16">
        <f t="shared" si="127"/>
        <v>0</v>
      </c>
      <c r="DO149" s="16">
        <f t="shared" si="127"/>
        <v>0</v>
      </c>
      <c r="DP149" s="16">
        <f t="shared" si="127"/>
        <v>0</v>
      </c>
    </row>
    <row r="150" spans="10:120" x14ac:dyDescent="0.25">
      <c r="J150" s="93"/>
      <c r="O150" s="9">
        <f t="shared" si="96"/>
        <v>11</v>
      </c>
      <c r="P150" s="16">
        <f t="shared" si="118"/>
        <v>0</v>
      </c>
      <c r="Q150" s="16">
        <f t="shared" si="118"/>
        <v>0</v>
      </c>
      <c r="R150" s="16">
        <f t="shared" si="118"/>
        <v>0</v>
      </c>
      <c r="S150" s="16">
        <f t="shared" si="118"/>
        <v>0</v>
      </c>
      <c r="T150" s="16">
        <f t="shared" si="118"/>
        <v>0</v>
      </c>
      <c r="U150" s="16">
        <f t="shared" si="118"/>
        <v>0</v>
      </c>
      <c r="V150" s="16">
        <f t="shared" si="118"/>
        <v>0</v>
      </c>
      <c r="W150" s="16">
        <f t="shared" si="118"/>
        <v>0</v>
      </c>
      <c r="X150" s="16">
        <f t="shared" si="118"/>
        <v>0</v>
      </c>
      <c r="Y150" s="16">
        <f t="shared" si="118"/>
        <v>0</v>
      </c>
      <c r="Z150" s="16">
        <f t="shared" si="119"/>
        <v>0</v>
      </c>
      <c r="AA150" s="16">
        <f t="shared" si="119"/>
        <v>0</v>
      </c>
      <c r="AB150" s="16">
        <f t="shared" si="119"/>
        <v>0</v>
      </c>
      <c r="AC150" s="16">
        <f t="shared" si="119"/>
        <v>0</v>
      </c>
      <c r="AD150" s="16">
        <f t="shared" si="119"/>
        <v>0</v>
      </c>
      <c r="AE150" s="16">
        <f t="shared" si="119"/>
        <v>0</v>
      </c>
      <c r="AF150" s="16">
        <f t="shared" si="119"/>
        <v>0</v>
      </c>
      <c r="AG150" s="16">
        <f t="shared" si="119"/>
        <v>0</v>
      </c>
      <c r="AH150" s="16">
        <f t="shared" si="119"/>
        <v>0</v>
      </c>
      <c r="AI150" s="16">
        <f t="shared" si="119"/>
        <v>0</v>
      </c>
      <c r="AJ150" s="16">
        <f t="shared" si="120"/>
        <v>0</v>
      </c>
      <c r="AK150" s="16">
        <f t="shared" si="120"/>
        <v>0</v>
      </c>
      <c r="AL150" s="16">
        <f t="shared" si="120"/>
        <v>0</v>
      </c>
      <c r="AM150" s="16">
        <f t="shared" si="120"/>
        <v>0</v>
      </c>
      <c r="AN150" s="16">
        <f t="shared" si="120"/>
        <v>0</v>
      </c>
      <c r="AO150" s="16">
        <f t="shared" si="120"/>
        <v>0</v>
      </c>
      <c r="AP150" s="16">
        <f t="shared" si="120"/>
        <v>0</v>
      </c>
      <c r="AQ150" s="16">
        <f t="shared" si="120"/>
        <v>0</v>
      </c>
      <c r="AR150" s="16">
        <f t="shared" si="120"/>
        <v>0</v>
      </c>
      <c r="AS150" s="16">
        <f t="shared" si="120"/>
        <v>0</v>
      </c>
      <c r="AT150" s="16">
        <f t="shared" si="121"/>
        <v>0</v>
      </c>
      <c r="AU150" s="16">
        <f t="shared" si="121"/>
        <v>0</v>
      </c>
      <c r="AV150" s="16">
        <f t="shared" si="121"/>
        <v>0</v>
      </c>
      <c r="AW150" s="16">
        <f t="shared" si="121"/>
        <v>0</v>
      </c>
      <c r="AX150" s="16">
        <f t="shared" si="121"/>
        <v>0</v>
      </c>
      <c r="AY150" s="16">
        <f t="shared" si="121"/>
        <v>0</v>
      </c>
      <c r="AZ150" s="16">
        <f t="shared" si="121"/>
        <v>0</v>
      </c>
      <c r="BA150" s="16">
        <f t="shared" si="121"/>
        <v>0</v>
      </c>
      <c r="BB150" s="16">
        <f t="shared" si="121"/>
        <v>0.26562523935700999</v>
      </c>
      <c r="BC150" s="16">
        <f t="shared" si="121"/>
        <v>0.47634105737411447</v>
      </c>
      <c r="BD150" s="16">
        <f t="shared" si="122"/>
        <v>0.25803370326887548</v>
      </c>
      <c r="BE150" s="16">
        <f t="shared" si="122"/>
        <v>0</v>
      </c>
      <c r="BF150" s="16">
        <f t="shared" si="122"/>
        <v>0</v>
      </c>
      <c r="BG150" s="16">
        <f t="shared" si="122"/>
        <v>0</v>
      </c>
      <c r="BH150" s="16">
        <f t="shared" si="122"/>
        <v>0</v>
      </c>
      <c r="BI150" s="16">
        <f t="shared" si="122"/>
        <v>0</v>
      </c>
      <c r="BJ150" s="16">
        <f t="shared" si="122"/>
        <v>0</v>
      </c>
      <c r="BK150" s="16">
        <f t="shared" si="122"/>
        <v>0</v>
      </c>
      <c r="BL150" s="16">
        <f t="shared" si="122"/>
        <v>0</v>
      </c>
      <c r="BM150" s="16">
        <f t="shared" si="122"/>
        <v>0</v>
      </c>
      <c r="BN150" s="16">
        <f t="shared" si="122"/>
        <v>0</v>
      </c>
      <c r="BQ150" s="9">
        <f t="shared" si="97"/>
        <v>11</v>
      </c>
      <c r="BR150" s="16">
        <f t="shared" si="123"/>
        <v>0</v>
      </c>
      <c r="BS150" s="16">
        <f t="shared" si="123"/>
        <v>0</v>
      </c>
      <c r="BT150" s="16">
        <f t="shared" si="123"/>
        <v>0</v>
      </c>
      <c r="BU150" s="16">
        <f t="shared" si="123"/>
        <v>0</v>
      </c>
      <c r="BV150" s="16">
        <f t="shared" si="123"/>
        <v>0</v>
      </c>
      <c r="BW150" s="16">
        <f t="shared" si="123"/>
        <v>0</v>
      </c>
      <c r="BX150" s="16">
        <f t="shared" si="123"/>
        <v>0</v>
      </c>
      <c r="BY150" s="16">
        <f t="shared" si="123"/>
        <v>0</v>
      </c>
      <c r="BZ150" s="16">
        <f t="shared" si="123"/>
        <v>0</v>
      </c>
      <c r="CA150" s="16">
        <f t="shared" si="123"/>
        <v>0</v>
      </c>
      <c r="CB150" s="16">
        <f t="shared" si="124"/>
        <v>0</v>
      </c>
      <c r="CC150" s="16">
        <f t="shared" si="124"/>
        <v>0</v>
      </c>
      <c r="CD150" s="16">
        <f t="shared" si="124"/>
        <v>0</v>
      </c>
      <c r="CE150" s="16">
        <f t="shared" si="124"/>
        <v>0</v>
      </c>
      <c r="CF150" s="16">
        <f t="shared" si="124"/>
        <v>0</v>
      </c>
      <c r="CG150" s="16">
        <f t="shared" si="124"/>
        <v>0</v>
      </c>
      <c r="CH150" s="16">
        <f t="shared" si="124"/>
        <v>0</v>
      </c>
      <c r="CI150" s="16">
        <f t="shared" si="124"/>
        <v>0</v>
      </c>
      <c r="CJ150" s="16">
        <f t="shared" si="124"/>
        <v>0</v>
      </c>
      <c r="CK150" s="16">
        <f t="shared" si="124"/>
        <v>0</v>
      </c>
      <c r="CL150" s="16">
        <f t="shared" si="125"/>
        <v>0</v>
      </c>
      <c r="CM150" s="16">
        <f t="shared" si="125"/>
        <v>0</v>
      </c>
      <c r="CN150" s="16">
        <f t="shared" si="125"/>
        <v>0</v>
      </c>
      <c r="CO150" s="16">
        <f t="shared" si="125"/>
        <v>0</v>
      </c>
      <c r="CP150" s="16">
        <f t="shared" si="125"/>
        <v>0</v>
      </c>
      <c r="CQ150" s="16">
        <f t="shared" si="125"/>
        <v>0</v>
      </c>
      <c r="CR150" s="16">
        <f t="shared" si="125"/>
        <v>0</v>
      </c>
      <c r="CS150" s="16">
        <f t="shared" si="125"/>
        <v>0</v>
      </c>
      <c r="CT150" s="16">
        <f t="shared" si="125"/>
        <v>0</v>
      </c>
      <c r="CU150" s="16">
        <f t="shared" si="125"/>
        <v>0</v>
      </c>
      <c r="CV150" s="16">
        <f t="shared" si="126"/>
        <v>0</v>
      </c>
      <c r="CW150" s="16">
        <f t="shared" si="126"/>
        <v>0</v>
      </c>
      <c r="CX150" s="16">
        <f t="shared" si="126"/>
        <v>0</v>
      </c>
      <c r="CY150" s="16">
        <f t="shared" si="126"/>
        <v>0</v>
      </c>
      <c r="CZ150" s="16">
        <f t="shared" si="126"/>
        <v>0</v>
      </c>
      <c r="DA150" s="16">
        <f t="shared" si="126"/>
        <v>0</v>
      </c>
      <c r="DB150" s="16">
        <f t="shared" si="126"/>
        <v>0</v>
      </c>
      <c r="DC150" s="16">
        <f t="shared" si="126"/>
        <v>0</v>
      </c>
      <c r="DD150" s="16">
        <f t="shared" si="126"/>
        <v>0.48154082842126616</v>
      </c>
      <c r="DE150" s="16">
        <f t="shared" si="126"/>
        <v>5.0680719751346026E-2</v>
      </c>
      <c r="DF150" s="16">
        <f t="shared" si="127"/>
        <v>0.46777845182738781</v>
      </c>
      <c r="DG150" s="16">
        <f t="shared" si="127"/>
        <v>0</v>
      </c>
      <c r="DH150" s="16">
        <f t="shared" si="127"/>
        <v>0</v>
      </c>
      <c r="DI150" s="16">
        <f t="shared" si="127"/>
        <v>0</v>
      </c>
      <c r="DJ150" s="16">
        <f t="shared" si="127"/>
        <v>0</v>
      </c>
      <c r="DK150" s="16">
        <f t="shared" si="127"/>
        <v>0</v>
      </c>
      <c r="DL150" s="16">
        <f t="shared" si="127"/>
        <v>0</v>
      </c>
      <c r="DM150" s="16">
        <f t="shared" si="127"/>
        <v>0</v>
      </c>
      <c r="DN150" s="16">
        <f t="shared" si="127"/>
        <v>0</v>
      </c>
      <c r="DO150" s="16">
        <f t="shared" si="127"/>
        <v>0</v>
      </c>
      <c r="DP150" s="16">
        <f t="shared" si="127"/>
        <v>0</v>
      </c>
    </row>
    <row r="151" spans="10:120" x14ac:dyDescent="0.25">
      <c r="J151" s="93"/>
      <c r="O151" s="9">
        <f t="shared" si="96"/>
        <v>10</v>
      </c>
      <c r="P151" s="16">
        <f t="shared" ref="P151:Y161" si="128">IF(P$110=$O151,P$108*HLOOKUP($O151,$O$19:$BN$48,P$107,0)+1,IF(P$110-$O151=1,P$108*HLOOKUP($O151,$O$15:$BN$30,P$107,0),IF(P$110-$O151=-1,P$108*HLOOKUP($O151,$O$23:$BN$68,P$107,0),0)))</f>
        <v>0</v>
      </c>
      <c r="Q151" s="16">
        <f t="shared" si="128"/>
        <v>0</v>
      </c>
      <c r="R151" s="16">
        <f t="shared" si="128"/>
        <v>0</v>
      </c>
      <c r="S151" s="16">
        <f t="shared" si="128"/>
        <v>0</v>
      </c>
      <c r="T151" s="16">
        <f t="shared" si="128"/>
        <v>0</v>
      </c>
      <c r="U151" s="16">
        <f t="shared" si="128"/>
        <v>0</v>
      </c>
      <c r="V151" s="16">
        <f t="shared" si="128"/>
        <v>0</v>
      </c>
      <c r="W151" s="16">
        <f t="shared" si="128"/>
        <v>0</v>
      </c>
      <c r="X151" s="16">
        <f t="shared" si="128"/>
        <v>0</v>
      </c>
      <c r="Y151" s="16">
        <f t="shared" si="128"/>
        <v>0</v>
      </c>
      <c r="Z151" s="16">
        <f t="shared" ref="Z151:AI161" si="129">IF(Z$110=$O151,Z$108*HLOOKUP($O151,$O$19:$BN$48,Z$107,0)+1,IF(Z$110-$O151=1,Z$108*HLOOKUP($O151,$O$15:$BN$30,Z$107,0),IF(Z$110-$O151=-1,Z$108*HLOOKUP($O151,$O$23:$BN$68,Z$107,0),0)))</f>
        <v>0</v>
      </c>
      <c r="AA151" s="16">
        <f t="shared" si="129"/>
        <v>0</v>
      </c>
      <c r="AB151" s="16">
        <f t="shared" si="129"/>
        <v>0</v>
      </c>
      <c r="AC151" s="16">
        <f t="shared" si="129"/>
        <v>0</v>
      </c>
      <c r="AD151" s="16">
        <f t="shared" si="129"/>
        <v>0</v>
      </c>
      <c r="AE151" s="16">
        <f t="shared" si="129"/>
        <v>0</v>
      </c>
      <c r="AF151" s="16">
        <f t="shared" si="129"/>
        <v>0</v>
      </c>
      <c r="AG151" s="16">
        <f t="shared" si="129"/>
        <v>0</v>
      </c>
      <c r="AH151" s="16">
        <f t="shared" si="129"/>
        <v>0</v>
      </c>
      <c r="AI151" s="16">
        <f t="shared" si="129"/>
        <v>0</v>
      </c>
      <c r="AJ151" s="16">
        <f t="shared" ref="AJ151:AS161" si="130">IF(AJ$110=$O151,AJ$108*HLOOKUP($O151,$O$19:$BN$48,AJ$107,0)+1,IF(AJ$110-$O151=1,AJ$108*HLOOKUP($O151,$O$15:$BN$30,AJ$107,0),IF(AJ$110-$O151=-1,AJ$108*HLOOKUP($O151,$O$23:$BN$68,AJ$107,0),0)))</f>
        <v>0</v>
      </c>
      <c r="AK151" s="16">
        <f t="shared" si="130"/>
        <v>0</v>
      </c>
      <c r="AL151" s="16">
        <f t="shared" si="130"/>
        <v>0</v>
      </c>
      <c r="AM151" s="16">
        <f t="shared" si="130"/>
        <v>0</v>
      </c>
      <c r="AN151" s="16">
        <f t="shared" si="130"/>
        <v>0</v>
      </c>
      <c r="AO151" s="16">
        <f t="shared" si="130"/>
        <v>0</v>
      </c>
      <c r="AP151" s="16">
        <f t="shared" si="130"/>
        <v>0</v>
      </c>
      <c r="AQ151" s="16">
        <f t="shared" si="130"/>
        <v>0</v>
      </c>
      <c r="AR151" s="16">
        <f t="shared" si="130"/>
        <v>0</v>
      </c>
      <c r="AS151" s="16">
        <f t="shared" si="130"/>
        <v>0</v>
      </c>
      <c r="AT151" s="16">
        <f t="shared" ref="AT151:BC161" si="131">IF(AT$110=$O151,AT$108*HLOOKUP($O151,$O$19:$BN$48,AT$107,0)+1,IF(AT$110-$O151=1,AT$108*HLOOKUP($O151,$O$15:$BN$30,AT$107,0),IF(AT$110-$O151=-1,AT$108*HLOOKUP($O151,$O$23:$BN$68,AT$107,0),0)))</f>
        <v>0</v>
      </c>
      <c r="AU151" s="16">
        <f t="shared" si="131"/>
        <v>0</v>
      </c>
      <c r="AV151" s="16">
        <f t="shared" si="131"/>
        <v>0</v>
      </c>
      <c r="AW151" s="16">
        <f t="shared" si="131"/>
        <v>0</v>
      </c>
      <c r="AX151" s="16">
        <f t="shared" si="131"/>
        <v>0</v>
      </c>
      <c r="AY151" s="16">
        <f t="shared" si="131"/>
        <v>0</v>
      </c>
      <c r="AZ151" s="16">
        <f t="shared" si="131"/>
        <v>0</v>
      </c>
      <c r="BA151" s="16">
        <f t="shared" si="131"/>
        <v>0</v>
      </c>
      <c r="BB151" s="16">
        <f t="shared" si="131"/>
        <v>0</v>
      </c>
      <c r="BC151" s="16">
        <f t="shared" si="131"/>
        <v>0.26562523935700999</v>
      </c>
      <c r="BD151" s="16">
        <f t="shared" ref="BD151:BN161" si="132">IF(BD$110=$O151,BD$108*HLOOKUP($O151,$O$19:$BN$48,BD$107,0)+1,IF(BD$110-$O151=1,BD$108*HLOOKUP($O151,$O$15:$BN$30,BD$107,0),IF(BD$110-$O151=-1,BD$108*HLOOKUP($O151,$O$23:$BN$68,BD$107,0),0)))</f>
        <v>0.47634105737411447</v>
      </c>
      <c r="BE151" s="16">
        <f t="shared" si="132"/>
        <v>0.25803370326887548</v>
      </c>
      <c r="BF151" s="16">
        <f t="shared" si="132"/>
        <v>0</v>
      </c>
      <c r="BG151" s="16">
        <f t="shared" si="132"/>
        <v>0</v>
      </c>
      <c r="BH151" s="16">
        <f t="shared" si="132"/>
        <v>0</v>
      </c>
      <c r="BI151" s="16">
        <f t="shared" si="132"/>
        <v>0</v>
      </c>
      <c r="BJ151" s="16">
        <f t="shared" si="132"/>
        <v>0</v>
      </c>
      <c r="BK151" s="16">
        <f t="shared" si="132"/>
        <v>0</v>
      </c>
      <c r="BL151" s="16">
        <f t="shared" si="132"/>
        <v>0</v>
      </c>
      <c r="BM151" s="16">
        <f t="shared" si="132"/>
        <v>0</v>
      </c>
      <c r="BN151" s="16">
        <f t="shared" si="132"/>
        <v>0</v>
      </c>
      <c r="BQ151" s="9">
        <f t="shared" si="97"/>
        <v>10</v>
      </c>
      <c r="BR151" s="16">
        <f t="shared" ref="BR151:CA161" si="133">IF(BR$110=$O151,BR$108*HLOOKUP($O151,$O$19:$BN$48,BR$107,0)+1,IF(BR$110-$O151=1,BR$108*HLOOKUP($O151,$O$15:$BN$30,BR$107,0),IF(BR$110-$O151=-1,BR$108*HLOOKUP($O151,$O$23:$BN$68,BR$107,0),0)))</f>
        <v>0</v>
      </c>
      <c r="BS151" s="16">
        <f t="shared" si="133"/>
        <v>0</v>
      </c>
      <c r="BT151" s="16">
        <f t="shared" si="133"/>
        <v>0</v>
      </c>
      <c r="BU151" s="16">
        <f t="shared" si="133"/>
        <v>0</v>
      </c>
      <c r="BV151" s="16">
        <f t="shared" si="133"/>
        <v>0</v>
      </c>
      <c r="BW151" s="16">
        <f t="shared" si="133"/>
        <v>0</v>
      </c>
      <c r="BX151" s="16">
        <f t="shared" si="133"/>
        <v>0</v>
      </c>
      <c r="BY151" s="16">
        <f t="shared" si="133"/>
        <v>0</v>
      </c>
      <c r="BZ151" s="16">
        <f t="shared" si="133"/>
        <v>0</v>
      </c>
      <c r="CA151" s="16">
        <f t="shared" si="133"/>
        <v>0</v>
      </c>
      <c r="CB151" s="16">
        <f t="shared" ref="CB151:CK161" si="134">IF(CB$110=$O151,CB$108*HLOOKUP($O151,$O$19:$BN$48,CB$107,0)+1,IF(CB$110-$O151=1,CB$108*HLOOKUP($O151,$O$15:$BN$30,CB$107,0),IF(CB$110-$O151=-1,CB$108*HLOOKUP($O151,$O$23:$BN$68,CB$107,0),0)))</f>
        <v>0</v>
      </c>
      <c r="CC151" s="16">
        <f t="shared" si="134"/>
        <v>0</v>
      </c>
      <c r="CD151" s="16">
        <f t="shared" si="134"/>
        <v>0</v>
      </c>
      <c r="CE151" s="16">
        <f t="shared" si="134"/>
        <v>0</v>
      </c>
      <c r="CF151" s="16">
        <f t="shared" si="134"/>
        <v>0</v>
      </c>
      <c r="CG151" s="16">
        <f t="shared" si="134"/>
        <v>0</v>
      </c>
      <c r="CH151" s="16">
        <f t="shared" si="134"/>
        <v>0</v>
      </c>
      <c r="CI151" s="16">
        <f t="shared" si="134"/>
        <v>0</v>
      </c>
      <c r="CJ151" s="16">
        <f t="shared" si="134"/>
        <v>0</v>
      </c>
      <c r="CK151" s="16">
        <f t="shared" si="134"/>
        <v>0</v>
      </c>
      <c r="CL151" s="16">
        <f t="shared" ref="CL151:CU161" si="135">IF(CL$110=$O151,CL$108*HLOOKUP($O151,$O$19:$BN$48,CL$107,0)+1,IF(CL$110-$O151=1,CL$108*HLOOKUP($O151,$O$15:$BN$30,CL$107,0),IF(CL$110-$O151=-1,CL$108*HLOOKUP($O151,$O$23:$BN$68,CL$107,0),0)))</f>
        <v>0</v>
      </c>
      <c r="CM151" s="16">
        <f t="shared" si="135"/>
        <v>0</v>
      </c>
      <c r="CN151" s="16">
        <f t="shared" si="135"/>
        <v>0</v>
      </c>
      <c r="CO151" s="16">
        <f t="shared" si="135"/>
        <v>0</v>
      </c>
      <c r="CP151" s="16">
        <f t="shared" si="135"/>
        <v>0</v>
      </c>
      <c r="CQ151" s="16">
        <f t="shared" si="135"/>
        <v>0</v>
      </c>
      <c r="CR151" s="16">
        <f t="shared" si="135"/>
        <v>0</v>
      </c>
      <c r="CS151" s="16">
        <f t="shared" si="135"/>
        <v>0</v>
      </c>
      <c r="CT151" s="16">
        <f t="shared" si="135"/>
        <v>0</v>
      </c>
      <c r="CU151" s="16">
        <f t="shared" si="135"/>
        <v>0</v>
      </c>
      <c r="CV151" s="16">
        <f t="shared" ref="CV151:DE161" si="136">IF(CV$110=$O151,CV$108*HLOOKUP($O151,$O$19:$BN$48,CV$107,0)+1,IF(CV$110-$O151=1,CV$108*HLOOKUP($O151,$O$15:$BN$30,CV$107,0),IF(CV$110-$O151=-1,CV$108*HLOOKUP($O151,$O$23:$BN$68,CV$107,0),0)))</f>
        <v>0</v>
      </c>
      <c r="CW151" s="16">
        <f t="shared" si="136"/>
        <v>0</v>
      </c>
      <c r="CX151" s="16">
        <f t="shared" si="136"/>
        <v>0</v>
      </c>
      <c r="CY151" s="16">
        <f t="shared" si="136"/>
        <v>0</v>
      </c>
      <c r="CZ151" s="16">
        <f t="shared" si="136"/>
        <v>0</v>
      </c>
      <c r="DA151" s="16">
        <f t="shared" si="136"/>
        <v>0</v>
      </c>
      <c r="DB151" s="16">
        <f t="shared" si="136"/>
        <v>0</v>
      </c>
      <c r="DC151" s="16">
        <f t="shared" si="136"/>
        <v>0</v>
      </c>
      <c r="DD151" s="16">
        <f t="shared" si="136"/>
        <v>0</v>
      </c>
      <c r="DE151" s="16">
        <f t="shared" si="136"/>
        <v>0.48154082842126616</v>
      </c>
      <c r="DF151" s="16">
        <f t="shared" ref="DF151:DP161" si="137">IF(DF$110=$O151,DF$108*HLOOKUP($O151,$O$19:$BN$48,DF$107,0)+1,IF(DF$110-$O151=1,DF$108*HLOOKUP($O151,$O$15:$BN$30,DF$107,0),IF(DF$110-$O151=-1,DF$108*HLOOKUP($O151,$O$23:$BN$68,DF$107,0),0)))</f>
        <v>5.0680719751346026E-2</v>
      </c>
      <c r="DG151" s="16">
        <f t="shared" si="137"/>
        <v>0.46777845182738781</v>
      </c>
      <c r="DH151" s="16">
        <f t="shared" si="137"/>
        <v>0</v>
      </c>
      <c r="DI151" s="16">
        <f t="shared" si="137"/>
        <v>0</v>
      </c>
      <c r="DJ151" s="16">
        <f t="shared" si="137"/>
        <v>0</v>
      </c>
      <c r="DK151" s="16">
        <f t="shared" si="137"/>
        <v>0</v>
      </c>
      <c r="DL151" s="16">
        <f t="shared" si="137"/>
        <v>0</v>
      </c>
      <c r="DM151" s="16">
        <f t="shared" si="137"/>
        <v>0</v>
      </c>
      <c r="DN151" s="16">
        <f t="shared" si="137"/>
        <v>0</v>
      </c>
      <c r="DO151" s="16">
        <f t="shared" si="137"/>
        <v>0</v>
      </c>
      <c r="DP151" s="16">
        <f t="shared" si="137"/>
        <v>0</v>
      </c>
    </row>
    <row r="152" spans="10:120" x14ac:dyDescent="0.25">
      <c r="J152" s="93"/>
      <c r="O152" s="9">
        <f t="shared" si="96"/>
        <v>9</v>
      </c>
      <c r="P152" s="16">
        <f t="shared" si="128"/>
        <v>0</v>
      </c>
      <c r="Q152" s="16">
        <f t="shared" si="128"/>
        <v>0</v>
      </c>
      <c r="R152" s="16">
        <f t="shared" si="128"/>
        <v>0</v>
      </c>
      <c r="S152" s="16">
        <f t="shared" si="128"/>
        <v>0</v>
      </c>
      <c r="T152" s="16">
        <f t="shared" si="128"/>
        <v>0</v>
      </c>
      <c r="U152" s="16">
        <f t="shared" si="128"/>
        <v>0</v>
      </c>
      <c r="V152" s="16">
        <f t="shared" si="128"/>
        <v>0</v>
      </c>
      <c r="W152" s="16">
        <f t="shared" si="128"/>
        <v>0</v>
      </c>
      <c r="X152" s="16">
        <f t="shared" si="128"/>
        <v>0</v>
      </c>
      <c r="Y152" s="16">
        <f t="shared" si="128"/>
        <v>0</v>
      </c>
      <c r="Z152" s="16">
        <f t="shared" si="129"/>
        <v>0</v>
      </c>
      <c r="AA152" s="16">
        <f t="shared" si="129"/>
        <v>0</v>
      </c>
      <c r="AB152" s="16">
        <f t="shared" si="129"/>
        <v>0</v>
      </c>
      <c r="AC152" s="16">
        <f t="shared" si="129"/>
        <v>0</v>
      </c>
      <c r="AD152" s="16">
        <f t="shared" si="129"/>
        <v>0</v>
      </c>
      <c r="AE152" s="16">
        <f t="shared" si="129"/>
        <v>0</v>
      </c>
      <c r="AF152" s="16">
        <f t="shared" si="129"/>
        <v>0</v>
      </c>
      <c r="AG152" s="16">
        <f t="shared" si="129"/>
        <v>0</v>
      </c>
      <c r="AH152" s="16">
        <f t="shared" si="129"/>
        <v>0</v>
      </c>
      <c r="AI152" s="16">
        <f t="shared" si="129"/>
        <v>0</v>
      </c>
      <c r="AJ152" s="16">
        <f t="shared" si="130"/>
        <v>0</v>
      </c>
      <c r="AK152" s="16">
        <f t="shared" si="130"/>
        <v>0</v>
      </c>
      <c r="AL152" s="16">
        <f t="shared" si="130"/>
        <v>0</v>
      </c>
      <c r="AM152" s="16">
        <f t="shared" si="130"/>
        <v>0</v>
      </c>
      <c r="AN152" s="16">
        <f t="shared" si="130"/>
        <v>0</v>
      </c>
      <c r="AO152" s="16">
        <f t="shared" si="130"/>
        <v>0</v>
      </c>
      <c r="AP152" s="16">
        <f t="shared" si="130"/>
        <v>0</v>
      </c>
      <c r="AQ152" s="16">
        <f t="shared" si="130"/>
        <v>0</v>
      </c>
      <c r="AR152" s="16">
        <f t="shared" si="130"/>
        <v>0</v>
      </c>
      <c r="AS152" s="16">
        <f t="shared" si="130"/>
        <v>0</v>
      </c>
      <c r="AT152" s="16">
        <f t="shared" si="131"/>
        <v>0</v>
      </c>
      <c r="AU152" s="16">
        <f t="shared" si="131"/>
        <v>0</v>
      </c>
      <c r="AV152" s="16">
        <f t="shared" si="131"/>
        <v>0</v>
      </c>
      <c r="AW152" s="16">
        <f t="shared" si="131"/>
        <v>0</v>
      </c>
      <c r="AX152" s="16">
        <f t="shared" si="131"/>
        <v>0</v>
      </c>
      <c r="AY152" s="16">
        <f t="shared" si="131"/>
        <v>0</v>
      </c>
      <c r="AZ152" s="16">
        <f t="shared" si="131"/>
        <v>0</v>
      </c>
      <c r="BA152" s="16">
        <f t="shared" si="131"/>
        <v>0</v>
      </c>
      <c r="BB152" s="16">
        <f t="shared" si="131"/>
        <v>0</v>
      </c>
      <c r="BC152" s="16">
        <f t="shared" si="131"/>
        <v>0</v>
      </c>
      <c r="BD152" s="16">
        <f t="shared" si="132"/>
        <v>0.26562523935700999</v>
      </c>
      <c r="BE152" s="16">
        <f t="shared" si="132"/>
        <v>0.47634105737411447</v>
      </c>
      <c r="BF152" s="16">
        <f t="shared" si="132"/>
        <v>0.25803370326887548</v>
      </c>
      <c r="BG152" s="16">
        <f t="shared" si="132"/>
        <v>0</v>
      </c>
      <c r="BH152" s="16">
        <f t="shared" si="132"/>
        <v>0</v>
      </c>
      <c r="BI152" s="16">
        <f t="shared" si="132"/>
        <v>0</v>
      </c>
      <c r="BJ152" s="16">
        <f t="shared" si="132"/>
        <v>0</v>
      </c>
      <c r="BK152" s="16">
        <f t="shared" si="132"/>
        <v>0</v>
      </c>
      <c r="BL152" s="16">
        <f t="shared" si="132"/>
        <v>0</v>
      </c>
      <c r="BM152" s="16">
        <f t="shared" si="132"/>
        <v>0</v>
      </c>
      <c r="BN152" s="16">
        <f t="shared" si="132"/>
        <v>0</v>
      </c>
      <c r="BQ152" s="9">
        <f t="shared" si="97"/>
        <v>9</v>
      </c>
      <c r="BR152" s="16">
        <f t="shared" si="133"/>
        <v>0</v>
      </c>
      <c r="BS152" s="16">
        <f t="shared" si="133"/>
        <v>0</v>
      </c>
      <c r="BT152" s="16">
        <f t="shared" si="133"/>
        <v>0</v>
      </c>
      <c r="BU152" s="16">
        <f t="shared" si="133"/>
        <v>0</v>
      </c>
      <c r="BV152" s="16">
        <f t="shared" si="133"/>
        <v>0</v>
      </c>
      <c r="BW152" s="16">
        <f t="shared" si="133"/>
        <v>0</v>
      </c>
      <c r="BX152" s="16">
        <f t="shared" si="133"/>
        <v>0</v>
      </c>
      <c r="BY152" s="16">
        <f t="shared" si="133"/>
        <v>0</v>
      </c>
      <c r="BZ152" s="16">
        <f t="shared" si="133"/>
        <v>0</v>
      </c>
      <c r="CA152" s="16">
        <f t="shared" si="133"/>
        <v>0</v>
      </c>
      <c r="CB152" s="16">
        <f t="shared" si="134"/>
        <v>0</v>
      </c>
      <c r="CC152" s="16">
        <f t="shared" si="134"/>
        <v>0</v>
      </c>
      <c r="CD152" s="16">
        <f t="shared" si="134"/>
        <v>0</v>
      </c>
      <c r="CE152" s="16">
        <f t="shared" si="134"/>
        <v>0</v>
      </c>
      <c r="CF152" s="16">
        <f t="shared" si="134"/>
        <v>0</v>
      </c>
      <c r="CG152" s="16">
        <f t="shared" si="134"/>
        <v>0</v>
      </c>
      <c r="CH152" s="16">
        <f t="shared" si="134"/>
        <v>0</v>
      </c>
      <c r="CI152" s="16">
        <f t="shared" si="134"/>
        <v>0</v>
      </c>
      <c r="CJ152" s="16">
        <f t="shared" si="134"/>
        <v>0</v>
      </c>
      <c r="CK152" s="16">
        <f t="shared" si="134"/>
        <v>0</v>
      </c>
      <c r="CL152" s="16">
        <f t="shared" si="135"/>
        <v>0</v>
      </c>
      <c r="CM152" s="16">
        <f t="shared" si="135"/>
        <v>0</v>
      </c>
      <c r="CN152" s="16">
        <f t="shared" si="135"/>
        <v>0</v>
      </c>
      <c r="CO152" s="16">
        <f t="shared" si="135"/>
        <v>0</v>
      </c>
      <c r="CP152" s="16">
        <f t="shared" si="135"/>
        <v>0</v>
      </c>
      <c r="CQ152" s="16">
        <f t="shared" si="135"/>
        <v>0</v>
      </c>
      <c r="CR152" s="16">
        <f t="shared" si="135"/>
        <v>0</v>
      </c>
      <c r="CS152" s="16">
        <f t="shared" si="135"/>
        <v>0</v>
      </c>
      <c r="CT152" s="16">
        <f t="shared" si="135"/>
        <v>0</v>
      </c>
      <c r="CU152" s="16">
        <f t="shared" si="135"/>
        <v>0</v>
      </c>
      <c r="CV152" s="16">
        <f t="shared" si="136"/>
        <v>0</v>
      </c>
      <c r="CW152" s="16">
        <f t="shared" si="136"/>
        <v>0</v>
      </c>
      <c r="CX152" s="16">
        <f t="shared" si="136"/>
        <v>0</v>
      </c>
      <c r="CY152" s="16">
        <f t="shared" si="136"/>
        <v>0</v>
      </c>
      <c r="CZ152" s="16">
        <f t="shared" si="136"/>
        <v>0</v>
      </c>
      <c r="DA152" s="16">
        <f t="shared" si="136"/>
        <v>0</v>
      </c>
      <c r="DB152" s="16">
        <f t="shared" si="136"/>
        <v>0</v>
      </c>
      <c r="DC152" s="16">
        <f t="shared" si="136"/>
        <v>0</v>
      </c>
      <c r="DD152" s="16">
        <f t="shared" si="136"/>
        <v>0</v>
      </c>
      <c r="DE152" s="16">
        <f t="shared" si="136"/>
        <v>0</v>
      </c>
      <c r="DF152" s="16">
        <f t="shared" si="137"/>
        <v>0.48154082842126616</v>
      </c>
      <c r="DG152" s="16">
        <f t="shared" si="137"/>
        <v>5.0680719751346026E-2</v>
      </c>
      <c r="DH152" s="16">
        <f t="shared" si="137"/>
        <v>0.46777845182738781</v>
      </c>
      <c r="DI152" s="16">
        <f t="shared" si="137"/>
        <v>0</v>
      </c>
      <c r="DJ152" s="16">
        <f t="shared" si="137"/>
        <v>0</v>
      </c>
      <c r="DK152" s="16">
        <f t="shared" si="137"/>
        <v>0</v>
      </c>
      <c r="DL152" s="16">
        <f t="shared" si="137"/>
        <v>0</v>
      </c>
      <c r="DM152" s="16">
        <f t="shared" si="137"/>
        <v>0</v>
      </c>
      <c r="DN152" s="16">
        <f t="shared" si="137"/>
        <v>0</v>
      </c>
      <c r="DO152" s="16">
        <f t="shared" si="137"/>
        <v>0</v>
      </c>
      <c r="DP152" s="16">
        <f t="shared" si="137"/>
        <v>0</v>
      </c>
    </row>
    <row r="153" spans="10:120" x14ac:dyDescent="0.25">
      <c r="J153" s="93"/>
      <c r="O153" s="9">
        <f t="shared" si="96"/>
        <v>8</v>
      </c>
      <c r="P153" s="16">
        <f t="shared" si="128"/>
        <v>0</v>
      </c>
      <c r="Q153" s="16">
        <f t="shared" si="128"/>
        <v>0</v>
      </c>
      <c r="R153" s="16">
        <f t="shared" si="128"/>
        <v>0</v>
      </c>
      <c r="S153" s="16">
        <f t="shared" si="128"/>
        <v>0</v>
      </c>
      <c r="T153" s="16">
        <f t="shared" si="128"/>
        <v>0</v>
      </c>
      <c r="U153" s="16">
        <f t="shared" si="128"/>
        <v>0</v>
      </c>
      <c r="V153" s="16">
        <f t="shared" si="128"/>
        <v>0</v>
      </c>
      <c r="W153" s="16">
        <f t="shared" si="128"/>
        <v>0</v>
      </c>
      <c r="X153" s="16">
        <f t="shared" si="128"/>
        <v>0</v>
      </c>
      <c r="Y153" s="16">
        <f t="shared" si="128"/>
        <v>0</v>
      </c>
      <c r="Z153" s="16">
        <f t="shared" si="129"/>
        <v>0</v>
      </c>
      <c r="AA153" s="16">
        <f t="shared" si="129"/>
        <v>0</v>
      </c>
      <c r="AB153" s="16">
        <f t="shared" si="129"/>
        <v>0</v>
      </c>
      <c r="AC153" s="16">
        <f t="shared" si="129"/>
        <v>0</v>
      </c>
      <c r="AD153" s="16">
        <f t="shared" si="129"/>
        <v>0</v>
      </c>
      <c r="AE153" s="16">
        <f t="shared" si="129"/>
        <v>0</v>
      </c>
      <c r="AF153" s="16">
        <f t="shared" si="129"/>
        <v>0</v>
      </c>
      <c r="AG153" s="16">
        <f t="shared" si="129"/>
        <v>0</v>
      </c>
      <c r="AH153" s="16">
        <f t="shared" si="129"/>
        <v>0</v>
      </c>
      <c r="AI153" s="16">
        <f t="shared" si="129"/>
        <v>0</v>
      </c>
      <c r="AJ153" s="16">
        <f t="shared" si="130"/>
        <v>0</v>
      </c>
      <c r="AK153" s="16">
        <f t="shared" si="130"/>
        <v>0</v>
      </c>
      <c r="AL153" s="16">
        <f t="shared" si="130"/>
        <v>0</v>
      </c>
      <c r="AM153" s="16">
        <f t="shared" si="130"/>
        <v>0</v>
      </c>
      <c r="AN153" s="16">
        <f t="shared" si="130"/>
        <v>0</v>
      </c>
      <c r="AO153" s="16">
        <f t="shared" si="130"/>
        <v>0</v>
      </c>
      <c r="AP153" s="16">
        <f t="shared" si="130"/>
        <v>0</v>
      </c>
      <c r="AQ153" s="16">
        <f t="shared" si="130"/>
        <v>0</v>
      </c>
      <c r="AR153" s="16">
        <f t="shared" si="130"/>
        <v>0</v>
      </c>
      <c r="AS153" s="16">
        <f t="shared" si="130"/>
        <v>0</v>
      </c>
      <c r="AT153" s="16">
        <f t="shared" si="131"/>
        <v>0</v>
      </c>
      <c r="AU153" s="16">
        <f t="shared" si="131"/>
        <v>0</v>
      </c>
      <c r="AV153" s="16">
        <f t="shared" si="131"/>
        <v>0</v>
      </c>
      <c r="AW153" s="16">
        <f t="shared" si="131"/>
        <v>0</v>
      </c>
      <c r="AX153" s="16">
        <f t="shared" si="131"/>
        <v>0</v>
      </c>
      <c r="AY153" s="16">
        <f t="shared" si="131"/>
        <v>0</v>
      </c>
      <c r="AZ153" s="16">
        <f t="shared" si="131"/>
        <v>0</v>
      </c>
      <c r="BA153" s="16">
        <f t="shared" si="131"/>
        <v>0</v>
      </c>
      <c r="BB153" s="16">
        <f t="shared" si="131"/>
        <v>0</v>
      </c>
      <c r="BC153" s="16">
        <f t="shared" si="131"/>
        <v>0</v>
      </c>
      <c r="BD153" s="16">
        <f t="shared" si="132"/>
        <v>0</v>
      </c>
      <c r="BE153" s="16">
        <f t="shared" si="132"/>
        <v>0.26562523935700999</v>
      </c>
      <c r="BF153" s="16">
        <f t="shared" si="132"/>
        <v>0.47634105737411447</v>
      </c>
      <c r="BG153" s="16">
        <f t="shared" si="132"/>
        <v>0.25803370326887548</v>
      </c>
      <c r="BH153" s="16">
        <f t="shared" si="132"/>
        <v>0</v>
      </c>
      <c r="BI153" s="16">
        <f t="shared" si="132"/>
        <v>0</v>
      </c>
      <c r="BJ153" s="16">
        <f t="shared" si="132"/>
        <v>0</v>
      </c>
      <c r="BK153" s="16">
        <f t="shared" si="132"/>
        <v>0</v>
      </c>
      <c r="BL153" s="16">
        <f t="shared" si="132"/>
        <v>0</v>
      </c>
      <c r="BM153" s="16">
        <f t="shared" si="132"/>
        <v>0</v>
      </c>
      <c r="BN153" s="16">
        <f t="shared" si="132"/>
        <v>0</v>
      </c>
      <c r="BQ153" s="9">
        <f t="shared" si="97"/>
        <v>8</v>
      </c>
      <c r="BR153" s="16">
        <f t="shared" si="133"/>
        <v>0</v>
      </c>
      <c r="BS153" s="16">
        <f t="shared" si="133"/>
        <v>0</v>
      </c>
      <c r="BT153" s="16">
        <f t="shared" si="133"/>
        <v>0</v>
      </c>
      <c r="BU153" s="16">
        <f t="shared" si="133"/>
        <v>0</v>
      </c>
      <c r="BV153" s="16">
        <f t="shared" si="133"/>
        <v>0</v>
      </c>
      <c r="BW153" s="16">
        <f t="shared" si="133"/>
        <v>0</v>
      </c>
      <c r="BX153" s="16">
        <f t="shared" si="133"/>
        <v>0</v>
      </c>
      <c r="BY153" s="16">
        <f t="shared" si="133"/>
        <v>0</v>
      </c>
      <c r="BZ153" s="16">
        <f t="shared" si="133"/>
        <v>0</v>
      </c>
      <c r="CA153" s="16">
        <f t="shared" si="133"/>
        <v>0</v>
      </c>
      <c r="CB153" s="16">
        <f t="shared" si="134"/>
        <v>0</v>
      </c>
      <c r="CC153" s="16">
        <f t="shared" si="134"/>
        <v>0</v>
      </c>
      <c r="CD153" s="16">
        <f t="shared" si="134"/>
        <v>0</v>
      </c>
      <c r="CE153" s="16">
        <f t="shared" si="134"/>
        <v>0</v>
      </c>
      <c r="CF153" s="16">
        <f t="shared" si="134"/>
        <v>0</v>
      </c>
      <c r="CG153" s="16">
        <f t="shared" si="134"/>
        <v>0</v>
      </c>
      <c r="CH153" s="16">
        <f t="shared" si="134"/>
        <v>0</v>
      </c>
      <c r="CI153" s="16">
        <f t="shared" si="134"/>
        <v>0</v>
      </c>
      <c r="CJ153" s="16">
        <f t="shared" si="134"/>
        <v>0</v>
      </c>
      <c r="CK153" s="16">
        <f t="shared" si="134"/>
        <v>0</v>
      </c>
      <c r="CL153" s="16">
        <f t="shared" si="135"/>
        <v>0</v>
      </c>
      <c r="CM153" s="16">
        <f t="shared" si="135"/>
        <v>0</v>
      </c>
      <c r="CN153" s="16">
        <f t="shared" si="135"/>
        <v>0</v>
      </c>
      <c r="CO153" s="16">
        <f t="shared" si="135"/>
        <v>0</v>
      </c>
      <c r="CP153" s="16">
        <f t="shared" si="135"/>
        <v>0</v>
      </c>
      <c r="CQ153" s="16">
        <f t="shared" si="135"/>
        <v>0</v>
      </c>
      <c r="CR153" s="16">
        <f t="shared" si="135"/>
        <v>0</v>
      </c>
      <c r="CS153" s="16">
        <f t="shared" si="135"/>
        <v>0</v>
      </c>
      <c r="CT153" s="16">
        <f t="shared" si="135"/>
        <v>0</v>
      </c>
      <c r="CU153" s="16">
        <f t="shared" si="135"/>
        <v>0</v>
      </c>
      <c r="CV153" s="16">
        <f t="shared" si="136"/>
        <v>0</v>
      </c>
      <c r="CW153" s="16">
        <f t="shared" si="136"/>
        <v>0</v>
      </c>
      <c r="CX153" s="16">
        <f t="shared" si="136"/>
        <v>0</v>
      </c>
      <c r="CY153" s="16">
        <f t="shared" si="136"/>
        <v>0</v>
      </c>
      <c r="CZ153" s="16">
        <f t="shared" si="136"/>
        <v>0</v>
      </c>
      <c r="DA153" s="16">
        <f t="shared" si="136"/>
        <v>0</v>
      </c>
      <c r="DB153" s="16">
        <f t="shared" si="136"/>
        <v>0</v>
      </c>
      <c r="DC153" s="16">
        <f t="shared" si="136"/>
        <v>0</v>
      </c>
      <c r="DD153" s="16">
        <f t="shared" si="136"/>
        <v>0</v>
      </c>
      <c r="DE153" s="16">
        <f t="shared" si="136"/>
        <v>0</v>
      </c>
      <c r="DF153" s="16">
        <f t="shared" si="137"/>
        <v>0</v>
      </c>
      <c r="DG153" s="16">
        <f t="shared" si="137"/>
        <v>0.48154082842126616</v>
      </c>
      <c r="DH153" s="16">
        <f t="shared" si="137"/>
        <v>5.0680719751346026E-2</v>
      </c>
      <c r="DI153" s="16">
        <f t="shared" si="137"/>
        <v>0.46777845182738781</v>
      </c>
      <c r="DJ153" s="16">
        <f t="shared" si="137"/>
        <v>0</v>
      </c>
      <c r="DK153" s="16">
        <f t="shared" si="137"/>
        <v>0</v>
      </c>
      <c r="DL153" s="16">
        <f t="shared" si="137"/>
        <v>0</v>
      </c>
      <c r="DM153" s="16">
        <f t="shared" si="137"/>
        <v>0</v>
      </c>
      <c r="DN153" s="16">
        <f t="shared" si="137"/>
        <v>0</v>
      </c>
      <c r="DO153" s="16">
        <f t="shared" si="137"/>
        <v>0</v>
      </c>
      <c r="DP153" s="16">
        <f t="shared" si="137"/>
        <v>0</v>
      </c>
    </row>
    <row r="154" spans="10:120" x14ac:dyDescent="0.25">
      <c r="J154" s="93"/>
      <c r="O154" s="9">
        <f t="shared" si="96"/>
        <v>7</v>
      </c>
      <c r="P154" s="16">
        <f t="shared" si="128"/>
        <v>0</v>
      </c>
      <c r="Q154" s="16">
        <f t="shared" si="128"/>
        <v>0</v>
      </c>
      <c r="R154" s="16">
        <f t="shared" si="128"/>
        <v>0</v>
      </c>
      <c r="S154" s="16">
        <f t="shared" si="128"/>
        <v>0</v>
      </c>
      <c r="T154" s="16">
        <f t="shared" si="128"/>
        <v>0</v>
      </c>
      <c r="U154" s="16">
        <f t="shared" si="128"/>
        <v>0</v>
      </c>
      <c r="V154" s="16">
        <f t="shared" si="128"/>
        <v>0</v>
      </c>
      <c r="W154" s="16">
        <f t="shared" si="128"/>
        <v>0</v>
      </c>
      <c r="X154" s="16">
        <f t="shared" si="128"/>
        <v>0</v>
      </c>
      <c r="Y154" s="16">
        <f t="shared" si="128"/>
        <v>0</v>
      </c>
      <c r="Z154" s="16">
        <f t="shared" si="129"/>
        <v>0</v>
      </c>
      <c r="AA154" s="16">
        <f t="shared" si="129"/>
        <v>0</v>
      </c>
      <c r="AB154" s="16">
        <f t="shared" si="129"/>
        <v>0</v>
      </c>
      <c r="AC154" s="16">
        <f t="shared" si="129"/>
        <v>0</v>
      </c>
      <c r="AD154" s="16">
        <f t="shared" si="129"/>
        <v>0</v>
      </c>
      <c r="AE154" s="16">
        <f t="shared" si="129"/>
        <v>0</v>
      </c>
      <c r="AF154" s="16">
        <f t="shared" si="129"/>
        <v>0</v>
      </c>
      <c r="AG154" s="16">
        <f t="shared" si="129"/>
        <v>0</v>
      </c>
      <c r="AH154" s="16">
        <f t="shared" si="129"/>
        <v>0</v>
      </c>
      <c r="AI154" s="16">
        <f t="shared" si="129"/>
        <v>0</v>
      </c>
      <c r="AJ154" s="16">
        <f t="shared" si="130"/>
        <v>0</v>
      </c>
      <c r="AK154" s="16">
        <f t="shared" si="130"/>
        <v>0</v>
      </c>
      <c r="AL154" s="16">
        <f t="shared" si="130"/>
        <v>0</v>
      </c>
      <c r="AM154" s="16">
        <f t="shared" si="130"/>
        <v>0</v>
      </c>
      <c r="AN154" s="16">
        <f t="shared" si="130"/>
        <v>0</v>
      </c>
      <c r="AO154" s="16">
        <f t="shared" si="130"/>
        <v>0</v>
      </c>
      <c r="AP154" s="16">
        <f t="shared" si="130"/>
        <v>0</v>
      </c>
      <c r="AQ154" s="16">
        <f t="shared" si="130"/>
        <v>0</v>
      </c>
      <c r="AR154" s="16">
        <f t="shared" si="130"/>
        <v>0</v>
      </c>
      <c r="AS154" s="16">
        <f t="shared" si="130"/>
        <v>0</v>
      </c>
      <c r="AT154" s="16">
        <f t="shared" si="131"/>
        <v>0</v>
      </c>
      <c r="AU154" s="16">
        <f t="shared" si="131"/>
        <v>0</v>
      </c>
      <c r="AV154" s="16">
        <f t="shared" si="131"/>
        <v>0</v>
      </c>
      <c r="AW154" s="16">
        <f t="shared" si="131"/>
        <v>0</v>
      </c>
      <c r="AX154" s="16">
        <f t="shared" si="131"/>
        <v>0</v>
      </c>
      <c r="AY154" s="16">
        <f t="shared" si="131"/>
        <v>0</v>
      </c>
      <c r="AZ154" s="16">
        <f t="shared" si="131"/>
        <v>0</v>
      </c>
      <c r="BA154" s="16">
        <f t="shared" si="131"/>
        <v>0</v>
      </c>
      <c r="BB154" s="16">
        <f t="shared" si="131"/>
        <v>0</v>
      </c>
      <c r="BC154" s="16">
        <f t="shared" si="131"/>
        <v>0</v>
      </c>
      <c r="BD154" s="16">
        <f t="shared" si="132"/>
        <v>0</v>
      </c>
      <c r="BE154" s="16">
        <f t="shared" si="132"/>
        <v>0</v>
      </c>
      <c r="BF154" s="16">
        <f t="shared" si="132"/>
        <v>0.26562523935700999</v>
      </c>
      <c r="BG154" s="16">
        <f t="shared" si="132"/>
        <v>0.47634105737411447</v>
      </c>
      <c r="BH154" s="16">
        <f t="shared" si="132"/>
        <v>0.25803370326887548</v>
      </c>
      <c r="BI154" s="16">
        <f t="shared" si="132"/>
        <v>0</v>
      </c>
      <c r="BJ154" s="16">
        <f t="shared" si="132"/>
        <v>0</v>
      </c>
      <c r="BK154" s="16">
        <f t="shared" si="132"/>
        <v>0</v>
      </c>
      <c r="BL154" s="16">
        <f t="shared" si="132"/>
        <v>0</v>
      </c>
      <c r="BM154" s="16">
        <f t="shared" si="132"/>
        <v>0</v>
      </c>
      <c r="BN154" s="16">
        <f t="shared" si="132"/>
        <v>0</v>
      </c>
      <c r="BQ154" s="9">
        <f t="shared" si="97"/>
        <v>7</v>
      </c>
      <c r="BR154" s="16">
        <f t="shared" si="133"/>
        <v>0</v>
      </c>
      <c r="BS154" s="16">
        <f t="shared" si="133"/>
        <v>0</v>
      </c>
      <c r="BT154" s="16">
        <f t="shared" si="133"/>
        <v>0</v>
      </c>
      <c r="BU154" s="16">
        <f t="shared" si="133"/>
        <v>0</v>
      </c>
      <c r="BV154" s="16">
        <f t="shared" si="133"/>
        <v>0</v>
      </c>
      <c r="BW154" s="16">
        <f t="shared" si="133"/>
        <v>0</v>
      </c>
      <c r="BX154" s="16">
        <f t="shared" si="133"/>
        <v>0</v>
      </c>
      <c r="BY154" s="16">
        <f t="shared" si="133"/>
        <v>0</v>
      </c>
      <c r="BZ154" s="16">
        <f t="shared" si="133"/>
        <v>0</v>
      </c>
      <c r="CA154" s="16">
        <f t="shared" si="133"/>
        <v>0</v>
      </c>
      <c r="CB154" s="16">
        <f t="shared" si="134"/>
        <v>0</v>
      </c>
      <c r="CC154" s="16">
        <f t="shared" si="134"/>
        <v>0</v>
      </c>
      <c r="CD154" s="16">
        <f t="shared" si="134"/>
        <v>0</v>
      </c>
      <c r="CE154" s="16">
        <f t="shared" si="134"/>
        <v>0</v>
      </c>
      <c r="CF154" s="16">
        <f t="shared" si="134"/>
        <v>0</v>
      </c>
      <c r="CG154" s="16">
        <f t="shared" si="134"/>
        <v>0</v>
      </c>
      <c r="CH154" s="16">
        <f t="shared" si="134"/>
        <v>0</v>
      </c>
      <c r="CI154" s="16">
        <f t="shared" si="134"/>
        <v>0</v>
      </c>
      <c r="CJ154" s="16">
        <f t="shared" si="134"/>
        <v>0</v>
      </c>
      <c r="CK154" s="16">
        <f t="shared" si="134"/>
        <v>0</v>
      </c>
      <c r="CL154" s="16">
        <f t="shared" si="135"/>
        <v>0</v>
      </c>
      <c r="CM154" s="16">
        <f t="shared" si="135"/>
        <v>0</v>
      </c>
      <c r="CN154" s="16">
        <f t="shared" si="135"/>
        <v>0</v>
      </c>
      <c r="CO154" s="16">
        <f t="shared" si="135"/>
        <v>0</v>
      </c>
      <c r="CP154" s="16">
        <f t="shared" si="135"/>
        <v>0</v>
      </c>
      <c r="CQ154" s="16">
        <f t="shared" si="135"/>
        <v>0</v>
      </c>
      <c r="CR154" s="16">
        <f t="shared" si="135"/>
        <v>0</v>
      </c>
      <c r="CS154" s="16">
        <f t="shared" si="135"/>
        <v>0</v>
      </c>
      <c r="CT154" s="16">
        <f t="shared" si="135"/>
        <v>0</v>
      </c>
      <c r="CU154" s="16">
        <f t="shared" si="135"/>
        <v>0</v>
      </c>
      <c r="CV154" s="16">
        <f t="shared" si="136"/>
        <v>0</v>
      </c>
      <c r="CW154" s="16">
        <f t="shared" si="136"/>
        <v>0</v>
      </c>
      <c r="CX154" s="16">
        <f t="shared" si="136"/>
        <v>0</v>
      </c>
      <c r="CY154" s="16">
        <f t="shared" si="136"/>
        <v>0</v>
      </c>
      <c r="CZ154" s="16">
        <f t="shared" si="136"/>
        <v>0</v>
      </c>
      <c r="DA154" s="16">
        <f t="shared" si="136"/>
        <v>0</v>
      </c>
      <c r="DB154" s="16">
        <f t="shared" si="136"/>
        <v>0</v>
      </c>
      <c r="DC154" s="16">
        <f t="shared" si="136"/>
        <v>0</v>
      </c>
      <c r="DD154" s="16">
        <f t="shared" si="136"/>
        <v>0</v>
      </c>
      <c r="DE154" s="16">
        <f t="shared" si="136"/>
        <v>0</v>
      </c>
      <c r="DF154" s="16">
        <f t="shared" si="137"/>
        <v>0</v>
      </c>
      <c r="DG154" s="16">
        <f t="shared" si="137"/>
        <v>0</v>
      </c>
      <c r="DH154" s="16">
        <f t="shared" si="137"/>
        <v>0.48154082842126616</v>
      </c>
      <c r="DI154" s="16">
        <f t="shared" si="137"/>
        <v>5.0680719751346026E-2</v>
      </c>
      <c r="DJ154" s="16">
        <f t="shared" si="137"/>
        <v>0.46777845182738781</v>
      </c>
      <c r="DK154" s="16">
        <f t="shared" si="137"/>
        <v>0</v>
      </c>
      <c r="DL154" s="16">
        <f t="shared" si="137"/>
        <v>0</v>
      </c>
      <c r="DM154" s="16">
        <f t="shared" si="137"/>
        <v>0</v>
      </c>
      <c r="DN154" s="16">
        <f t="shared" si="137"/>
        <v>0</v>
      </c>
      <c r="DO154" s="16">
        <f t="shared" si="137"/>
        <v>0</v>
      </c>
      <c r="DP154" s="16">
        <f t="shared" si="137"/>
        <v>0</v>
      </c>
    </row>
    <row r="155" spans="10:120" x14ac:dyDescent="0.25">
      <c r="J155" s="93"/>
      <c r="O155" s="9">
        <f t="shared" si="96"/>
        <v>6</v>
      </c>
      <c r="P155" s="16">
        <f t="shared" si="128"/>
        <v>0</v>
      </c>
      <c r="Q155" s="16">
        <f t="shared" si="128"/>
        <v>0</v>
      </c>
      <c r="R155" s="16">
        <f t="shared" si="128"/>
        <v>0</v>
      </c>
      <c r="S155" s="16">
        <f t="shared" si="128"/>
        <v>0</v>
      </c>
      <c r="T155" s="16">
        <f t="shared" si="128"/>
        <v>0</v>
      </c>
      <c r="U155" s="16">
        <f t="shared" si="128"/>
        <v>0</v>
      </c>
      <c r="V155" s="16">
        <f t="shared" si="128"/>
        <v>0</v>
      </c>
      <c r="W155" s="16">
        <f t="shared" si="128"/>
        <v>0</v>
      </c>
      <c r="X155" s="16">
        <f t="shared" si="128"/>
        <v>0</v>
      </c>
      <c r="Y155" s="16">
        <f t="shared" si="128"/>
        <v>0</v>
      </c>
      <c r="Z155" s="16">
        <f t="shared" si="129"/>
        <v>0</v>
      </c>
      <c r="AA155" s="16">
        <f t="shared" si="129"/>
        <v>0</v>
      </c>
      <c r="AB155" s="16">
        <f t="shared" si="129"/>
        <v>0</v>
      </c>
      <c r="AC155" s="16">
        <f t="shared" si="129"/>
        <v>0</v>
      </c>
      <c r="AD155" s="16">
        <f t="shared" si="129"/>
        <v>0</v>
      </c>
      <c r="AE155" s="16">
        <f t="shared" si="129"/>
        <v>0</v>
      </c>
      <c r="AF155" s="16">
        <f t="shared" si="129"/>
        <v>0</v>
      </c>
      <c r="AG155" s="16">
        <f t="shared" si="129"/>
        <v>0</v>
      </c>
      <c r="AH155" s="16">
        <f t="shared" si="129"/>
        <v>0</v>
      </c>
      <c r="AI155" s="16">
        <f t="shared" si="129"/>
        <v>0</v>
      </c>
      <c r="AJ155" s="16">
        <f t="shared" si="130"/>
        <v>0</v>
      </c>
      <c r="AK155" s="16">
        <f t="shared" si="130"/>
        <v>0</v>
      </c>
      <c r="AL155" s="16">
        <f t="shared" si="130"/>
        <v>0</v>
      </c>
      <c r="AM155" s="16">
        <f t="shared" si="130"/>
        <v>0</v>
      </c>
      <c r="AN155" s="16">
        <f t="shared" si="130"/>
        <v>0</v>
      </c>
      <c r="AO155" s="16">
        <f t="shared" si="130"/>
        <v>0</v>
      </c>
      <c r="AP155" s="16">
        <f t="shared" si="130"/>
        <v>0</v>
      </c>
      <c r="AQ155" s="16">
        <f t="shared" si="130"/>
        <v>0</v>
      </c>
      <c r="AR155" s="16">
        <f t="shared" si="130"/>
        <v>0</v>
      </c>
      <c r="AS155" s="16">
        <f t="shared" si="130"/>
        <v>0</v>
      </c>
      <c r="AT155" s="16">
        <f t="shared" si="131"/>
        <v>0</v>
      </c>
      <c r="AU155" s="16">
        <f t="shared" si="131"/>
        <v>0</v>
      </c>
      <c r="AV155" s="16">
        <f t="shared" si="131"/>
        <v>0</v>
      </c>
      <c r="AW155" s="16">
        <f t="shared" si="131"/>
        <v>0</v>
      </c>
      <c r="AX155" s="16">
        <f t="shared" si="131"/>
        <v>0</v>
      </c>
      <c r="AY155" s="16">
        <f t="shared" si="131"/>
        <v>0</v>
      </c>
      <c r="AZ155" s="16">
        <f t="shared" si="131"/>
        <v>0</v>
      </c>
      <c r="BA155" s="16">
        <f t="shared" si="131"/>
        <v>0</v>
      </c>
      <c r="BB155" s="16">
        <f t="shared" si="131"/>
        <v>0</v>
      </c>
      <c r="BC155" s="16">
        <f t="shared" si="131"/>
        <v>0</v>
      </c>
      <c r="BD155" s="16">
        <f t="shared" si="132"/>
        <v>0</v>
      </c>
      <c r="BE155" s="16">
        <f t="shared" si="132"/>
        <v>0</v>
      </c>
      <c r="BF155" s="16">
        <f t="shared" si="132"/>
        <v>0</v>
      </c>
      <c r="BG155" s="16">
        <f t="shared" si="132"/>
        <v>0.26562523935700999</v>
      </c>
      <c r="BH155" s="16">
        <f t="shared" si="132"/>
        <v>0.47634105737411447</v>
      </c>
      <c r="BI155" s="16">
        <f t="shared" si="132"/>
        <v>0.25803370326887548</v>
      </c>
      <c r="BJ155" s="16">
        <f t="shared" si="132"/>
        <v>0</v>
      </c>
      <c r="BK155" s="16">
        <f t="shared" si="132"/>
        <v>0</v>
      </c>
      <c r="BL155" s="16">
        <f t="shared" si="132"/>
        <v>0</v>
      </c>
      <c r="BM155" s="16">
        <f t="shared" si="132"/>
        <v>0</v>
      </c>
      <c r="BN155" s="16">
        <f t="shared" si="132"/>
        <v>0</v>
      </c>
      <c r="BQ155" s="9">
        <f t="shared" si="97"/>
        <v>6</v>
      </c>
      <c r="BR155" s="16">
        <f t="shared" si="133"/>
        <v>0</v>
      </c>
      <c r="BS155" s="16">
        <f t="shared" si="133"/>
        <v>0</v>
      </c>
      <c r="BT155" s="16">
        <f t="shared" si="133"/>
        <v>0</v>
      </c>
      <c r="BU155" s="16">
        <f t="shared" si="133"/>
        <v>0</v>
      </c>
      <c r="BV155" s="16">
        <f t="shared" si="133"/>
        <v>0</v>
      </c>
      <c r="BW155" s="16">
        <f t="shared" si="133"/>
        <v>0</v>
      </c>
      <c r="BX155" s="16">
        <f t="shared" si="133"/>
        <v>0</v>
      </c>
      <c r="BY155" s="16">
        <f t="shared" si="133"/>
        <v>0</v>
      </c>
      <c r="BZ155" s="16">
        <f t="shared" si="133"/>
        <v>0</v>
      </c>
      <c r="CA155" s="16">
        <f t="shared" si="133"/>
        <v>0</v>
      </c>
      <c r="CB155" s="16">
        <f t="shared" si="134"/>
        <v>0</v>
      </c>
      <c r="CC155" s="16">
        <f t="shared" si="134"/>
        <v>0</v>
      </c>
      <c r="CD155" s="16">
        <f t="shared" si="134"/>
        <v>0</v>
      </c>
      <c r="CE155" s="16">
        <f t="shared" si="134"/>
        <v>0</v>
      </c>
      <c r="CF155" s="16">
        <f t="shared" si="134"/>
        <v>0</v>
      </c>
      <c r="CG155" s="16">
        <f t="shared" si="134"/>
        <v>0</v>
      </c>
      <c r="CH155" s="16">
        <f t="shared" si="134"/>
        <v>0</v>
      </c>
      <c r="CI155" s="16">
        <f t="shared" si="134"/>
        <v>0</v>
      </c>
      <c r="CJ155" s="16">
        <f t="shared" si="134"/>
        <v>0</v>
      </c>
      <c r="CK155" s="16">
        <f t="shared" si="134"/>
        <v>0</v>
      </c>
      <c r="CL155" s="16">
        <f t="shared" si="135"/>
        <v>0</v>
      </c>
      <c r="CM155" s="16">
        <f t="shared" si="135"/>
        <v>0</v>
      </c>
      <c r="CN155" s="16">
        <f t="shared" si="135"/>
        <v>0</v>
      </c>
      <c r="CO155" s="16">
        <f t="shared" si="135"/>
        <v>0</v>
      </c>
      <c r="CP155" s="16">
        <f t="shared" si="135"/>
        <v>0</v>
      </c>
      <c r="CQ155" s="16">
        <f t="shared" si="135"/>
        <v>0</v>
      </c>
      <c r="CR155" s="16">
        <f t="shared" si="135"/>
        <v>0</v>
      </c>
      <c r="CS155" s="16">
        <f t="shared" si="135"/>
        <v>0</v>
      </c>
      <c r="CT155" s="16">
        <f t="shared" si="135"/>
        <v>0</v>
      </c>
      <c r="CU155" s="16">
        <f t="shared" si="135"/>
        <v>0</v>
      </c>
      <c r="CV155" s="16">
        <f t="shared" si="136"/>
        <v>0</v>
      </c>
      <c r="CW155" s="16">
        <f t="shared" si="136"/>
        <v>0</v>
      </c>
      <c r="CX155" s="16">
        <f t="shared" si="136"/>
        <v>0</v>
      </c>
      <c r="CY155" s="16">
        <f t="shared" si="136"/>
        <v>0</v>
      </c>
      <c r="CZ155" s="16">
        <f t="shared" si="136"/>
        <v>0</v>
      </c>
      <c r="DA155" s="16">
        <f t="shared" si="136"/>
        <v>0</v>
      </c>
      <c r="DB155" s="16">
        <f t="shared" si="136"/>
        <v>0</v>
      </c>
      <c r="DC155" s="16">
        <f t="shared" si="136"/>
        <v>0</v>
      </c>
      <c r="DD155" s="16">
        <f t="shared" si="136"/>
        <v>0</v>
      </c>
      <c r="DE155" s="16">
        <f t="shared" si="136"/>
        <v>0</v>
      </c>
      <c r="DF155" s="16">
        <f t="shared" si="137"/>
        <v>0</v>
      </c>
      <c r="DG155" s="16">
        <f t="shared" si="137"/>
        <v>0</v>
      </c>
      <c r="DH155" s="16">
        <f t="shared" si="137"/>
        <v>0</v>
      </c>
      <c r="DI155" s="16">
        <f t="shared" si="137"/>
        <v>0.48154082842126616</v>
      </c>
      <c r="DJ155" s="16">
        <f t="shared" si="137"/>
        <v>5.0680719751346026E-2</v>
      </c>
      <c r="DK155" s="16">
        <f t="shared" si="137"/>
        <v>0.46777845182738781</v>
      </c>
      <c r="DL155" s="16">
        <f t="shared" si="137"/>
        <v>0</v>
      </c>
      <c r="DM155" s="16">
        <f t="shared" si="137"/>
        <v>0</v>
      </c>
      <c r="DN155" s="16">
        <f t="shared" si="137"/>
        <v>0</v>
      </c>
      <c r="DO155" s="16">
        <f t="shared" si="137"/>
        <v>0</v>
      </c>
      <c r="DP155" s="16">
        <f t="shared" si="137"/>
        <v>0</v>
      </c>
    </row>
    <row r="156" spans="10:120" x14ac:dyDescent="0.25">
      <c r="J156" s="93"/>
      <c r="O156" s="9">
        <f t="shared" si="96"/>
        <v>5</v>
      </c>
      <c r="P156" s="16">
        <f t="shared" si="128"/>
        <v>0</v>
      </c>
      <c r="Q156" s="16">
        <f t="shared" si="128"/>
        <v>0</v>
      </c>
      <c r="R156" s="16">
        <f t="shared" si="128"/>
        <v>0</v>
      </c>
      <c r="S156" s="16">
        <f t="shared" si="128"/>
        <v>0</v>
      </c>
      <c r="T156" s="16">
        <f t="shared" si="128"/>
        <v>0</v>
      </c>
      <c r="U156" s="16">
        <f t="shared" si="128"/>
        <v>0</v>
      </c>
      <c r="V156" s="16">
        <f t="shared" si="128"/>
        <v>0</v>
      </c>
      <c r="W156" s="16">
        <f t="shared" si="128"/>
        <v>0</v>
      </c>
      <c r="X156" s="16">
        <f t="shared" si="128"/>
        <v>0</v>
      </c>
      <c r="Y156" s="16">
        <f t="shared" si="128"/>
        <v>0</v>
      </c>
      <c r="Z156" s="16">
        <f t="shared" si="129"/>
        <v>0</v>
      </c>
      <c r="AA156" s="16">
        <f t="shared" si="129"/>
        <v>0</v>
      </c>
      <c r="AB156" s="16">
        <f t="shared" si="129"/>
        <v>0</v>
      </c>
      <c r="AC156" s="16">
        <f t="shared" si="129"/>
        <v>0</v>
      </c>
      <c r="AD156" s="16">
        <f t="shared" si="129"/>
        <v>0</v>
      </c>
      <c r="AE156" s="16">
        <f t="shared" si="129"/>
        <v>0</v>
      </c>
      <c r="AF156" s="16">
        <f t="shared" si="129"/>
        <v>0</v>
      </c>
      <c r="AG156" s="16">
        <f t="shared" si="129"/>
        <v>0</v>
      </c>
      <c r="AH156" s="16">
        <f t="shared" si="129"/>
        <v>0</v>
      </c>
      <c r="AI156" s="16">
        <f t="shared" si="129"/>
        <v>0</v>
      </c>
      <c r="AJ156" s="16">
        <f t="shared" si="130"/>
        <v>0</v>
      </c>
      <c r="AK156" s="16">
        <f t="shared" si="130"/>
        <v>0</v>
      </c>
      <c r="AL156" s="16">
        <f t="shared" si="130"/>
        <v>0</v>
      </c>
      <c r="AM156" s="16">
        <f t="shared" si="130"/>
        <v>0</v>
      </c>
      <c r="AN156" s="16">
        <f t="shared" si="130"/>
        <v>0</v>
      </c>
      <c r="AO156" s="16">
        <f t="shared" si="130"/>
        <v>0</v>
      </c>
      <c r="AP156" s="16">
        <f t="shared" si="130"/>
        <v>0</v>
      </c>
      <c r="AQ156" s="16">
        <f t="shared" si="130"/>
        <v>0</v>
      </c>
      <c r="AR156" s="16">
        <f t="shared" si="130"/>
        <v>0</v>
      </c>
      <c r="AS156" s="16">
        <f t="shared" si="130"/>
        <v>0</v>
      </c>
      <c r="AT156" s="16">
        <f t="shared" si="131"/>
        <v>0</v>
      </c>
      <c r="AU156" s="16">
        <f t="shared" si="131"/>
        <v>0</v>
      </c>
      <c r="AV156" s="16">
        <f t="shared" si="131"/>
        <v>0</v>
      </c>
      <c r="AW156" s="16">
        <f t="shared" si="131"/>
        <v>0</v>
      </c>
      <c r="AX156" s="16">
        <f t="shared" si="131"/>
        <v>0</v>
      </c>
      <c r="AY156" s="16">
        <f t="shared" si="131"/>
        <v>0</v>
      </c>
      <c r="AZ156" s="16">
        <f t="shared" si="131"/>
        <v>0</v>
      </c>
      <c r="BA156" s="16">
        <f t="shared" si="131"/>
        <v>0</v>
      </c>
      <c r="BB156" s="16">
        <f t="shared" si="131"/>
        <v>0</v>
      </c>
      <c r="BC156" s="16">
        <f t="shared" si="131"/>
        <v>0</v>
      </c>
      <c r="BD156" s="16">
        <f t="shared" si="132"/>
        <v>0</v>
      </c>
      <c r="BE156" s="16">
        <f t="shared" si="132"/>
        <v>0</v>
      </c>
      <c r="BF156" s="16">
        <f t="shared" si="132"/>
        <v>0</v>
      </c>
      <c r="BG156" s="16">
        <f t="shared" si="132"/>
        <v>0</v>
      </c>
      <c r="BH156" s="16">
        <f t="shared" si="132"/>
        <v>0.26562523935700999</v>
      </c>
      <c r="BI156" s="16">
        <f t="shared" si="132"/>
        <v>0.47634105737411447</v>
      </c>
      <c r="BJ156" s="16">
        <f t="shared" si="132"/>
        <v>0.25803370326887548</v>
      </c>
      <c r="BK156" s="16">
        <f t="shared" si="132"/>
        <v>0</v>
      </c>
      <c r="BL156" s="16">
        <f t="shared" si="132"/>
        <v>0</v>
      </c>
      <c r="BM156" s="16">
        <f t="shared" si="132"/>
        <v>0</v>
      </c>
      <c r="BN156" s="16">
        <f t="shared" si="132"/>
        <v>0</v>
      </c>
      <c r="BQ156" s="9">
        <f t="shared" si="97"/>
        <v>5</v>
      </c>
      <c r="BR156" s="16">
        <f t="shared" si="133"/>
        <v>0</v>
      </c>
      <c r="BS156" s="16">
        <f t="shared" si="133"/>
        <v>0</v>
      </c>
      <c r="BT156" s="16">
        <f t="shared" si="133"/>
        <v>0</v>
      </c>
      <c r="BU156" s="16">
        <f t="shared" si="133"/>
        <v>0</v>
      </c>
      <c r="BV156" s="16">
        <f t="shared" si="133"/>
        <v>0</v>
      </c>
      <c r="BW156" s="16">
        <f t="shared" si="133"/>
        <v>0</v>
      </c>
      <c r="BX156" s="16">
        <f t="shared" si="133"/>
        <v>0</v>
      </c>
      <c r="BY156" s="16">
        <f t="shared" si="133"/>
        <v>0</v>
      </c>
      <c r="BZ156" s="16">
        <f t="shared" si="133"/>
        <v>0</v>
      </c>
      <c r="CA156" s="16">
        <f t="shared" si="133"/>
        <v>0</v>
      </c>
      <c r="CB156" s="16">
        <f t="shared" si="134"/>
        <v>0</v>
      </c>
      <c r="CC156" s="16">
        <f t="shared" si="134"/>
        <v>0</v>
      </c>
      <c r="CD156" s="16">
        <f t="shared" si="134"/>
        <v>0</v>
      </c>
      <c r="CE156" s="16">
        <f t="shared" si="134"/>
        <v>0</v>
      </c>
      <c r="CF156" s="16">
        <f t="shared" si="134"/>
        <v>0</v>
      </c>
      <c r="CG156" s="16">
        <f t="shared" si="134"/>
        <v>0</v>
      </c>
      <c r="CH156" s="16">
        <f t="shared" si="134"/>
        <v>0</v>
      </c>
      <c r="CI156" s="16">
        <f t="shared" si="134"/>
        <v>0</v>
      </c>
      <c r="CJ156" s="16">
        <f t="shared" si="134"/>
        <v>0</v>
      </c>
      <c r="CK156" s="16">
        <f t="shared" si="134"/>
        <v>0</v>
      </c>
      <c r="CL156" s="16">
        <f t="shared" si="135"/>
        <v>0</v>
      </c>
      <c r="CM156" s="16">
        <f t="shared" si="135"/>
        <v>0</v>
      </c>
      <c r="CN156" s="16">
        <f t="shared" si="135"/>
        <v>0</v>
      </c>
      <c r="CO156" s="16">
        <f t="shared" si="135"/>
        <v>0</v>
      </c>
      <c r="CP156" s="16">
        <f t="shared" si="135"/>
        <v>0</v>
      </c>
      <c r="CQ156" s="16">
        <f t="shared" si="135"/>
        <v>0</v>
      </c>
      <c r="CR156" s="16">
        <f t="shared" si="135"/>
        <v>0</v>
      </c>
      <c r="CS156" s="16">
        <f t="shared" si="135"/>
        <v>0</v>
      </c>
      <c r="CT156" s="16">
        <f t="shared" si="135"/>
        <v>0</v>
      </c>
      <c r="CU156" s="16">
        <f t="shared" si="135"/>
        <v>0</v>
      </c>
      <c r="CV156" s="16">
        <f t="shared" si="136"/>
        <v>0</v>
      </c>
      <c r="CW156" s="16">
        <f t="shared" si="136"/>
        <v>0</v>
      </c>
      <c r="CX156" s="16">
        <f t="shared" si="136"/>
        <v>0</v>
      </c>
      <c r="CY156" s="16">
        <f t="shared" si="136"/>
        <v>0</v>
      </c>
      <c r="CZ156" s="16">
        <f t="shared" si="136"/>
        <v>0</v>
      </c>
      <c r="DA156" s="16">
        <f t="shared" si="136"/>
        <v>0</v>
      </c>
      <c r="DB156" s="16">
        <f t="shared" si="136"/>
        <v>0</v>
      </c>
      <c r="DC156" s="16">
        <f t="shared" si="136"/>
        <v>0</v>
      </c>
      <c r="DD156" s="16">
        <f t="shared" si="136"/>
        <v>0</v>
      </c>
      <c r="DE156" s="16">
        <f t="shared" si="136"/>
        <v>0</v>
      </c>
      <c r="DF156" s="16">
        <f t="shared" si="137"/>
        <v>0</v>
      </c>
      <c r="DG156" s="16">
        <f t="shared" si="137"/>
        <v>0</v>
      </c>
      <c r="DH156" s="16">
        <f t="shared" si="137"/>
        <v>0</v>
      </c>
      <c r="DI156" s="16">
        <f t="shared" si="137"/>
        <v>0</v>
      </c>
      <c r="DJ156" s="16">
        <f t="shared" si="137"/>
        <v>0.48154082842126616</v>
      </c>
      <c r="DK156" s="16">
        <f t="shared" si="137"/>
        <v>5.0680719751346026E-2</v>
      </c>
      <c r="DL156" s="16">
        <f t="shared" si="137"/>
        <v>0.46777845182738781</v>
      </c>
      <c r="DM156" s="16">
        <f t="shared" si="137"/>
        <v>0</v>
      </c>
      <c r="DN156" s="16">
        <f t="shared" si="137"/>
        <v>0</v>
      </c>
      <c r="DO156" s="16">
        <f t="shared" si="137"/>
        <v>0</v>
      </c>
      <c r="DP156" s="16">
        <f t="shared" si="137"/>
        <v>0</v>
      </c>
    </row>
    <row r="157" spans="10:120" x14ac:dyDescent="0.25">
      <c r="J157" s="93"/>
      <c r="O157" s="9">
        <f t="shared" si="96"/>
        <v>4</v>
      </c>
      <c r="P157" s="16">
        <f t="shared" si="128"/>
        <v>0</v>
      </c>
      <c r="Q157" s="16">
        <f t="shared" si="128"/>
        <v>0</v>
      </c>
      <c r="R157" s="16">
        <f t="shared" si="128"/>
        <v>0</v>
      </c>
      <c r="S157" s="16">
        <f t="shared" si="128"/>
        <v>0</v>
      </c>
      <c r="T157" s="16">
        <f t="shared" si="128"/>
        <v>0</v>
      </c>
      <c r="U157" s="16">
        <f t="shared" si="128"/>
        <v>0</v>
      </c>
      <c r="V157" s="16">
        <f t="shared" si="128"/>
        <v>0</v>
      </c>
      <c r="W157" s="16">
        <f t="shared" si="128"/>
        <v>0</v>
      </c>
      <c r="X157" s="16">
        <f t="shared" si="128"/>
        <v>0</v>
      </c>
      <c r="Y157" s="16">
        <f t="shared" si="128"/>
        <v>0</v>
      </c>
      <c r="Z157" s="16">
        <f t="shared" si="129"/>
        <v>0</v>
      </c>
      <c r="AA157" s="16">
        <f t="shared" si="129"/>
        <v>0</v>
      </c>
      <c r="AB157" s="16">
        <f t="shared" si="129"/>
        <v>0</v>
      </c>
      <c r="AC157" s="16">
        <f t="shared" si="129"/>
        <v>0</v>
      </c>
      <c r="AD157" s="16">
        <f t="shared" si="129"/>
        <v>0</v>
      </c>
      <c r="AE157" s="16">
        <f t="shared" si="129"/>
        <v>0</v>
      </c>
      <c r="AF157" s="16">
        <f t="shared" si="129"/>
        <v>0</v>
      </c>
      <c r="AG157" s="16">
        <f t="shared" si="129"/>
        <v>0</v>
      </c>
      <c r="AH157" s="16">
        <f t="shared" si="129"/>
        <v>0</v>
      </c>
      <c r="AI157" s="16">
        <f t="shared" si="129"/>
        <v>0</v>
      </c>
      <c r="AJ157" s="16">
        <f t="shared" si="130"/>
        <v>0</v>
      </c>
      <c r="AK157" s="16">
        <f t="shared" si="130"/>
        <v>0</v>
      </c>
      <c r="AL157" s="16">
        <f t="shared" si="130"/>
        <v>0</v>
      </c>
      <c r="AM157" s="16">
        <f t="shared" si="130"/>
        <v>0</v>
      </c>
      <c r="AN157" s="16">
        <f t="shared" si="130"/>
        <v>0</v>
      </c>
      <c r="AO157" s="16">
        <f t="shared" si="130"/>
        <v>0</v>
      </c>
      <c r="AP157" s="16">
        <f t="shared" si="130"/>
        <v>0</v>
      </c>
      <c r="AQ157" s="16">
        <f t="shared" si="130"/>
        <v>0</v>
      </c>
      <c r="AR157" s="16">
        <f t="shared" si="130"/>
        <v>0</v>
      </c>
      <c r="AS157" s="16">
        <f t="shared" si="130"/>
        <v>0</v>
      </c>
      <c r="AT157" s="16">
        <f t="shared" si="131"/>
        <v>0</v>
      </c>
      <c r="AU157" s="16">
        <f t="shared" si="131"/>
        <v>0</v>
      </c>
      <c r="AV157" s="16">
        <f t="shared" si="131"/>
        <v>0</v>
      </c>
      <c r="AW157" s="16">
        <f t="shared" si="131"/>
        <v>0</v>
      </c>
      <c r="AX157" s="16">
        <f t="shared" si="131"/>
        <v>0</v>
      </c>
      <c r="AY157" s="16">
        <f t="shared" si="131"/>
        <v>0</v>
      </c>
      <c r="AZ157" s="16">
        <f t="shared" si="131"/>
        <v>0</v>
      </c>
      <c r="BA157" s="16">
        <f t="shared" si="131"/>
        <v>0</v>
      </c>
      <c r="BB157" s="16">
        <f t="shared" si="131"/>
        <v>0</v>
      </c>
      <c r="BC157" s="16">
        <f t="shared" si="131"/>
        <v>0</v>
      </c>
      <c r="BD157" s="16">
        <f t="shared" si="132"/>
        <v>0</v>
      </c>
      <c r="BE157" s="16">
        <f t="shared" si="132"/>
        <v>0</v>
      </c>
      <c r="BF157" s="16">
        <f t="shared" si="132"/>
        <v>0</v>
      </c>
      <c r="BG157" s="16">
        <f t="shared" si="132"/>
        <v>0</v>
      </c>
      <c r="BH157" s="16">
        <f t="shared" si="132"/>
        <v>0</v>
      </c>
      <c r="BI157" s="16">
        <f t="shared" si="132"/>
        <v>0.26562523935700999</v>
      </c>
      <c r="BJ157" s="16">
        <f t="shared" si="132"/>
        <v>0.47634105737411447</v>
      </c>
      <c r="BK157" s="16">
        <f t="shared" si="132"/>
        <v>0.25803370326887548</v>
      </c>
      <c r="BL157" s="16">
        <f t="shared" si="132"/>
        <v>0</v>
      </c>
      <c r="BM157" s="16">
        <f t="shared" si="132"/>
        <v>0</v>
      </c>
      <c r="BN157" s="16">
        <f t="shared" si="132"/>
        <v>0</v>
      </c>
      <c r="BQ157" s="9">
        <f t="shared" si="97"/>
        <v>4</v>
      </c>
      <c r="BR157" s="16">
        <f t="shared" si="133"/>
        <v>0</v>
      </c>
      <c r="BS157" s="16">
        <f t="shared" si="133"/>
        <v>0</v>
      </c>
      <c r="BT157" s="16">
        <f t="shared" si="133"/>
        <v>0</v>
      </c>
      <c r="BU157" s="16">
        <f t="shared" si="133"/>
        <v>0</v>
      </c>
      <c r="BV157" s="16">
        <f t="shared" si="133"/>
        <v>0</v>
      </c>
      <c r="BW157" s="16">
        <f t="shared" si="133"/>
        <v>0</v>
      </c>
      <c r="BX157" s="16">
        <f t="shared" si="133"/>
        <v>0</v>
      </c>
      <c r="BY157" s="16">
        <f t="shared" si="133"/>
        <v>0</v>
      </c>
      <c r="BZ157" s="16">
        <f t="shared" si="133"/>
        <v>0</v>
      </c>
      <c r="CA157" s="16">
        <f t="shared" si="133"/>
        <v>0</v>
      </c>
      <c r="CB157" s="16">
        <f t="shared" si="134"/>
        <v>0</v>
      </c>
      <c r="CC157" s="16">
        <f t="shared" si="134"/>
        <v>0</v>
      </c>
      <c r="CD157" s="16">
        <f t="shared" si="134"/>
        <v>0</v>
      </c>
      <c r="CE157" s="16">
        <f t="shared" si="134"/>
        <v>0</v>
      </c>
      <c r="CF157" s="16">
        <f t="shared" si="134"/>
        <v>0</v>
      </c>
      <c r="CG157" s="16">
        <f t="shared" si="134"/>
        <v>0</v>
      </c>
      <c r="CH157" s="16">
        <f t="shared" si="134"/>
        <v>0</v>
      </c>
      <c r="CI157" s="16">
        <f t="shared" si="134"/>
        <v>0</v>
      </c>
      <c r="CJ157" s="16">
        <f t="shared" si="134"/>
        <v>0</v>
      </c>
      <c r="CK157" s="16">
        <f t="shared" si="134"/>
        <v>0</v>
      </c>
      <c r="CL157" s="16">
        <f t="shared" si="135"/>
        <v>0</v>
      </c>
      <c r="CM157" s="16">
        <f t="shared" si="135"/>
        <v>0</v>
      </c>
      <c r="CN157" s="16">
        <f t="shared" si="135"/>
        <v>0</v>
      </c>
      <c r="CO157" s="16">
        <f t="shared" si="135"/>
        <v>0</v>
      </c>
      <c r="CP157" s="16">
        <f t="shared" si="135"/>
        <v>0</v>
      </c>
      <c r="CQ157" s="16">
        <f t="shared" si="135"/>
        <v>0</v>
      </c>
      <c r="CR157" s="16">
        <f t="shared" si="135"/>
        <v>0</v>
      </c>
      <c r="CS157" s="16">
        <f t="shared" si="135"/>
        <v>0</v>
      </c>
      <c r="CT157" s="16">
        <f t="shared" si="135"/>
        <v>0</v>
      </c>
      <c r="CU157" s="16">
        <f t="shared" si="135"/>
        <v>0</v>
      </c>
      <c r="CV157" s="16">
        <f t="shared" si="136"/>
        <v>0</v>
      </c>
      <c r="CW157" s="16">
        <f t="shared" si="136"/>
        <v>0</v>
      </c>
      <c r="CX157" s="16">
        <f t="shared" si="136"/>
        <v>0</v>
      </c>
      <c r="CY157" s="16">
        <f t="shared" si="136"/>
        <v>0</v>
      </c>
      <c r="CZ157" s="16">
        <f t="shared" si="136"/>
        <v>0</v>
      </c>
      <c r="DA157" s="16">
        <f t="shared" si="136"/>
        <v>0</v>
      </c>
      <c r="DB157" s="16">
        <f t="shared" si="136"/>
        <v>0</v>
      </c>
      <c r="DC157" s="16">
        <f t="shared" si="136"/>
        <v>0</v>
      </c>
      <c r="DD157" s="16">
        <f t="shared" si="136"/>
        <v>0</v>
      </c>
      <c r="DE157" s="16">
        <f t="shared" si="136"/>
        <v>0</v>
      </c>
      <c r="DF157" s="16">
        <f t="shared" si="137"/>
        <v>0</v>
      </c>
      <c r="DG157" s="16">
        <f t="shared" si="137"/>
        <v>0</v>
      </c>
      <c r="DH157" s="16">
        <f t="shared" si="137"/>
        <v>0</v>
      </c>
      <c r="DI157" s="16">
        <f t="shared" si="137"/>
        <v>0</v>
      </c>
      <c r="DJ157" s="16">
        <f t="shared" si="137"/>
        <v>0</v>
      </c>
      <c r="DK157" s="16">
        <f t="shared" si="137"/>
        <v>0.48154082842126616</v>
      </c>
      <c r="DL157" s="16">
        <f t="shared" si="137"/>
        <v>5.0680719751346026E-2</v>
      </c>
      <c r="DM157" s="16">
        <f t="shared" si="137"/>
        <v>0.46777845182738781</v>
      </c>
      <c r="DN157" s="16">
        <f t="shared" si="137"/>
        <v>0</v>
      </c>
      <c r="DO157" s="16">
        <f t="shared" si="137"/>
        <v>0</v>
      </c>
      <c r="DP157" s="16">
        <f t="shared" si="137"/>
        <v>0</v>
      </c>
    </row>
    <row r="158" spans="10:120" x14ac:dyDescent="0.25">
      <c r="J158" s="93"/>
      <c r="O158" s="9">
        <f t="shared" si="96"/>
        <v>3</v>
      </c>
      <c r="P158" s="16">
        <f t="shared" si="128"/>
        <v>0</v>
      </c>
      <c r="Q158" s="16">
        <f t="shared" si="128"/>
        <v>0</v>
      </c>
      <c r="R158" s="16">
        <f t="shared" si="128"/>
        <v>0</v>
      </c>
      <c r="S158" s="16">
        <f t="shared" si="128"/>
        <v>0</v>
      </c>
      <c r="T158" s="16">
        <f t="shared" si="128"/>
        <v>0</v>
      </c>
      <c r="U158" s="16">
        <f t="shared" si="128"/>
        <v>0</v>
      </c>
      <c r="V158" s="16">
        <f t="shared" si="128"/>
        <v>0</v>
      </c>
      <c r="W158" s="16">
        <f t="shared" si="128"/>
        <v>0</v>
      </c>
      <c r="X158" s="16">
        <f t="shared" si="128"/>
        <v>0</v>
      </c>
      <c r="Y158" s="16">
        <f t="shared" si="128"/>
        <v>0</v>
      </c>
      <c r="Z158" s="16">
        <f t="shared" si="129"/>
        <v>0</v>
      </c>
      <c r="AA158" s="16">
        <f t="shared" si="129"/>
        <v>0</v>
      </c>
      <c r="AB158" s="16">
        <f t="shared" si="129"/>
        <v>0</v>
      </c>
      <c r="AC158" s="16">
        <f t="shared" si="129"/>
        <v>0</v>
      </c>
      <c r="AD158" s="16">
        <f t="shared" si="129"/>
        <v>0</v>
      </c>
      <c r="AE158" s="16">
        <f t="shared" si="129"/>
        <v>0</v>
      </c>
      <c r="AF158" s="16">
        <f t="shared" si="129"/>
        <v>0</v>
      </c>
      <c r="AG158" s="16">
        <f t="shared" si="129"/>
        <v>0</v>
      </c>
      <c r="AH158" s="16">
        <f t="shared" si="129"/>
        <v>0</v>
      </c>
      <c r="AI158" s="16">
        <f t="shared" si="129"/>
        <v>0</v>
      </c>
      <c r="AJ158" s="16">
        <f t="shared" si="130"/>
        <v>0</v>
      </c>
      <c r="AK158" s="16">
        <f t="shared" si="130"/>
        <v>0</v>
      </c>
      <c r="AL158" s="16">
        <f t="shared" si="130"/>
        <v>0</v>
      </c>
      <c r="AM158" s="16">
        <f t="shared" si="130"/>
        <v>0</v>
      </c>
      <c r="AN158" s="16">
        <f t="shared" si="130"/>
        <v>0</v>
      </c>
      <c r="AO158" s="16">
        <f t="shared" si="130"/>
        <v>0</v>
      </c>
      <c r="AP158" s="16">
        <f t="shared" si="130"/>
        <v>0</v>
      </c>
      <c r="AQ158" s="16">
        <f t="shared" si="130"/>
        <v>0</v>
      </c>
      <c r="AR158" s="16">
        <f t="shared" si="130"/>
        <v>0</v>
      </c>
      <c r="AS158" s="16">
        <f t="shared" si="130"/>
        <v>0</v>
      </c>
      <c r="AT158" s="16">
        <f t="shared" si="131"/>
        <v>0</v>
      </c>
      <c r="AU158" s="16">
        <f t="shared" si="131"/>
        <v>0</v>
      </c>
      <c r="AV158" s="16">
        <f t="shared" si="131"/>
        <v>0</v>
      </c>
      <c r="AW158" s="16">
        <f t="shared" si="131"/>
        <v>0</v>
      </c>
      <c r="AX158" s="16">
        <f t="shared" si="131"/>
        <v>0</v>
      </c>
      <c r="AY158" s="16">
        <f t="shared" si="131"/>
        <v>0</v>
      </c>
      <c r="AZ158" s="16">
        <f t="shared" si="131"/>
        <v>0</v>
      </c>
      <c r="BA158" s="16">
        <f t="shared" si="131"/>
        <v>0</v>
      </c>
      <c r="BB158" s="16">
        <f t="shared" si="131"/>
        <v>0</v>
      </c>
      <c r="BC158" s="16">
        <f t="shared" si="131"/>
        <v>0</v>
      </c>
      <c r="BD158" s="16">
        <f t="shared" si="132"/>
        <v>0</v>
      </c>
      <c r="BE158" s="16">
        <f t="shared" si="132"/>
        <v>0</v>
      </c>
      <c r="BF158" s="16">
        <f t="shared" si="132"/>
        <v>0</v>
      </c>
      <c r="BG158" s="16">
        <f t="shared" si="132"/>
        <v>0</v>
      </c>
      <c r="BH158" s="16">
        <f t="shared" si="132"/>
        <v>0</v>
      </c>
      <c r="BI158" s="16">
        <f t="shared" si="132"/>
        <v>0</v>
      </c>
      <c r="BJ158" s="16">
        <f t="shared" si="132"/>
        <v>0.26562523935700999</v>
      </c>
      <c r="BK158" s="16">
        <f t="shared" si="132"/>
        <v>0.47634105737411447</v>
      </c>
      <c r="BL158" s="16">
        <f t="shared" si="132"/>
        <v>0.25803370326887548</v>
      </c>
      <c r="BM158" s="16">
        <f t="shared" si="132"/>
        <v>0</v>
      </c>
      <c r="BN158" s="16">
        <f t="shared" si="132"/>
        <v>0</v>
      </c>
      <c r="BQ158" s="9">
        <f t="shared" si="97"/>
        <v>3</v>
      </c>
      <c r="BR158" s="16">
        <f t="shared" si="133"/>
        <v>0</v>
      </c>
      <c r="BS158" s="16">
        <f t="shared" si="133"/>
        <v>0</v>
      </c>
      <c r="BT158" s="16">
        <f t="shared" si="133"/>
        <v>0</v>
      </c>
      <c r="BU158" s="16">
        <f t="shared" si="133"/>
        <v>0</v>
      </c>
      <c r="BV158" s="16">
        <f t="shared" si="133"/>
        <v>0</v>
      </c>
      <c r="BW158" s="16">
        <f t="shared" si="133"/>
        <v>0</v>
      </c>
      <c r="BX158" s="16">
        <f t="shared" si="133"/>
        <v>0</v>
      </c>
      <c r="BY158" s="16">
        <f t="shared" si="133"/>
        <v>0</v>
      </c>
      <c r="BZ158" s="16">
        <f t="shared" si="133"/>
        <v>0</v>
      </c>
      <c r="CA158" s="16">
        <f t="shared" si="133"/>
        <v>0</v>
      </c>
      <c r="CB158" s="16">
        <f t="shared" si="134"/>
        <v>0</v>
      </c>
      <c r="CC158" s="16">
        <f t="shared" si="134"/>
        <v>0</v>
      </c>
      <c r="CD158" s="16">
        <f t="shared" si="134"/>
        <v>0</v>
      </c>
      <c r="CE158" s="16">
        <f t="shared" si="134"/>
        <v>0</v>
      </c>
      <c r="CF158" s="16">
        <f t="shared" si="134"/>
        <v>0</v>
      </c>
      <c r="CG158" s="16">
        <f t="shared" si="134"/>
        <v>0</v>
      </c>
      <c r="CH158" s="16">
        <f t="shared" si="134"/>
        <v>0</v>
      </c>
      <c r="CI158" s="16">
        <f t="shared" si="134"/>
        <v>0</v>
      </c>
      <c r="CJ158" s="16">
        <f t="shared" si="134"/>
        <v>0</v>
      </c>
      <c r="CK158" s="16">
        <f t="shared" si="134"/>
        <v>0</v>
      </c>
      <c r="CL158" s="16">
        <f t="shared" si="135"/>
        <v>0</v>
      </c>
      <c r="CM158" s="16">
        <f t="shared" si="135"/>
        <v>0</v>
      </c>
      <c r="CN158" s="16">
        <f t="shared" si="135"/>
        <v>0</v>
      </c>
      <c r="CO158" s="16">
        <f t="shared" si="135"/>
        <v>0</v>
      </c>
      <c r="CP158" s="16">
        <f t="shared" si="135"/>
        <v>0</v>
      </c>
      <c r="CQ158" s="16">
        <f t="shared" si="135"/>
        <v>0</v>
      </c>
      <c r="CR158" s="16">
        <f t="shared" si="135"/>
        <v>0</v>
      </c>
      <c r="CS158" s="16">
        <f t="shared" si="135"/>
        <v>0</v>
      </c>
      <c r="CT158" s="16">
        <f t="shared" si="135"/>
        <v>0</v>
      </c>
      <c r="CU158" s="16">
        <f t="shared" si="135"/>
        <v>0</v>
      </c>
      <c r="CV158" s="16">
        <f t="shared" si="136"/>
        <v>0</v>
      </c>
      <c r="CW158" s="16">
        <f t="shared" si="136"/>
        <v>0</v>
      </c>
      <c r="CX158" s="16">
        <f t="shared" si="136"/>
        <v>0</v>
      </c>
      <c r="CY158" s="16">
        <f t="shared" si="136"/>
        <v>0</v>
      </c>
      <c r="CZ158" s="16">
        <f t="shared" si="136"/>
        <v>0</v>
      </c>
      <c r="DA158" s="16">
        <f t="shared" si="136"/>
        <v>0</v>
      </c>
      <c r="DB158" s="16">
        <f t="shared" si="136"/>
        <v>0</v>
      </c>
      <c r="DC158" s="16">
        <f t="shared" si="136"/>
        <v>0</v>
      </c>
      <c r="DD158" s="16">
        <f t="shared" si="136"/>
        <v>0</v>
      </c>
      <c r="DE158" s="16">
        <f t="shared" si="136"/>
        <v>0</v>
      </c>
      <c r="DF158" s="16">
        <f t="shared" si="137"/>
        <v>0</v>
      </c>
      <c r="DG158" s="16">
        <f t="shared" si="137"/>
        <v>0</v>
      </c>
      <c r="DH158" s="16">
        <f t="shared" si="137"/>
        <v>0</v>
      </c>
      <c r="DI158" s="16">
        <f t="shared" si="137"/>
        <v>0</v>
      </c>
      <c r="DJ158" s="16">
        <f t="shared" si="137"/>
        <v>0</v>
      </c>
      <c r="DK158" s="16">
        <f t="shared" si="137"/>
        <v>0</v>
      </c>
      <c r="DL158" s="16">
        <f t="shared" si="137"/>
        <v>0.48154082842126616</v>
      </c>
      <c r="DM158" s="16">
        <f t="shared" si="137"/>
        <v>5.0680719751346026E-2</v>
      </c>
      <c r="DN158" s="16">
        <f t="shared" si="137"/>
        <v>0.46777845182738781</v>
      </c>
      <c r="DO158" s="16">
        <f t="shared" si="137"/>
        <v>0</v>
      </c>
      <c r="DP158" s="16">
        <f t="shared" si="137"/>
        <v>0</v>
      </c>
    </row>
    <row r="159" spans="10:120" x14ac:dyDescent="0.25">
      <c r="J159" s="93"/>
      <c r="O159" s="9">
        <f t="shared" si="96"/>
        <v>2</v>
      </c>
      <c r="P159" s="16">
        <f t="shared" si="128"/>
        <v>0</v>
      </c>
      <c r="Q159" s="16">
        <f t="shared" si="128"/>
        <v>0</v>
      </c>
      <c r="R159" s="16">
        <f t="shared" si="128"/>
        <v>0</v>
      </c>
      <c r="S159" s="16">
        <f t="shared" si="128"/>
        <v>0</v>
      </c>
      <c r="T159" s="16">
        <f t="shared" si="128"/>
        <v>0</v>
      </c>
      <c r="U159" s="16">
        <f t="shared" si="128"/>
        <v>0</v>
      </c>
      <c r="V159" s="16">
        <f t="shared" si="128"/>
        <v>0</v>
      </c>
      <c r="W159" s="16">
        <f t="shared" si="128"/>
        <v>0</v>
      </c>
      <c r="X159" s="16">
        <f t="shared" si="128"/>
        <v>0</v>
      </c>
      <c r="Y159" s="16">
        <f t="shared" si="128"/>
        <v>0</v>
      </c>
      <c r="Z159" s="16">
        <f t="shared" si="129"/>
        <v>0</v>
      </c>
      <c r="AA159" s="16">
        <f t="shared" si="129"/>
        <v>0</v>
      </c>
      <c r="AB159" s="16">
        <f t="shared" si="129"/>
        <v>0</v>
      </c>
      <c r="AC159" s="16">
        <f t="shared" si="129"/>
        <v>0</v>
      </c>
      <c r="AD159" s="16">
        <f t="shared" si="129"/>
        <v>0</v>
      </c>
      <c r="AE159" s="16">
        <f t="shared" si="129"/>
        <v>0</v>
      </c>
      <c r="AF159" s="16">
        <f t="shared" si="129"/>
        <v>0</v>
      </c>
      <c r="AG159" s="16">
        <f t="shared" si="129"/>
        <v>0</v>
      </c>
      <c r="AH159" s="16">
        <f t="shared" si="129"/>
        <v>0</v>
      </c>
      <c r="AI159" s="16">
        <f t="shared" si="129"/>
        <v>0</v>
      </c>
      <c r="AJ159" s="16">
        <f t="shared" si="130"/>
        <v>0</v>
      </c>
      <c r="AK159" s="16">
        <f t="shared" si="130"/>
        <v>0</v>
      </c>
      <c r="AL159" s="16">
        <f t="shared" si="130"/>
        <v>0</v>
      </c>
      <c r="AM159" s="16">
        <f t="shared" si="130"/>
        <v>0</v>
      </c>
      <c r="AN159" s="16">
        <f t="shared" si="130"/>
        <v>0</v>
      </c>
      <c r="AO159" s="16">
        <f t="shared" si="130"/>
        <v>0</v>
      </c>
      <c r="AP159" s="16">
        <f t="shared" si="130"/>
        <v>0</v>
      </c>
      <c r="AQ159" s="16">
        <f t="shared" si="130"/>
        <v>0</v>
      </c>
      <c r="AR159" s="16">
        <f t="shared" si="130"/>
        <v>0</v>
      </c>
      <c r="AS159" s="16">
        <f t="shared" si="130"/>
        <v>0</v>
      </c>
      <c r="AT159" s="16">
        <f t="shared" si="131"/>
        <v>0</v>
      </c>
      <c r="AU159" s="16">
        <f t="shared" si="131"/>
        <v>0</v>
      </c>
      <c r="AV159" s="16">
        <f t="shared" si="131"/>
        <v>0</v>
      </c>
      <c r="AW159" s="16">
        <f t="shared" si="131"/>
        <v>0</v>
      </c>
      <c r="AX159" s="16">
        <f t="shared" si="131"/>
        <v>0</v>
      </c>
      <c r="AY159" s="16">
        <f t="shared" si="131"/>
        <v>0</v>
      </c>
      <c r="AZ159" s="16">
        <f t="shared" si="131"/>
        <v>0</v>
      </c>
      <c r="BA159" s="16">
        <f t="shared" si="131"/>
        <v>0</v>
      </c>
      <c r="BB159" s="16">
        <f t="shared" si="131"/>
        <v>0</v>
      </c>
      <c r="BC159" s="16">
        <f t="shared" si="131"/>
        <v>0</v>
      </c>
      <c r="BD159" s="16">
        <f t="shared" si="132"/>
        <v>0</v>
      </c>
      <c r="BE159" s="16">
        <f t="shared" si="132"/>
        <v>0</v>
      </c>
      <c r="BF159" s="16">
        <f t="shared" si="132"/>
        <v>0</v>
      </c>
      <c r="BG159" s="16">
        <f t="shared" si="132"/>
        <v>0</v>
      </c>
      <c r="BH159" s="16">
        <f t="shared" si="132"/>
        <v>0</v>
      </c>
      <c r="BI159" s="16">
        <f t="shared" si="132"/>
        <v>0</v>
      </c>
      <c r="BJ159" s="16">
        <f t="shared" si="132"/>
        <v>0</v>
      </c>
      <c r="BK159" s="16">
        <f t="shared" si="132"/>
        <v>0.26562523935700999</v>
      </c>
      <c r="BL159" s="16">
        <f t="shared" si="132"/>
        <v>0.47634105737411447</v>
      </c>
      <c r="BM159" s="16">
        <f t="shared" si="132"/>
        <v>0.25803370326887548</v>
      </c>
      <c r="BN159" s="16">
        <f t="shared" si="132"/>
        <v>0</v>
      </c>
      <c r="BQ159" s="9">
        <f t="shared" si="97"/>
        <v>2</v>
      </c>
      <c r="BR159" s="16">
        <f t="shared" si="133"/>
        <v>0</v>
      </c>
      <c r="BS159" s="16">
        <f t="shared" si="133"/>
        <v>0</v>
      </c>
      <c r="BT159" s="16">
        <f t="shared" si="133"/>
        <v>0</v>
      </c>
      <c r="BU159" s="16">
        <f t="shared" si="133"/>
        <v>0</v>
      </c>
      <c r="BV159" s="16">
        <f t="shared" si="133"/>
        <v>0</v>
      </c>
      <c r="BW159" s="16">
        <f t="shared" si="133"/>
        <v>0</v>
      </c>
      <c r="BX159" s="16">
        <f t="shared" si="133"/>
        <v>0</v>
      </c>
      <c r="BY159" s="16">
        <f t="shared" si="133"/>
        <v>0</v>
      </c>
      <c r="BZ159" s="16">
        <f t="shared" si="133"/>
        <v>0</v>
      </c>
      <c r="CA159" s="16">
        <f t="shared" si="133"/>
        <v>0</v>
      </c>
      <c r="CB159" s="16">
        <f t="shared" si="134"/>
        <v>0</v>
      </c>
      <c r="CC159" s="16">
        <f t="shared" si="134"/>
        <v>0</v>
      </c>
      <c r="CD159" s="16">
        <f t="shared" si="134"/>
        <v>0</v>
      </c>
      <c r="CE159" s="16">
        <f t="shared" si="134"/>
        <v>0</v>
      </c>
      <c r="CF159" s="16">
        <f t="shared" si="134"/>
        <v>0</v>
      </c>
      <c r="CG159" s="16">
        <f t="shared" si="134"/>
        <v>0</v>
      </c>
      <c r="CH159" s="16">
        <f t="shared" si="134"/>
        <v>0</v>
      </c>
      <c r="CI159" s="16">
        <f t="shared" si="134"/>
        <v>0</v>
      </c>
      <c r="CJ159" s="16">
        <f t="shared" si="134"/>
        <v>0</v>
      </c>
      <c r="CK159" s="16">
        <f t="shared" si="134"/>
        <v>0</v>
      </c>
      <c r="CL159" s="16">
        <f t="shared" si="135"/>
        <v>0</v>
      </c>
      <c r="CM159" s="16">
        <f t="shared" si="135"/>
        <v>0</v>
      </c>
      <c r="CN159" s="16">
        <f t="shared" si="135"/>
        <v>0</v>
      </c>
      <c r="CO159" s="16">
        <f t="shared" si="135"/>
        <v>0</v>
      </c>
      <c r="CP159" s="16">
        <f t="shared" si="135"/>
        <v>0</v>
      </c>
      <c r="CQ159" s="16">
        <f t="shared" si="135"/>
        <v>0</v>
      </c>
      <c r="CR159" s="16">
        <f t="shared" si="135"/>
        <v>0</v>
      </c>
      <c r="CS159" s="16">
        <f t="shared" si="135"/>
        <v>0</v>
      </c>
      <c r="CT159" s="16">
        <f t="shared" si="135"/>
        <v>0</v>
      </c>
      <c r="CU159" s="16">
        <f t="shared" si="135"/>
        <v>0</v>
      </c>
      <c r="CV159" s="16">
        <f t="shared" si="136"/>
        <v>0</v>
      </c>
      <c r="CW159" s="16">
        <f t="shared" si="136"/>
        <v>0</v>
      </c>
      <c r="CX159" s="16">
        <f t="shared" si="136"/>
        <v>0</v>
      </c>
      <c r="CY159" s="16">
        <f t="shared" si="136"/>
        <v>0</v>
      </c>
      <c r="CZ159" s="16">
        <f t="shared" si="136"/>
        <v>0</v>
      </c>
      <c r="DA159" s="16">
        <f t="shared" si="136"/>
        <v>0</v>
      </c>
      <c r="DB159" s="16">
        <f t="shared" si="136"/>
        <v>0</v>
      </c>
      <c r="DC159" s="16">
        <f t="shared" si="136"/>
        <v>0</v>
      </c>
      <c r="DD159" s="16">
        <f t="shared" si="136"/>
        <v>0</v>
      </c>
      <c r="DE159" s="16">
        <f t="shared" si="136"/>
        <v>0</v>
      </c>
      <c r="DF159" s="16">
        <f t="shared" si="137"/>
        <v>0</v>
      </c>
      <c r="DG159" s="16">
        <f t="shared" si="137"/>
        <v>0</v>
      </c>
      <c r="DH159" s="16">
        <f t="shared" si="137"/>
        <v>0</v>
      </c>
      <c r="DI159" s="16">
        <f t="shared" si="137"/>
        <v>0</v>
      </c>
      <c r="DJ159" s="16">
        <f t="shared" si="137"/>
        <v>0</v>
      </c>
      <c r="DK159" s="16">
        <f t="shared" si="137"/>
        <v>0</v>
      </c>
      <c r="DL159" s="16">
        <f t="shared" si="137"/>
        <v>0</v>
      </c>
      <c r="DM159" s="16">
        <f t="shared" si="137"/>
        <v>0.48154082842126616</v>
      </c>
      <c r="DN159" s="16">
        <f t="shared" si="137"/>
        <v>5.0680719751346026E-2</v>
      </c>
      <c r="DO159" s="16">
        <f t="shared" si="137"/>
        <v>0.46777845182738781</v>
      </c>
      <c r="DP159" s="16">
        <f t="shared" si="137"/>
        <v>0</v>
      </c>
    </row>
    <row r="160" spans="10:120" x14ac:dyDescent="0.25">
      <c r="J160" s="93"/>
      <c r="O160" s="9">
        <f t="shared" si="96"/>
        <v>1</v>
      </c>
      <c r="P160" s="16">
        <f t="shared" si="128"/>
        <v>0</v>
      </c>
      <c r="Q160" s="16">
        <f t="shared" si="128"/>
        <v>0</v>
      </c>
      <c r="R160" s="16">
        <f t="shared" si="128"/>
        <v>0</v>
      </c>
      <c r="S160" s="16">
        <f t="shared" si="128"/>
        <v>0</v>
      </c>
      <c r="T160" s="16">
        <f t="shared" si="128"/>
        <v>0</v>
      </c>
      <c r="U160" s="16">
        <f t="shared" si="128"/>
        <v>0</v>
      </c>
      <c r="V160" s="16">
        <f t="shared" si="128"/>
        <v>0</v>
      </c>
      <c r="W160" s="16">
        <f t="shared" si="128"/>
        <v>0</v>
      </c>
      <c r="X160" s="16">
        <f t="shared" si="128"/>
        <v>0</v>
      </c>
      <c r="Y160" s="16">
        <f t="shared" si="128"/>
        <v>0</v>
      </c>
      <c r="Z160" s="16">
        <f t="shared" si="129"/>
        <v>0</v>
      </c>
      <c r="AA160" s="16">
        <f t="shared" si="129"/>
        <v>0</v>
      </c>
      <c r="AB160" s="16">
        <f t="shared" si="129"/>
        <v>0</v>
      </c>
      <c r="AC160" s="16">
        <f t="shared" si="129"/>
        <v>0</v>
      </c>
      <c r="AD160" s="16">
        <f t="shared" si="129"/>
        <v>0</v>
      </c>
      <c r="AE160" s="16">
        <f t="shared" si="129"/>
        <v>0</v>
      </c>
      <c r="AF160" s="16">
        <f t="shared" si="129"/>
        <v>0</v>
      </c>
      <c r="AG160" s="16">
        <f t="shared" si="129"/>
        <v>0</v>
      </c>
      <c r="AH160" s="16">
        <f t="shared" si="129"/>
        <v>0</v>
      </c>
      <c r="AI160" s="16">
        <f t="shared" si="129"/>
        <v>0</v>
      </c>
      <c r="AJ160" s="16">
        <f t="shared" si="130"/>
        <v>0</v>
      </c>
      <c r="AK160" s="16">
        <f t="shared" si="130"/>
        <v>0</v>
      </c>
      <c r="AL160" s="16">
        <f t="shared" si="130"/>
        <v>0</v>
      </c>
      <c r="AM160" s="16">
        <f t="shared" si="130"/>
        <v>0</v>
      </c>
      <c r="AN160" s="16">
        <f t="shared" si="130"/>
        <v>0</v>
      </c>
      <c r="AO160" s="16">
        <f t="shared" si="130"/>
        <v>0</v>
      </c>
      <c r="AP160" s="16">
        <f t="shared" si="130"/>
        <v>0</v>
      </c>
      <c r="AQ160" s="16">
        <f t="shared" si="130"/>
        <v>0</v>
      </c>
      <c r="AR160" s="16">
        <f t="shared" si="130"/>
        <v>0</v>
      </c>
      <c r="AS160" s="16">
        <f t="shared" si="130"/>
        <v>0</v>
      </c>
      <c r="AT160" s="16">
        <f t="shared" si="131"/>
        <v>0</v>
      </c>
      <c r="AU160" s="16">
        <f t="shared" si="131"/>
        <v>0</v>
      </c>
      <c r="AV160" s="16">
        <f t="shared" si="131"/>
        <v>0</v>
      </c>
      <c r="AW160" s="16">
        <f t="shared" si="131"/>
        <v>0</v>
      </c>
      <c r="AX160" s="16">
        <f t="shared" si="131"/>
        <v>0</v>
      </c>
      <c r="AY160" s="16">
        <f t="shared" si="131"/>
        <v>0</v>
      </c>
      <c r="AZ160" s="16">
        <f t="shared" si="131"/>
        <v>0</v>
      </c>
      <c r="BA160" s="16">
        <f t="shared" si="131"/>
        <v>0</v>
      </c>
      <c r="BB160" s="16">
        <f t="shared" si="131"/>
        <v>0</v>
      </c>
      <c r="BC160" s="16">
        <f t="shared" si="131"/>
        <v>0</v>
      </c>
      <c r="BD160" s="16">
        <f t="shared" si="132"/>
        <v>0</v>
      </c>
      <c r="BE160" s="16">
        <f t="shared" si="132"/>
        <v>0</v>
      </c>
      <c r="BF160" s="16">
        <f t="shared" si="132"/>
        <v>0</v>
      </c>
      <c r="BG160" s="16">
        <f t="shared" si="132"/>
        <v>0</v>
      </c>
      <c r="BH160" s="16">
        <f t="shared" si="132"/>
        <v>0</v>
      </c>
      <c r="BI160" s="16">
        <f t="shared" si="132"/>
        <v>0</v>
      </c>
      <c r="BJ160" s="16">
        <f t="shared" si="132"/>
        <v>0</v>
      </c>
      <c r="BK160" s="16">
        <f t="shared" si="132"/>
        <v>0</v>
      </c>
      <c r="BL160" s="16">
        <f t="shared" si="132"/>
        <v>0.26562523935700999</v>
      </c>
      <c r="BM160" s="16">
        <f t="shared" si="132"/>
        <v>0.47634105737411447</v>
      </c>
      <c r="BN160" s="16">
        <f t="shared" si="132"/>
        <v>0.25803370326887548</v>
      </c>
      <c r="BQ160" s="9">
        <f t="shared" si="97"/>
        <v>1</v>
      </c>
      <c r="BR160" s="16">
        <f t="shared" si="133"/>
        <v>0</v>
      </c>
      <c r="BS160" s="16">
        <f t="shared" si="133"/>
        <v>0</v>
      </c>
      <c r="BT160" s="16">
        <f t="shared" si="133"/>
        <v>0</v>
      </c>
      <c r="BU160" s="16">
        <f t="shared" si="133"/>
        <v>0</v>
      </c>
      <c r="BV160" s="16">
        <f t="shared" si="133"/>
        <v>0</v>
      </c>
      <c r="BW160" s="16">
        <f t="shared" si="133"/>
        <v>0</v>
      </c>
      <c r="BX160" s="16">
        <f t="shared" si="133"/>
        <v>0</v>
      </c>
      <c r="BY160" s="16">
        <f t="shared" si="133"/>
        <v>0</v>
      </c>
      <c r="BZ160" s="16">
        <f t="shared" si="133"/>
        <v>0</v>
      </c>
      <c r="CA160" s="16">
        <f t="shared" si="133"/>
        <v>0</v>
      </c>
      <c r="CB160" s="16">
        <f t="shared" si="134"/>
        <v>0</v>
      </c>
      <c r="CC160" s="16">
        <f t="shared" si="134"/>
        <v>0</v>
      </c>
      <c r="CD160" s="16">
        <f t="shared" si="134"/>
        <v>0</v>
      </c>
      <c r="CE160" s="16">
        <f t="shared" si="134"/>
        <v>0</v>
      </c>
      <c r="CF160" s="16">
        <f t="shared" si="134"/>
        <v>0</v>
      </c>
      <c r="CG160" s="16">
        <f t="shared" si="134"/>
        <v>0</v>
      </c>
      <c r="CH160" s="16">
        <f t="shared" si="134"/>
        <v>0</v>
      </c>
      <c r="CI160" s="16">
        <f t="shared" si="134"/>
        <v>0</v>
      </c>
      <c r="CJ160" s="16">
        <f t="shared" si="134"/>
        <v>0</v>
      </c>
      <c r="CK160" s="16">
        <f t="shared" si="134"/>
        <v>0</v>
      </c>
      <c r="CL160" s="16">
        <f t="shared" si="135"/>
        <v>0</v>
      </c>
      <c r="CM160" s="16">
        <f t="shared" si="135"/>
        <v>0</v>
      </c>
      <c r="CN160" s="16">
        <f t="shared" si="135"/>
        <v>0</v>
      </c>
      <c r="CO160" s="16">
        <f t="shared" si="135"/>
        <v>0</v>
      </c>
      <c r="CP160" s="16">
        <f t="shared" si="135"/>
        <v>0</v>
      </c>
      <c r="CQ160" s="16">
        <f t="shared" si="135"/>
        <v>0</v>
      </c>
      <c r="CR160" s="16">
        <f t="shared" si="135"/>
        <v>0</v>
      </c>
      <c r="CS160" s="16">
        <f t="shared" si="135"/>
        <v>0</v>
      </c>
      <c r="CT160" s="16">
        <f t="shared" si="135"/>
        <v>0</v>
      </c>
      <c r="CU160" s="16">
        <f t="shared" si="135"/>
        <v>0</v>
      </c>
      <c r="CV160" s="16">
        <f t="shared" si="136"/>
        <v>0</v>
      </c>
      <c r="CW160" s="16">
        <f t="shared" si="136"/>
        <v>0</v>
      </c>
      <c r="CX160" s="16">
        <f t="shared" si="136"/>
        <v>0</v>
      </c>
      <c r="CY160" s="16">
        <f t="shared" si="136"/>
        <v>0</v>
      </c>
      <c r="CZ160" s="16">
        <f t="shared" si="136"/>
        <v>0</v>
      </c>
      <c r="DA160" s="16">
        <f t="shared" si="136"/>
        <v>0</v>
      </c>
      <c r="DB160" s="16">
        <f t="shared" si="136"/>
        <v>0</v>
      </c>
      <c r="DC160" s="16">
        <f t="shared" si="136"/>
        <v>0</v>
      </c>
      <c r="DD160" s="16">
        <f t="shared" si="136"/>
        <v>0</v>
      </c>
      <c r="DE160" s="16">
        <f t="shared" si="136"/>
        <v>0</v>
      </c>
      <c r="DF160" s="16">
        <f t="shared" si="137"/>
        <v>0</v>
      </c>
      <c r="DG160" s="16">
        <f t="shared" si="137"/>
        <v>0</v>
      </c>
      <c r="DH160" s="16">
        <f t="shared" si="137"/>
        <v>0</v>
      </c>
      <c r="DI160" s="16">
        <f t="shared" si="137"/>
        <v>0</v>
      </c>
      <c r="DJ160" s="16">
        <f t="shared" si="137"/>
        <v>0</v>
      </c>
      <c r="DK160" s="16">
        <f t="shared" si="137"/>
        <v>0</v>
      </c>
      <c r="DL160" s="16">
        <f t="shared" si="137"/>
        <v>0</v>
      </c>
      <c r="DM160" s="16">
        <f t="shared" si="137"/>
        <v>0</v>
      </c>
      <c r="DN160" s="16">
        <f t="shared" si="137"/>
        <v>0.48154082842126616</v>
      </c>
      <c r="DO160" s="16">
        <f t="shared" si="137"/>
        <v>5.0680719751346026E-2</v>
      </c>
      <c r="DP160" s="16">
        <f t="shared" si="137"/>
        <v>0.46777845182738781</v>
      </c>
    </row>
    <row r="161" spans="10:120" x14ac:dyDescent="0.25">
      <c r="J161" s="93"/>
      <c r="O161" s="9">
        <f t="shared" si="96"/>
        <v>0</v>
      </c>
      <c r="P161" s="16">
        <f t="shared" si="128"/>
        <v>0</v>
      </c>
      <c r="Q161" s="16">
        <f t="shared" si="128"/>
        <v>0</v>
      </c>
      <c r="R161" s="16">
        <f t="shared" si="128"/>
        <v>0</v>
      </c>
      <c r="S161" s="16">
        <f t="shared" si="128"/>
        <v>0</v>
      </c>
      <c r="T161" s="16">
        <f t="shared" si="128"/>
        <v>0</v>
      </c>
      <c r="U161" s="16">
        <f t="shared" si="128"/>
        <v>0</v>
      </c>
      <c r="V161" s="16">
        <f t="shared" si="128"/>
        <v>0</v>
      </c>
      <c r="W161" s="16">
        <f t="shared" si="128"/>
        <v>0</v>
      </c>
      <c r="X161" s="16">
        <f t="shared" si="128"/>
        <v>0</v>
      </c>
      <c r="Y161" s="16">
        <f t="shared" si="128"/>
        <v>0</v>
      </c>
      <c r="Z161" s="16">
        <f t="shared" si="129"/>
        <v>0</v>
      </c>
      <c r="AA161" s="16">
        <f t="shared" si="129"/>
        <v>0</v>
      </c>
      <c r="AB161" s="16">
        <f t="shared" si="129"/>
        <v>0</v>
      </c>
      <c r="AC161" s="16">
        <f t="shared" si="129"/>
        <v>0</v>
      </c>
      <c r="AD161" s="16">
        <f t="shared" si="129"/>
        <v>0</v>
      </c>
      <c r="AE161" s="16">
        <f t="shared" si="129"/>
        <v>0</v>
      </c>
      <c r="AF161" s="16">
        <f t="shared" si="129"/>
        <v>0</v>
      </c>
      <c r="AG161" s="16">
        <f t="shared" si="129"/>
        <v>0</v>
      </c>
      <c r="AH161" s="16">
        <f t="shared" si="129"/>
        <v>0</v>
      </c>
      <c r="AI161" s="16">
        <f t="shared" si="129"/>
        <v>0</v>
      </c>
      <c r="AJ161" s="16">
        <f t="shared" si="130"/>
        <v>0</v>
      </c>
      <c r="AK161" s="16">
        <f t="shared" si="130"/>
        <v>0</v>
      </c>
      <c r="AL161" s="16">
        <f t="shared" si="130"/>
        <v>0</v>
      </c>
      <c r="AM161" s="16">
        <f t="shared" si="130"/>
        <v>0</v>
      </c>
      <c r="AN161" s="16">
        <f t="shared" si="130"/>
        <v>0</v>
      </c>
      <c r="AO161" s="16">
        <f t="shared" si="130"/>
        <v>0</v>
      </c>
      <c r="AP161" s="16">
        <f t="shared" si="130"/>
        <v>0</v>
      </c>
      <c r="AQ161" s="16">
        <f t="shared" si="130"/>
        <v>0</v>
      </c>
      <c r="AR161" s="16">
        <f t="shared" si="130"/>
        <v>0</v>
      </c>
      <c r="AS161" s="16">
        <f t="shared" si="130"/>
        <v>0</v>
      </c>
      <c r="AT161" s="16">
        <f t="shared" si="131"/>
        <v>0</v>
      </c>
      <c r="AU161" s="16">
        <f t="shared" si="131"/>
        <v>0</v>
      </c>
      <c r="AV161" s="16">
        <f t="shared" si="131"/>
        <v>0</v>
      </c>
      <c r="AW161" s="16">
        <f t="shared" si="131"/>
        <v>0</v>
      </c>
      <c r="AX161" s="16">
        <f t="shared" si="131"/>
        <v>0</v>
      </c>
      <c r="AY161" s="16">
        <f t="shared" si="131"/>
        <v>0</v>
      </c>
      <c r="AZ161" s="16">
        <f t="shared" si="131"/>
        <v>0</v>
      </c>
      <c r="BA161" s="16">
        <f t="shared" si="131"/>
        <v>0</v>
      </c>
      <c r="BB161" s="16">
        <f t="shared" si="131"/>
        <v>0</v>
      </c>
      <c r="BC161" s="16">
        <f t="shared" si="131"/>
        <v>0</v>
      </c>
      <c r="BD161" s="16">
        <f t="shared" si="132"/>
        <v>0</v>
      </c>
      <c r="BE161" s="16">
        <f t="shared" si="132"/>
        <v>0</v>
      </c>
      <c r="BF161" s="16">
        <f t="shared" si="132"/>
        <v>0</v>
      </c>
      <c r="BG161" s="16">
        <f t="shared" si="132"/>
        <v>0</v>
      </c>
      <c r="BH161" s="16">
        <f t="shared" si="132"/>
        <v>0</v>
      </c>
      <c r="BI161" s="16">
        <f t="shared" si="132"/>
        <v>0</v>
      </c>
      <c r="BJ161" s="16">
        <f t="shared" si="132"/>
        <v>0</v>
      </c>
      <c r="BK161" s="16">
        <f t="shared" si="132"/>
        <v>0</v>
      </c>
      <c r="BL161" s="16">
        <f t="shared" si="132"/>
        <v>0</v>
      </c>
      <c r="BM161" s="16">
        <f t="shared" si="132"/>
        <v>0.26562523935700999</v>
      </c>
      <c r="BN161" s="16">
        <f t="shared" si="132"/>
        <v>0.47634105737411447</v>
      </c>
      <c r="BQ161" s="9">
        <f t="shared" si="97"/>
        <v>0</v>
      </c>
      <c r="BR161" s="16">
        <f t="shared" si="133"/>
        <v>0</v>
      </c>
      <c r="BS161" s="16">
        <f t="shared" si="133"/>
        <v>0</v>
      </c>
      <c r="BT161" s="16">
        <f t="shared" si="133"/>
        <v>0</v>
      </c>
      <c r="BU161" s="16">
        <f t="shared" si="133"/>
        <v>0</v>
      </c>
      <c r="BV161" s="16">
        <f t="shared" si="133"/>
        <v>0</v>
      </c>
      <c r="BW161" s="16">
        <f t="shared" si="133"/>
        <v>0</v>
      </c>
      <c r="BX161" s="16">
        <f t="shared" si="133"/>
        <v>0</v>
      </c>
      <c r="BY161" s="16">
        <f t="shared" si="133"/>
        <v>0</v>
      </c>
      <c r="BZ161" s="16">
        <f t="shared" si="133"/>
        <v>0</v>
      </c>
      <c r="CA161" s="16">
        <f t="shared" si="133"/>
        <v>0</v>
      </c>
      <c r="CB161" s="16">
        <f t="shared" si="134"/>
        <v>0</v>
      </c>
      <c r="CC161" s="16">
        <f t="shared" si="134"/>
        <v>0</v>
      </c>
      <c r="CD161" s="16">
        <f t="shared" si="134"/>
        <v>0</v>
      </c>
      <c r="CE161" s="16">
        <f t="shared" si="134"/>
        <v>0</v>
      </c>
      <c r="CF161" s="16">
        <f t="shared" si="134"/>
        <v>0</v>
      </c>
      <c r="CG161" s="16">
        <f t="shared" si="134"/>
        <v>0</v>
      </c>
      <c r="CH161" s="16">
        <f t="shared" si="134"/>
        <v>0</v>
      </c>
      <c r="CI161" s="16">
        <f t="shared" si="134"/>
        <v>0</v>
      </c>
      <c r="CJ161" s="16">
        <f t="shared" si="134"/>
        <v>0</v>
      </c>
      <c r="CK161" s="16">
        <f t="shared" si="134"/>
        <v>0</v>
      </c>
      <c r="CL161" s="16">
        <f t="shared" si="135"/>
        <v>0</v>
      </c>
      <c r="CM161" s="16">
        <f t="shared" si="135"/>
        <v>0</v>
      </c>
      <c r="CN161" s="16">
        <f t="shared" si="135"/>
        <v>0</v>
      </c>
      <c r="CO161" s="16">
        <f t="shared" si="135"/>
        <v>0</v>
      </c>
      <c r="CP161" s="16">
        <f t="shared" si="135"/>
        <v>0</v>
      </c>
      <c r="CQ161" s="16">
        <f t="shared" si="135"/>
        <v>0</v>
      </c>
      <c r="CR161" s="16">
        <f t="shared" si="135"/>
        <v>0</v>
      </c>
      <c r="CS161" s="16">
        <f t="shared" si="135"/>
        <v>0</v>
      </c>
      <c r="CT161" s="16">
        <f t="shared" si="135"/>
        <v>0</v>
      </c>
      <c r="CU161" s="16">
        <f t="shared" si="135"/>
        <v>0</v>
      </c>
      <c r="CV161" s="16">
        <f t="shared" si="136"/>
        <v>0</v>
      </c>
      <c r="CW161" s="16">
        <f t="shared" si="136"/>
        <v>0</v>
      </c>
      <c r="CX161" s="16">
        <f t="shared" si="136"/>
        <v>0</v>
      </c>
      <c r="CY161" s="16">
        <f t="shared" si="136"/>
        <v>0</v>
      </c>
      <c r="CZ161" s="16">
        <f t="shared" si="136"/>
        <v>0</v>
      </c>
      <c r="DA161" s="16">
        <f t="shared" si="136"/>
        <v>0</v>
      </c>
      <c r="DB161" s="16">
        <f t="shared" si="136"/>
        <v>0</v>
      </c>
      <c r="DC161" s="16">
        <f t="shared" si="136"/>
        <v>0</v>
      </c>
      <c r="DD161" s="16">
        <f t="shared" si="136"/>
        <v>0</v>
      </c>
      <c r="DE161" s="16">
        <f t="shared" si="136"/>
        <v>0</v>
      </c>
      <c r="DF161" s="16">
        <f t="shared" si="137"/>
        <v>0</v>
      </c>
      <c r="DG161" s="16">
        <f t="shared" si="137"/>
        <v>0</v>
      </c>
      <c r="DH161" s="16">
        <f t="shared" si="137"/>
        <v>0</v>
      </c>
      <c r="DI161" s="16">
        <f t="shared" si="137"/>
        <v>0</v>
      </c>
      <c r="DJ161" s="16">
        <f t="shared" si="137"/>
        <v>0</v>
      </c>
      <c r="DK161" s="16">
        <f t="shared" si="137"/>
        <v>0</v>
      </c>
      <c r="DL161" s="16">
        <f t="shared" si="137"/>
        <v>0</v>
      </c>
      <c r="DM161" s="16">
        <f t="shared" si="137"/>
        <v>0</v>
      </c>
      <c r="DN161" s="16">
        <f t="shared" si="137"/>
        <v>0</v>
      </c>
      <c r="DO161" s="16">
        <f t="shared" si="137"/>
        <v>0.48154082842126616</v>
      </c>
      <c r="DP161" s="16">
        <f t="shared" si="137"/>
        <v>5.0680719751346026E-2</v>
      </c>
    </row>
    <row r="162" spans="10:120" x14ac:dyDescent="0.25">
      <c r="J162" s="93"/>
      <c r="BI162" s="29"/>
      <c r="BJ162" s="29"/>
    </row>
    <row r="163" spans="10:120" x14ac:dyDescent="0.25">
      <c r="J163" s="93"/>
      <c r="BI163" s="29"/>
      <c r="BJ163" s="29"/>
    </row>
    <row r="164" spans="10:120" x14ac:dyDescent="0.25">
      <c r="J164" s="93"/>
      <c r="BI164" s="29"/>
      <c r="BJ164" s="29"/>
    </row>
    <row r="165" spans="10:120" x14ac:dyDescent="0.25">
      <c r="J165" s="93"/>
      <c r="O165" s="23" t="s">
        <v>22</v>
      </c>
      <c r="BI165" s="29"/>
      <c r="BJ165" s="29"/>
      <c r="BQ165" s="23" t="s">
        <v>22</v>
      </c>
    </row>
    <row r="166" spans="10:120" x14ac:dyDescent="0.25">
      <c r="J166" s="93"/>
      <c r="O166" s="11" t="s">
        <v>3</v>
      </c>
      <c r="P166" s="11">
        <f t="shared" ref="P166:BN166" si="138">P110</f>
        <v>50</v>
      </c>
      <c r="Q166" s="11">
        <f t="shared" si="138"/>
        <v>49</v>
      </c>
      <c r="R166" s="11">
        <f t="shared" si="138"/>
        <v>48</v>
      </c>
      <c r="S166" s="11">
        <f t="shared" si="138"/>
        <v>47</v>
      </c>
      <c r="T166" s="11">
        <f t="shared" si="138"/>
        <v>46</v>
      </c>
      <c r="U166" s="11">
        <f t="shared" si="138"/>
        <v>45</v>
      </c>
      <c r="V166" s="11">
        <f t="shared" si="138"/>
        <v>44</v>
      </c>
      <c r="W166" s="11">
        <f t="shared" si="138"/>
        <v>43</v>
      </c>
      <c r="X166" s="11">
        <f t="shared" si="138"/>
        <v>42</v>
      </c>
      <c r="Y166" s="11">
        <f t="shared" si="138"/>
        <v>41</v>
      </c>
      <c r="Z166" s="11">
        <f t="shared" si="138"/>
        <v>40</v>
      </c>
      <c r="AA166" s="11">
        <f t="shared" si="138"/>
        <v>39</v>
      </c>
      <c r="AB166" s="11">
        <f t="shared" si="138"/>
        <v>38</v>
      </c>
      <c r="AC166" s="11">
        <f t="shared" si="138"/>
        <v>37</v>
      </c>
      <c r="AD166" s="11">
        <f t="shared" si="138"/>
        <v>36</v>
      </c>
      <c r="AE166" s="11">
        <f t="shared" si="138"/>
        <v>35</v>
      </c>
      <c r="AF166" s="11">
        <f t="shared" si="138"/>
        <v>34</v>
      </c>
      <c r="AG166" s="11">
        <f t="shared" si="138"/>
        <v>33</v>
      </c>
      <c r="AH166" s="11">
        <f t="shared" si="138"/>
        <v>32</v>
      </c>
      <c r="AI166" s="11">
        <f t="shared" si="138"/>
        <v>31</v>
      </c>
      <c r="AJ166" s="11">
        <f t="shared" si="138"/>
        <v>30</v>
      </c>
      <c r="AK166" s="11">
        <f t="shared" si="138"/>
        <v>29</v>
      </c>
      <c r="AL166" s="11">
        <f t="shared" si="138"/>
        <v>28</v>
      </c>
      <c r="AM166" s="11">
        <f t="shared" si="138"/>
        <v>27</v>
      </c>
      <c r="AN166" s="11">
        <f t="shared" si="138"/>
        <v>26</v>
      </c>
      <c r="AO166" s="11">
        <f t="shared" si="138"/>
        <v>25</v>
      </c>
      <c r="AP166" s="11">
        <f t="shared" si="138"/>
        <v>24</v>
      </c>
      <c r="AQ166" s="11">
        <f t="shared" si="138"/>
        <v>23</v>
      </c>
      <c r="AR166" s="11">
        <f t="shared" si="138"/>
        <v>22</v>
      </c>
      <c r="AS166" s="11">
        <f t="shared" si="138"/>
        <v>21</v>
      </c>
      <c r="AT166" s="11">
        <f t="shared" si="138"/>
        <v>20</v>
      </c>
      <c r="AU166" s="11">
        <f t="shared" si="138"/>
        <v>19</v>
      </c>
      <c r="AV166" s="11">
        <f t="shared" si="138"/>
        <v>18</v>
      </c>
      <c r="AW166" s="11">
        <f t="shared" si="138"/>
        <v>17</v>
      </c>
      <c r="AX166" s="11">
        <f t="shared" si="138"/>
        <v>16</v>
      </c>
      <c r="AY166" s="11">
        <f t="shared" si="138"/>
        <v>15</v>
      </c>
      <c r="AZ166" s="11">
        <f t="shared" si="138"/>
        <v>14</v>
      </c>
      <c r="BA166" s="11">
        <f t="shared" si="138"/>
        <v>13</v>
      </c>
      <c r="BB166" s="11">
        <f t="shared" si="138"/>
        <v>12</v>
      </c>
      <c r="BC166" s="11">
        <f t="shared" si="138"/>
        <v>11</v>
      </c>
      <c r="BD166" s="11">
        <f t="shared" si="138"/>
        <v>10</v>
      </c>
      <c r="BE166" s="11">
        <f t="shared" si="138"/>
        <v>9</v>
      </c>
      <c r="BF166" s="11">
        <f t="shared" si="138"/>
        <v>8</v>
      </c>
      <c r="BG166" s="11">
        <f t="shared" si="138"/>
        <v>7</v>
      </c>
      <c r="BH166" s="11">
        <f t="shared" si="138"/>
        <v>6</v>
      </c>
      <c r="BI166" s="11">
        <f t="shared" si="138"/>
        <v>5</v>
      </c>
      <c r="BJ166" s="11">
        <f t="shared" si="138"/>
        <v>4</v>
      </c>
      <c r="BK166" s="11">
        <f t="shared" si="138"/>
        <v>3</v>
      </c>
      <c r="BL166" s="11">
        <f t="shared" si="138"/>
        <v>2</v>
      </c>
      <c r="BM166" s="11">
        <f t="shared" si="138"/>
        <v>1</v>
      </c>
      <c r="BN166" s="11">
        <f t="shared" si="138"/>
        <v>0</v>
      </c>
      <c r="BQ166" s="11" t="s">
        <v>3</v>
      </c>
      <c r="BR166" s="11">
        <f t="shared" ref="BR166:DP166" si="139">BR110</f>
        <v>50</v>
      </c>
      <c r="BS166" s="11">
        <f t="shared" si="139"/>
        <v>49</v>
      </c>
      <c r="BT166" s="11">
        <f t="shared" si="139"/>
        <v>48</v>
      </c>
      <c r="BU166" s="11">
        <f t="shared" si="139"/>
        <v>47</v>
      </c>
      <c r="BV166" s="11">
        <f t="shared" si="139"/>
        <v>46</v>
      </c>
      <c r="BW166" s="11">
        <f t="shared" si="139"/>
        <v>45</v>
      </c>
      <c r="BX166" s="11">
        <f t="shared" si="139"/>
        <v>44</v>
      </c>
      <c r="BY166" s="11">
        <f t="shared" si="139"/>
        <v>43</v>
      </c>
      <c r="BZ166" s="11">
        <f t="shared" si="139"/>
        <v>42</v>
      </c>
      <c r="CA166" s="11">
        <f t="shared" si="139"/>
        <v>41</v>
      </c>
      <c r="CB166" s="11">
        <f t="shared" si="139"/>
        <v>40</v>
      </c>
      <c r="CC166" s="11">
        <f t="shared" si="139"/>
        <v>39</v>
      </c>
      <c r="CD166" s="11">
        <f t="shared" si="139"/>
        <v>38</v>
      </c>
      <c r="CE166" s="11">
        <f t="shared" si="139"/>
        <v>37</v>
      </c>
      <c r="CF166" s="11">
        <f t="shared" si="139"/>
        <v>36</v>
      </c>
      <c r="CG166" s="11">
        <f t="shared" si="139"/>
        <v>35</v>
      </c>
      <c r="CH166" s="11">
        <f t="shared" si="139"/>
        <v>34</v>
      </c>
      <c r="CI166" s="11">
        <f t="shared" si="139"/>
        <v>33</v>
      </c>
      <c r="CJ166" s="11">
        <f t="shared" si="139"/>
        <v>32</v>
      </c>
      <c r="CK166" s="11">
        <f t="shared" si="139"/>
        <v>31</v>
      </c>
      <c r="CL166" s="11">
        <f t="shared" si="139"/>
        <v>30</v>
      </c>
      <c r="CM166" s="11">
        <f t="shared" si="139"/>
        <v>29</v>
      </c>
      <c r="CN166" s="11">
        <f t="shared" si="139"/>
        <v>28</v>
      </c>
      <c r="CO166" s="11">
        <f t="shared" si="139"/>
        <v>27</v>
      </c>
      <c r="CP166" s="11">
        <f t="shared" si="139"/>
        <v>26</v>
      </c>
      <c r="CQ166" s="11">
        <f t="shared" si="139"/>
        <v>25</v>
      </c>
      <c r="CR166" s="11">
        <f t="shared" si="139"/>
        <v>24</v>
      </c>
      <c r="CS166" s="11">
        <f t="shared" si="139"/>
        <v>23</v>
      </c>
      <c r="CT166" s="11">
        <f t="shared" si="139"/>
        <v>22</v>
      </c>
      <c r="CU166" s="11">
        <f t="shared" si="139"/>
        <v>21</v>
      </c>
      <c r="CV166" s="11">
        <f t="shared" si="139"/>
        <v>20</v>
      </c>
      <c r="CW166" s="11">
        <f t="shared" si="139"/>
        <v>19</v>
      </c>
      <c r="CX166" s="11">
        <f t="shared" si="139"/>
        <v>18</v>
      </c>
      <c r="CY166" s="11">
        <f t="shared" si="139"/>
        <v>17</v>
      </c>
      <c r="CZ166" s="11">
        <f t="shared" si="139"/>
        <v>16</v>
      </c>
      <c r="DA166" s="11">
        <f t="shared" si="139"/>
        <v>15</v>
      </c>
      <c r="DB166" s="11">
        <f t="shared" si="139"/>
        <v>14</v>
      </c>
      <c r="DC166" s="11">
        <f t="shared" si="139"/>
        <v>13</v>
      </c>
      <c r="DD166" s="11">
        <f t="shared" si="139"/>
        <v>12</v>
      </c>
      <c r="DE166" s="11">
        <f t="shared" si="139"/>
        <v>11</v>
      </c>
      <c r="DF166" s="11">
        <f t="shared" si="139"/>
        <v>10</v>
      </c>
      <c r="DG166" s="11">
        <f t="shared" si="139"/>
        <v>9</v>
      </c>
      <c r="DH166" s="11">
        <f t="shared" si="139"/>
        <v>8</v>
      </c>
      <c r="DI166" s="11">
        <f t="shared" si="139"/>
        <v>7</v>
      </c>
      <c r="DJ166" s="11">
        <f t="shared" si="139"/>
        <v>6</v>
      </c>
      <c r="DK166" s="11">
        <f t="shared" si="139"/>
        <v>5</v>
      </c>
      <c r="DL166" s="11">
        <f t="shared" si="139"/>
        <v>4</v>
      </c>
      <c r="DM166" s="11">
        <f t="shared" si="139"/>
        <v>3</v>
      </c>
      <c r="DN166" s="11">
        <f t="shared" si="139"/>
        <v>2</v>
      </c>
      <c r="DO166" s="11">
        <f t="shared" si="139"/>
        <v>1</v>
      </c>
      <c r="DP166" s="11">
        <f t="shared" si="139"/>
        <v>0</v>
      </c>
    </row>
    <row r="167" spans="10:120" x14ac:dyDescent="0.25">
      <c r="J167" s="93"/>
      <c r="O167" s="9">
        <f>P166</f>
        <v>50</v>
      </c>
      <c r="P167" s="16">
        <f t="shared" ref="P167:Y176" si="140">IF(P$166=$O167,1-HLOOKUP($O167,$O$19:$BN$48,P$107,0),IF(P$166-$O167=1,-HLOOKUP($O167,$O$15:$BN$30,P$107,0),IF(P$166-$O167=-1,-HLOOKUP($O167,$O$23:$BN$68,P$107,0),0)))</f>
        <v>1.0267080032178091</v>
      </c>
      <c r="Q167" s="16">
        <f t="shared" si="140"/>
        <v>-1.3160407311389743E-2</v>
      </c>
      <c r="R167" s="16">
        <f t="shared" si="140"/>
        <v>0</v>
      </c>
      <c r="S167" s="16">
        <f t="shared" si="140"/>
        <v>0</v>
      </c>
      <c r="T167" s="16">
        <f t="shared" si="140"/>
        <v>0</v>
      </c>
      <c r="U167" s="16">
        <f t="shared" si="140"/>
        <v>0</v>
      </c>
      <c r="V167" s="16">
        <f t="shared" si="140"/>
        <v>0</v>
      </c>
      <c r="W167" s="16">
        <f t="shared" si="140"/>
        <v>0</v>
      </c>
      <c r="X167" s="16">
        <f t="shared" si="140"/>
        <v>0</v>
      </c>
      <c r="Y167" s="16">
        <f t="shared" si="140"/>
        <v>0</v>
      </c>
      <c r="Z167" s="16">
        <f t="shared" ref="Z167:AI176" si="141">IF(Z$166=$O167,1-HLOOKUP($O167,$O$19:$BN$48,Z$107,0),IF(Z$166-$O167=1,-HLOOKUP($O167,$O$15:$BN$30,Z$107,0),IF(Z$166-$O167=-1,-HLOOKUP($O167,$O$23:$BN$68,Z$107,0),0)))</f>
        <v>0</v>
      </c>
      <c r="AA167" s="16">
        <f t="shared" si="141"/>
        <v>0</v>
      </c>
      <c r="AB167" s="16">
        <f t="shared" si="141"/>
        <v>0</v>
      </c>
      <c r="AC167" s="16">
        <f t="shared" si="141"/>
        <v>0</v>
      </c>
      <c r="AD167" s="16">
        <f t="shared" si="141"/>
        <v>0</v>
      </c>
      <c r="AE167" s="16">
        <f t="shared" si="141"/>
        <v>0</v>
      </c>
      <c r="AF167" s="16">
        <f t="shared" si="141"/>
        <v>0</v>
      </c>
      <c r="AG167" s="16">
        <f t="shared" si="141"/>
        <v>0</v>
      </c>
      <c r="AH167" s="16">
        <f t="shared" si="141"/>
        <v>0</v>
      </c>
      <c r="AI167" s="16">
        <f t="shared" si="141"/>
        <v>0</v>
      </c>
      <c r="AJ167" s="16">
        <f t="shared" ref="AJ167:AS176" si="142">IF(AJ$166=$O167,1-HLOOKUP($O167,$O$19:$BN$48,AJ$107,0),IF(AJ$166-$O167=1,-HLOOKUP($O167,$O$15:$BN$30,AJ$107,0),IF(AJ$166-$O167=-1,-HLOOKUP($O167,$O$23:$BN$68,AJ$107,0),0)))</f>
        <v>0</v>
      </c>
      <c r="AK167" s="16">
        <f t="shared" si="142"/>
        <v>0</v>
      </c>
      <c r="AL167" s="16">
        <f t="shared" si="142"/>
        <v>0</v>
      </c>
      <c r="AM167" s="16">
        <f t="shared" si="142"/>
        <v>0</v>
      </c>
      <c r="AN167" s="16">
        <f t="shared" si="142"/>
        <v>0</v>
      </c>
      <c r="AO167" s="16">
        <f t="shared" si="142"/>
        <v>0</v>
      </c>
      <c r="AP167" s="16">
        <f t="shared" si="142"/>
        <v>0</v>
      </c>
      <c r="AQ167" s="16">
        <f t="shared" si="142"/>
        <v>0</v>
      </c>
      <c r="AR167" s="16">
        <f t="shared" si="142"/>
        <v>0</v>
      </c>
      <c r="AS167" s="16">
        <f t="shared" si="142"/>
        <v>0</v>
      </c>
      <c r="AT167" s="16">
        <f t="shared" ref="AT167:BC176" si="143">IF(AT$166=$O167,1-HLOOKUP($O167,$O$19:$BN$48,AT$107,0),IF(AT$166-$O167=1,-HLOOKUP($O167,$O$15:$BN$30,AT$107,0),IF(AT$166-$O167=-1,-HLOOKUP($O167,$O$23:$BN$68,AT$107,0),0)))</f>
        <v>0</v>
      </c>
      <c r="AU167" s="16">
        <f t="shared" si="143"/>
        <v>0</v>
      </c>
      <c r="AV167" s="16">
        <f t="shared" si="143"/>
        <v>0</v>
      </c>
      <c r="AW167" s="16">
        <f t="shared" si="143"/>
        <v>0</v>
      </c>
      <c r="AX167" s="16">
        <f t="shared" si="143"/>
        <v>0</v>
      </c>
      <c r="AY167" s="16">
        <f t="shared" si="143"/>
        <v>0</v>
      </c>
      <c r="AZ167" s="16">
        <f t="shared" si="143"/>
        <v>0</v>
      </c>
      <c r="BA167" s="16">
        <f t="shared" si="143"/>
        <v>0</v>
      </c>
      <c r="BB167" s="16">
        <f t="shared" si="143"/>
        <v>0</v>
      </c>
      <c r="BC167" s="16">
        <f t="shared" si="143"/>
        <v>0</v>
      </c>
      <c r="BD167" s="16">
        <f t="shared" ref="BD167:BN176" si="144">IF(BD$166=$O167,1-HLOOKUP($O167,$O$19:$BN$48,BD$107,0),IF(BD$166-$O167=1,-HLOOKUP($O167,$O$15:$BN$30,BD$107,0),IF(BD$166-$O167=-1,-HLOOKUP($O167,$O$23:$BN$68,BD$107,0),0)))</f>
        <v>0</v>
      </c>
      <c r="BE167" s="16">
        <f t="shared" si="144"/>
        <v>0</v>
      </c>
      <c r="BF167" s="16">
        <f t="shared" si="144"/>
        <v>0</v>
      </c>
      <c r="BG167" s="16">
        <f t="shared" si="144"/>
        <v>0</v>
      </c>
      <c r="BH167" s="16">
        <f t="shared" si="144"/>
        <v>0</v>
      </c>
      <c r="BI167" s="16">
        <f t="shared" si="144"/>
        <v>0</v>
      </c>
      <c r="BJ167" s="16">
        <f t="shared" si="144"/>
        <v>0</v>
      </c>
      <c r="BK167" s="16">
        <f t="shared" si="144"/>
        <v>0</v>
      </c>
      <c r="BL167" s="16">
        <f t="shared" si="144"/>
        <v>0</v>
      </c>
      <c r="BM167" s="16">
        <f t="shared" si="144"/>
        <v>0</v>
      </c>
      <c r="BN167" s="16">
        <f t="shared" si="144"/>
        <v>0</v>
      </c>
      <c r="BQ167" s="9">
        <f>BR166</f>
        <v>50</v>
      </c>
      <c r="BR167" s="16">
        <f t="shared" ref="BR167:CA176" si="145">IF(BR$166=$O167,1-HLOOKUP($O167,$O$19:$BN$48,BR$107,0),IF(BR$166-$O167=1,-HLOOKUP($O167,$O$15:$BN$30,BR$107,0),IF(BR$166-$O167=-1,-HLOOKUP($O167,$O$23:$BN$68,BR$107,0),0)))</f>
        <v>1.1982424727071312</v>
      </c>
      <c r="BS167" s="16">
        <f t="shared" si="145"/>
        <v>-9.7684265872157797E-2</v>
      </c>
      <c r="BT167" s="16">
        <f t="shared" si="145"/>
        <v>0</v>
      </c>
      <c r="BU167" s="16">
        <f t="shared" si="145"/>
        <v>0</v>
      </c>
      <c r="BV167" s="16">
        <f t="shared" si="145"/>
        <v>0</v>
      </c>
      <c r="BW167" s="16">
        <f t="shared" si="145"/>
        <v>0</v>
      </c>
      <c r="BX167" s="16">
        <f t="shared" si="145"/>
        <v>0</v>
      </c>
      <c r="BY167" s="16">
        <f t="shared" si="145"/>
        <v>0</v>
      </c>
      <c r="BZ167" s="16">
        <f t="shared" si="145"/>
        <v>0</v>
      </c>
      <c r="CA167" s="16">
        <f t="shared" si="145"/>
        <v>0</v>
      </c>
      <c r="CB167" s="16">
        <f t="shared" ref="CB167:CK176" si="146">IF(CB$166=$O167,1-HLOOKUP($O167,$O$19:$BN$48,CB$107,0),IF(CB$166-$O167=1,-HLOOKUP($O167,$O$15:$BN$30,CB$107,0),IF(CB$166-$O167=-1,-HLOOKUP($O167,$O$23:$BN$68,CB$107,0),0)))</f>
        <v>0</v>
      </c>
      <c r="CC167" s="16">
        <f t="shared" si="146"/>
        <v>0</v>
      </c>
      <c r="CD167" s="16">
        <f t="shared" si="146"/>
        <v>0</v>
      </c>
      <c r="CE167" s="16">
        <f t="shared" si="146"/>
        <v>0</v>
      </c>
      <c r="CF167" s="16">
        <f t="shared" si="146"/>
        <v>0</v>
      </c>
      <c r="CG167" s="16">
        <f t="shared" si="146"/>
        <v>0</v>
      </c>
      <c r="CH167" s="16">
        <f t="shared" si="146"/>
        <v>0</v>
      </c>
      <c r="CI167" s="16">
        <f t="shared" si="146"/>
        <v>0</v>
      </c>
      <c r="CJ167" s="16">
        <f t="shared" si="146"/>
        <v>0</v>
      </c>
      <c r="CK167" s="16">
        <f t="shared" si="146"/>
        <v>0</v>
      </c>
      <c r="CL167" s="16">
        <f t="shared" ref="CL167:CU176" si="147">IF(CL$166=$O167,1-HLOOKUP($O167,$O$19:$BN$48,CL$107,0),IF(CL$166-$O167=1,-HLOOKUP($O167,$O$15:$BN$30,CL$107,0),IF(CL$166-$O167=-1,-HLOOKUP($O167,$O$23:$BN$68,CL$107,0),0)))</f>
        <v>0</v>
      </c>
      <c r="CM167" s="16">
        <f t="shared" si="147"/>
        <v>0</v>
      </c>
      <c r="CN167" s="16">
        <f t="shared" si="147"/>
        <v>0</v>
      </c>
      <c r="CO167" s="16">
        <f t="shared" si="147"/>
        <v>0</v>
      </c>
      <c r="CP167" s="16">
        <f t="shared" si="147"/>
        <v>0</v>
      </c>
      <c r="CQ167" s="16">
        <f t="shared" si="147"/>
        <v>0</v>
      </c>
      <c r="CR167" s="16">
        <f t="shared" si="147"/>
        <v>0</v>
      </c>
      <c r="CS167" s="16">
        <f t="shared" si="147"/>
        <v>0</v>
      </c>
      <c r="CT167" s="16">
        <f t="shared" si="147"/>
        <v>0</v>
      </c>
      <c r="CU167" s="16">
        <f t="shared" si="147"/>
        <v>0</v>
      </c>
      <c r="CV167" s="16">
        <f t="shared" ref="CV167:DE176" si="148">IF(CV$166=$O167,1-HLOOKUP($O167,$O$19:$BN$48,CV$107,0),IF(CV$166-$O167=1,-HLOOKUP($O167,$O$15:$BN$30,CV$107,0),IF(CV$166-$O167=-1,-HLOOKUP($O167,$O$23:$BN$68,CV$107,0),0)))</f>
        <v>0</v>
      </c>
      <c r="CW167" s="16">
        <f t="shared" si="148"/>
        <v>0</v>
      </c>
      <c r="CX167" s="16">
        <f t="shared" si="148"/>
        <v>0</v>
      </c>
      <c r="CY167" s="16">
        <f t="shared" si="148"/>
        <v>0</v>
      </c>
      <c r="CZ167" s="16">
        <f t="shared" si="148"/>
        <v>0</v>
      </c>
      <c r="DA167" s="16">
        <f t="shared" si="148"/>
        <v>0</v>
      </c>
      <c r="DB167" s="16">
        <f t="shared" si="148"/>
        <v>0</v>
      </c>
      <c r="DC167" s="16">
        <f t="shared" si="148"/>
        <v>0</v>
      </c>
      <c r="DD167" s="16">
        <f t="shared" si="148"/>
        <v>0</v>
      </c>
      <c r="DE167" s="16">
        <f t="shared" si="148"/>
        <v>0</v>
      </c>
      <c r="DF167" s="16">
        <f t="shared" ref="DF167:DP176" si="149">IF(DF$166=$O167,1-HLOOKUP($O167,$O$19:$BN$48,DF$107,0),IF(DF$166-$O167=1,-HLOOKUP($O167,$O$15:$BN$30,DF$107,0),IF(DF$166-$O167=-1,-HLOOKUP($O167,$O$23:$BN$68,DF$107,0),0)))</f>
        <v>0</v>
      </c>
      <c r="DG167" s="16">
        <f t="shared" si="149"/>
        <v>0</v>
      </c>
      <c r="DH167" s="16">
        <f t="shared" si="149"/>
        <v>0</v>
      </c>
      <c r="DI167" s="16">
        <f t="shared" si="149"/>
        <v>0</v>
      </c>
      <c r="DJ167" s="16">
        <f t="shared" si="149"/>
        <v>0</v>
      </c>
      <c r="DK167" s="16">
        <f t="shared" si="149"/>
        <v>0</v>
      </c>
      <c r="DL167" s="16">
        <f t="shared" si="149"/>
        <v>0</v>
      </c>
      <c r="DM167" s="16">
        <f t="shared" si="149"/>
        <v>0</v>
      </c>
      <c r="DN167" s="16">
        <f t="shared" si="149"/>
        <v>0</v>
      </c>
      <c r="DO167" s="16">
        <f t="shared" si="149"/>
        <v>0</v>
      </c>
      <c r="DP167" s="16">
        <f t="shared" si="149"/>
        <v>0</v>
      </c>
    </row>
    <row r="168" spans="10:120" x14ac:dyDescent="0.25">
      <c r="J168" s="93"/>
      <c r="O168" s="9">
        <f>O167-1</f>
        <v>49</v>
      </c>
      <c r="P168" s="16">
        <f t="shared" si="140"/>
        <v>-1.3547595906419362E-2</v>
      </c>
      <c r="Q168" s="16">
        <f t="shared" si="140"/>
        <v>1.0267080032178091</v>
      </c>
      <c r="R168" s="16">
        <f t="shared" si="140"/>
        <v>-1.3160407311389743E-2</v>
      </c>
      <c r="S168" s="16">
        <f t="shared" si="140"/>
        <v>0</v>
      </c>
      <c r="T168" s="16">
        <f t="shared" si="140"/>
        <v>0</v>
      </c>
      <c r="U168" s="16">
        <f t="shared" si="140"/>
        <v>0</v>
      </c>
      <c r="V168" s="16">
        <f t="shared" si="140"/>
        <v>0</v>
      </c>
      <c r="W168" s="16">
        <f t="shared" si="140"/>
        <v>0</v>
      </c>
      <c r="X168" s="16">
        <f t="shared" si="140"/>
        <v>0</v>
      </c>
      <c r="Y168" s="16">
        <f t="shared" si="140"/>
        <v>0</v>
      </c>
      <c r="Z168" s="16">
        <f t="shared" si="141"/>
        <v>0</v>
      </c>
      <c r="AA168" s="16">
        <f t="shared" si="141"/>
        <v>0</v>
      </c>
      <c r="AB168" s="16">
        <f t="shared" si="141"/>
        <v>0</v>
      </c>
      <c r="AC168" s="16">
        <f t="shared" si="141"/>
        <v>0</v>
      </c>
      <c r="AD168" s="16">
        <f t="shared" si="141"/>
        <v>0</v>
      </c>
      <c r="AE168" s="16">
        <f t="shared" si="141"/>
        <v>0</v>
      </c>
      <c r="AF168" s="16">
        <f t="shared" si="141"/>
        <v>0</v>
      </c>
      <c r="AG168" s="16">
        <f t="shared" si="141"/>
        <v>0</v>
      </c>
      <c r="AH168" s="16">
        <f t="shared" si="141"/>
        <v>0</v>
      </c>
      <c r="AI168" s="16">
        <f t="shared" si="141"/>
        <v>0</v>
      </c>
      <c r="AJ168" s="16">
        <f t="shared" si="142"/>
        <v>0</v>
      </c>
      <c r="AK168" s="16">
        <f t="shared" si="142"/>
        <v>0</v>
      </c>
      <c r="AL168" s="16">
        <f t="shared" si="142"/>
        <v>0</v>
      </c>
      <c r="AM168" s="16">
        <f t="shared" si="142"/>
        <v>0</v>
      </c>
      <c r="AN168" s="16">
        <f t="shared" si="142"/>
        <v>0</v>
      </c>
      <c r="AO168" s="16">
        <f t="shared" si="142"/>
        <v>0</v>
      </c>
      <c r="AP168" s="16">
        <f t="shared" si="142"/>
        <v>0</v>
      </c>
      <c r="AQ168" s="16">
        <f t="shared" si="142"/>
        <v>0</v>
      </c>
      <c r="AR168" s="16">
        <f t="shared" si="142"/>
        <v>0</v>
      </c>
      <c r="AS168" s="16">
        <f t="shared" si="142"/>
        <v>0</v>
      </c>
      <c r="AT168" s="16">
        <f t="shared" si="143"/>
        <v>0</v>
      </c>
      <c r="AU168" s="16">
        <f t="shared" si="143"/>
        <v>0</v>
      </c>
      <c r="AV168" s="16">
        <f t="shared" si="143"/>
        <v>0</v>
      </c>
      <c r="AW168" s="16">
        <f t="shared" si="143"/>
        <v>0</v>
      </c>
      <c r="AX168" s="16">
        <f t="shared" si="143"/>
        <v>0</v>
      </c>
      <c r="AY168" s="16">
        <f t="shared" si="143"/>
        <v>0</v>
      </c>
      <c r="AZ168" s="16">
        <f t="shared" si="143"/>
        <v>0</v>
      </c>
      <c r="BA168" s="16">
        <f t="shared" si="143"/>
        <v>0</v>
      </c>
      <c r="BB168" s="16">
        <f t="shared" si="143"/>
        <v>0</v>
      </c>
      <c r="BC168" s="16">
        <f t="shared" si="143"/>
        <v>0</v>
      </c>
      <c r="BD168" s="16">
        <f t="shared" si="144"/>
        <v>0</v>
      </c>
      <c r="BE168" s="16">
        <f t="shared" si="144"/>
        <v>0</v>
      </c>
      <c r="BF168" s="16">
        <f t="shared" si="144"/>
        <v>0</v>
      </c>
      <c r="BG168" s="16">
        <f t="shared" si="144"/>
        <v>0</v>
      </c>
      <c r="BH168" s="16">
        <f t="shared" si="144"/>
        <v>0</v>
      </c>
      <c r="BI168" s="16">
        <f t="shared" si="144"/>
        <v>0</v>
      </c>
      <c r="BJ168" s="16">
        <f t="shared" si="144"/>
        <v>0</v>
      </c>
      <c r="BK168" s="16">
        <f t="shared" si="144"/>
        <v>0</v>
      </c>
      <c r="BL168" s="16">
        <f t="shared" si="144"/>
        <v>0</v>
      </c>
      <c r="BM168" s="16">
        <f t="shared" si="144"/>
        <v>0</v>
      </c>
      <c r="BN168" s="16">
        <f t="shared" si="144"/>
        <v>0</v>
      </c>
      <c r="BQ168" s="9">
        <f>BQ167-1</f>
        <v>49</v>
      </c>
      <c r="BR168" s="16">
        <f t="shared" si="145"/>
        <v>-0.10055820683497335</v>
      </c>
      <c r="BS168" s="16">
        <f t="shared" si="145"/>
        <v>1.1982424727071312</v>
      </c>
      <c r="BT168" s="16">
        <f t="shared" si="145"/>
        <v>-9.7684265872157797E-2</v>
      </c>
      <c r="BU168" s="16">
        <f t="shared" si="145"/>
        <v>0</v>
      </c>
      <c r="BV168" s="16">
        <f t="shared" si="145"/>
        <v>0</v>
      </c>
      <c r="BW168" s="16">
        <f t="shared" si="145"/>
        <v>0</v>
      </c>
      <c r="BX168" s="16">
        <f t="shared" si="145"/>
        <v>0</v>
      </c>
      <c r="BY168" s="16">
        <f t="shared" si="145"/>
        <v>0</v>
      </c>
      <c r="BZ168" s="16">
        <f t="shared" si="145"/>
        <v>0</v>
      </c>
      <c r="CA168" s="16">
        <f t="shared" si="145"/>
        <v>0</v>
      </c>
      <c r="CB168" s="16">
        <f t="shared" si="146"/>
        <v>0</v>
      </c>
      <c r="CC168" s="16">
        <f t="shared" si="146"/>
        <v>0</v>
      </c>
      <c r="CD168" s="16">
        <f t="shared" si="146"/>
        <v>0</v>
      </c>
      <c r="CE168" s="16">
        <f t="shared" si="146"/>
        <v>0</v>
      </c>
      <c r="CF168" s="16">
        <f t="shared" si="146"/>
        <v>0</v>
      </c>
      <c r="CG168" s="16">
        <f t="shared" si="146"/>
        <v>0</v>
      </c>
      <c r="CH168" s="16">
        <f t="shared" si="146"/>
        <v>0</v>
      </c>
      <c r="CI168" s="16">
        <f t="shared" si="146"/>
        <v>0</v>
      </c>
      <c r="CJ168" s="16">
        <f t="shared" si="146"/>
        <v>0</v>
      </c>
      <c r="CK168" s="16">
        <f t="shared" si="146"/>
        <v>0</v>
      </c>
      <c r="CL168" s="16">
        <f t="shared" si="147"/>
        <v>0</v>
      </c>
      <c r="CM168" s="16">
        <f t="shared" si="147"/>
        <v>0</v>
      </c>
      <c r="CN168" s="16">
        <f t="shared" si="147"/>
        <v>0</v>
      </c>
      <c r="CO168" s="16">
        <f t="shared" si="147"/>
        <v>0</v>
      </c>
      <c r="CP168" s="16">
        <f t="shared" si="147"/>
        <v>0</v>
      </c>
      <c r="CQ168" s="16">
        <f t="shared" si="147"/>
        <v>0</v>
      </c>
      <c r="CR168" s="16">
        <f t="shared" si="147"/>
        <v>0</v>
      </c>
      <c r="CS168" s="16">
        <f t="shared" si="147"/>
        <v>0</v>
      </c>
      <c r="CT168" s="16">
        <f t="shared" si="147"/>
        <v>0</v>
      </c>
      <c r="CU168" s="16">
        <f t="shared" si="147"/>
        <v>0</v>
      </c>
      <c r="CV168" s="16">
        <f t="shared" si="148"/>
        <v>0</v>
      </c>
      <c r="CW168" s="16">
        <f t="shared" si="148"/>
        <v>0</v>
      </c>
      <c r="CX168" s="16">
        <f t="shared" si="148"/>
        <v>0</v>
      </c>
      <c r="CY168" s="16">
        <f t="shared" si="148"/>
        <v>0</v>
      </c>
      <c r="CZ168" s="16">
        <f t="shared" si="148"/>
        <v>0</v>
      </c>
      <c r="DA168" s="16">
        <f t="shared" si="148"/>
        <v>0</v>
      </c>
      <c r="DB168" s="16">
        <f t="shared" si="148"/>
        <v>0</v>
      </c>
      <c r="DC168" s="16">
        <f t="shared" si="148"/>
        <v>0</v>
      </c>
      <c r="DD168" s="16">
        <f t="shared" si="148"/>
        <v>0</v>
      </c>
      <c r="DE168" s="16">
        <f t="shared" si="148"/>
        <v>0</v>
      </c>
      <c r="DF168" s="16">
        <f t="shared" si="149"/>
        <v>0</v>
      </c>
      <c r="DG168" s="16">
        <f t="shared" si="149"/>
        <v>0</v>
      </c>
      <c r="DH168" s="16">
        <f t="shared" si="149"/>
        <v>0</v>
      </c>
      <c r="DI168" s="16">
        <f t="shared" si="149"/>
        <v>0</v>
      </c>
      <c r="DJ168" s="16">
        <f t="shared" si="149"/>
        <v>0</v>
      </c>
      <c r="DK168" s="16">
        <f t="shared" si="149"/>
        <v>0</v>
      </c>
      <c r="DL168" s="16">
        <f t="shared" si="149"/>
        <v>0</v>
      </c>
      <c r="DM168" s="16">
        <f t="shared" si="149"/>
        <v>0</v>
      </c>
      <c r="DN168" s="16">
        <f t="shared" si="149"/>
        <v>0</v>
      </c>
      <c r="DO168" s="16">
        <f t="shared" si="149"/>
        <v>0</v>
      </c>
      <c r="DP168" s="16">
        <f t="shared" si="149"/>
        <v>0</v>
      </c>
    </row>
    <row r="169" spans="10:120" x14ac:dyDescent="0.25">
      <c r="J169" s="93"/>
      <c r="O169" s="9">
        <f t="shared" ref="O169:O217" si="150">O168-1</f>
        <v>48</v>
      </c>
      <c r="P169" s="16">
        <f t="shared" si="140"/>
        <v>0</v>
      </c>
      <c r="Q169" s="16">
        <f t="shared" si="140"/>
        <v>-1.3547595906419362E-2</v>
      </c>
      <c r="R169" s="16">
        <f t="shared" si="140"/>
        <v>1.0267080032178091</v>
      </c>
      <c r="S169" s="16">
        <f t="shared" si="140"/>
        <v>-1.3160407311389743E-2</v>
      </c>
      <c r="T169" s="16">
        <f t="shared" si="140"/>
        <v>0</v>
      </c>
      <c r="U169" s="16">
        <f t="shared" si="140"/>
        <v>0</v>
      </c>
      <c r="V169" s="16">
        <f t="shared" si="140"/>
        <v>0</v>
      </c>
      <c r="W169" s="16">
        <f t="shared" si="140"/>
        <v>0</v>
      </c>
      <c r="X169" s="16">
        <f t="shared" si="140"/>
        <v>0</v>
      </c>
      <c r="Y169" s="16">
        <f t="shared" si="140"/>
        <v>0</v>
      </c>
      <c r="Z169" s="16">
        <f t="shared" si="141"/>
        <v>0</v>
      </c>
      <c r="AA169" s="16">
        <f t="shared" si="141"/>
        <v>0</v>
      </c>
      <c r="AB169" s="16">
        <f t="shared" si="141"/>
        <v>0</v>
      </c>
      <c r="AC169" s="16">
        <f t="shared" si="141"/>
        <v>0</v>
      </c>
      <c r="AD169" s="16">
        <f t="shared" si="141"/>
        <v>0</v>
      </c>
      <c r="AE169" s="16">
        <f t="shared" si="141"/>
        <v>0</v>
      </c>
      <c r="AF169" s="16">
        <f t="shared" si="141"/>
        <v>0</v>
      </c>
      <c r="AG169" s="16">
        <f t="shared" si="141"/>
        <v>0</v>
      </c>
      <c r="AH169" s="16">
        <f t="shared" si="141"/>
        <v>0</v>
      </c>
      <c r="AI169" s="16">
        <f t="shared" si="141"/>
        <v>0</v>
      </c>
      <c r="AJ169" s="16">
        <f t="shared" si="142"/>
        <v>0</v>
      </c>
      <c r="AK169" s="16">
        <f t="shared" si="142"/>
        <v>0</v>
      </c>
      <c r="AL169" s="16">
        <f t="shared" si="142"/>
        <v>0</v>
      </c>
      <c r="AM169" s="16">
        <f t="shared" si="142"/>
        <v>0</v>
      </c>
      <c r="AN169" s="16">
        <f t="shared" si="142"/>
        <v>0</v>
      </c>
      <c r="AO169" s="16">
        <f t="shared" si="142"/>
        <v>0</v>
      </c>
      <c r="AP169" s="16">
        <f t="shared" si="142"/>
        <v>0</v>
      </c>
      <c r="AQ169" s="16">
        <f t="shared" si="142"/>
        <v>0</v>
      </c>
      <c r="AR169" s="16">
        <f t="shared" si="142"/>
        <v>0</v>
      </c>
      <c r="AS169" s="16">
        <f t="shared" si="142"/>
        <v>0</v>
      </c>
      <c r="AT169" s="16">
        <f t="shared" si="143"/>
        <v>0</v>
      </c>
      <c r="AU169" s="16">
        <f t="shared" si="143"/>
        <v>0</v>
      </c>
      <c r="AV169" s="16">
        <f t="shared" si="143"/>
        <v>0</v>
      </c>
      <c r="AW169" s="16">
        <f t="shared" si="143"/>
        <v>0</v>
      </c>
      <c r="AX169" s="16">
        <f t="shared" si="143"/>
        <v>0</v>
      </c>
      <c r="AY169" s="16">
        <f t="shared" si="143"/>
        <v>0</v>
      </c>
      <c r="AZ169" s="16">
        <f t="shared" si="143"/>
        <v>0</v>
      </c>
      <c r="BA169" s="16">
        <f t="shared" si="143"/>
        <v>0</v>
      </c>
      <c r="BB169" s="16">
        <f t="shared" si="143"/>
        <v>0</v>
      </c>
      <c r="BC169" s="16">
        <f t="shared" si="143"/>
        <v>0</v>
      </c>
      <c r="BD169" s="16">
        <f t="shared" si="144"/>
        <v>0</v>
      </c>
      <c r="BE169" s="16">
        <f t="shared" si="144"/>
        <v>0</v>
      </c>
      <c r="BF169" s="16">
        <f t="shared" si="144"/>
        <v>0</v>
      </c>
      <c r="BG169" s="16">
        <f t="shared" si="144"/>
        <v>0</v>
      </c>
      <c r="BH169" s="16">
        <f t="shared" si="144"/>
        <v>0</v>
      </c>
      <c r="BI169" s="16">
        <f t="shared" si="144"/>
        <v>0</v>
      </c>
      <c r="BJ169" s="16">
        <f t="shared" si="144"/>
        <v>0</v>
      </c>
      <c r="BK169" s="16">
        <f t="shared" si="144"/>
        <v>0</v>
      </c>
      <c r="BL169" s="16">
        <f t="shared" si="144"/>
        <v>0</v>
      </c>
      <c r="BM169" s="16">
        <f t="shared" si="144"/>
        <v>0</v>
      </c>
      <c r="BN169" s="16">
        <f t="shared" si="144"/>
        <v>0</v>
      </c>
      <c r="BQ169" s="9">
        <f t="shared" ref="BQ169:BQ217" si="151">BQ168-1</f>
        <v>48</v>
      </c>
      <c r="BR169" s="16">
        <f t="shared" si="145"/>
        <v>0</v>
      </c>
      <c r="BS169" s="16">
        <f t="shared" si="145"/>
        <v>-0.10055820683497335</v>
      </c>
      <c r="BT169" s="16">
        <f t="shared" si="145"/>
        <v>1.1982424727071312</v>
      </c>
      <c r="BU169" s="16">
        <f t="shared" si="145"/>
        <v>-9.7684265872157797E-2</v>
      </c>
      <c r="BV169" s="16">
        <f t="shared" si="145"/>
        <v>0</v>
      </c>
      <c r="BW169" s="16">
        <f t="shared" si="145"/>
        <v>0</v>
      </c>
      <c r="BX169" s="16">
        <f t="shared" si="145"/>
        <v>0</v>
      </c>
      <c r="BY169" s="16">
        <f t="shared" si="145"/>
        <v>0</v>
      </c>
      <c r="BZ169" s="16">
        <f t="shared" si="145"/>
        <v>0</v>
      </c>
      <c r="CA169" s="16">
        <f t="shared" si="145"/>
        <v>0</v>
      </c>
      <c r="CB169" s="16">
        <f t="shared" si="146"/>
        <v>0</v>
      </c>
      <c r="CC169" s="16">
        <f t="shared" si="146"/>
        <v>0</v>
      </c>
      <c r="CD169" s="16">
        <f t="shared" si="146"/>
        <v>0</v>
      </c>
      <c r="CE169" s="16">
        <f t="shared" si="146"/>
        <v>0</v>
      </c>
      <c r="CF169" s="16">
        <f t="shared" si="146"/>
        <v>0</v>
      </c>
      <c r="CG169" s="16">
        <f t="shared" si="146"/>
        <v>0</v>
      </c>
      <c r="CH169" s="16">
        <f t="shared" si="146"/>
        <v>0</v>
      </c>
      <c r="CI169" s="16">
        <f t="shared" si="146"/>
        <v>0</v>
      </c>
      <c r="CJ169" s="16">
        <f t="shared" si="146"/>
        <v>0</v>
      </c>
      <c r="CK169" s="16">
        <f t="shared" si="146"/>
        <v>0</v>
      </c>
      <c r="CL169" s="16">
        <f t="shared" si="147"/>
        <v>0</v>
      </c>
      <c r="CM169" s="16">
        <f t="shared" si="147"/>
        <v>0</v>
      </c>
      <c r="CN169" s="16">
        <f t="shared" si="147"/>
        <v>0</v>
      </c>
      <c r="CO169" s="16">
        <f t="shared" si="147"/>
        <v>0</v>
      </c>
      <c r="CP169" s="16">
        <f t="shared" si="147"/>
        <v>0</v>
      </c>
      <c r="CQ169" s="16">
        <f t="shared" si="147"/>
        <v>0</v>
      </c>
      <c r="CR169" s="16">
        <f t="shared" si="147"/>
        <v>0</v>
      </c>
      <c r="CS169" s="16">
        <f t="shared" si="147"/>
        <v>0</v>
      </c>
      <c r="CT169" s="16">
        <f t="shared" si="147"/>
        <v>0</v>
      </c>
      <c r="CU169" s="16">
        <f t="shared" si="147"/>
        <v>0</v>
      </c>
      <c r="CV169" s="16">
        <f t="shared" si="148"/>
        <v>0</v>
      </c>
      <c r="CW169" s="16">
        <f t="shared" si="148"/>
        <v>0</v>
      </c>
      <c r="CX169" s="16">
        <f t="shared" si="148"/>
        <v>0</v>
      </c>
      <c r="CY169" s="16">
        <f t="shared" si="148"/>
        <v>0</v>
      </c>
      <c r="CZ169" s="16">
        <f t="shared" si="148"/>
        <v>0</v>
      </c>
      <c r="DA169" s="16">
        <f t="shared" si="148"/>
        <v>0</v>
      </c>
      <c r="DB169" s="16">
        <f t="shared" si="148"/>
        <v>0</v>
      </c>
      <c r="DC169" s="16">
        <f t="shared" si="148"/>
        <v>0</v>
      </c>
      <c r="DD169" s="16">
        <f t="shared" si="148"/>
        <v>0</v>
      </c>
      <c r="DE169" s="16">
        <f t="shared" si="148"/>
        <v>0</v>
      </c>
      <c r="DF169" s="16">
        <f t="shared" si="149"/>
        <v>0</v>
      </c>
      <c r="DG169" s="16">
        <f t="shared" si="149"/>
        <v>0</v>
      </c>
      <c r="DH169" s="16">
        <f t="shared" si="149"/>
        <v>0</v>
      </c>
      <c r="DI169" s="16">
        <f t="shared" si="149"/>
        <v>0</v>
      </c>
      <c r="DJ169" s="16">
        <f t="shared" si="149"/>
        <v>0</v>
      </c>
      <c r="DK169" s="16">
        <f t="shared" si="149"/>
        <v>0</v>
      </c>
      <c r="DL169" s="16">
        <f t="shared" si="149"/>
        <v>0</v>
      </c>
      <c r="DM169" s="16">
        <f t="shared" si="149"/>
        <v>0</v>
      </c>
      <c r="DN169" s="16">
        <f t="shared" si="149"/>
        <v>0</v>
      </c>
      <c r="DO169" s="16">
        <f t="shared" si="149"/>
        <v>0</v>
      </c>
      <c r="DP169" s="16">
        <f t="shared" si="149"/>
        <v>0</v>
      </c>
    </row>
    <row r="170" spans="10:120" x14ac:dyDescent="0.25">
      <c r="J170" s="93"/>
      <c r="O170" s="9">
        <f t="shared" si="150"/>
        <v>47</v>
      </c>
      <c r="P170" s="16">
        <f t="shared" si="140"/>
        <v>0</v>
      </c>
      <c r="Q170" s="16">
        <f t="shared" si="140"/>
        <v>0</v>
      </c>
      <c r="R170" s="16">
        <f t="shared" si="140"/>
        <v>-1.3547595906419362E-2</v>
      </c>
      <c r="S170" s="16">
        <f t="shared" si="140"/>
        <v>1.0267080032178091</v>
      </c>
      <c r="T170" s="16">
        <f t="shared" si="140"/>
        <v>-1.3160407311389743E-2</v>
      </c>
      <c r="U170" s="16">
        <f t="shared" si="140"/>
        <v>0</v>
      </c>
      <c r="V170" s="16">
        <f t="shared" si="140"/>
        <v>0</v>
      </c>
      <c r="W170" s="16">
        <f t="shared" si="140"/>
        <v>0</v>
      </c>
      <c r="X170" s="16">
        <f t="shared" si="140"/>
        <v>0</v>
      </c>
      <c r="Y170" s="16">
        <f t="shared" si="140"/>
        <v>0</v>
      </c>
      <c r="Z170" s="16">
        <f t="shared" si="141"/>
        <v>0</v>
      </c>
      <c r="AA170" s="16">
        <f t="shared" si="141"/>
        <v>0</v>
      </c>
      <c r="AB170" s="16">
        <f t="shared" si="141"/>
        <v>0</v>
      </c>
      <c r="AC170" s="16">
        <f t="shared" si="141"/>
        <v>0</v>
      </c>
      <c r="AD170" s="16">
        <f t="shared" si="141"/>
        <v>0</v>
      </c>
      <c r="AE170" s="16">
        <f t="shared" si="141"/>
        <v>0</v>
      </c>
      <c r="AF170" s="16">
        <f t="shared" si="141"/>
        <v>0</v>
      </c>
      <c r="AG170" s="16">
        <f t="shared" si="141"/>
        <v>0</v>
      </c>
      <c r="AH170" s="16">
        <f t="shared" si="141"/>
        <v>0</v>
      </c>
      <c r="AI170" s="16">
        <f t="shared" si="141"/>
        <v>0</v>
      </c>
      <c r="AJ170" s="16">
        <f t="shared" si="142"/>
        <v>0</v>
      </c>
      <c r="AK170" s="16">
        <f t="shared" si="142"/>
        <v>0</v>
      </c>
      <c r="AL170" s="16">
        <f t="shared" si="142"/>
        <v>0</v>
      </c>
      <c r="AM170" s="16">
        <f t="shared" si="142"/>
        <v>0</v>
      </c>
      <c r="AN170" s="16">
        <f t="shared" si="142"/>
        <v>0</v>
      </c>
      <c r="AO170" s="16">
        <f t="shared" si="142"/>
        <v>0</v>
      </c>
      <c r="AP170" s="16">
        <f t="shared" si="142"/>
        <v>0</v>
      </c>
      <c r="AQ170" s="16">
        <f t="shared" si="142"/>
        <v>0</v>
      </c>
      <c r="AR170" s="16">
        <f t="shared" si="142"/>
        <v>0</v>
      </c>
      <c r="AS170" s="16">
        <f t="shared" si="142"/>
        <v>0</v>
      </c>
      <c r="AT170" s="16">
        <f t="shared" si="143"/>
        <v>0</v>
      </c>
      <c r="AU170" s="16">
        <f t="shared" si="143"/>
        <v>0</v>
      </c>
      <c r="AV170" s="16">
        <f t="shared" si="143"/>
        <v>0</v>
      </c>
      <c r="AW170" s="16">
        <f t="shared" si="143"/>
        <v>0</v>
      </c>
      <c r="AX170" s="16">
        <f t="shared" si="143"/>
        <v>0</v>
      </c>
      <c r="AY170" s="16">
        <f t="shared" si="143"/>
        <v>0</v>
      </c>
      <c r="AZ170" s="16">
        <f t="shared" si="143"/>
        <v>0</v>
      </c>
      <c r="BA170" s="16">
        <f t="shared" si="143"/>
        <v>0</v>
      </c>
      <c r="BB170" s="16">
        <f t="shared" si="143"/>
        <v>0</v>
      </c>
      <c r="BC170" s="16">
        <f t="shared" si="143"/>
        <v>0</v>
      </c>
      <c r="BD170" s="16">
        <f t="shared" si="144"/>
        <v>0</v>
      </c>
      <c r="BE170" s="16">
        <f t="shared" si="144"/>
        <v>0</v>
      </c>
      <c r="BF170" s="16">
        <f t="shared" si="144"/>
        <v>0</v>
      </c>
      <c r="BG170" s="16">
        <f t="shared" si="144"/>
        <v>0</v>
      </c>
      <c r="BH170" s="16">
        <f t="shared" si="144"/>
        <v>0</v>
      </c>
      <c r="BI170" s="16">
        <f t="shared" si="144"/>
        <v>0</v>
      </c>
      <c r="BJ170" s="16">
        <f t="shared" si="144"/>
        <v>0</v>
      </c>
      <c r="BK170" s="16">
        <f t="shared" si="144"/>
        <v>0</v>
      </c>
      <c r="BL170" s="16">
        <f t="shared" si="144"/>
        <v>0</v>
      </c>
      <c r="BM170" s="16">
        <f t="shared" si="144"/>
        <v>0</v>
      </c>
      <c r="BN170" s="16">
        <f t="shared" si="144"/>
        <v>0</v>
      </c>
      <c r="BQ170" s="9">
        <f t="shared" si="151"/>
        <v>47</v>
      </c>
      <c r="BR170" s="16">
        <f t="shared" si="145"/>
        <v>0</v>
      </c>
      <c r="BS170" s="16">
        <f t="shared" si="145"/>
        <v>0</v>
      </c>
      <c r="BT170" s="16">
        <f t="shared" si="145"/>
        <v>-0.110564418911086</v>
      </c>
      <c r="BU170" s="16">
        <f t="shared" si="145"/>
        <v>1.2179689205708635</v>
      </c>
      <c r="BV170" s="16">
        <f t="shared" si="145"/>
        <v>-0.10740450165977759</v>
      </c>
      <c r="BW170" s="16">
        <f t="shared" si="145"/>
        <v>0</v>
      </c>
      <c r="BX170" s="16">
        <f t="shared" si="145"/>
        <v>0</v>
      </c>
      <c r="BY170" s="16">
        <f t="shared" si="145"/>
        <v>0</v>
      </c>
      <c r="BZ170" s="16">
        <f t="shared" si="145"/>
        <v>0</v>
      </c>
      <c r="CA170" s="16">
        <f t="shared" si="145"/>
        <v>0</v>
      </c>
      <c r="CB170" s="16">
        <f t="shared" si="146"/>
        <v>0</v>
      </c>
      <c r="CC170" s="16">
        <f t="shared" si="146"/>
        <v>0</v>
      </c>
      <c r="CD170" s="16">
        <f t="shared" si="146"/>
        <v>0</v>
      </c>
      <c r="CE170" s="16">
        <f t="shared" si="146"/>
        <v>0</v>
      </c>
      <c r="CF170" s="16">
        <f t="shared" si="146"/>
        <v>0</v>
      </c>
      <c r="CG170" s="16">
        <f t="shared" si="146"/>
        <v>0</v>
      </c>
      <c r="CH170" s="16">
        <f t="shared" si="146"/>
        <v>0</v>
      </c>
      <c r="CI170" s="16">
        <f t="shared" si="146"/>
        <v>0</v>
      </c>
      <c r="CJ170" s="16">
        <f t="shared" si="146"/>
        <v>0</v>
      </c>
      <c r="CK170" s="16">
        <f t="shared" si="146"/>
        <v>0</v>
      </c>
      <c r="CL170" s="16">
        <f t="shared" si="147"/>
        <v>0</v>
      </c>
      <c r="CM170" s="16">
        <f t="shared" si="147"/>
        <v>0</v>
      </c>
      <c r="CN170" s="16">
        <f t="shared" si="147"/>
        <v>0</v>
      </c>
      <c r="CO170" s="16">
        <f t="shared" si="147"/>
        <v>0</v>
      </c>
      <c r="CP170" s="16">
        <f t="shared" si="147"/>
        <v>0</v>
      </c>
      <c r="CQ170" s="16">
        <f t="shared" si="147"/>
        <v>0</v>
      </c>
      <c r="CR170" s="16">
        <f t="shared" si="147"/>
        <v>0</v>
      </c>
      <c r="CS170" s="16">
        <f t="shared" si="147"/>
        <v>0</v>
      </c>
      <c r="CT170" s="16">
        <f t="shared" si="147"/>
        <v>0</v>
      </c>
      <c r="CU170" s="16">
        <f t="shared" si="147"/>
        <v>0</v>
      </c>
      <c r="CV170" s="16">
        <f t="shared" si="148"/>
        <v>0</v>
      </c>
      <c r="CW170" s="16">
        <f t="shared" si="148"/>
        <v>0</v>
      </c>
      <c r="CX170" s="16">
        <f t="shared" si="148"/>
        <v>0</v>
      </c>
      <c r="CY170" s="16">
        <f t="shared" si="148"/>
        <v>0</v>
      </c>
      <c r="CZ170" s="16">
        <f t="shared" si="148"/>
        <v>0</v>
      </c>
      <c r="DA170" s="16">
        <f t="shared" si="148"/>
        <v>0</v>
      </c>
      <c r="DB170" s="16">
        <f t="shared" si="148"/>
        <v>0</v>
      </c>
      <c r="DC170" s="16">
        <f t="shared" si="148"/>
        <v>0</v>
      </c>
      <c r="DD170" s="16">
        <f t="shared" si="148"/>
        <v>0</v>
      </c>
      <c r="DE170" s="16">
        <f t="shared" si="148"/>
        <v>0</v>
      </c>
      <c r="DF170" s="16">
        <f t="shared" si="149"/>
        <v>0</v>
      </c>
      <c r="DG170" s="16">
        <f t="shared" si="149"/>
        <v>0</v>
      </c>
      <c r="DH170" s="16">
        <f t="shared" si="149"/>
        <v>0</v>
      </c>
      <c r="DI170" s="16">
        <f t="shared" si="149"/>
        <v>0</v>
      </c>
      <c r="DJ170" s="16">
        <f t="shared" si="149"/>
        <v>0</v>
      </c>
      <c r="DK170" s="16">
        <f t="shared" si="149"/>
        <v>0</v>
      </c>
      <c r="DL170" s="16">
        <f t="shared" si="149"/>
        <v>0</v>
      </c>
      <c r="DM170" s="16">
        <f t="shared" si="149"/>
        <v>0</v>
      </c>
      <c r="DN170" s="16">
        <f t="shared" si="149"/>
        <v>0</v>
      </c>
      <c r="DO170" s="16">
        <f t="shared" si="149"/>
        <v>0</v>
      </c>
      <c r="DP170" s="16">
        <f t="shared" si="149"/>
        <v>0</v>
      </c>
    </row>
    <row r="171" spans="10:120" x14ac:dyDescent="0.25">
      <c r="J171" s="93"/>
      <c r="O171" s="9">
        <f t="shared" si="150"/>
        <v>46</v>
      </c>
      <c r="P171" s="16">
        <f t="shared" si="140"/>
        <v>0</v>
      </c>
      <c r="Q171" s="16">
        <f t="shared" si="140"/>
        <v>0</v>
      </c>
      <c r="R171" s="16">
        <f t="shared" si="140"/>
        <v>0</v>
      </c>
      <c r="S171" s="16">
        <f t="shared" si="140"/>
        <v>-1.3547595906419362E-2</v>
      </c>
      <c r="T171" s="16">
        <f t="shared" si="140"/>
        <v>1.0267080032178091</v>
      </c>
      <c r="U171" s="16">
        <f t="shared" si="140"/>
        <v>-1.3160407311389743E-2</v>
      </c>
      <c r="V171" s="16">
        <f t="shared" si="140"/>
        <v>0</v>
      </c>
      <c r="W171" s="16">
        <f t="shared" si="140"/>
        <v>0</v>
      </c>
      <c r="X171" s="16">
        <f t="shared" si="140"/>
        <v>0</v>
      </c>
      <c r="Y171" s="16">
        <f t="shared" si="140"/>
        <v>0</v>
      </c>
      <c r="Z171" s="16">
        <f t="shared" si="141"/>
        <v>0</v>
      </c>
      <c r="AA171" s="16">
        <f t="shared" si="141"/>
        <v>0</v>
      </c>
      <c r="AB171" s="16">
        <f t="shared" si="141"/>
        <v>0</v>
      </c>
      <c r="AC171" s="16">
        <f t="shared" si="141"/>
        <v>0</v>
      </c>
      <c r="AD171" s="16">
        <f t="shared" si="141"/>
        <v>0</v>
      </c>
      <c r="AE171" s="16">
        <f t="shared" si="141"/>
        <v>0</v>
      </c>
      <c r="AF171" s="16">
        <f t="shared" si="141"/>
        <v>0</v>
      </c>
      <c r="AG171" s="16">
        <f t="shared" si="141"/>
        <v>0</v>
      </c>
      <c r="AH171" s="16">
        <f t="shared" si="141"/>
        <v>0</v>
      </c>
      <c r="AI171" s="16">
        <f t="shared" si="141"/>
        <v>0</v>
      </c>
      <c r="AJ171" s="16">
        <f t="shared" si="142"/>
        <v>0</v>
      </c>
      <c r="AK171" s="16">
        <f t="shared" si="142"/>
        <v>0</v>
      </c>
      <c r="AL171" s="16">
        <f t="shared" si="142"/>
        <v>0</v>
      </c>
      <c r="AM171" s="16">
        <f t="shared" si="142"/>
        <v>0</v>
      </c>
      <c r="AN171" s="16">
        <f t="shared" si="142"/>
        <v>0</v>
      </c>
      <c r="AO171" s="16">
        <f t="shared" si="142"/>
        <v>0</v>
      </c>
      <c r="AP171" s="16">
        <f t="shared" si="142"/>
        <v>0</v>
      </c>
      <c r="AQ171" s="16">
        <f t="shared" si="142"/>
        <v>0</v>
      </c>
      <c r="AR171" s="16">
        <f t="shared" si="142"/>
        <v>0</v>
      </c>
      <c r="AS171" s="16">
        <f t="shared" si="142"/>
        <v>0</v>
      </c>
      <c r="AT171" s="16">
        <f t="shared" si="143"/>
        <v>0</v>
      </c>
      <c r="AU171" s="16">
        <f t="shared" si="143"/>
        <v>0</v>
      </c>
      <c r="AV171" s="16">
        <f t="shared" si="143"/>
        <v>0</v>
      </c>
      <c r="AW171" s="16">
        <f t="shared" si="143"/>
        <v>0</v>
      </c>
      <c r="AX171" s="16">
        <f t="shared" si="143"/>
        <v>0</v>
      </c>
      <c r="AY171" s="16">
        <f t="shared" si="143"/>
        <v>0</v>
      </c>
      <c r="AZ171" s="16">
        <f t="shared" si="143"/>
        <v>0</v>
      </c>
      <c r="BA171" s="16">
        <f t="shared" si="143"/>
        <v>0</v>
      </c>
      <c r="BB171" s="16">
        <f t="shared" si="143"/>
        <v>0</v>
      </c>
      <c r="BC171" s="16">
        <f t="shared" si="143"/>
        <v>0</v>
      </c>
      <c r="BD171" s="16">
        <f t="shared" si="144"/>
        <v>0</v>
      </c>
      <c r="BE171" s="16">
        <f t="shared" si="144"/>
        <v>0</v>
      </c>
      <c r="BF171" s="16">
        <f t="shared" si="144"/>
        <v>0</v>
      </c>
      <c r="BG171" s="16">
        <f t="shared" si="144"/>
        <v>0</v>
      </c>
      <c r="BH171" s="16">
        <f t="shared" si="144"/>
        <v>0</v>
      </c>
      <c r="BI171" s="16">
        <f t="shared" si="144"/>
        <v>0</v>
      </c>
      <c r="BJ171" s="16">
        <f t="shared" si="144"/>
        <v>0</v>
      </c>
      <c r="BK171" s="16">
        <f t="shared" si="144"/>
        <v>0</v>
      </c>
      <c r="BL171" s="16">
        <f t="shared" si="144"/>
        <v>0</v>
      </c>
      <c r="BM171" s="16">
        <f t="shared" si="144"/>
        <v>0</v>
      </c>
      <c r="BN171" s="16">
        <f t="shared" si="144"/>
        <v>0</v>
      </c>
      <c r="BQ171" s="9">
        <f t="shared" si="151"/>
        <v>46</v>
      </c>
      <c r="BR171" s="16">
        <f t="shared" si="145"/>
        <v>0</v>
      </c>
      <c r="BS171" s="16">
        <f t="shared" si="145"/>
        <v>0</v>
      </c>
      <c r="BT171" s="16">
        <f t="shared" si="145"/>
        <v>0</v>
      </c>
      <c r="BU171" s="16">
        <f t="shared" si="145"/>
        <v>-0.12991419376074592</v>
      </c>
      <c r="BV171" s="16">
        <f t="shared" si="145"/>
        <v>1.2561154561273105</v>
      </c>
      <c r="BW171" s="16">
        <f t="shared" si="145"/>
        <v>-0.12620126236656443</v>
      </c>
      <c r="BX171" s="16">
        <f t="shared" si="145"/>
        <v>0</v>
      </c>
      <c r="BY171" s="16">
        <f t="shared" si="145"/>
        <v>0</v>
      </c>
      <c r="BZ171" s="16">
        <f t="shared" si="145"/>
        <v>0</v>
      </c>
      <c r="CA171" s="16">
        <f t="shared" si="145"/>
        <v>0</v>
      </c>
      <c r="CB171" s="16">
        <f t="shared" si="146"/>
        <v>0</v>
      </c>
      <c r="CC171" s="16">
        <f t="shared" si="146"/>
        <v>0</v>
      </c>
      <c r="CD171" s="16">
        <f t="shared" si="146"/>
        <v>0</v>
      </c>
      <c r="CE171" s="16">
        <f t="shared" si="146"/>
        <v>0</v>
      </c>
      <c r="CF171" s="16">
        <f t="shared" si="146"/>
        <v>0</v>
      </c>
      <c r="CG171" s="16">
        <f t="shared" si="146"/>
        <v>0</v>
      </c>
      <c r="CH171" s="16">
        <f t="shared" si="146"/>
        <v>0</v>
      </c>
      <c r="CI171" s="16">
        <f t="shared" si="146"/>
        <v>0</v>
      </c>
      <c r="CJ171" s="16">
        <f t="shared" si="146"/>
        <v>0</v>
      </c>
      <c r="CK171" s="16">
        <f t="shared" si="146"/>
        <v>0</v>
      </c>
      <c r="CL171" s="16">
        <f t="shared" si="147"/>
        <v>0</v>
      </c>
      <c r="CM171" s="16">
        <f t="shared" si="147"/>
        <v>0</v>
      </c>
      <c r="CN171" s="16">
        <f t="shared" si="147"/>
        <v>0</v>
      </c>
      <c r="CO171" s="16">
        <f t="shared" si="147"/>
        <v>0</v>
      </c>
      <c r="CP171" s="16">
        <f t="shared" si="147"/>
        <v>0</v>
      </c>
      <c r="CQ171" s="16">
        <f t="shared" si="147"/>
        <v>0</v>
      </c>
      <c r="CR171" s="16">
        <f t="shared" si="147"/>
        <v>0</v>
      </c>
      <c r="CS171" s="16">
        <f t="shared" si="147"/>
        <v>0</v>
      </c>
      <c r="CT171" s="16">
        <f t="shared" si="147"/>
        <v>0</v>
      </c>
      <c r="CU171" s="16">
        <f t="shared" si="147"/>
        <v>0</v>
      </c>
      <c r="CV171" s="16">
        <f t="shared" si="148"/>
        <v>0</v>
      </c>
      <c r="CW171" s="16">
        <f t="shared" si="148"/>
        <v>0</v>
      </c>
      <c r="CX171" s="16">
        <f t="shared" si="148"/>
        <v>0</v>
      </c>
      <c r="CY171" s="16">
        <f t="shared" si="148"/>
        <v>0</v>
      </c>
      <c r="CZ171" s="16">
        <f t="shared" si="148"/>
        <v>0</v>
      </c>
      <c r="DA171" s="16">
        <f t="shared" si="148"/>
        <v>0</v>
      </c>
      <c r="DB171" s="16">
        <f t="shared" si="148"/>
        <v>0</v>
      </c>
      <c r="DC171" s="16">
        <f t="shared" si="148"/>
        <v>0</v>
      </c>
      <c r="DD171" s="16">
        <f t="shared" si="148"/>
        <v>0</v>
      </c>
      <c r="DE171" s="16">
        <f t="shared" si="148"/>
        <v>0</v>
      </c>
      <c r="DF171" s="16">
        <f t="shared" si="149"/>
        <v>0</v>
      </c>
      <c r="DG171" s="16">
        <f t="shared" si="149"/>
        <v>0</v>
      </c>
      <c r="DH171" s="16">
        <f t="shared" si="149"/>
        <v>0</v>
      </c>
      <c r="DI171" s="16">
        <f t="shared" si="149"/>
        <v>0</v>
      </c>
      <c r="DJ171" s="16">
        <f t="shared" si="149"/>
        <v>0</v>
      </c>
      <c r="DK171" s="16">
        <f t="shared" si="149"/>
        <v>0</v>
      </c>
      <c r="DL171" s="16">
        <f t="shared" si="149"/>
        <v>0</v>
      </c>
      <c r="DM171" s="16">
        <f t="shared" si="149"/>
        <v>0</v>
      </c>
      <c r="DN171" s="16">
        <f t="shared" si="149"/>
        <v>0</v>
      </c>
      <c r="DO171" s="16">
        <f t="shared" si="149"/>
        <v>0</v>
      </c>
      <c r="DP171" s="16">
        <f t="shared" si="149"/>
        <v>0</v>
      </c>
    </row>
    <row r="172" spans="10:120" x14ac:dyDescent="0.25">
      <c r="J172" s="93"/>
      <c r="O172" s="9">
        <f t="shared" si="150"/>
        <v>45</v>
      </c>
      <c r="P172" s="16">
        <f t="shared" si="140"/>
        <v>0</v>
      </c>
      <c r="Q172" s="16">
        <f t="shared" si="140"/>
        <v>0</v>
      </c>
      <c r="R172" s="16">
        <f t="shared" si="140"/>
        <v>0</v>
      </c>
      <c r="S172" s="16">
        <f t="shared" si="140"/>
        <v>0</v>
      </c>
      <c r="T172" s="16">
        <f t="shared" si="140"/>
        <v>-1.3547595906419362E-2</v>
      </c>
      <c r="U172" s="16">
        <f t="shared" si="140"/>
        <v>1.0267080032178091</v>
      </c>
      <c r="V172" s="16">
        <f t="shared" si="140"/>
        <v>-1.3160407311389743E-2</v>
      </c>
      <c r="W172" s="16">
        <f t="shared" si="140"/>
        <v>0</v>
      </c>
      <c r="X172" s="16">
        <f t="shared" si="140"/>
        <v>0</v>
      </c>
      <c r="Y172" s="16">
        <f t="shared" si="140"/>
        <v>0</v>
      </c>
      <c r="Z172" s="16">
        <f t="shared" si="141"/>
        <v>0</v>
      </c>
      <c r="AA172" s="16">
        <f t="shared" si="141"/>
        <v>0</v>
      </c>
      <c r="AB172" s="16">
        <f t="shared" si="141"/>
        <v>0</v>
      </c>
      <c r="AC172" s="16">
        <f t="shared" si="141"/>
        <v>0</v>
      </c>
      <c r="AD172" s="16">
        <f t="shared" si="141"/>
        <v>0</v>
      </c>
      <c r="AE172" s="16">
        <f t="shared" si="141"/>
        <v>0</v>
      </c>
      <c r="AF172" s="16">
        <f t="shared" si="141"/>
        <v>0</v>
      </c>
      <c r="AG172" s="16">
        <f t="shared" si="141"/>
        <v>0</v>
      </c>
      <c r="AH172" s="16">
        <f t="shared" si="141"/>
        <v>0</v>
      </c>
      <c r="AI172" s="16">
        <f t="shared" si="141"/>
        <v>0</v>
      </c>
      <c r="AJ172" s="16">
        <f t="shared" si="142"/>
        <v>0</v>
      </c>
      <c r="AK172" s="16">
        <f t="shared" si="142"/>
        <v>0</v>
      </c>
      <c r="AL172" s="16">
        <f t="shared" si="142"/>
        <v>0</v>
      </c>
      <c r="AM172" s="16">
        <f t="shared" si="142"/>
        <v>0</v>
      </c>
      <c r="AN172" s="16">
        <f t="shared" si="142"/>
        <v>0</v>
      </c>
      <c r="AO172" s="16">
        <f t="shared" si="142"/>
        <v>0</v>
      </c>
      <c r="AP172" s="16">
        <f t="shared" si="142"/>
        <v>0</v>
      </c>
      <c r="AQ172" s="16">
        <f t="shared" si="142"/>
        <v>0</v>
      </c>
      <c r="AR172" s="16">
        <f t="shared" si="142"/>
        <v>0</v>
      </c>
      <c r="AS172" s="16">
        <f t="shared" si="142"/>
        <v>0</v>
      </c>
      <c r="AT172" s="16">
        <f t="shared" si="143"/>
        <v>0</v>
      </c>
      <c r="AU172" s="16">
        <f t="shared" si="143"/>
        <v>0</v>
      </c>
      <c r="AV172" s="16">
        <f t="shared" si="143"/>
        <v>0</v>
      </c>
      <c r="AW172" s="16">
        <f t="shared" si="143"/>
        <v>0</v>
      </c>
      <c r="AX172" s="16">
        <f t="shared" si="143"/>
        <v>0</v>
      </c>
      <c r="AY172" s="16">
        <f t="shared" si="143"/>
        <v>0</v>
      </c>
      <c r="AZ172" s="16">
        <f t="shared" si="143"/>
        <v>0</v>
      </c>
      <c r="BA172" s="16">
        <f t="shared" si="143"/>
        <v>0</v>
      </c>
      <c r="BB172" s="16">
        <f t="shared" si="143"/>
        <v>0</v>
      </c>
      <c r="BC172" s="16">
        <f t="shared" si="143"/>
        <v>0</v>
      </c>
      <c r="BD172" s="16">
        <f t="shared" si="144"/>
        <v>0</v>
      </c>
      <c r="BE172" s="16">
        <f t="shared" si="144"/>
        <v>0</v>
      </c>
      <c r="BF172" s="16">
        <f t="shared" si="144"/>
        <v>0</v>
      </c>
      <c r="BG172" s="16">
        <f t="shared" si="144"/>
        <v>0</v>
      </c>
      <c r="BH172" s="16">
        <f t="shared" si="144"/>
        <v>0</v>
      </c>
      <c r="BI172" s="16">
        <f t="shared" si="144"/>
        <v>0</v>
      </c>
      <c r="BJ172" s="16">
        <f t="shared" si="144"/>
        <v>0</v>
      </c>
      <c r="BK172" s="16">
        <f t="shared" si="144"/>
        <v>0</v>
      </c>
      <c r="BL172" s="16">
        <f t="shared" si="144"/>
        <v>0</v>
      </c>
      <c r="BM172" s="16">
        <f t="shared" si="144"/>
        <v>0</v>
      </c>
      <c r="BN172" s="16">
        <f t="shared" si="144"/>
        <v>0</v>
      </c>
      <c r="BQ172" s="9">
        <f t="shared" si="151"/>
        <v>45</v>
      </c>
      <c r="BR172" s="16">
        <f t="shared" si="145"/>
        <v>0</v>
      </c>
      <c r="BS172" s="16">
        <f t="shared" si="145"/>
        <v>0</v>
      </c>
      <c r="BT172" s="16">
        <f t="shared" si="145"/>
        <v>0</v>
      </c>
      <c r="BU172" s="16">
        <f t="shared" si="145"/>
        <v>0</v>
      </c>
      <c r="BV172" s="16">
        <f t="shared" si="145"/>
        <v>-0.15082344942105069</v>
      </c>
      <c r="BW172" s="16">
        <f t="shared" si="145"/>
        <v>1.2973363835387044</v>
      </c>
      <c r="BX172" s="16">
        <f t="shared" si="145"/>
        <v>-0.14651293411765384</v>
      </c>
      <c r="BY172" s="16">
        <f t="shared" si="145"/>
        <v>0</v>
      </c>
      <c r="BZ172" s="16">
        <f t="shared" si="145"/>
        <v>0</v>
      </c>
      <c r="CA172" s="16">
        <f t="shared" si="145"/>
        <v>0</v>
      </c>
      <c r="CB172" s="16">
        <f t="shared" si="146"/>
        <v>0</v>
      </c>
      <c r="CC172" s="16">
        <f t="shared" si="146"/>
        <v>0</v>
      </c>
      <c r="CD172" s="16">
        <f t="shared" si="146"/>
        <v>0</v>
      </c>
      <c r="CE172" s="16">
        <f t="shared" si="146"/>
        <v>0</v>
      </c>
      <c r="CF172" s="16">
        <f t="shared" si="146"/>
        <v>0</v>
      </c>
      <c r="CG172" s="16">
        <f t="shared" si="146"/>
        <v>0</v>
      </c>
      <c r="CH172" s="16">
        <f t="shared" si="146"/>
        <v>0</v>
      </c>
      <c r="CI172" s="16">
        <f t="shared" si="146"/>
        <v>0</v>
      </c>
      <c r="CJ172" s="16">
        <f t="shared" si="146"/>
        <v>0</v>
      </c>
      <c r="CK172" s="16">
        <f t="shared" si="146"/>
        <v>0</v>
      </c>
      <c r="CL172" s="16">
        <f t="shared" si="147"/>
        <v>0</v>
      </c>
      <c r="CM172" s="16">
        <f t="shared" si="147"/>
        <v>0</v>
      </c>
      <c r="CN172" s="16">
        <f t="shared" si="147"/>
        <v>0</v>
      </c>
      <c r="CO172" s="16">
        <f t="shared" si="147"/>
        <v>0</v>
      </c>
      <c r="CP172" s="16">
        <f t="shared" si="147"/>
        <v>0</v>
      </c>
      <c r="CQ172" s="16">
        <f t="shared" si="147"/>
        <v>0</v>
      </c>
      <c r="CR172" s="16">
        <f t="shared" si="147"/>
        <v>0</v>
      </c>
      <c r="CS172" s="16">
        <f t="shared" si="147"/>
        <v>0</v>
      </c>
      <c r="CT172" s="16">
        <f t="shared" si="147"/>
        <v>0</v>
      </c>
      <c r="CU172" s="16">
        <f t="shared" si="147"/>
        <v>0</v>
      </c>
      <c r="CV172" s="16">
        <f t="shared" si="148"/>
        <v>0</v>
      </c>
      <c r="CW172" s="16">
        <f t="shared" si="148"/>
        <v>0</v>
      </c>
      <c r="CX172" s="16">
        <f t="shared" si="148"/>
        <v>0</v>
      </c>
      <c r="CY172" s="16">
        <f t="shared" si="148"/>
        <v>0</v>
      </c>
      <c r="CZ172" s="16">
        <f t="shared" si="148"/>
        <v>0</v>
      </c>
      <c r="DA172" s="16">
        <f t="shared" si="148"/>
        <v>0</v>
      </c>
      <c r="DB172" s="16">
        <f t="shared" si="148"/>
        <v>0</v>
      </c>
      <c r="DC172" s="16">
        <f t="shared" si="148"/>
        <v>0</v>
      </c>
      <c r="DD172" s="16">
        <f t="shared" si="148"/>
        <v>0</v>
      </c>
      <c r="DE172" s="16">
        <f t="shared" si="148"/>
        <v>0</v>
      </c>
      <c r="DF172" s="16">
        <f t="shared" si="149"/>
        <v>0</v>
      </c>
      <c r="DG172" s="16">
        <f t="shared" si="149"/>
        <v>0</v>
      </c>
      <c r="DH172" s="16">
        <f t="shared" si="149"/>
        <v>0</v>
      </c>
      <c r="DI172" s="16">
        <f t="shared" si="149"/>
        <v>0</v>
      </c>
      <c r="DJ172" s="16">
        <f t="shared" si="149"/>
        <v>0</v>
      </c>
      <c r="DK172" s="16">
        <f t="shared" si="149"/>
        <v>0</v>
      </c>
      <c r="DL172" s="16">
        <f t="shared" si="149"/>
        <v>0</v>
      </c>
      <c r="DM172" s="16">
        <f t="shared" si="149"/>
        <v>0</v>
      </c>
      <c r="DN172" s="16">
        <f t="shared" si="149"/>
        <v>0</v>
      </c>
      <c r="DO172" s="16">
        <f t="shared" si="149"/>
        <v>0</v>
      </c>
      <c r="DP172" s="16">
        <f t="shared" si="149"/>
        <v>0</v>
      </c>
    </row>
    <row r="173" spans="10:120" x14ac:dyDescent="0.25">
      <c r="J173" s="93"/>
      <c r="O173" s="9">
        <f t="shared" si="150"/>
        <v>44</v>
      </c>
      <c r="P173" s="16">
        <f t="shared" si="140"/>
        <v>0</v>
      </c>
      <c r="Q173" s="16">
        <f t="shared" si="140"/>
        <v>0</v>
      </c>
      <c r="R173" s="16">
        <f t="shared" si="140"/>
        <v>0</v>
      </c>
      <c r="S173" s="16">
        <f t="shared" si="140"/>
        <v>0</v>
      </c>
      <c r="T173" s="16">
        <f t="shared" si="140"/>
        <v>0</v>
      </c>
      <c r="U173" s="16">
        <f t="shared" si="140"/>
        <v>-1.3547595906419362E-2</v>
      </c>
      <c r="V173" s="16">
        <f t="shared" si="140"/>
        <v>1.0267080032178091</v>
      </c>
      <c r="W173" s="16">
        <f t="shared" si="140"/>
        <v>-1.3160407311389743E-2</v>
      </c>
      <c r="X173" s="16">
        <f t="shared" si="140"/>
        <v>0</v>
      </c>
      <c r="Y173" s="16">
        <f t="shared" si="140"/>
        <v>0</v>
      </c>
      <c r="Z173" s="16">
        <f t="shared" si="141"/>
        <v>0</v>
      </c>
      <c r="AA173" s="16">
        <f t="shared" si="141"/>
        <v>0</v>
      </c>
      <c r="AB173" s="16">
        <f t="shared" si="141"/>
        <v>0</v>
      </c>
      <c r="AC173" s="16">
        <f t="shared" si="141"/>
        <v>0</v>
      </c>
      <c r="AD173" s="16">
        <f t="shared" si="141"/>
        <v>0</v>
      </c>
      <c r="AE173" s="16">
        <f t="shared" si="141"/>
        <v>0</v>
      </c>
      <c r="AF173" s="16">
        <f t="shared" si="141"/>
        <v>0</v>
      </c>
      <c r="AG173" s="16">
        <f t="shared" si="141"/>
        <v>0</v>
      </c>
      <c r="AH173" s="16">
        <f t="shared" si="141"/>
        <v>0</v>
      </c>
      <c r="AI173" s="16">
        <f t="shared" si="141"/>
        <v>0</v>
      </c>
      <c r="AJ173" s="16">
        <f t="shared" si="142"/>
        <v>0</v>
      </c>
      <c r="AK173" s="16">
        <f t="shared" si="142"/>
        <v>0</v>
      </c>
      <c r="AL173" s="16">
        <f t="shared" si="142"/>
        <v>0</v>
      </c>
      <c r="AM173" s="16">
        <f t="shared" si="142"/>
        <v>0</v>
      </c>
      <c r="AN173" s="16">
        <f t="shared" si="142"/>
        <v>0</v>
      </c>
      <c r="AO173" s="16">
        <f t="shared" si="142"/>
        <v>0</v>
      </c>
      <c r="AP173" s="16">
        <f t="shared" si="142"/>
        <v>0</v>
      </c>
      <c r="AQ173" s="16">
        <f t="shared" si="142"/>
        <v>0</v>
      </c>
      <c r="AR173" s="16">
        <f t="shared" si="142"/>
        <v>0</v>
      </c>
      <c r="AS173" s="16">
        <f t="shared" si="142"/>
        <v>0</v>
      </c>
      <c r="AT173" s="16">
        <f t="shared" si="143"/>
        <v>0</v>
      </c>
      <c r="AU173" s="16">
        <f t="shared" si="143"/>
        <v>0</v>
      </c>
      <c r="AV173" s="16">
        <f t="shared" si="143"/>
        <v>0</v>
      </c>
      <c r="AW173" s="16">
        <f t="shared" si="143"/>
        <v>0</v>
      </c>
      <c r="AX173" s="16">
        <f t="shared" si="143"/>
        <v>0</v>
      </c>
      <c r="AY173" s="16">
        <f t="shared" si="143"/>
        <v>0</v>
      </c>
      <c r="AZ173" s="16">
        <f t="shared" si="143"/>
        <v>0</v>
      </c>
      <c r="BA173" s="16">
        <f t="shared" si="143"/>
        <v>0</v>
      </c>
      <c r="BB173" s="16">
        <f t="shared" si="143"/>
        <v>0</v>
      </c>
      <c r="BC173" s="16">
        <f t="shared" si="143"/>
        <v>0</v>
      </c>
      <c r="BD173" s="16">
        <f t="shared" si="144"/>
        <v>0</v>
      </c>
      <c r="BE173" s="16">
        <f t="shared" si="144"/>
        <v>0</v>
      </c>
      <c r="BF173" s="16">
        <f t="shared" si="144"/>
        <v>0</v>
      </c>
      <c r="BG173" s="16">
        <f t="shared" si="144"/>
        <v>0</v>
      </c>
      <c r="BH173" s="16">
        <f t="shared" si="144"/>
        <v>0</v>
      </c>
      <c r="BI173" s="16">
        <f t="shared" si="144"/>
        <v>0</v>
      </c>
      <c r="BJ173" s="16">
        <f t="shared" si="144"/>
        <v>0</v>
      </c>
      <c r="BK173" s="16">
        <f t="shared" si="144"/>
        <v>0</v>
      </c>
      <c r="BL173" s="16">
        <f t="shared" si="144"/>
        <v>0</v>
      </c>
      <c r="BM173" s="16">
        <f t="shared" si="144"/>
        <v>0</v>
      </c>
      <c r="BN173" s="16">
        <f t="shared" si="144"/>
        <v>0</v>
      </c>
      <c r="BQ173" s="9">
        <f t="shared" si="151"/>
        <v>44</v>
      </c>
      <c r="BR173" s="16">
        <f t="shared" si="145"/>
        <v>0</v>
      </c>
      <c r="BS173" s="16">
        <f t="shared" si="145"/>
        <v>0</v>
      </c>
      <c r="BT173" s="16">
        <f t="shared" si="145"/>
        <v>0</v>
      </c>
      <c r="BU173" s="16">
        <f t="shared" si="145"/>
        <v>0</v>
      </c>
      <c r="BV173" s="16">
        <f t="shared" si="145"/>
        <v>0</v>
      </c>
      <c r="BW173" s="16">
        <f t="shared" si="145"/>
        <v>-0.17329218589200035</v>
      </c>
      <c r="BX173" s="16">
        <f t="shared" si="145"/>
        <v>1.3416317028050462</v>
      </c>
      <c r="BY173" s="16">
        <f t="shared" si="145"/>
        <v>-0.16833951691304577</v>
      </c>
      <c r="BZ173" s="16">
        <f t="shared" si="145"/>
        <v>0</v>
      </c>
      <c r="CA173" s="16">
        <f t="shared" si="145"/>
        <v>0</v>
      </c>
      <c r="CB173" s="16">
        <f t="shared" si="146"/>
        <v>0</v>
      </c>
      <c r="CC173" s="16">
        <f t="shared" si="146"/>
        <v>0</v>
      </c>
      <c r="CD173" s="16">
        <f t="shared" si="146"/>
        <v>0</v>
      </c>
      <c r="CE173" s="16">
        <f t="shared" si="146"/>
        <v>0</v>
      </c>
      <c r="CF173" s="16">
        <f t="shared" si="146"/>
        <v>0</v>
      </c>
      <c r="CG173" s="16">
        <f t="shared" si="146"/>
        <v>0</v>
      </c>
      <c r="CH173" s="16">
        <f t="shared" si="146"/>
        <v>0</v>
      </c>
      <c r="CI173" s="16">
        <f t="shared" si="146"/>
        <v>0</v>
      </c>
      <c r="CJ173" s="16">
        <f t="shared" si="146"/>
        <v>0</v>
      </c>
      <c r="CK173" s="16">
        <f t="shared" si="146"/>
        <v>0</v>
      </c>
      <c r="CL173" s="16">
        <f t="shared" si="147"/>
        <v>0</v>
      </c>
      <c r="CM173" s="16">
        <f t="shared" si="147"/>
        <v>0</v>
      </c>
      <c r="CN173" s="16">
        <f t="shared" si="147"/>
        <v>0</v>
      </c>
      <c r="CO173" s="16">
        <f t="shared" si="147"/>
        <v>0</v>
      </c>
      <c r="CP173" s="16">
        <f t="shared" si="147"/>
        <v>0</v>
      </c>
      <c r="CQ173" s="16">
        <f t="shared" si="147"/>
        <v>0</v>
      </c>
      <c r="CR173" s="16">
        <f t="shared" si="147"/>
        <v>0</v>
      </c>
      <c r="CS173" s="16">
        <f t="shared" si="147"/>
        <v>0</v>
      </c>
      <c r="CT173" s="16">
        <f t="shared" si="147"/>
        <v>0</v>
      </c>
      <c r="CU173" s="16">
        <f t="shared" si="147"/>
        <v>0</v>
      </c>
      <c r="CV173" s="16">
        <f t="shared" si="148"/>
        <v>0</v>
      </c>
      <c r="CW173" s="16">
        <f t="shared" si="148"/>
        <v>0</v>
      </c>
      <c r="CX173" s="16">
        <f t="shared" si="148"/>
        <v>0</v>
      </c>
      <c r="CY173" s="16">
        <f t="shared" si="148"/>
        <v>0</v>
      </c>
      <c r="CZ173" s="16">
        <f t="shared" si="148"/>
        <v>0</v>
      </c>
      <c r="DA173" s="16">
        <f t="shared" si="148"/>
        <v>0</v>
      </c>
      <c r="DB173" s="16">
        <f t="shared" si="148"/>
        <v>0</v>
      </c>
      <c r="DC173" s="16">
        <f t="shared" si="148"/>
        <v>0</v>
      </c>
      <c r="DD173" s="16">
        <f t="shared" si="148"/>
        <v>0</v>
      </c>
      <c r="DE173" s="16">
        <f t="shared" si="148"/>
        <v>0</v>
      </c>
      <c r="DF173" s="16">
        <f t="shared" si="149"/>
        <v>0</v>
      </c>
      <c r="DG173" s="16">
        <f t="shared" si="149"/>
        <v>0</v>
      </c>
      <c r="DH173" s="16">
        <f t="shared" si="149"/>
        <v>0</v>
      </c>
      <c r="DI173" s="16">
        <f t="shared" si="149"/>
        <v>0</v>
      </c>
      <c r="DJ173" s="16">
        <f t="shared" si="149"/>
        <v>0</v>
      </c>
      <c r="DK173" s="16">
        <f t="shared" si="149"/>
        <v>0</v>
      </c>
      <c r="DL173" s="16">
        <f t="shared" si="149"/>
        <v>0</v>
      </c>
      <c r="DM173" s="16">
        <f t="shared" si="149"/>
        <v>0</v>
      </c>
      <c r="DN173" s="16">
        <f t="shared" si="149"/>
        <v>0</v>
      </c>
      <c r="DO173" s="16">
        <f t="shared" si="149"/>
        <v>0</v>
      </c>
      <c r="DP173" s="16">
        <f t="shared" si="149"/>
        <v>0</v>
      </c>
    </row>
    <row r="174" spans="10:120" x14ac:dyDescent="0.25">
      <c r="J174" s="93"/>
      <c r="O174" s="9">
        <f t="shared" si="150"/>
        <v>43</v>
      </c>
      <c r="P174" s="16">
        <f t="shared" si="140"/>
        <v>0</v>
      </c>
      <c r="Q174" s="16">
        <f t="shared" si="140"/>
        <v>0</v>
      </c>
      <c r="R174" s="16">
        <f t="shared" si="140"/>
        <v>0</v>
      </c>
      <c r="S174" s="16">
        <f t="shared" si="140"/>
        <v>0</v>
      </c>
      <c r="T174" s="16">
        <f t="shared" si="140"/>
        <v>0</v>
      </c>
      <c r="U174" s="16">
        <f t="shared" si="140"/>
        <v>0</v>
      </c>
      <c r="V174" s="16">
        <f t="shared" si="140"/>
        <v>-1.3547595906419362E-2</v>
      </c>
      <c r="W174" s="16">
        <f t="shared" si="140"/>
        <v>1.0267080032178091</v>
      </c>
      <c r="X174" s="16">
        <f t="shared" si="140"/>
        <v>-1.3160407311389743E-2</v>
      </c>
      <c r="Y174" s="16">
        <f t="shared" si="140"/>
        <v>0</v>
      </c>
      <c r="Z174" s="16">
        <f t="shared" si="141"/>
        <v>0</v>
      </c>
      <c r="AA174" s="16">
        <f t="shared" si="141"/>
        <v>0</v>
      </c>
      <c r="AB174" s="16">
        <f t="shared" si="141"/>
        <v>0</v>
      </c>
      <c r="AC174" s="16">
        <f t="shared" si="141"/>
        <v>0</v>
      </c>
      <c r="AD174" s="16">
        <f t="shared" si="141"/>
        <v>0</v>
      </c>
      <c r="AE174" s="16">
        <f t="shared" si="141"/>
        <v>0</v>
      </c>
      <c r="AF174" s="16">
        <f t="shared" si="141"/>
        <v>0</v>
      </c>
      <c r="AG174" s="16">
        <f t="shared" si="141"/>
        <v>0</v>
      </c>
      <c r="AH174" s="16">
        <f t="shared" si="141"/>
        <v>0</v>
      </c>
      <c r="AI174" s="16">
        <f t="shared" si="141"/>
        <v>0</v>
      </c>
      <c r="AJ174" s="16">
        <f t="shared" si="142"/>
        <v>0</v>
      </c>
      <c r="AK174" s="16">
        <f t="shared" si="142"/>
        <v>0</v>
      </c>
      <c r="AL174" s="16">
        <f t="shared" si="142"/>
        <v>0</v>
      </c>
      <c r="AM174" s="16">
        <f t="shared" si="142"/>
        <v>0</v>
      </c>
      <c r="AN174" s="16">
        <f t="shared" si="142"/>
        <v>0</v>
      </c>
      <c r="AO174" s="16">
        <f t="shared" si="142"/>
        <v>0</v>
      </c>
      <c r="AP174" s="16">
        <f t="shared" si="142"/>
        <v>0</v>
      </c>
      <c r="AQ174" s="16">
        <f t="shared" si="142"/>
        <v>0</v>
      </c>
      <c r="AR174" s="16">
        <f t="shared" si="142"/>
        <v>0</v>
      </c>
      <c r="AS174" s="16">
        <f t="shared" si="142"/>
        <v>0</v>
      </c>
      <c r="AT174" s="16">
        <f t="shared" si="143"/>
        <v>0</v>
      </c>
      <c r="AU174" s="16">
        <f t="shared" si="143"/>
        <v>0</v>
      </c>
      <c r="AV174" s="16">
        <f t="shared" si="143"/>
        <v>0</v>
      </c>
      <c r="AW174" s="16">
        <f t="shared" si="143"/>
        <v>0</v>
      </c>
      <c r="AX174" s="16">
        <f t="shared" si="143"/>
        <v>0</v>
      </c>
      <c r="AY174" s="16">
        <f t="shared" si="143"/>
        <v>0</v>
      </c>
      <c r="AZ174" s="16">
        <f t="shared" si="143"/>
        <v>0</v>
      </c>
      <c r="BA174" s="16">
        <f t="shared" si="143"/>
        <v>0</v>
      </c>
      <c r="BB174" s="16">
        <f t="shared" si="143"/>
        <v>0</v>
      </c>
      <c r="BC174" s="16">
        <f t="shared" si="143"/>
        <v>0</v>
      </c>
      <c r="BD174" s="16">
        <f t="shared" si="144"/>
        <v>0</v>
      </c>
      <c r="BE174" s="16">
        <f t="shared" si="144"/>
        <v>0</v>
      </c>
      <c r="BF174" s="16">
        <f t="shared" si="144"/>
        <v>0</v>
      </c>
      <c r="BG174" s="16">
        <f t="shared" si="144"/>
        <v>0</v>
      </c>
      <c r="BH174" s="16">
        <f t="shared" si="144"/>
        <v>0</v>
      </c>
      <c r="BI174" s="16">
        <f t="shared" si="144"/>
        <v>0</v>
      </c>
      <c r="BJ174" s="16">
        <f t="shared" si="144"/>
        <v>0</v>
      </c>
      <c r="BK174" s="16">
        <f t="shared" si="144"/>
        <v>0</v>
      </c>
      <c r="BL174" s="16">
        <f t="shared" si="144"/>
        <v>0</v>
      </c>
      <c r="BM174" s="16">
        <f t="shared" si="144"/>
        <v>0</v>
      </c>
      <c r="BN174" s="16">
        <f t="shared" si="144"/>
        <v>0</v>
      </c>
      <c r="BQ174" s="9">
        <f t="shared" si="151"/>
        <v>43</v>
      </c>
      <c r="BR174" s="16">
        <f t="shared" si="145"/>
        <v>0</v>
      </c>
      <c r="BS174" s="16">
        <f t="shared" si="145"/>
        <v>0</v>
      </c>
      <c r="BT174" s="16">
        <f t="shared" si="145"/>
        <v>0</v>
      </c>
      <c r="BU174" s="16">
        <f t="shared" si="145"/>
        <v>0</v>
      </c>
      <c r="BV174" s="16">
        <f t="shared" si="145"/>
        <v>0</v>
      </c>
      <c r="BW174" s="16">
        <f t="shared" si="145"/>
        <v>0</v>
      </c>
      <c r="BX174" s="16">
        <f t="shared" si="145"/>
        <v>-0.19732040317359534</v>
      </c>
      <c r="BY174" s="16">
        <f t="shared" si="145"/>
        <v>1.389001413926336</v>
      </c>
      <c r="BZ174" s="16">
        <f t="shared" si="145"/>
        <v>-0.19168101075274074</v>
      </c>
      <c r="CA174" s="16">
        <f t="shared" si="145"/>
        <v>0</v>
      </c>
      <c r="CB174" s="16">
        <f t="shared" si="146"/>
        <v>0</v>
      </c>
      <c r="CC174" s="16">
        <f t="shared" si="146"/>
        <v>0</v>
      </c>
      <c r="CD174" s="16">
        <f t="shared" si="146"/>
        <v>0</v>
      </c>
      <c r="CE174" s="16">
        <f t="shared" si="146"/>
        <v>0</v>
      </c>
      <c r="CF174" s="16">
        <f t="shared" si="146"/>
        <v>0</v>
      </c>
      <c r="CG174" s="16">
        <f t="shared" si="146"/>
        <v>0</v>
      </c>
      <c r="CH174" s="16">
        <f t="shared" si="146"/>
        <v>0</v>
      </c>
      <c r="CI174" s="16">
        <f t="shared" si="146"/>
        <v>0</v>
      </c>
      <c r="CJ174" s="16">
        <f t="shared" si="146"/>
        <v>0</v>
      </c>
      <c r="CK174" s="16">
        <f t="shared" si="146"/>
        <v>0</v>
      </c>
      <c r="CL174" s="16">
        <f t="shared" si="147"/>
        <v>0</v>
      </c>
      <c r="CM174" s="16">
        <f t="shared" si="147"/>
        <v>0</v>
      </c>
      <c r="CN174" s="16">
        <f t="shared" si="147"/>
        <v>0</v>
      </c>
      <c r="CO174" s="16">
        <f t="shared" si="147"/>
        <v>0</v>
      </c>
      <c r="CP174" s="16">
        <f t="shared" si="147"/>
        <v>0</v>
      </c>
      <c r="CQ174" s="16">
        <f t="shared" si="147"/>
        <v>0</v>
      </c>
      <c r="CR174" s="16">
        <f t="shared" si="147"/>
        <v>0</v>
      </c>
      <c r="CS174" s="16">
        <f t="shared" si="147"/>
        <v>0</v>
      </c>
      <c r="CT174" s="16">
        <f t="shared" si="147"/>
        <v>0</v>
      </c>
      <c r="CU174" s="16">
        <f t="shared" si="147"/>
        <v>0</v>
      </c>
      <c r="CV174" s="16">
        <f t="shared" si="148"/>
        <v>0</v>
      </c>
      <c r="CW174" s="16">
        <f t="shared" si="148"/>
        <v>0</v>
      </c>
      <c r="CX174" s="16">
        <f t="shared" si="148"/>
        <v>0</v>
      </c>
      <c r="CY174" s="16">
        <f t="shared" si="148"/>
        <v>0</v>
      </c>
      <c r="CZ174" s="16">
        <f t="shared" si="148"/>
        <v>0</v>
      </c>
      <c r="DA174" s="16">
        <f t="shared" si="148"/>
        <v>0</v>
      </c>
      <c r="DB174" s="16">
        <f t="shared" si="148"/>
        <v>0</v>
      </c>
      <c r="DC174" s="16">
        <f t="shared" si="148"/>
        <v>0</v>
      </c>
      <c r="DD174" s="16">
        <f t="shared" si="148"/>
        <v>0</v>
      </c>
      <c r="DE174" s="16">
        <f t="shared" si="148"/>
        <v>0</v>
      </c>
      <c r="DF174" s="16">
        <f t="shared" si="149"/>
        <v>0</v>
      </c>
      <c r="DG174" s="16">
        <f t="shared" si="149"/>
        <v>0</v>
      </c>
      <c r="DH174" s="16">
        <f t="shared" si="149"/>
        <v>0</v>
      </c>
      <c r="DI174" s="16">
        <f t="shared" si="149"/>
        <v>0</v>
      </c>
      <c r="DJ174" s="16">
        <f t="shared" si="149"/>
        <v>0</v>
      </c>
      <c r="DK174" s="16">
        <f t="shared" si="149"/>
        <v>0</v>
      </c>
      <c r="DL174" s="16">
        <f t="shared" si="149"/>
        <v>0</v>
      </c>
      <c r="DM174" s="16">
        <f t="shared" si="149"/>
        <v>0</v>
      </c>
      <c r="DN174" s="16">
        <f t="shared" si="149"/>
        <v>0</v>
      </c>
      <c r="DO174" s="16">
        <f t="shared" si="149"/>
        <v>0</v>
      </c>
      <c r="DP174" s="16">
        <f t="shared" si="149"/>
        <v>0</v>
      </c>
    </row>
    <row r="175" spans="10:120" x14ac:dyDescent="0.25">
      <c r="J175" s="93"/>
      <c r="O175" s="9">
        <f t="shared" si="150"/>
        <v>42</v>
      </c>
      <c r="P175" s="16">
        <f t="shared" si="140"/>
        <v>0</v>
      </c>
      <c r="Q175" s="16">
        <f t="shared" si="140"/>
        <v>0</v>
      </c>
      <c r="R175" s="16">
        <f t="shared" si="140"/>
        <v>0</v>
      </c>
      <c r="S175" s="16">
        <f t="shared" si="140"/>
        <v>0</v>
      </c>
      <c r="T175" s="16">
        <f t="shared" si="140"/>
        <v>0</v>
      </c>
      <c r="U175" s="16">
        <f t="shared" si="140"/>
        <v>0</v>
      </c>
      <c r="V175" s="16">
        <f t="shared" si="140"/>
        <v>0</v>
      </c>
      <c r="W175" s="16">
        <f t="shared" si="140"/>
        <v>-1.3547595906419362E-2</v>
      </c>
      <c r="X175" s="16">
        <f t="shared" si="140"/>
        <v>1.0267080032178091</v>
      </c>
      <c r="Y175" s="16">
        <f t="shared" si="140"/>
        <v>-1.3160407311389743E-2</v>
      </c>
      <c r="Z175" s="16">
        <f t="shared" si="141"/>
        <v>0</v>
      </c>
      <c r="AA175" s="16">
        <f t="shared" si="141"/>
        <v>0</v>
      </c>
      <c r="AB175" s="16">
        <f t="shared" si="141"/>
        <v>0</v>
      </c>
      <c r="AC175" s="16">
        <f t="shared" si="141"/>
        <v>0</v>
      </c>
      <c r="AD175" s="16">
        <f t="shared" si="141"/>
        <v>0</v>
      </c>
      <c r="AE175" s="16">
        <f t="shared" si="141"/>
        <v>0</v>
      </c>
      <c r="AF175" s="16">
        <f t="shared" si="141"/>
        <v>0</v>
      </c>
      <c r="AG175" s="16">
        <f t="shared" si="141"/>
        <v>0</v>
      </c>
      <c r="AH175" s="16">
        <f t="shared" si="141"/>
        <v>0</v>
      </c>
      <c r="AI175" s="16">
        <f t="shared" si="141"/>
        <v>0</v>
      </c>
      <c r="AJ175" s="16">
        <f t="shared" si="142"/>
        <v>0</v>
      </c>
      <c r="AK175" s="16">
        <f t="shared" si="142"/>
        <v>0</v>
      </c>
      <c r="AL175" s="16">
        <f t="shared" si="142"/>
        <v>0</v>
      </c>
      <c r="AM175" s="16">
        <f t="shared" si="142"/>
        <v>0</v>
      </c>
      <c r="AN175" s="16">
        <f t="shared" si="142"/>
        <v>0</v>
      </c>
      <c r="AO175" s="16">
        <f t="shared" si="142"/>
        <v>0</v>
      </c>
      <c r="AP175" s="16">
        <f t="shared" si="142"/>
        <v>0</v>
      </c>
      <c r="AQ175" s="16">
        <f t="shared" si="142"/>
        <v>0</v>
      </c>
      <c r="AR175" s="16">
        <f t="shared" si="142"/>
        <v>0</v>
      </c>
      <c r="AS175" s="16">
        <f t="shared" si="142"/>
        <v>0</v>
      </c>
      <c r="AT175" s="16">
        <f t="shared" si="143"/>
        <v>0</v>
      </c>
      <c r="AU175" s="16">
        <f t="shared" si="143"/>
        <v>0</v>
      </c>
      <c r="AV175" s="16">
        <f t="shared" si="143"/>
        <v>0</v>
      </c>
      <c r="AW175" s="16">
        <f t="shared" si="143"/>
        <v>0</v>
      </c>
      <c r="AX175" s="16">
        <f t="shared" si="143"/>
        <v>0</v>
      </c>
      <c r="AY175" s="16">
        <f t="shared" si="143"/>
        <v>0</v>
      </c>
      <c r="AZ175" s="16">
        <f t="shared" si="143"/>
        <v>0</v>
      </c>
      <c r="BA175" s="16">
        <f t="shared" si="143"/>
        <v>0</v>
      </c>
      <c r="BB175" s="16">
        <f t="shared" si="143"/>
        <v>0</v>
      </c>
      <c r="BC175" s="16">
        <f t="shared" si="143"/>
        <v>0</v>
      </c>
      <c r="BD175" s="16">
        <f t="shared" si="144"/>
        <v>0</v>
      </c>
      <c r="BE175" s="16">
        <f t="shared" si="144"/>
        <v>0</v>
      </c>
      <c r="BF175" s="16">
        <f t="shared" si="144"/>
        <v>0</v>
      </c>
      <c r="BG175" s="16">
        <f t="shared" si="144"/>
        <v>0</v>
      </c>
      <c r="BH175" s="16">
        <f t="shared" si="144"/>
        <v>0</v>
      </c>
      <c r="BI175" s="16">
        <f t="shared" si="144"/>
        <v>0</v>
      </c>
      <c r="BJ175" s="16">
        <f t="shared" si="144"/>
        <v>0</v>
      </c>
      <c r="BK175" s="16">
        <f t="shared" si="144"/>
        <v>0</v>
      </c>
      <c r="BL175" s="16">
        <f t="shared" si="144"/>
        <v>0</v>
      </c>
      <c r="BM175" s="16">
        <f t="shared" si="144"/>
        <v>0</v>
      </c>
      <c r="BN175" s="16">
        <f t="shared" si="144"/>
        <v>0</v>
      </c>
      <c r="BQ175" s="9">
        <f t="shared" si="151"/>
        <v>42</v>
      </c>
      <c r="BR175" s="16">
        <f t="shared" si="145"/>
        <v>0</v>
      </c>
      <c r="BS175" s="16">
        <f t="shared" si="145"/>
        <v>0</v>
      </c>
      <c r="BT175" s="16">
        <f t="shared" si="145"/>
        <v>0</v>
      </c>
      <c r="BU175" s="16">
        <f t="shared" si="145"/>
        <v>0</v>
      </c>
      <c r="BV175" s="16">
        <f t="shared" si="145"/>
        <v>0</v>
      </c>
      <c r="BW175" s="16">
        <f t="shared" si="145"/>
        <v>0</v>
      </c>
      <c r="BX175" s="16">
        <f t="shared" si="145"/>
        <v>0</v>
      </c>
      <c r="BY175" s="16">
        <f t="shared" si="145"/>
        <v>-0.22290810126583468</v>
      </c>
      <c r="BZ175" s="16">
        <f t="shared" si="145"/>
        <v>1.4394455169025724</v>
      </c>
      <c r="CA175" s="16">
        <f t="shared" si="145"/>
        <v>-0.21653741563673778</v>
      </c>
      <c r="CB175" s="16">
        <f t="shared" si="146"/>
        <v>0</v>
      </c>
      <c r="CC175" s="16">
        <f t="shared" si="146"/>
        <v>0</v>
      </c>
      <c r="CD175" s="16">
        <f t="shared" si="146"/>
        <v>0</v>
      </c>
      <c r="CE175" s="16">
        <f t="shared" si="146"/>
        <v>0</v>
      </c>
      <c r="CF175" s="16">
        <f t="shared" si="146"/>
        <v>0</v>
      </c>
      <c r="CG175" s="16">
        <f t="shared" si="146"/>
        <v>0</v>
      </c>
      <c r="CH175" s="16">
        <f t="shared" si="146"/>
        <v>0</v>
      </c>
      <c r="CI175" s="16">
        <f t="shared" si="146"/>
        <v>0</v>
      </c>
      <c r="CJ175" s="16">
        <f t="shared" si="146"/>
        <v>0</v>
      </c>
      <c r="CK175" s="16">
        <f t="shared" si="146"/>
        <v>0</v>
      </c>
      <c r="CL175" s="16">
        <f t="shared" si="147"/>
        <v>0</v>
      </c>
      <c r="CM175" s="16">
        <f t="shared" si="147"/>
        <v>0</v>
      </c>
      <c r="CN175" s="16">
        <f t="shared" si="147"/>
        <v>0</v>
      </c>
      <c r="CO175" s="16">
        <f t="shared" si="147"/>
        <v>0</v>
      </c>
      <c r="CP175" s="16">
        <f t="shared" si="147"/>
        <v>0</v>
      </c>
      <c r="CQ175" s="16">
        <f t="shared" si="147"/>
        <v>0</v>
      </c>
      <c r="CR175" s="16">
        <f t="shared" si="147"/>
        <v>0</v>
      </c>
      <c r="CS175" s="16">
        <f t="shared" si="147"/>
        <v>0</v>
      </c>
      <c r="CT175" s="16">
        <f t="shared" si="147"/>
        <v>0</v>
      </c>
      <c r="CU175" s="16">
        <f t="shared" si="147"/>
        <v>0</v>
      </c>
      <c r="CV175" s="16">
        <f t="shared" si="148"/>
        <v>0</v>
      </c>
      <c r="CW175" s="16">
        <f t="shared" si="148"/>
        <v>0</v>
      </c>
      <c r="CX175" s="16">
        <f t="shared" si="148"/>
        <v>0</v>
      </c>
      <c r="CY175" s="16">
        <f t="shared" si="148"/>
        <v>0</v>
      </c>
      <c r="CZ175" s="16">
        <f t="shared" si="148"/>
        <v>0</v>
      </c>
      <c r="DA175" s="16">
        <f t="shared" si="148"/>
        <v>0</v>
      </c>
      <c r="DB175" s="16">
        <f t="shared" si="148"/>
        <v>0</v>
      </c>
      <c r="DC175" s="16">
        <f t="shared" si="148"/>
        <v>0</v>
      </c>
      <c r="DD175" s="16">
        <f t="shared" si="148"/>
        <v>0</v>
      </c>
      <c r="DE175" s="16">
        <f t="shared" si="148"/>
        <v>0</v>
      </c>
      <c r="DF175" s="16">
        <f t="shared" si="149"/>
        <v>0</v>
      </c>
      <c r="DG175" s="16">
        <f t="shared" si="149"/>
        <v>0</v>
      </c>
      <c r="DH175" s="16">
        <f t="shared" si="149"/>
        <v>0</v>
      </c>
      <c r="DI175" s="16">
        <f t="shared" si="149"/>
        <v>0</v>
      </c>
      <c r="DJ175" s="16">
        <f t="shared" si="149"/>
        <v>0</v>
      </c>
      <c r="DK175" s="16">
        <f t="shared" si="149"/>
        <v>0</v>
      </c>
      <c r="DL175" s="16">
        <f t="shared" si="149"/>
        <v>0</v>
      </c>
      <c r="DM175" s="16">
        <f t="shared" si="149"/>
        <v>0</v>
      </c>
      <c r="DN175" s="16">
        <f t="shared" si="149"/>
        <v>0</v>
      </c>
      <c r="DO175" s="16">
        <f t="shared" si="149"/>
        <v>0</v>
      </c>
      <c r="DP175" s="16">
        <f t="shared" si="149"/>
        <v>0</v>
      </c>
    </row>
    <row r="176" spans="10:120" x14ac:dyDescent="0.25">
      <c r="J176" s="93"/>
      <c r="O176" s="9">
        <f t="shared" si="150"/>
        <v>41</v>
      </c>
      <c r="P176" s="16">
        <f t="shared" si="140"/>
        <v>0</v>
      </c>
      <c r="Q176" s="16">
        <f t="shared" si="140"/>
        <v>0</v>
      </c>
      <c r="R176" s="16">
        <f t="shared" si="140"/>
        <v>0</v>
      </c>
      <c r="S176" s="16">
        <f t="shared" si="140"/>
        <v>0</v>
      </c>
      <c r="T176" s="16">
        <f t="shared" si="140"/>
        <v>0</v>
      </c>
      <c r="U176" s="16">
        <f t="shared" si="140"/>
        <v>0</v>
      </c>
      <c r="V176" s="16">
        <f t="shared" si="140"/>
        <v>0</v>
      </c>
      <c r="W176" s="16">
        <f t="shared" si="140"/>
        <v>0</v>
      </c>
      <c r="X176" s="16">
        <f t="shared" si="140"/>
        <v>-1.3547595906419362E-2</v>
      </c>
      <c r="Y176" s="16">
        <f t="shared" si="140"/>
        <v>1.0267080032178091</v>
      </c>
      <c r="Z176" s="16">
        <f t="shared" si="141"/>
        <v>-1.3160407311389743E-2</v>
      </c>
      <c r="AA176" s="16">
        <f t="shared" si="141"/>
        <v>0</v>
      </c>
      <c r="AB176" s="16">
        <f t="shared" si="141"/>
        <v>0</v>
      </c>
      <c r="AC176" s="16">
        <f t="shared" si="141"/>
        <v>0</v>
      </c>
      <c r="AD176" s="16">
        <f t="shared" si="141"/>
        <v>0</v>
      </c>
      <c r="AE176" s="16">
        <f t="shared" si="141"/>
        <v>0</v>
      </c>
      <c r="AF176" s="16">
        <f t="shared" si="141"/>
        <v>0</v>
      </c>
      <c r="AG176" s="16">
        <f t="shared" si="141"/>
        <v>0</v>
      </c>
      <c r="AH176" s="16">
        <f t="shared" si="141"/>
        <v>0</v>
      </c>
      <c r="AI176" s="16">
        <f t="shared" si="141"/>
        <v>0</v>
      </c>
      <c r="AJ176" s="16">
        <f t="shared" si="142"/>
        <v>0</v>
      </c>
      <c r="AK176" s="16">
        <f t="shared" si="142"/>
        <v>0</v>
      </c>
      <c r="AL176" s="16">
        <f t="shared" si="142"/>
        <v>0</v>
      </c>
      <c r="AM176" s="16">
        <f t="shared" si="142"/>
        <v>0</v>
      </c>
      <c r="AN176" s="16">
        <f t="shared" si="142"/>
        <v>0</v>
      </c>
      <c r="AO176" s="16">
        <f t="shared" si="142"/>
        <v>0</v>
      </c>
      <c r="AP176" s="16">
        <f t="shared" si="142"/>
        <v>0</v>
      </c>
      <c r="AQ176" s="16">
        <f t="shared" si="142"/>
        <v>0</v>
      </c>
      <c r="AR176" s="16">
        <f t="shared" si="142"/>
        <v>0</v>
      </c>
      <c r="AS176" s="16">
        <f t="shared" si="142"/>
        <v>0</v>
      </c>
      <c r="AT176" s="16">
        <f t="shared" si="143"/>
        <v>0</v>
      </c>
      <c r="AU176" s="16">
        <f t="shared" si="143"/>
        <v>0</v>
      </c>
      <c r="AV176" s="16">
        <f t="shared" si="143"/>
        <v>0</v>
      </c>
      <c r="AW176" s="16">
        <f t="shared" si="143"/>
        <v>0</v>
      </c>
      <c r="AX176" s="16">
        <f t="shared" si="143"/>
        <v>0</v>
      </c>
      <c r="AY176" s="16">
        <f t="shared" si="143"/>
        <v>0</v>
      </c>
      <c r="AZ176" s="16">
        <f t="shared" si="143"/>
        <v>0</v>
      </c>
      <c r="BA176" s="16">
        <f t="shared" si="143"/>
        <v>0</v>
      </c>
      <c r="BB176" s="16">
        <f t="shared" si="143"/>
        <v>0</v>
      </c>
      <c r="BC176" s="16">
        <f t="shared" si="143"/>
        <v>0</v>
      </c>
      <c r="BD176" s="16">
        <f t="shared" si="144"/>
        <v>0</v>
      </c>
      <c r="BE176" s="16">
        <f t="shared" si="144"/>
        <v>0</v>
      </c>
      <c r="BF176" s="16">
        <f t="shared" si="144"/>
        <v>0</v>
      </c>
      <c r="BG176" s="16">
        <f t="shared" si="144"/>
        <v>0</v>
      </c>
      <c r="BH176" s="16">
        <f t="shared" si="144"/>
        <v>0</v>
      </c>
      <c r="BI176" s="16">
        <f t="shared" si="144"/>
        <v>0</v>
      </c>
      <c r="BJ176" s="16">
        <f t="shared" si="144"/>
        <v>0</v>
      </c>
      <c r="BK176" s="16">
        <f t="shared" si="144"/>
        <v>0</v>
      </c>
      <c r="BL176" s="16">
        <f t="shared" si="144"/>
        <v>0</v>
      </c>
      <c r="BM176" s="16">
        <f t="shared" si="144"/>
        <v>0</v>
      </c>
      <c r="BN176" s="16">
        <f t="shared" si="144"/>
        <v>0</v>
      </c>
      <c r="BQ176" s="9">
        <f t="shared" si="151"/>
        <v>41</v>
      </c>
      <c r="BR176" s="16">
        <f t="shared" si="145"/>
        <v>0</v>
      </c>
      <c r="BS176" s="16">
        <f t="shared" si="145"/>
        <v>0</v>
      </c>
      <c r="BT176" s="16">
        <f t="shared" si="145"/>
        <v>0</v>
      </c>
      <c r="BU176" s="16">
        <f t="shared" si="145"/>
        <v>0</v>
      </c>
      <c r="BV176" s="16">
        <f t="shared" si="145"/>
        <v>0</v>
      </c>
      <c r="BW176" s="16">
        <f t="shared" si="145"/>
        <v>0</v>
      </c>
      <c r="BX176" s="16">
        <f t="shared" si="145"/>
        <v>0</v>
      </c>
      <c r="BY176" s="16">
        <f t="shared" si="145"/>
        <v>0</v>
      </c>
      <c r="BZ176" s="16">
        <f t="shared" si="145"/>
        <v>-0.25005528016871909</v>
      </c>
      <c r="CA176" s="16">
        <f t="shared" si="145"/>
        <v>1.4929640117337566</v>
      </c>
      <c r="CB176" s="16">
        <f t="shared" si="146"/>
        <v>-0.24290873156503748</v>
      </c>
      <c r="CC176" s="16">
        <f t="shared" si="146"/>
        <v>0</v>
      </c>
      <c r="CD176" s="16">
        <f t="shared" si="146"/>
        <v>0</v>
      </c>
      <c r="CE176" s="16">
        <f t="shared" si="146"/>
        <v>0</v>
      </c>
      <c r="CF176" s="16">
        <f t="shared" si="146"/>
        <v>0</v>
      </c>
      <c r="CG176" s="16">
        <f t="shared" si="146"/>
        <v>0</v>
      </c>
      <c r="CH176" s="16">
        <f t="shared" si="146"/>
        <v>0</v>
      </c>
      <c r="CI176" s="16">
        <f t="shared" si="146"/>
        <v>0</v>
      </c>
      <c r="CJ176" s="16">
        <f t="shared" si="146"/>
        <v>0</v>
      </c>
      <c r="CK176" s="16">
        <f t="shared" si="146"/>
        <v>0</v>
      </c>
      <c r="CL176" s="16">
        <f t="shared" si="147"/>
        <v>0</v>
      </c>
      <c r="CM176" s="16">
        <f t="shared" si="147"/>
        <v>0</v>
      </c>
      <c r="CN176" s="16">
        <f t="shared" si="147"/>
        <v>0</v>
      </c>
      <c r="CO176" s="16">
        <f t="shared" si="147"/>
        <v>0</v>
      </c>
      <c r="CP176" s="16">
        <f t="shared" si="147"/>
        <v>0</v>
      </c>
      <c r="CQ176" s="16">
        <f t="shared" si="147"/>
        <v>0</v>
      </c>
      <c r="CR176" s="16">
        <f t="shared" si="147"/>
        <v>0</v>
      </c>
      <c r="CS176" s="16">
        <f t="shared" si="147"/>
        <v>0</v>
      </c>
      <c r="CT176" s="16">
        <f t="shared" si="147"/>
        <v>0</v>
      </c>
      <c r="CU176" s="16">
        <f t="shared" si="147"/>
        <v>0</v>
      </c>
      <c r="CV176" s="16">
        <f t="shared" si="148"/>
        <v>0</v>
      </c>
      <c r="CW176" s="16">
        <f t="shared" si="148"/>
        <v>0</v>
      </c>
      <c r="CX176" s="16">
        <f t="shared" si="148"/>
        <v>0</v>
      </c>
      <c r="CY176" s="16">
        <f t="shared" si="148"/>
        <v>0</v>
      </c>
      <c r="CZ176" s="16">
        <f t="shared" si="148"/>
        <v>0</v>
      </c>
      <c r="DA176" s="16">
        <f t="shared" si="148"/>
        <v>0</v>
      </c>
      <c r="DB176" s="16">
        <f t="shared" si="148"/>
        <v>0</v>
      </c>
      <c r="DC176" s="16">
        <f t="shared" si="148"/>
        <v>0</v>
      </c>
      <c r="DD176" s="16">
        <f t="shared" si="148"/>
        <v>0</v>
      </c>
      <c r="DE176" s="16">
        <f t="shared" si="148"/>
        <v>0</v>
      </c>
      <c r="DF176" s="16">
        <f t="shared" si="149"/>
        <v>0</v>
      </c>
      <c r="DG176" s="16">
        <f t="shared" si="149"/>
        <v>0</v>
      </c>
      <c r="DH176" s="16">
        <f t="shared" si="149"/>
        <v>0</v>
      </c>
      <c r="DI176" s="16">
        <f t="shared" si="149"/>
        <v>0</v>
      </c>
      <c r="DJ176" s="16">
        <f t="shared" si="149"/>
        <v>0</v>
      </c>
      <c r="DK176" s="16">
        <f t="shared" si="149"/>
        <v>0</v>
      </c>
      <c r="DL176" s="16">
        <f t="shared" si="149"/>
        <v>0</v>
      </c>
      <c r="DM176" s="16">
        <f t="shared" si="149"/>
        <v>0</v>
      </c>
      <c r="DN176" s="16">
        <f t="shared" si="149"/>
        <v>0</v>
      </c>
      <c r="DO176" s="16">
        <f t="shared" si="149"/>
        <v>0</v>
      </c>
      <c r="DP176" s="16">
        <f t="shared" si="149"/>
        <v>0</v>
      </c>
    </row>
    <row r="177" spans="2:120" x14ac:dyDescent="0.25">
      <c r="J177" s="93"/>
      <c r="O177" s="9">
        <f t="shared" si="150"/>
        <v>40</v>
      </c>
      <c r="P177" s="16">
        <f t="shared" ref="P177:Y186" si="152">IF(P$166=$O177,1-HLOOKUP($O177,$O$19:$BN$48,P$107,0),IF(P$166-$O177=1,-HLOOKUP($O177,$O$15:$BN$30,P$107,0),IF(P$166-$O177=-1,-HLOOKUP($O177,$O$23:$BN$68,P$107,0),0)))</f>
        <v>0</v>
      </c>
      <c r="Q177" s="16">
        <f t="shared" si="152"/>
        <v>0</v>
      </c>
      <c r="R177" s="16">
        <f t="shared" si="152"/>
        <v>0</v>
      </c>
      <c r="S177" s="16">
        <f t="shared" si="152"/>
        <v>0</v>
      </c>
      <c r="T177" s="16">
        <f t="shared" si="152"/>
        <v>0</v>
      </c>
      <c r="U177" s="16">
        <f t="shared" si="152"/>
        <v>0</v>
      </c>
      <c r="V177" s="16">
        <f t="shared" si="152"/>
        <v>0</v>
      </c>
      <c r="W177" s="16">
        <f t="shared" si="152"/>
        <v>0</v>
      </c>
      <c r="X177" s="16">
        <f t="shared" si="152"/>
        <v>0</v>
      </c>
      <c r="Y177" s="16">
        <f t="shared" si="152"/>
        <v>-1.3547595906419362E-2</v>
      </c>
      <c r="Z177" s="16">
        <f t="shared" ref="Z177:AI186" si="153">IF(Z$166=$O177,1-HLOOKUP($O177,$O$19:$BN$48,Z$107,0),IF(Z$166-$O177=1,-HLOOKUP($O177,$O$15:$BN$30,Z$107,0),IF(Z$166-$O177=-1,-HLOOKUP($O177,$O$23:$BN$68,Z$107,0),0)))</f>
        <v>1.0267080032178091</v>
      </c>
      <c r="AA177" s="16">
        <f t="shared" si="153"/>
        <v>-1.3160407311389743E-2</v>
      </c>
      <c r="AB177" s="16">
        <f t="shared" si="153"/>
        <v>0</v>
      </c>
      <c r="AC177" s="16">
        <f t="shared" si="153"/>
        <v>0</v>
      </c>
      <c r="AD177" s="16">
        <f t="shared" si="153"/>
        <v>0</v>
      </c>
      <c r="AE177" s="16">
        <f t="shared" si="153"/>
        <v>0</v>
      </c>
      <c r="AF177" s="16">
        <f t="shared" si="153"/>
        <v>0</v>
      </c>
      <c r="AG177" s="16">
        <f t="shared" si="153"/>
        <v>0</v>
      </c>
      <c r="AH177" s="16">
        <f t="shared" si="153"/>
        <v>0</v>
      </c>
      <c r="AI177" s="16">
        <f t="shared" si="153"/>
        <v>0</v>
      </c>
      <c r="AJ177" s="16">
        <f t="shared" ref="AJ177:AS186" si="154">IF(AJ$166=$O177,1-HLOOKUP($O177,$O$19:$BN$48,AJ$107,0),IF(AJ$166-$O177=1,-HLOOKUP($O177,$O$15:$BN$30,AJ$107,0),IF(AJ$166-$O177=-1,-HLOOKUP($O177,$O$23:$BN$68,AJ$107,0),0)))</f>
        <v>0</v>
      </c>
      <c r="AK177" s="16">
        <f t="shared" si="154"/>
        <v>0</v>
      </c>
      <c r="AL177" s="16">
        <f t="shared" si="154"/>
        <v>0</v>
      </c>
      <c r="AM177" s="16">
        <f t="shared" si="154"/>
        <v>0</v>
      </c>
      <c r="AN177" s="16">
        <f t="shared" si="154"/>
        <v>0</v>
      </c>
      <c r="AO177" s="16">
        <f t="shared" si="154"/>
        <v>0</v>
      </c>
      <c r="AP177" s="16">
        <f t="shared" si="154"/>
        <v>0</v>
      </c>
      <c r="AQ177" s="16">
        <f t="shared" si="154"/>
        <v>0</v>
      </c>
      <c r="AR177" s="16">
        <f t="shared" si="154"/>
        <v>0</v>
      </c>
      <c r="AS177" s="16">
        <f t="shared" si="154"/>
        <v>0</v>
      </c>
      <c r="AT177" s="16">
        <f t="shared" ref="AT177:BC186" si="155">IF(AT$166=$O177,1-HLOOKUP($O177,$O$19:$BN$48,AT$107,0),IF(AT$166-$O177=1,-HLOOKUP($O177,$O$15:$BN$30,AT$107,0),IF(AT$166-$O177=-1,-HLOOKUP($O177,$O$23:$BN$68,AT$107,0),0)))</f>
        <v>0</v>
      </c>
      <c r="AU177" s="16">
        <f t="shared" si="155"/>
        <v>0</v>
      </c>
      <c r="AV177" s="16">
        <f t="shared" si="155"/>
        <v>0</v>
      </c>
      <c r="AW177" s="16">
        <f t="shared" si="155"/>
        <v>0</v>
      </c>
      <c r="AX177" s="16">
        <f t="shared" si="155"/>
        <v>0</v>
      </c>
      <c r="AY177" s="16">
        <f t="shared" si="155"/>
        <v>0</v>
      </c>
      <c r="AZ177" s="16">
        <f t="shared" si="155"/>
        <v>0</v>
      </c>
      <c r="BA177" s="16">
        <f t="shared" si="155"/>
        <v>0</v>
      </c>
      <c r="BB177" s="16">
        <f t="shared" si="155"/>
        <v>0</v>
      </c>
      <c r="BC177" s="16">
        <f t="shared" si="155"/>
        <v>0</v>
      </c>
      <c r="BD177" s="16">
        <f t="shared" ref="BD177:BN186" si="156">IF(BD$166=$O177,1-HLOOKUP($O177,$O$19:$BN$48,BD$107,0),IF(BD$166-$O177=1,-HLOOKUP($O177,$O$15:$BN$30,BD$107,0),IF(BD$166-$O177=-1,-HLOOKUP($O177,$O$23:$BN$68,BD$107,0),0)))</f>
        <v>0</v>
      </c>
      <c r="BE177" s="16">
        <f t="shared" si="156"/>
        <v>0</v>
      </c>
      <c r="BF177" s="16">
        <f t="shared" si="156"/>
        <v>0</v>
      </c>
      <c r="BG177" s="16">
        <f t="shared" si="156"/>
        <v>0</v>
      </c>
      <c r="BH177" s="16">
        <f t="shared" si="156"/>
        <v>0</v>
      </c>
      <c r="BI177" s="16">
        <f t="shared" si="156"/>
        <v>0</v>
      </c>
      <c r="BJ177" s="16">
        <f t="shared" si="156"/>
        <v>0</v>
      </c>
      <c r="BK177" s="16">
        <f t="shared" si="156"/>
        <v>0</v>
      </c>
      <c r="BL177" s="16">
        <f t="shared" si="156"/>
        <v>0</v>
      </c>
      <c r="BM177" s="16">
        <f t="shared" si="156"/>
        <v>0</v>
      </c>
      <c r="BN177" s="16">
        <f t="shared" si="156"/>
        <v>0</v>
      </c>
      <c r="BQ177" s="9">
        <f t="shared" si="151"/>
        <v>40</v>
      </c>
      <c r="BR177" s="16">
        <f t="shared" ref="BR177:CA186" si="157">IF(BR$166=$O177,1-HLOOKUP($O177,$O$19:$BN$48,BR$107,0),IF(BR$166-$O177=1,-HLOOKUP($O177,$O$15:$BN$30,BR$107,0),IF(BR$166-$O177=-1,-HLOOKUP($O177,$O$23:$BN$68,BR$107,0),0)))</f>
        <v>0</v>
      </c>
      <c r="BS177" s="16">
        <f t="shared" si="157"/>
        <v>0</v>
      </c>
      <c r="BT177" s="16">
        <f t="shared" si="157"/>
        <v>0</v>
      </c>
      <c r="BU177" s="16">
        <f t="shared" si="157"/>
        <v>0</v>
      </c>
      <c r="BV177" s="16">
        <f t="shared" si="157"/>
        <v>0</v>
      </c>
      <c r="BW177" s="16">
        <f t="shared" si="157"/>
        <v>0</v>
      </c>
      <c r="BX177" s="16">
        <f t="shared" si="157"/>
        <v>0</v>
      </c>
      <c r="BY177" s="16">
        <f t="shared" si="157"/>
        <v>0</v>
      </c>
      <c r="BZ177" s="16">
        <f t="shared" si="157"/>
        <v>0</v>
      </c>
      <c r="CA177" s="16">
        <f t="shared" si="157"/>
        <v>-0.27876193988224829</v>
      </c>
      <c r="CB177" s="16">
        <f t="shared" ref="CB177:CK186" si="158">IF(CB$166=$O177,1-HLOOKUP($O177,$O$19:$BN$48,CB$107,0),IF(CB$166-$O177=1,-HLOOKUP($O177,$O$15:$BN$30,CB$107,0),IF(CB$166-$O177=-1,-HLOOKUP($O177,$O$23:$BN$68,CB$107,0),0)))</f>
        <v>1.549556898419888</v>
      </c>
      <c r="CC177" s="16">
        <f t="shared" si="158"/>
        <v>-0.27079495853763969</v>
      </c>
      <c r="CD177" s="16">
        <f t="shared" si="158"/>
        <v>0</v>
      </c>
      <c r="CE177" s="16">
        <f t="shared" si="158"/>
        <v>0</v>
      </c>
      <c r="CF177" s="16">
        <f t="shared" si="158"/>
        <v>0</v>
      </c>
      <c r="CG177" s="16">
        <f t="shared" si="158"/>
        <v>0</v>
      </c>
      <c r="CH177" s="16">
        <f t="shared" si="158"/>
        <v>0</v>
      </c>
      <c r="CI177" s="16">
        <f t="shared" si="158"/>
        <v>0</v>
      </c>
      <c r="CJ177" s="16">
        <f t="shared" si="158"/>
        <v>0</v>
      </c>
      <c r="CK177" s="16">
        <f t="shared" si="158"/>
        <v>0</v>
      </c>
      <c r="CL177" s="16">
        <f t="shared" ref="CL177:CU186" si="159">IF(CL$166=$O177,1-HLOOKUP($O177,$O$19:$BN$48,CL$107,0),IF(CL$166-$O177=1,-HLOOKUP($O177,$O$15:$BN$30,CL$107,0),IF(CL$166-$O177=-1,-HLOOKUP($O177,$O$23:$BN$68,CL$107,0),0)))</f>
        <v>0</v>
      </c>
      <c r="CM177" s="16">
        <f t="shared" si="159"/>
        <v>0</v>
      </c>
      <c r="CN177" s="16">
        <f t="shared" si="159"/>
        <v>0</v>
      </c>
      <c r="CO177" s="16">
        <f t="shared" si="159"/>
        <v>0</v>
      </c>
      <c r="CP177" s="16">
        <f t="shared" si="159"/>
        <v>0</v>
      </c>
      <c r="CQ177" s="16">
        <f t="shared" si="159"/>
        <v>0</v>
      </c>
      <c r="CR177" s="16">
        <f t="shared" si="159"/>
        <v>0</v>
      </c>
      <c r="CS177" s="16">
        <f t="shared" si="159"/>
        <v>0</v>
      </c>
      <c r="CT177" s="16">
        <f t="shared" si="159"/>
        <v>0</v>
      </c>
      <c r="CU177" s="16">
        <f t="shared" si="159"/>
        <v>0</v>
      </c>
      <c r="CV177" s="16">
        <f t="shared" ref="CV177:DE186" si="160">IF(CV$166=$O177,1-HLOOKUP($O177,$O$19:$BN$48,CV$107,0),IF(CV$166-$O177=1,-HLOOKUP($O177,$O$15:$BN$30,CV$107,0),IF(CV$166-$O177=-1,-HLOOKUP($O177,$O$23:$BN$68,CV$107,0),0)))</f>
        <v>0</v>
      </c>
      <c r="CW177" s="16">
        <f t="shared" si="160"/>
        <v>0</v>
      </c>
      <c r="CX177" s="16">
        <f t="shared" si="160"/>
        <v>0</v>
      </c>
      <c r="CY177" s="16">
        <f t="shared" si="160"/>
        <v>0</v>
      </c>
      <c r="CZ177" s="16">
        <f t="shared" si="160"/>
        <v>0</v>
      </c>
      <c r="DA177" s="16">
        <f t="shared" si="160"/>
        <v>0</v>
      </c>
      <c r="DB177" s="16">
        <f t="shared" si="160"/>
        <v>0</v>
      </c>
      <c r="DC177" s="16">
        <f t="shared" si="160"/>
        <v>0</v>
      </c>
      <c r="DD177" s="16">
        <f t="shared" si="160"/>
        <v>0</v>
      </c>
      <c r="DE177" s="16">
        <f t="shared" si="160"/>
        <v>0</v>
      </c>
      <c r="DF177" s="16">
        <f t="shared" ref="DF177:DP186" si="161">IF(DF$166=$O177,1-HLOOKUP($O177,$O$19:$BN$48,DF$107,0),IF(DF$166-$O177=1,-HLOOKUP($O177,$O$15:$BN$30,DF$107,0),IF(DF$166-$O177=-1,-HLOOKUP($O177,$O$23:$BN$68,DF$107,0),0)))</f>
        <v>0</v>
      </c>
      <c r="DG177" s="16">
        <f t="shared" si="161"/>
        <v>0</v>
      </c>
      <c r="DH177" s="16">
        <f t="shared" si="161"/>
        <v>0</v>
      </c>
      <c r="DI177" s="16">
        <f t="shared" si="161"/>
        <v>0</v>
      </c>
      <c r="DJ177" s="16">
        <f t="shared" si="161"/>
        <v>0</v>
      </c>
      <c r="DK177" s="16">
        <f t="shared" si="161"/>
        <v>0</v>
      </c>
      <c r="DL177" s="16">
        <f t="shared" si="161"/>
        <v>0</v>
      </c>
      <c r="DM177" s="16">
        <f t="shared" si="161"/>
        <v>0</v>
      </c>
      <c r="DN177" s="16">
        <f t="shared" si="161"/>
        <v>0</v>
      </c>
      <c r="DO177" s="16">
        <f t="shared" si="161"/>
        <v>0</v>
      </c>
      <c r="DP177" s="16">
        <f t="shared" si="161"/>
        <v>0</v>
      </c>
    </row>
    <row r="178" spans="2:120" x14ac:dyDescent="0.25">
      <c r="J178" s="93"/>
      <c r="O178" s="9">
        <f t="shared" si="150"/>
        <v>39</v>
      </c>
      <c r="P178" s="16">
        <f t="shared" si="152"/>
        <v>0</v>
      </c>
      <c r="Q178" s="16">
        <f t="shared" si="152"/>
        <v>0</v>
      </c>
      <c r="R178" s="16">
        <f t="shared" si="152"/>
        <v>0</v>
      </c>
      <c r="S178" s="16">
        <f t="shared" si="152"/>
        <v>0</v>
      </c>
      <c r="T178" s="16">
        <f t="shared" si="152"/>
        <v>0</v>
      </c>
      <c r="U178" s="16">
        <f t="shared" si="152"/>
        <v>0</v>
      </c>
      <c r="V178" s="16">
        <f t="shared" si="152"/>
        <v>0</v>
      </c>
      <c r="W178" s="16">
        <f t="shared" si="152"/>
        <v>0</v>
      </c>
      <c r="X178" s="16">
        <f t="shared" si="152"/>
        <v>0</v>
      </c>
      <c r="Y178" s="16">
        <f t="shared" si="152"/>
        <v>0</v>
      </c>
      <c r="Z178" s="16">
        <f t="shared" si="153"/>
        <v>-1.3547595906419362E-2</v>
      </c>
      <c r="AA178" s="16">
        <f t="shared" si="153"/>
        <v>1.0267080032178091</v>
      </c>
      <c r="AB178" s="16">
        <f t="shared" si="153"/>
        <v>-1.3160407311389743E-2</v>
      </c>
      <c r="AC178" s="16">
        <f t="shared" si="153"/>
        <v>0</v>
      </c>
      <c r="AD178" s="16">
        <f t="shared" si="153"/>
        <v>0</v>
      </c>
      <c r="AE178" s="16">
        <f t="shared" si="153"/>
        <v>0</v>
      </c>
      <c r="AF178" s="16">
        <f t="shared" si="153"/>
        <v>0</v>
      </c>
      <c r="AG178" s="16">
        <f t="shared" si="153"/>
        <v>0</v>
      </c>
      <c r="AH178" s="16">
        <f t="shared" si="153"/>
        <v>0</v>
      </c>
      <c r="AI178" s="16">
        <f t="shared" si="153"/>
        <v>0</v>
      </c>
      <c r="AJ178" s="16">
        <f t="shared" si="154"/>
        <v>0</v>
      </c>
      <c r="AK178" s="16">
        <f t="shared" si="154"/>
        <v>0</v>
      </c>
      <c r="AL178" s="16">
        <f t="shared" si="154"/>
        <v>0</v>
      </c>
      <c r="AM178" s="16">
        <f t="shared" si="154"/>
        <v>0</v>
      </c>
      <c r="AN178" s="16">
        <f t="shared" si="154"/>
        <v>0</v>
      </c>
      <c r="AO178" s="16">
        <f t="shared" si="154"/>
        <v>0</v>
      </c>
      <c r="AP178" s="16">
        <f t="shared" si="154"/>
        <v>0</v>
      </c>
      <c r="AQ178" s="16">
        <f t="shared" si="154"/>
        <v>0</v>
      </c>
      <c r="AR178" s="16">
        <f t="shared" si="154"/>
        <v>0</v>
      </c>
      <c r="AS178" s="16">
        <f t="shared" si="154"/>
        <v>0</v>
      </c>
      <c r="AT178" s="16">
        <f t="shared" si="155"/>
        <v>0</v>
      </c>
      <c r="AU178" s="16">
        <f t="shared" si="155"/>
        <v>0</v>
      </c>
      <c r="AV178" s="16">
        <f t="shared" si="155"/>
        <v>0</v>
      </c>
      <c r="AW178" s="16">
        <f t="shared" si="155"/>
        <v>0</v>
      </c>
      <c r="AX178" s="16">
        <f t="shared" si="155"/>
        <v>0</v>
      </c>
      <c r="AY178" s="16">
        <f t="shared" si="155"/>
        <v>0</v>
      </c>
      <c r="AZ178" s="16">
        <f t="shared" si="155"/>
        <v>0</v>
      </c>
      <c r="BA178" s="16">
        <f t="shared" si="155"/>
        <v>0</v>
      </c>
      <c r="BB178" s="16">
        <f t="shared" si="155"/>
        <v>0</v>
      </c>
      <c r="BC178" s="16">
        <f t="shared" si="155"/>
        <v>0</v>
      </c>
      <c r="BD178" s="16">
        <f t="shared" si="156"/>
        <v>0</v>
      </c>
      <c r="BE178" s="16">
        <f t="shared" si="156"/>
        <v>0</v>
      </c>
      <c r="BF178" s="16">
        <f t="shared" si="156"/>
        <v>0</v>
      </c>
      <c r="BG178" s="16">
        <f t="shared" si="156"/>
        <v>0</v>
      </c>
      <c r="BH178" s="16">
        <f t="shared" si="156"/>
        <v>0</v>
      </c>
      <c r="BI178" s="16">
        <f t="shared" si="156"/>
        <v>0</v>
      </c>
      <c r="BJ178" s="16">
        <f t="shared" si="156"/>
        <v>0</v>
      </c>
      <c r="BK178" s="16">
        <f t="shared" si="156"/>
        <v>0</v>
      </c>
      <c r="BL178" s="16">
        <f t="shared" si="156"/>
        <v>0</v>
      </c>
      <c r="BM178" s="16">
        <f t="shared" si="156"/>
        <v>0</v>
      </c>
      <c r="BN178" s="16">
        <f t="shared" si="156"/>
        <v>0</v>
      </c>
      <c r="BQ178" s="9">
        <f t="shared" si="151"/>
        <v>39</v>
      </c>
      <c r="BR178" s="16">
        <f t="shared" si="157"/>
        <v>0</v>
      </c>
      <c r="BS178" s="16">
        <f t="shared" si="157"/>
        <v>0</v>
      </c>
      <c r="BT178" s="16">
        <f t="shared" si="157"/>
        <v>0</v>
      </c>
      <c r="BU178" s="16">
        <f t="shared" si="157"/>
        <v>0</v>
      </c>
      <c r="BV178" s="16">
        <f t="shared" si="157"/>
        <v>0</v>
      </c>
      <c r="BW178" s="16">
        <f t="shared" si="157"/>
        <v>0</v>
      </c>
      <c r="BX178" s="16">
        <f t="shared" si="157"/>
        <v>0</v>
      </c>
      <c r="BY178" s="16">
        <f t="shared" si="157"/>
        <v>0</v>
      </c>
      <c r="BZ178" s="16">
        <f t="shared" si="157"/>
        <v>0</v>
      </c>
      <c r="CA178" s="16">
        <f t="shared" si="157"/>
        <v>0</v>
      </c>
      <c r="CB178" s="16">
        <f t="shared" si="158"/>
        <v>-0.30902808040642288</v>
      </c>
      <c r="CC178" s="16">
        <f t="shared" si="158"/>
        <v>1.6092241769609679</v>
      </c>
      <c r="CD178" s="16">
        <f t="shared" si="158"/>
        <v>-0.30019609655454493</v>
      </c>
      <c r="CE178" s="16">
        <f t="shared" si="158"/>
        <v>0</v>
      </c>
      <c r="CF178" s="16">
        <f t="shared" si="158"/>
        <v>0</v>
      </c>
      <c r="CG178" s="16">
        <f t="shared" si="158"/>
        <v>0</v>
      </c>
      <c r="CH178" s="16">
        <f t="shared" si="158"/>
        <v>0</v>
      </c>
      <c r="CI178" s="16">
        <f t="shared" si="158"/>
        <v>0</v>
      </c>
      <c r="CJ178" s="16">
        <f t="shared" si="158"/>
        <v>0</v>
      </c>
      <c r="CK178" s="16">
        <f t="shared" si="158"/>
        <v>0</v>
      </c>
      <c r="CL178" s="16">
        <f t="shared" si="159"/>
        <v>0</v>
      </c>
      <c r="CM178" s="16">
        <f t="shared" si="159"/>
        <v>0</v>
      </c>
      <c r="CN178" s="16">
        <f t="shared" si="159"/>
        <v>0</v>
      </c>
      <c r="CO178" s="16">
        <f t="shared" si="159"/>
        <v>0</v>
      </c>
      <c r="CP178" s="16">
        <f t="shared" si="159"/>
        <v>0</v>
      </c>
      <c r="CQ178" s="16">
        <f t="shared" si="159"/>
        <v>0</v>
      </c>
      <c r="CR178" s="16">
        <f t="shared" si="159"/>
        <v>0</v>
      </c>
      <c r="CS178" s="16">
        <f t="shared" si="159"/>
        <v>0</v>
      </c>
      <c r="CT178" s="16">
        <f t="shared" si="159"/>
        <v>0</v>
      </c>
      <c r="CU178" s="16">
        <f t="shared" si="159"/>
        <v>0</v>
      </c>
      <c r="CV178" s="16">
        <f t="shared" si="160"/>
        <v>0</v>
      </c>
      <c r="CW178" s="16">
        <f t="shared" si="160"/>
        <v>0</v>
      </c>
      <c r="CX178" s="16">
        <f t="shared" si="160"/>
        <v>0</v>
      </c>
      <c r="CY178" s="16">
        <f t="shared" si="160"/>
        <v>0</v>
      </c>
      <c r="CZ178" s="16">
        <f t="shared" si="160"/>
        <v>0</v>
      </c>
      <c r="DA178" s="16">
        <f t="shared" si="160"/>
        <v>0</v>
      </c>
      <c r="DB178" s="16">
        <f t="shared" si="160"/>
        <v>0</v>
      </c>
      <c r="DC178" s="16">
        <f t="shared" si="160"/>
        <v>0</v>
      </c>
      <c r="DD178" s="16">
        <f t="shared" si="160"/>
        <v>0</v>
      </c>
      <c r="DE178" s="16">
        <f t="shared" si="160"/>
        <v>0</v>
      </c>
      <c r="DF178" s="16">
        <f t="shared" si="161"/>
        <v>0</v>
      </c>
      <c r="DG178" s="16">
        <f t="shared" si="161"/>
        <v>0</v>
      </c>
      <c r="DH178" s="16">
        <f t="shared" si="161"/>
        <v>0</v>
      </c>
      <c r="DI178" s="16">
        <f t="shared" si="161"/>
        <v>0</v>
      </c>
      <c r="DJ178" s="16">
        <f t="shared" si="161"/>
        <v>0</v>
      </c>
      <c r="DK178" s="16">
        <f t="shared" si="161"/>
        <v>0</v>
      </c>
      <c r="DL178" s="16">
        <f t="shared" si="161"/>
        <v>0</v>
      </c>
      <c r="DM178" s="16">
        <f t="shared" si="161"/>
        <v>0</v>
      </c>
      <c r="DN178" s="16">
        <f t="shared" si="161"/>
        <v>0</v>
      </c>
      <c r="DO178" s="16">
        <f t="shared" si="161"/>
        <v>0</v>
      </c>
      <c r="DP178" s="16">
        <f t="shared" si="161"/>
        <v>0</v>
      </c>
    </row>
    <row r="179" spans="2:120" x14ac:dyDescent="0.25">
      <c r="J179" s="93"/>
      <c r="O179" s="9">
        <f t="shared" si="150"/>
        <v>38</v>
      </c>
      <c r="P179" s="16">
        <f t="shared" si="152"/>
        <v>0</v>
      </c>
      <c r="Q179" s="16">
        <f t="shared" si="152"/>
        <v>0</v>
      </c>
      <c r="R179" s="16">
        <f t="shared" si="152"/>
        <v>0</v>
      </c>
      <c r="S179" s="16">
        <f t="shared" si="152"/>
        <v>0</v>
      </c>
      <c r="T179" s="16">
        <f t="shared" si="152"/>
        <v>0</v>
      </c>
      <c r="U179" s="16">
        <f t="shared" si="152"/>
        <v>0</v>
      </c>
      <c r="V179" s="16">
        <f t="shared" si="152"/>
        <v>0</v>
      </c>
      <c r="W179" s="16">
        <f t="shared" si="152"/>
        <v>0</v>
      </c>
      <c r="X179" s="16">
        <f t="shared" si="152"/>
        <v>0</v>
      </c>
      <c r="Y179" s="16">
        <f t="shared" si="152"/>
        <v>0</v>
      </c>
      <c r="Z179" s="16">
        <f t="shared" si="153"/>
        <v>0</v>
      </c>
      <c r="AA179" s="16">
        <f t="shared" si="153"/>
        <v>-1.3547595906419362E-2</v>
      </c>
      <c r="AB179" s="16">
        <f t="shared" si="153"/>
        <v>1.0267080032178091</v>
      </c>
      <c r="AC179" s="16">
        <f t="shared" si="153"/>
        <v>-1.3160407311389743E-2</v>
      </c>
      <c r="AD179" s="16">
        <f t="shared" si="153"/>
        <v>0</v>
      </c>
      <c r="AE179" s="16">
        <f t="shared" si="153"/>
        <v>0</v>
      </c>
      <c r="AF179" s="16">
        <f t="shared" si="153"/>
        <v>0</v>
      </c>
      <c r="AG179" s="16">
        <f t="shared" si="153"/>
        <v>0</v>
      </c>
      <c r="AH179" s="16">
        <f t="shared" si="153"/>
        <v>0</v>
      </c>
      <c r="AI179" s="16">
        <f t="shared" si="153"/>
        <v>0</v>
      </c>
      <c r="AJ179" s="16">
        <f t="shared" si="154"/>
        <v>0</v>
      </c>
      <c r="AK179" s="16">
        <f t="shared" si="154"/>
        <v>0</v>
      </c>
      <c r="AL179" s="16">
        <f t="shared" si="154"/>
        <v>0</v>
      </c>
      <c r="AM179" s="16">
        <f t="shared" si="154"/>
        <v>0</v>
      </c>
      <c r="AN179" s="16">
        <f t="shared" si="154"/>
        <v>0</v>
      </c>
      <c r="AO179" s="16">
        <f t="shared" si="154"/>
        <v>0</v>
      </c>
      <c r="AP179" s="16">
        <f t="shared" si="154"/>
        <v>0</v>
      </c>
      <c r="AQ179" s="16">
        <f t="shared" si="154"/>
        <v>0</v>
      </c>
      <c r="AR179" s="16">
        <f t="shared" si="154"/>
        <v>0</v>
      </c>
      <c r="AS179" s="16">
        <f t="shared" si="154"/>
        <v>0</v>
      </c>
      <c r="AT179" s="16">
        <f t="shared" si="155"/>
        <v>0</v>
      </c>
      <c r="AU179" s="16">
        <f t="shared" si="155"/>
        <v>0</v>
      </c>
      <c r="AV179" s="16">
        <f t="shared" si="155"/>
        <v>0</v>
      </c>
      <c r="AW179" s="16">
        <f t="shared" si="155"/>
        <v>0</v>
      </c>
      <c r="AX179" s="16">
        <f t="shared" si="155"/>
        <v>0</v>
      </c>
      <c r="AY179" s="16">
        <f t="shared" si="155"/>
        <v>0</v>
      </c>
      <c r="AZ179" s="16">
        <f t="shared" si="155"/>
        <v>0</v>
      </c>
      <c r="BA179" s="16">
        <f t="shared" si="155"/>
        <v>0</v>
      </c>
      <c r="BB179" s="16">
        <f t="shared" si="155"/>
        <v>0</v>
      </c>
      <c r="BC179" s="16">
        <f t="shared" si="155"/>
        <v>0</v>
      </c>
      <c r="BD179" s="16">
        <f t="shared" si="156"/>
        <v>0</v>
      </c>
      <c r="BE179" s="16">
        <f t="shared" si="156"/>
        <v>0</v>
      </c>
      <c r="BF179" s="16">
        <f t="shared" si="156"/>
        <v>0</v>
      </c>
      <c r="BG179" s="16">
        <f t="shared" si="156"/>
        <v>0</v>
      </c>
      <c r="BH179" s="16">
        <f t="shared" si="156"/>
        <v>0</v>
      </c>
      <c r="BI179" s="16">
        <f t="shared" si="156"/>
        <v>0</v>
      </c>
      <c r="BJ179" s="16">
        <f t="shared" si="156"/>
        <v>0</v>
      </c>
      <c r="BK179" s="16">
        <f t="shared" si="156"/>
        <v>0</v>
      </c>
      <c r="BL179" s="16">
        <f t="shared" si="156"/>
        <v>0</v>
      </c>
      <c r="BM179" s="16">
        <f t="shared" si="156"/>
        <v>0</v>
      </c>
      <c r="BN179" s="16">
        <f t="shared" si="156"/>
        <v>0</v>
      </c>
      <c r="BQ179" s="9">
        <f t="shared" si="151"/>
        <v>38</v>
      </c>
      <c r="BR179" s="16">
        <f t="shared" si="157"/>
        <v>0</v>
      </c>
      <c r="BS179" s="16">
        <f t="shared" si="157"/>
        <v>0</v>
      </c>
      <c r="BT179" s="16">
        <f t="shared" si="157"/>
        <v>0</v>
      </c>
      <c r="BU179" s="16">
        <f t="shared" si="157"/>
        <v>0</v>
      </c>
      <c r="BV179" s="16">
        <f t="shared" si="157"/>
        <v>0</v>
      </c>
      <c r="BW179" s="16">
        <f t="shared" si="157"/>
        <v>0</v>
      </c>
      <c r="BX179" s="16">
        <f t="shared" si="157"/>
        <v>0</v>
      </c>
      <c r="BY179" s="16">
        <f t="shared" si="157"/>
        <v>0</v>
      </c>
      <c r="BZ179" s="16">
        <f t="shared" si="157"/>
        <v>0</v>
      </c>
      <c r="CA179" s="16">
        <f t="shared" si="157"/>
        <v>0</v>
      </c>
      <c r="CB179" s="16">
        <f t="shared" si="158"/>
        <v>0</v>
      </c>
      <c r="CC179" s="16">
        <f t="shared" si="158"/>
        <v>-0.34085370174124174</v>
      </c>
      <c r="CD179" s="16">
        <f t="shared" si="158"/>
        <v>1.6719658473569941</v>
      </c>
      <c r="CE179" s="16">
        <f t="shared" si="158"/>
        <v>-0.33111214561575225</v>
      </c>
      <c r="CF179" s="16">
        <f t="shared" si="158"/>
        <v>0</v>
      </c>
      <c r="CG179" s="16">
        <f t="shared" si="158"/>
        <v>0</v>
      </c>
      <c r="CH179" s="16">
        <f t="shared" si="158"/>
        <v>0</v>
      </c>
      <c r="CI179" s="16">
        <f t="shared" si="158"/>
        <v>0</v>
      </c>
      <c r="CJ179" s="16">
        <f t="shared" si="158"/>
        <v>0</v>
      </c>
      <c r="CK179" s="16">
        <f t="shared" si="158"/>
        <v>0</v>
      </c>
      <c r="CL179" s="16">
        <f t="shared" si="159"/>
        <v>0</v>
      </c>
      <c r="CM179" s="16">
        <f t="shared" si="159"/>
        <v>0</v>
      </c>
      <c r="CN179" s="16">
        <f t="shared" si="159"/>
        <v>0</v>
      </c>
      <c r="CO179" s="16">
        <f t="shared" si="159"/>
        <v>0</v>
      </c>
      <c r="CP179" s="16">
        <f t="shared" si="159"/>
        <v>0</v>
      </c>
      <c r="CQ179" s="16">
        <f t="shared" si="159"/>
        <v>0</v>
      </c>
      <c r="CR179" s="16">
        <f t="shared" si="159"/>
        <v>0</v>
      </c>
      <c r="CS179" s="16">
        <f t="shared" si="159"/>
        <v>0</v>
      </c>
      <c r="CT179" s="16">
        <f t="shared" si="159"/>
        <v>0</v>
      </c>
      <c r="CU179" s="16">
        <f t="shared" si="159"/>
        <v>0</v>
      </c>
      <c r="CV179" s="16">
        <f t="shared" si="160"/>
        <v>0</v>
      </c>
      <c r="CW179" s="16">
        <f t="shared" si="160"/>
        <v>0</v>
      </c>
      <c r="CX179" s="16">
        <f t="shared" si="160"/>
        <v>0</v>
      </c>
      <c r="CY179" s="16">
        <f t="shared" si="160"/>
        <v>0</v>
      </c>
      <c r="CZ179" s="16">
        <f t="shared" si="160"/>
        <v>0</v>
      </c>
      <c r="DA179" s="16">
        <f t="shared" si="160"/>
        <v>0</v>
      </c>
      <c r="DB179" s="16">
        <f t="shared" si="160"/>
        <v>0</v>
      </c>
      <c r="DC179" s="16">
        <f t="shared" si="160"/>
        <v>0</v>
      </c>
      <c r="DD179" s="16">
        <f t="shared" si="160"/>
        <v>0</v>
      </c>
      <c r="DE179" s="16">
        <f t="shared" si="160"/>
        <v>0</v>
      </c>
      <c r="DF179" s="16">
        <f t="shared" si="161"/>
        <v>0</v>
      </c>
      <c r="DG179" s="16">
        <f t="shared" si="161"/>
        <v>0</v>
      </c>
      <c r="DH179" s="16">
        <f t="shared" si="161"/>
        <v>0</v>
      </c>
      <c r="DI179" s="16">
        <f t="shared" si="161"/>
        <v>0</v>
      </c>
      <c r="DJ179" s="16">
        <f t="shared" si="161"/>
        <v>0</v>
      </c>
      <c r="DK179" s="16">
        <f t="shared" si="161"/>
        <v>0</v>
      </c>
      <c r="DL179" s="16">
        <f t="shared" si="161"/>
        <v>0</v>
      </c>
      <c r="DM179" s="16">
        <f t="shared" si="161"/>
        <v>0</v>
      </c>
      <c r="DN179" s="16">
        <f t="shared" si="161"/>
        <v>0</v>
      </c>
      <c r="DO179" s="16">
        <f t="shared" si="161"/>
        <v>0</v>
      </c>
      <c r="DP179" s="16">
        <f t="shared" si="161"/>
        <v>0</v>
      </c>
    </row>
    <row r="180" spans="2:120" x14ac:dyDescent="0.25">
      <c r="J180" s="93"/>
      <c r="O180" s="9">
        <f t="shared" si="150"/>
        <v>37</v>
      </c>
      <c r="P180" s="16">
        <f t="shared" si="152"/>
        <v>0</v>
      </c>
      <c r="Q180" s="16">
        <f t="shared" si="152"/>
        <v>0</v>
      </c>
      <c r="R180" s="16">
        <f t="shared" si="152"/>
        <v>0</v>
      </c>
      <c r="S180" s="16">
        <f t="shared" si="152"/>
        <v>0</v>
      </c>
      <c r="T180" s="16">
        <f t="shared" si="152"/>
        <v>0</v>
      </c>
      <c r="U180" s="16">
        <f t="shared" si="152"/>
        <v>0</v>
      </c>
      <c r="V180" s="16">
        <f t="shared" si="152"/>
        <v>0</v>
      </c>
      <c r="W180" s="16">
        <f t="shared" si="152"/>
        <v>0</v>
      </c>
      <c r="X180" s="16">
        <f t="shared" si="152"/>
        <v>0</v>
      </c>
      <c r="Y180" s="16">
        <f t="shared" si="152"/>
        <v>0</v>
      </c>
      <c r="Z180" s="16">
        <f t="shared" si="153"/>
        <v>0</v>
      </c>
      <c r="AA180" s="16">
        <f t="shared" si="153"/>
        <v>0</v>
      </c>
      <c r="AB180" s="16">
        <f t="shared" si="153"/>
        <v>-2.6829221167646904E-2</v>
      </c>
      <c r="AC180" s="16">
        <f t="shared" si="153"/>
        <v>1.0528916665529782</v>
      </c>
      <c r="AD180" s="16">
        <f t="shared" si="153"/>
        <v>-2.6062445385331326E-2</v>
      </c>
      <c r="AE180" s="16">
        <f t="shared" si="153"/>
        <v>0</v>
      </c>
      <c r="AF180" s="16">
        <f t="shared" si="153"/>
        <v>0</v>
      </c>
      <c r="AG180" s="16">
        <f t="shared" si="153"/>
        <v>0</v>
      </c>
      <c r="AH180" s="16">
        <f t="shared" si="153"/>
        <v>0</v>
      </c>
      <c r="AI180" s="16">
        <f t="shared" si="153"/>
        <v>0</v>
      </c>
      <c r="AJ180" s="16">
        <f t="shared" si="154"/>
        <v>0</v>
      </c>
      <c r="AK180" s="16">
        <f t="shared" si="154"/>
        <v>0</v>
      </c>
      <c r="AL180" s="16">
        <f t="shared" si="154"/>
        <v>0</v>
      </c>
      <c r="AM180" s="16">
        <f t="shared" si="154"/>
        <v>0</v>
      </c>
      <c r="AN180" s="16">
        <f t="shared" si="154"/>
        <v>0</v>
      </c>
      <c r="AO180" s="16">
        <f t="shared" si="154"/>
        <v>0</v>
      </c>
      <c r="AP180" s="16">
        <f t="shared" si="154"/>
        <v>0</v>
      </c>
      <c r="AQ180" s="16">
        <f t="shared" si="154"/>
        <v>0</v>
      </c>
      <c r="AR180" s="16">
        <f t="shared" si="154"/>
        <v>0</v>
      </c>
      <c r="AS180" s="16">
        <f t="shared" si="154"/>
        <v>0</v>
      </c>
      <c r="AT180" s="16">
        <f t="shared" si="155"/>
        <v>0</v>
      </c>
      <c r="AU180" s="16">
        <f t="shared" si="155"/>
        <v>0</v>
      </c>
      <c r="AV180" s="16">
        <f t="shared" si="155"/>
        <v>0</v>
      </c>
      <c r="AW180" s="16">
        <f t="shared" si="155"/>
        <v>0</v>
      </c>
      <c r="AX180" s="16">
        <f t="shared" si="155"/>
        <v>0</v>
      </c>
      <c r="AY180" s="16">
        <f t="shared" si="155"/>
        <v>0</v>
      </c>
      <c r="AZ180" s="16">
        <f t="shared" si="155"/>
        <v>0</v>
      </c>
      <c r="BA180" s="16">
        <f t="shared" si="155"/>
        <v>0</v>
      </c>
      <c r="BB180" s="16">
        <f t="shared" si="155"/>
        <v>0</v>
      </c>
      <c r="BC180" s="16">
        <f t="shared" si="155"/>
        <v>0</v>
      </c>
      <c r="BD180" s="16">
        <f t="shared" si="156"/>
        <v>0</v>
      </c>
      <c r="BE180" s="16">
        <f t="shared" si="156"/>
        <v>0</v>
      </c>
      <c r="BF180" s="16">
        <f t="shared" si="156"/>
        <v>0</v>
      </c>
      <c r="BG180" s="16">
        <f t="shared" si="156"/>
        <v>0</v>
      </c>
      <c r="BH180" s="16">
        <f t="shared" si="156"/>
        <v>0</v>
      </c>
      <c r="BI180" s="16">
        <f t="shared" si="156"/>
        <v>0</v>
      </c>
      <c r="BJ180" s="16">
        <f t="shared" si="156"/>
        <v>0</v>
      </c>
      <c r="BK180" s="16">
        <f t="shared" si="156"/>
        <v>0</v>
      </c>
      <c r="BL180" s="16">
        <f t="shared" si="156"/>
        <v>0</v>
      </c>
      <c r="BM180" s="16">
        <f t="shared" si="156"/>
        <v>0</v>
      </c>
      <c r="BN180" s="16">
        <f t="shared" si="156"/>
        <v>0</v>
      </c>
      <c r="BQ180" s="9">
        <f t="shared" si="151"/>
        <v>37</v>
      </c>
      <c r="BR180" s="16">
        <f t="shared" si="157"/>
        <v>0</v>
      </c>
      <c r="BS180" s="16">
        <f t="shared" si="157"/>
        <v>0</v>
      </c>
      <c r="BT180" s="16">
        <f t="shared" si="157"/>
        <v>0</v>
      </c>
      <c r="BU180" s="16">
        <f t="shared" si="157"/>
        <v>0</v>
      </c>
      <c r="BV180" s="16">
        <f t="shared" si="157"/>
        <v>0</v>
      </c>
      <c r="BW180" s="16">
        <f t="shared" si="157"/>
        <v>0</v>
      </c>
      <c r="BX180" s="16">
        <f t="shared" si="157"/>
        <v>0</v>
      </c>
      <c r="BY180" s="16">
        <f t="shared" si="157"/>
        <v>0</v>
      </c>
      <c r="BZ180" s="16">
        <f t="shared" si="157"/>
        <v>0</v>
      </c>
      <c r="CA180" s="16">
        <f t="shared" si="157"/>
        <v>0</v>
      </c>
      <c r="CB180" s="16">
        <f t="shared" si="158"/>
        <v>0</v>
      </c>
      <c r="CC180" s="16">
        <f t="shared" si="158"/>
        <v>0</v>
      </c>
      <c r="CD180" s="16">
        <f t="shared" si="158"/>
        <v>-0.37423880388670561</v>
      </c>
      <c r="CE180" s="16">
        <f t="shared" si="158"/>
        <v>1.7377819096079676</v>
      </c>
      <c r="CF180" s="16">
        <f t="shared" si="158"/>
        <v>-0.36354310572126219</v>
      </c>
      <c r="CG180" s="16">
        <f t="shared" si="158"/>
        <v>0</v>
      </c>
      <c r="CH180" s="16">
        <f t="shared" si="158"/>
        <v>0</v>
      </c>
      <c r="CI180" s="16">
        <f t="shared" si="158"/>
        <v>0</v>
      </c>
      <c r="CJ180" s="16">
        <f t="shared" si="158"/>
        <v>0</v>
      </c>
      <c r="CK180" s="16">
        <f t="shared" si="158"/>
        <v>0</v>
      </c>
      <c r="CL180" s="16">
        <f t="shared" si="159"/>
        <v>0</v>
      </c>
      <c r="CM180" s="16">
        <f t="shared" si="159"/>
        <v>0</v>
      </c>
      <c r="CN180" s="16">
        <f t="shared" si="159"/>
        <v>0</v>
      </c>
      <c r="CO180" s="16">
        <f t="shared" si="159"/>
        <v>0</v>
      </c>
      <c r="CP180" s="16">
        <f t="shared" si="159"/>
        <v>0</v>
      </c>
      <c r="CQ180" s="16">
        <f t="shared" si="159"/>
        <v>0</v>
      </c>
      <c r="CR180" s="16">
        <f t="shared" si="159"/>
        <v>0</v>
      </c>
      <c r="CS180" s="16">
        <f t="shared" si="159"/>
        <v>0</v>
      </c>
      <c r="CT180" s="16">
        <f t="shared" si="159"/>
        <v>0</v>
      </c>
      <c r="CU180" s="16">
        <f t="shared" si="159"/>
        <v>0</v>
      </c>
      <c r="CV180" s="16">
        <f t="shared" si="160"/>
        <v>0</v>
      </c>
      <c r="CW180" s="16">
        <f t="shared" si="160"/>
        <v>0</v>
      </c>
      <c r="CX180" s="16">
        <f t="shared" si="160"/>
        <v>0</v>
      </c>
      <c r="CY180" s="16">
        <f t="shared" si="160"/>
        <v>0</v>
      </c>
      <c r="CZ180" s="16">
        <f t="shared" si="160"/>
        <v>0</v>
      </c>
      <c r="DA180" s="16">
        <f t="shared" si="160"/>
        <v>0</v>
      </c>
      <c r="DB180" s="16">
        <f t="shared" si="160"/>
        <v>0</v>
      </c>
      <c r="DC180" s="16">
        <f t="shared" si="160"/>
        <v>0</v>
      </c>
      <c r="DD180" s="16">
        <f t="shared" si="160"/>
        <v>0</v>
      </c>
      <c r="DE180" s="16">
        <f t="shared" si="160"/>
        <v>0</v>
      </c>
      <c r="DF180" s="16">
        <f t="shared" si="161"/>
        <v>0</v>
      </c>
      <c r="DG180" s="16">
        <f t="shared" si="161"/>
        <v>0</v>
      </c>
      <c r="DH180" s="16">
        <f t="shared" si="161"/>
        <v>0</v>
      </c>
      <c r="DI180" s="16">
        <f t="shared" si="161"/>
        <v>0</v>
      </c>
      <c r="DJ180" s="16">
        <f t="shared" si="161"/>
        <v>0</v>
      </c>
      <c r="DK180" s="16">
        <f t="shared" si="161"/>
        <v>0</v>
      </c>
      <c r="DL180" s="16">
        <f t="shared" si="161"/>
        <v>0</v>
      </c>
      <c r="DM180" s="16">
        <f t="shared" si="161"/>
        <v>0</v>
      </c>
      <c r="DN180" s="16">
        <f t="shared" si="161"/>
        <v>0</v>
      </c>
      <c r="DO180" s="16">
        <f t="shared" si="161"/>
        <v>0</v>
      </c>
      <c r="DP180" s="16">
        <f t="shared" si="161"/>
        <v>0</v>
      </c>
    </row>
    <row r="181" spans="2:120" x14ac:dyDescent="0.25">
      <c r="C181" s="1"/>
      <c r="D181" s="1"/>
      <c r="E181" s="1"/>
      <c r="F181" s="1"/>
      <c r="G181" s="1"/>
      <c r="H181" s="1"/>
      <c r="I181" s="1"/>
      <c r="J181" s="93"/>
      <c r="O181" s="9">
        <f t="shared" si="150"/>
        <v>36</v>
      </c>
      <c r="P181" s="16">
        <f t="shared" si="152"/>
        <v>0</v>
      </c>
      <c r="Q181" s="16">
        <f t="shared" si="152"/>
        <v>0</v>
      </c>
      <c r="R181" s="16">
        <f t="shared" si="152"/>
        <v>0</v>
      </c>
      <c r="S181" s="16">
        <f t="shared" si="152"/>
        <v>0</v>
      </c>
      <c r="T181" s="16">
        <f t="shared" si="152"/>
        <v>0</v>
      </c>
      <c r="U181" s="16">
        <f t="shared" si="152"/>
        <v>0</v>
      </c>
      <c r="V181" s="16">
        <f t="shared" si="152"/>
        <v>0</v>
      </c>
      <c r="W181" s="16">
        <f t="shared" si="152"/>
        <v>0</v>
      </c>
      <c r="X181" s="16">
        <f t="shared" si="152"/>
        <v>0</v>
      </c>
      <c r="Y181" s="16">
        <f t="shared" si="152"/>
        <v>0</v>
      </c>
      <c r="Z181" s="16">
        <f t="shared" si="153"/>
        <v>0</v>
      </c>
      <c r="AA181" s="16">
        <f t="shared" si="153"/>
        <v>0</v>
      </c>
      <c r="AB181" s="16">
        <f t="shared" si="153"/>
        <v>0</v>
      </c>
      <c r="AC181" s="16">
        <f t="shared" si="153"/>
        <v>-5.5088831325300382E-2</v>
      </c>
      <c r="AD181" s="16">
        <f t="shared" si="153"/>
        <v>1.1086032307477005</v>
      </c>
      <c r="AE181" s="16">
        <f t="shared" si="153"/>
        <v>-5.3514399422400202E-2</v>
      </c>
      <c r="AF181" s="16">
        <f t="shared" si="153"/>
        <v>0</v>
      </c>
      <c r="AG181" s="16">
        <f t="shared" si="153"/>
        <v>0</v>
      </c>
      <c r="AH181" s="16">
        <f t="shared" si="153"/>
        <v>0</v>
      </c>
      <c r="AI181" s="16">
        <f t="shared" si="153"/>
        <v>0</v>
      </c>
      <c r="AJ181" s="16">
        <f t="shared" si="154"/>
        <v>0</v>
      </c>
      <c r="AK181" s="16">
        <f t="shared" si="154"/>
        <v>0</v>
      </c>
      <c r="AL181" s="16">
        <f t="shared" si="154"/>
        <v>0</v>
      </c>
      <c r="AM181" s="16">
        <f t="shared" si="154"/>
        <v>0</v>
      </c>
      <c r="AN181" s="16">
        <f t="shared" si="154"/>
        <v>0</v>
      </c>
      <c r="AO181" s="16">
        <f t="shared" si="154"/>
        <v>0</v>
      </c>
      <c r="AP181" s="16">
        <f t="shared" si="154"/>
        <v>0</v>
      </c>
      <c r="AQ181" s="16">
        <f t="shared" si="154"/>
        <v>0</v>
      </c>
      <c r="AR181" s="16">
        <f t="shared" si="154"/>
        <v>0</v>
      </c>
      <c r="AS181" s="16">
        <f t="shared" si="154"/>
        <v>0</v>
      </c>
      <c r="AT181" s="16">
        <f t="shared" si="155"/>
        <v>0</v>
      </c>
      <c r="AU181" s="16">
        <f t="shared" si="155"/>
        <v>0</v>
      </c>
      <c r="AV181" s="16">
        <f t="shared" si="155"/>
        <v>0</v>
      </c>
      <c r="AW181" s="16">
        <f t="shared" si="155"/>
        <v>0</v>
      </c>
      <c r="AX181" s="16">
        <f t="shared" si="155"/>
        <v>0</v>
      </c>
      <c r="AY181" s="16">
        <f t="shared" si="155"/>
        <v>0</v>
      </c>
      <c r="AZ181" s="16">
        <f t="shared" si="155"/>
        <v>0</v>
      </c>
      <c r="BA181" s="16">
        <f t="shared" si="155"/>
        <v>0</v>
      </c>
      <c r="BB181" s="16">
        <f t="shared" si="155"/>
        <v>0</v>
      </c>
      <c r="BC181" s="16">
        <f t="shared" si="155"/>
        <v>0</v>
      </c>
      <c r="BD181" s="16">
        <f t="shared" si="156"/>
        <v>0</v>
      </c>
      <c r="BE181" s="16">
        <f t="shared" si="156"/>
        <v>0</v>
      </c>
      <c r="BF181" s="16">
        <f t="shared" si="156"/>
        <v>0</v>
      </c>
      <c r="BG181" s="16">
        <f t="shared" si="156"/>
        <v>0</v>
      </c>
      <c r="BH181" s="16">
        <f t="shared" si="156"/>
        <v>0</v>
      </c>
      <c r="BI181" s="16">
        <f t="shared" si="156"/>
        <v>0</v>
      </c>
      <c r="BJ181" s="16">
        <f t="shared" si="156"/>
        <v>0</v>
      </c>
      <c r="BK181" s="16">
        <f t="shared" si="156"/>
        <v>0</v>
      </c>
      <c r="BL181" s="16">
        <f t="shared" si="156"/>
        <v>0</v>
      </c>
      <c r="BM181" s="16">
        <f t="shared" si="156"/>
        <v>0</v>
      </c>
      <c r="BN181" s="16">
        <f t="shared" si="156"/>
        <v>0</v>
      </c>
      <c r="BQ181" s="9">
        <f t="shared" si="151"/>
        <v>36</v>
      </c>
      <c r="BR181" s="16">
        <f t="shared" si="157"/>
        <v>0</v>
      </c>
      <c r="BS181" s="16">
        <f t="shared" si="157"/>
        <v>0</v>
      </c>
      <c r="BT181" s="16">
        <f t="shared" si="157"/>
        <v>0</v>
      </c>
      <c r="BU181" s="16">
        <f t="shared" si="157"/>
        <v>0</v>
      </c>
      <c r="BV181" s="16">
        <f t="shared" si="157"/>
        <v>0</v>
      </c>
      <c r="BW181" s="16">
        <f t="shared" si="157"/>
        <v>0</v>
      </c>
      <c r="BX181" s="16">
        <f t="shared" si="157"/>
        <v>0</v>
      </c>
      <c r="BY181" s="16">
        <f t="shared" si="157"/>
        <v>0</v>
      </c>
      <c r="BZ181" s="16">
        <f t="shared" si="157"/>
        <v>0</v>
      </c>
      <c r="CA181" s="16">
        <f t="shared" si="157"/>
        <v>0</v>
      </c>
      <c r="CB181" s="16">
        <f t="shared" si="158"/>
        <v>0</v>
      </c>
      <c r="CC181" s="16">
        <f t="shared" si="158"/>
        <v>0</v>
      </c>
      <c r="CD181" s="16">
        <f t="shared" si="158"/>
        <v>0</v>
      </c>
      <c r="CE181" s="16">
        <f t="shared" si="158"/>
        <v>-0.40918338684281425</v>
      </c>
      <c r="CF181" s="16">
        <f t="shared" si="158"/>
        <v>1.8066723637138888</v>
      </c>
      <c r="CG181" s="16">
        <f t="shared" si="158"/>
        <v>-0.39748897687107465</v>
      </c>
      <c r="CH181" s="16">
        <f t="shared" si="158"/>
        <v>0</v>
      </c>
      <c r="CI181" s="16">
        <f t="shared" si="158"/>
        <v>0</v>
      </c>
      <c r="CJ181" s="16">
        <f t="shared" si="158"/>
        <v>0</v>
      </c>
      <c r="CK181" s="16">
        <f t="shared" si="158"/>
        <v>0</v>
      </c>
      <c r="CL181" s="16">
        <f t="shared" si="159"/>
        <v>0</v>
      </c>
      <c r="CM181" s="16">
        <f t="shared" si="159"/>
        <v>0</v>
      </c>
      <c r="CN181" s="16">
        <f t="shared" si="159"/>
        <v>0</v>
      </c>
      <c r="CO181" s="16">
        <f t="shared" si="159"/>
        <v>0</v>
      </c>
      <c r="CP181" s="16">
        <f t="shared" si="159"/>
        <v>0</v>
      </c>
      <c r="CQ181" s="16">
        <f t="shared" si="159"/>
        <v>0</v>
      </c>
      <c r="CR181" s="16">
        <f t="shared" si="159"/>
        <v>0</v>
      </c>
      <c r="CS181" s="16">
        <f t="shared" si="159"/>
        <v>0</v>
      </c>
      <c r="CT181" s="16">
        <f t="shared" si="159"/>
        <v>0</v>
      </c>
      <c r="CU181" s="16">
        <f t="shared" si="159"/>
        <v>0</v>
      </c>
      <c r="CV181" s="16">
        <f t="shared" si="160"/>
        <v>0</v>
      </c>
      <c r="CW181" s="16">
        <f t="shared" si="160"/>
        <v>0</v>
      </c>
      <c r="CX181" s="16">
        <f t="shared" si="160"/>
        <v>0</v>
      </c>
      <c r="CY181" s="16">
        <f t="shared" si="160"/>
        <v>0</v>
      </c>
      <c r="CZ181" s="16">
        <f t="shared" si="160"/>
        <v>0</v>
      </c>
      <c r="DA181" s="16">
        <f t="shared" si="160"/>
        <v>0</v>
      </c>
      <c r="DB181" s="16">
        <f t="shared" si="160"/>
        <v>0</v>
      </c>
      <c r="DC181" s="16">
        <f t="shared" si="160"/>
        <v>0</v>
      </c>
      <c r="DD181" s="16">
        <f t="shared" si="160"/>
        <v>0</v>
      </c>
      <c r="DE181" s="16">
        <f t="shared" si="160"/>
        <v>0</v>
      </c>
      <c r="DF181" s="16">
        <f t="shared" si="161"/>
        <v>0</v>
      </c>
      <c r="DG181" s="16">
        <f t="shared" si="161"/>
        <v>0</v>
      </c>
      <c r="DH181" s="16">
        <f t="shared" si="161"/>
        <v>0</v>
      </c>
      <c r="DI181" s="16">
        <f t="shared" si="161"/>
        <v>0</v>
      </c>
      <c r="DJ181" s="16">
        <f t="shared" si="161"/>
        <v>0</v>
      </c>
      <c r="DK181" s="16">
        <f t="shared" si="161"/>
        <v>0</v>
      </c>
      <c r="DL181" s="16">
        <f t="shared" si="161"/>
        <v>0</v>
      </c>
      <c r="DM181" s="16">
        <f t="shared" si="161"/>
        <v>0</v>
      </c>
      <c r="DN181" s="16">
        <f t="shared" si="161"/>
        <v>0</v>
      </c>
      <c r="DO181" s="16">
        <f t="shared" si="161"/>
        <v>0</v>
      </c>
      <c r="DP181" s="16">
        <f t="shared" si="161"/>
        <v>0</v>
      </c>
    </row>
    <row r="182" spans="2:120" x14ac:dyDescent="0.25">
      <c r="C182" s="1"/>
      <c r="D182" s="1"/>
      <c r="E182" s="1"/>
      <c r="F182" s="1"/>
      <c r="G182" s="1"/>
      <c r="H182" s="1"/>
      <c r="I182" s="1"/>
      <c r="J182" s="93"/>
      <c r="O182" s="9">
        <f t="shared" si="150"/>
        <v>35</v>
      </c>
      <c r="P182" s="16">
        <f t="shared" si="152"/>
        <v>0</v>
      </c>
      <c r="Q182" s="16">
        <f t="shared" si="152"/>
        <v>0</v>
      </c>
      <c r="R182" s="16">
        <f t="shared" si="152"/>
        <v>0</v>
      </c>
      <c r="S182" s="16">
        <f t="shared" si="152"/>
        <v>0</v>
      </c>
      <c r="T182" s="16">
        <f t="shared" si="152"/>
        <v>0</v>
      </c>
      <c r="U182" s="16">
        <f t="shared" si="152"/>
        <v>0</v>
      </c>
      <c r="V182" s="16">
        <f t="shared" si="152"/>
        <v>0</v>
      </c>
      <c r="W182" s="16">
        <f t="shared" si="152"/>
        <v>0</v>
      </c>
      <c r="X182" s="16">
        <f t="shared" si="152"/>
        <v>0</v>
      </c>
      <c r="Y182" s="16">
        <f t="shared" si="152"/>
        <v>0</v>
      </c>
      <c r="Z182" s="16">
        <f t="shared" si="153"/>
        <v>0</v>
      </c>
      <c r="AA182" s="16">
        <f t="shared" si="153"/>
        <v>0</v>
      </c>
      <c r="AB182" s="16">
        <f t="shared" si="153"/>
        <v>0</v>
      </c>
      <c r="AC182" s="16">
        <f t="shared" si="153"/>
        <v>0</v>
      </c>
      <c r="AD182" s="16">
        <f t="shared" si="153"/>
        <v>-9.3405981538951105E-2</v>
      </c>
      <c r="AE182" s="16">
        <f t="shared" si="153"/>
        <v>1.1841424318186851</v>
      </c>
      <c r="AF182" s="16">
        <f t="shared" si="153"/>
        <v>-9.0736450279733941E-2</v>
      </c>
      <c r="AG182" s="16">
        <f t="shared" si="153"/>
        <v>0</v>
      </c>
      <c r="AH182" s="16">
        <f t="shared" si="153"/>
        <v>0</v>
      </c>
      <c r="AI182" s="16">
        <f t="shared" si="153"/>
        <v>0</v>
      </c>
      <c r="AJ182" s="16">
        <f t="shared" si="154"/>
        <v>0</v>
      </c>
      <c r="AK182" s="16">
        <f t="shared" si="154"/>
        <v>0</v>
      </c>
      <c r="AL182" s="16">
        <f t="shared" si="154"/>
        <v>0</v>
      </c>
      <c r="AM182" s="16">
        <f t="shared" si="154"/>
        <v>0</v>
      </c>
      <c r="AN182" s="16">
        <f t="shared" si="154"/>
        <v>0</v>
      </c>
      <c r="AO182" s="16">
        <f t="shared" si="154"/>
        <v>0</v>
      </c>
      <c r="AP182" s="16">
        <f t="shared" si="154"/>
        <v>0</v>
      </c>
      <c r="AQ182" s="16">
        <f t="shared" si="154"/>
        <v>0</v>
      </c>
      <c r="AR182" s="16">
        <f t="shared" si="154"/>
        <v>0</v>
      </c>
      <c r="AS182" s="16">
        <f t="shared" si="154"/>
        <v>0</v>
      </c>
      <c r="AT182" s="16">
        <f t="shared" si="155"/>
        <v>0</v>
      </c>
      <c r="AU182" s="16">
        <f t="shared" si="155"/>
        <v>0</v>
      </c>
      <c r="AV182" s="16">
        <f t="shared" si="155"/>
        <v>0</v>
      </c>
      <c r="AW182" s="16">
        <f t="shared" si="155"/>
        <v>0</v>
      </c>
      <c r="AX182" s="16">
        <f t="shared" si="155"/>
        <v>0</v>
      </c>
      <c r="AY182" s="16">
        <f t="shared" si="155"/>
        <v>0</v>
      </c>
      <c r="AZ182" s="16">
        <f t="shared" si="155"/>
        <v>0</v>
      </c>
      <c r="BA182" s="16">
        <f t="shared" si="155"/>
        <v>0</v>
      </c>
      <c r="BB182" s="16">
        <f t="shared" si="155"/>
        <v>0</v>
      </c>
      <c r="BC182" s="16">
        <f t="shared" si="155"/>
        <v>0</v>
      </c>
      <c r="BD182" s="16">
        <f t="shared" si="156"/>
        <v>0</v>
      </c>
      <c r="BE182" s="16">
        <f t="shared" si="156"/>
        <v>0</v>
      </c>
      <c r="BF182" s="16">
        <f t="shared" si="156"/>
        <v>0</v>
      </c>
      <c r="BG182" s="16">
        <f t="shared" si="156"/>
        <v>0</v>
      </c>
      <c r="BH182" s="16">
        <f t="shared" si="156"/>
        <v>0</v>
      </c>
      <c r="BI182" s="16">
        <f t="shared" si="156"/>
        <v>0</v>
      </c>
      <c r="BJ182" s="16">
        <f t="shared" si="156"/>
        <v>0</v>
      </c>
      <c r="BK182" s="16">
        <f t="shared" si="156"/>
        <v>0</v>
      </c>
      <c r="BL182" s="16">
        <f t="shared" si="156"/>
        <v>0</v>
      </c>
      <c r="BM182" s="16">
        <f t="shared" si="156"/>
        <v>0</v>
      </c>
      <c r="BN182" s="16">
        <f t="shared" si="156"/>
        <v>0</v>
      </c>
      <c r="BQ182" s="9">
        <f t="shared" si="151"/>
        <v>35</v>
      </c>
      <c r="BR182" s="16">
        <f t="shared" si="157"/>
        <v>0</v>
      </c>
      <c r="BS182" s="16">
        <f t="shared" si="157"/>
        <v>0</v>
      </c>
      <c r="BT182" s="16">
        <f t="shared" si="157"/>
        <v>0</v>
      </c>
      <c r="BU182" s="16">
        <f t="shared" si="157"/>
        <v>0</v>
      </c>
      <c r="BV182" s="16">
        <f t="shared" si="157"/>
        <v>0</v>
      </c>
      <c r="BW182" s="16">
        <f t="shared" si="157"/>
        <v>0</v>
      </c>
      <c r="BX182" s="16">
        <f t="shared" si="157"/>
        <v>0</v>
      </c>
      <c r="BY182" s="16">
        <f t="shared" si="157"/>
        <v>0</v>
      </c>
      <c r="BZ182" s="16">
        <f t="shared" si="157"/>
        <v>0</v>
      </c>
      <c r="CA182" s="16">
        <f t="shared" si="157"/>
        <v>0</v>
      </c>
      <c r="CB182" s="16">
        <f t="shared" si="158"/>
        <v>0</v>
      </c>
      <c r="CC182" s="16">
        <f t="shared" si="158"/>
        <v>0</v>
      </c>
      <c r="CD182" s="16">
        <f t="shared" si="158"/>
        <v>0</v>
      </c>
      <c r="CE182" s="16">
        <f t="shared" si="158"/>
        <v>0</v>
      </c>
      <c r="CF182" s="16">
        <f t="shared" si="158"/>
        <v>-0.44568745060956844</v>
      </c>
      <c r="CG182" s="16">
        <f t="shared" si="158"/>
        <v>1.8786372096747588</v>
      </c>
      <c r="CH182" s="16">
        <f t="shared" si="158"/>
        <v>-0.43294975906519029</v>
      </c>
      <c r="CI182" s="16">
        <f t="shared" si="158"/>
        <v>0</v>
      </c>
      <c r="CJ182" s="16">
        <f t="shared" si="158"/>
        <v>0</v>
      </c>
      <c r="CK182" s="16">
        <f t="shared" si="158"/>
        <v>0</v>
      </c>
      <c r="CL182" s="16">
        <f t="shared" si="159"/>
        <v>0</v>
      </c>
      <c r="CM182" s="16">
        <f t="shared" si="159"/>
        <v>0</v>
      </c>
      <c r="CN182" s="16">
        <f t="shared" si="159"/>
        <v>0</v>
      </c>
      <c r="CO182" s="16">
        <f t="shared" si="159"/>
        <v>0</v>
      </c>
      <c r="CP182" s="16">
        <f t="shared" si="159"/>
        <v>0</v>
      </c>
      <c r="CQ182" s="16">
        <f t="shared" si="159"/>
        <v>0</v>
      </c>
      <c r="CR182" s="16">
        <f t="shared" si="159"/>
        <v>0</v>
      </c>
      <c r="CS182" s="16">
        <f t="shared" si="159"/>
        <v>0</v>
      </c>
      <c r="CT182" s="16">
        <f t="shared" si="159"/>
        <v>0</v>
      </c>
      <c r="CU182" s="16">
        <f t="shared" si="159"/>
        <v>0</v>
      </c>
      <c r="CV182" s="16">
        <f t="shared" si="160"/>
        <v>0</v>
      </c>
      <c r="CW182" s="16">
        <f t="shared" si="160"/>
        <v>0</v>
      </c>
      <c r="CX182" s="16">
        <f t="shared" si="160"/>
        <v>0</v>
      </c>
      <c r="CY182" s="16">
        <f t="shared" si="160"/>
        <v>0</v>
      </c>
      <c r="CZ182" s="16">
        <f t="shared" si="160"/>
        <v>0</v>
      </c>
      <c r="DA182" s="16">
        <f t="shared" si="160"/>
        <v>0</v>
      </c>
      <c r="DB182" s="16">
        <f t="shared" si="160"/>
        <v>0</v>
      </c>
      <c r="DC182" s="16">
        <f t="shared" si="160"/>
        <v>0</v>
      </c>
      <c r="DD182" s="16">
        <f t="shared" si="160"/>
        <v>0</v>
      </c>
      <c r="DE182" s="16">
        <f t="shared" si="160"/>
        <v>0</v>
      </c>
      <c r="DF182" s="16">
        <f t="shared" si="161"/>
        <v>0</v>
      </c>
      <c r="DG182" s="16">
        <f t="shared" si="161"/>
        <v>0</v>
      </c>
      <c r="DH182" s="16">
        <f t="shared" si="161"/>
        <v>0</v>
      </c>
      <c r="DI182" s="16">
        <f t="shared" si="161"/>
        <v>0</v>
      </c>
      <c r="DJ182" s="16">
        <f t="shared" si="161"/>
        <v>0</v>
      </c>
      <c r="DK182" s="16">
        <f t="shared" si="161"/>
        <v>0</v>
      </c>
      <c r="DL182" s="16">
        <f t="shared" si="161"/>
        <v>0</v>
      </c>
      <c r="DM182" s="16">
        <f t="shared" si="161"/>
        <v>0</v>
      </c>
      <c r="DN182" s="16">
        <f t="shared" si="161"/>
        <v>0</v>
      </c>
      <c r="DO182" s="16">
        <f t="shared" si="161"/>
        <v>0</v>
      </c>
      <c r="DP182" s="16">
        <f t="shared" si="161"/>
        <v>0</v>
      </c>
    </row>
    <row r="183" spans="2:120" x14ac:dyDescent="0.25">
      <c r="C183" s="1"/>
      <c r="D183" s="1"/>
      <c r="E183" s="1"/>
      <c r="F183" s="1"/>
      <c r="G183" s="1"/>
      <c r="H183" s="1"/>
      <c r="I183" s="1"/>
      <c r="J183" s="93"/>
      <c r="O183" s="9">
        <f t="shared" si="150"/>
        <v>34</v>
      </c>
      <c r="P183" s="16">
        <f t="shared" si="152"/>
        <v>0</v>
      </c>
      <c r="Q183" s="16">
        <f t="shared" si="152"/>
        <v>0</v>
      </c>
      <c r="R183" s="16">
        <f t="shared" si="152"/>
        <v>0</v>
      </c>
      <c r="S183" s="16">
        <f t="shared" si="152"/>
        <v>0</v>
      </c>
      <c r="T183" s="16">
        <f t="shared" si="152"/>
        <v>0</v>
      </c>
      <c r="U183" s="16">
        <f t="shared" si="152"/>
        <v>0</v>
      </c>
      <c r="V183" s="16">
        <f t="shared" si="152"/>
        <v>0</v>
      </c>
      <c r="W183" s="16">
        <f t="shared" si="152"/>
        <v>0</v>
      </c>
      <c r="X183" s="16">
        <f t="shared" si="152"/>
        <v>0</v>
      </c>
      <c r="Y183" s="16">
        <f t="shared" si="152"/>
        <v>0</v>
      </c>
      <c r="Z183" s="16">
        <f t="shared" si="153"/>
        <v>0</v>
      </c>
      <c r="AA183" s="16">
        <f t="shared" si="153"/>
        <v>0</v>
      </c>
      <c r="AB183" s="16">
        <f t="shared" si="153"/>
        <v>0</v>
      </c>
      <c r="AC183" s="16">
        <f t="shared" si="153"/>
        <v>0</v>
      </c>
      <c r="AD183" s="16">
        <f t="shared" si="153"/>
        <v>0</v>
      </c>
      <c r="AE183" s="16">
        <f t="shared" si="153"/>
        <v>-0.14178067180859785</v>
      </c>
      <c r="AF183" s="16">
        <f t="shared" si="153"/>
        <v>1.2795092697659292</v>
      </c>
      <c r="AG183" s="16">
        <f t="shared" si="153"/>
        <v>-0.13772859795733142</v>
      </c>
      <c r="AH183" s="16">
        <f t="shared" si="153"/>
        <v>0</v>
      </c>
      <c r="AI183" s="16">
        <f t="shared" si="153"/>
        <v>0</v>
      </c>
      <c r="AJ183" s="16">
        <f t="shared" si="154"/>
        <v>0</v>
      </c>
      <c r="AK183" s="16">
        <f t="shared" si="154"/>
        <v>0</v>
      </c>
      <c r="AL183" s="16">
        <f t="shared" si="154"/>
        <v>0</v>
      </c>
      <c r="AM183" s="16">
        <f t="shared" si="154"/>
        <v>0</v>
      </c>
      <c r="AN183" s="16">
        <f t="shared" si="154"/>
        <v>0</v>
      </c>
      <c r="AO183" s="16">
        <f t="shared" si="154"/>
        <v>0</v>
      </c>
      <c r="AP183" s="16">
        <f t="shared" si="154"/>
        <v>0</v>
      </c>
      <c r="AQ183" s="16">
        <f t="shared" si="154"/>
        <v>0</v>
      </c>
      <c r="AR183" s="16">
        <f t="shared" si="154"/>
        <v>0</v>
      </c>
      <c r="AS183" s="16">
        <f t="shared" si="154"/>
        <v>0</v>
      </c>
      <c r="AT183" s="16">
        <f t="shared" si="155"/>
        <v>0</v>
      </c>
      <c r="AU183" s="16">
        <f t="shared" si="155"/>
        <v>0</v>
      </c>
      <c r="AV183" s="16">
        <f t="shared" si="155"/>
        <v>0</v>
      </c>
      <c r="AW183" s="16">
        <f t="shared" si="155"/>
        <v>0</v>
      </c>
      <c r="AX183" s="16">
        <f t="shared" si="155"/>
        <v>0</v>
      </c>
      <c r="AY183" s="16">
        <f t="shared" si="155"/>
        <v>0</v>
      </c>
      <c r="AZ183" s="16">
        <f t="shared" si="155"/>
        <v>0</v>
      </c>
      <c r="BA183" s="16">
        <f t="shared" si="155"/>
        <v>0</v>
      </c>
      <c r="BB183" s="16">
        <f t="shared" si="155"/>
        <v>0</v>
      </c>
      <c r="BC183" s="16">
        <f t="shared" si="155"/>
        <v>0</v>
      </c>
      <c r="BD183" s="16">
        <f t="shared" si="156"/>
        <v>0</v>
      </c>
      <c r="BE183" s="16">
        <f t="shared" si="156"/>
        <v>0</v>
      </c>
      <c r="BF183" s="16">
        <f t="shared" si="156"/>
        <v>0</v>
      </c>
      <c r="BG183" s="16">
        <f t="shared" si="156"/>
        <v>0</v>
      </c>
      <c r="BH183" s="16">
        <f t="shared" si="156"/>
        <v>0</v>
      </c>
      <c r="BI183" s="16">
        <f t="shared" si="156"/>
        <v>0</v>
      </c>
      <c r="BJ183" s="16">
        <f t="shared" si="156"/>
        <v>0</v>
      </c>
      <c r="BK183" s="16">
        <f t="shared" si="156"/>
        <v>0</v>
      </c>
      <c r="BL183" s="16">
        <f t="shared" si="156"/>
        <v>0</v>
      </c>
      <c r="BM183" s="16">
        <f t="shared" si="156"/>
        <v>0</v>
      </c>
      <c r="BN183" s="16">
        <f t="shared" si="156"/>
        <v>0</v>
      </c>
      <c r="BQ183" s="9">
        <f t="shared" si="151"/>
        <v>34</v>
      </c>
      <c r="BR183" s="16">
        <f t="shared" si="157"/>
        <v>0</v>
      </c>
      <c r="BS183" s="16">
        <f t="shared" si="157"/>
        <v>0</v>
      </c>
      <c r="BT183" s="16">
        <f t="shared" si="157"/>
        <v>0</v>
      </c>
      <c r="BU183" s="16">
        <f t="shared" si="157"/>
        <v>0</v>
      </c>
      <c r="BV183" s="16">
        <f t="shared" si="157"/>
        <v>0</v>
      </c>
      <c r="BW183" s="16">
        <f t="shared" si="157"/>
        <v>0</v>
      </c>
      <c r="BX183" s="16">
        <f t="shared" si="157"/>
        <v>0</v>
      </c>
      <c r="BY183" s="16">
        <f t="shared" si="157"/>
        <v>0</v>
      </c>
      <c r="BZ183" s="16">
        <f t="shared" si="157"/>
        <v>0</v>
      </c>
      <c r="CA183" s="16">
        <f t="shared" si="157"/>
        <v>0</v>
      </c>
      <c r="CB183" s="16">
        <f t="shared" si="158"/>
        <v>0</v>
      </c>
      <c r="CC183" s="16">
        <f t="shared" si="158"/>
        <v>0</v>
      </c>
      <c r="CD183" s="16">
        <f t="shared" si="158"/>
        <v>0</v>
      </c>
      <c r="CE183" s="16">
        <f t="shared" si="158"/>
        <v>0</v>
      </c>
      <c r="CF183" s="16">
        <f t="shared" si="158"/>
        <v>0</v>
      </c>
      <c r="CG183" s="16">
        <f t="shared" si="158"/>
        <v>-0.48375099518696701</v>
      </c>
      <c r="CH183" s="16">
        <f t="shared" si="158"/>
        <v>1.953676447490575</v>
      </c>
      <c r="CI183" s="16">
        <f t="shared" si="158"/>
        <v>-0.46992545230360799</v>
      </c>
      <c r="CJ183" s="16">
        <f t="shared" si="158"/>
        <v>0</v>
      </c>
      <c r="CK183" s="16">
        <f t="shared" si="158"/>
        <v>0</v>
      </c>
      <c r="CL183" s="16">
        <f t="shared" si="159"/>
        <v>0</v>
      </c>
      <c r="CM183" s="16">
        <f t="shared" si="159"/>
        <v>0</v>
      </c>
      <c r="CN183" s="16">
        <f t="shared" si="159"/>
        <v>0</v>
      </c>
      <c r="CO183" s="16">
        <f t="shared" si="159"/>
        <v>0</v>
      </c>
      <c r="CP183" s="16">
        <f t="shared" si="159"/>
        <v>0</v>
      </c>
      <c r="CQ183" s="16">
        <f t="shared" si="159"/>
        <v>0</v>
      </c>
      <c r="CR183" s="16">
        <f t="shared" si="159"/>
        <v>0</v>
      </c>
      <c r="CS183" s="16">
        <f t="shared" si="159"/>
        <v>0</v>
      </c>
      <c r="CT183" s="16">
        <f t="shared" si="159"/>
        <v>0</v>
      </c>
      <c r="CU183" s="16">
        <f t="shared" si="159"/>
        <v>0</v>
      </c>
      <c r="CV183" s="16">
        <f t="shared" si="160"/>
        <v>0</v>
      </c>
      <c r="CW183" s="16">
        <f t="shared" si="160"/>
        <v>0</v>
      </c>
      <c r="CX183" s="16">
        <f t="shared" si="160"/>
        <v>0</v>
      </c>
      <c r="CY183" s="16">
        <f t="shared" si="160"/>
        <v>0</v>
      </c>
      <c r="CZ183" s="16">
        <f t="shared" si="160"/>
        <v>0</v>
      </c>
      <c r="DA183" s="16">
        <f t="shared" si="160"/>
        <v>0</v>
      </c>
      <c r="DB183" s="16">
        <f t="shared" si="160"/>
        <v>0</v>
      </c>
      <c r="DC183" s="16">
        <f t="shared" si="160"/>
        <v>0</v>
      </c>
      <c r="DD183" s="16">
        <f t="shared" si="160"/>
        <v>0</v>
      </c>
      <c r="DE183" s="16">
        <f t="shared" si="160"/>
        <v>0</v>
      </c>
      <c r="DF183" s="16">
        <f t="shared" si="161"/>
        <v>0</v>
      </c>
      <c r="DG183" s="16">
        <f t="shared" si="161"/>
        <v>0</v>
      </c>
      <c r="DH183" s="16">
        <f t="shared" si="161"/>
        <v>0</v>
      </c>
      <c r="DI183" s="16">
        <f t="shared" si="161"/>
        <v>0</v>
      </c>
      <c r="DJ183" s="16">
        <f t="shared" si="161"/>
        <v>0</v>
      </c>
      <c r="DK183" s="16">
        <f t="shared" si="161"/>
        <v>0</v>
      </c>
      <c r="DL183" s="16">
        <f t="shared" si="161"/>
        <v>0</v>
      </c>
      <c r="DM183" s="16">
        <f t="shared" si="161"/>
        <v>0</v>
      </c>
      <c r="DN183" s="16">
        <f t="shared" si="161"/>
        <v>0</v>
      </c>
      <c r="DO183" s="16">
        <f t="shared" si="161"/>
        <v>0</v>
      </c>
      <c r="DP183" s="16">
        <f t="shared" si="161"/>
        <v>0</v>
      </c>
    </row>
    <row r="184" spans="2:120" x14ac:dyDescent="0.25">
      <c r="C184" s="1"/>
      <c r="D184" s="1"/>
      <c r="E184" s="1"/>
      <c r="F184" s="1"/>
      <c r="G184" s="1"/>
      <c r="H184" s="1"/>
      <c r="I184" s="1"/>
      <c r="J184" s="93"/>
      <c r="O184" s="9">
        <f t="shared" si="150"/>
        <v>33</v>
      </c>
      <c r="P184" s="16">
        <f t="shared" si="152"/>
        <v>0</v>
      </c>
      <c r="Q184" s="16">
        <f t="shared" si="152"/>
        <v>0</v>
      </c>
      <c r="R184" s="16">
        <f t="shared" si="152"/>
        <v>0</v>
      </c>
      <c r="S184" s="16">
        <f t="shared" si="152"/>
        <v>0</v>
      </c>
      <c r="T184" s="16">
        <f t="shared" si="152"/>
        <v>0</v>
      </c>
      <c r="U184" s="16">
        <f t="shared" si="152"/>
        <v>0</v>
      </c>
      <c r="V184" s="16">
        <f t="shared" si="152"/>
        <v>0</v>
      </c>
      <c r="W184" s="16">
        <f t="shared" si="152"/>
        <v>0</v>
      </c>
      <c r="X184" s="16">
        <f t="shared" si="152"/>
        <v>0</v>
      </c>
      <c r="Y184" s="16">
        <f t="shared" si="152"/>
        <v>0</v>
      </c>
      <c r="Z184" s="16">
        <f t="shared" si="153"/>
        <v>0</v>
      </c>
      <c r="AA184" s="16">
        <f t="shared" si="153"/>
        <v>0</v>
      </c>
      <c r="AB184" s="16">
        <f t="shared" si="153"/>
        <v>0</v>
      </c>
      <c r="AC184" s="16">
        <f t="shared" si="153"/>
        <v>0</v>
      </c>
      <c r="AD184" s="16">
        <f t="shared" si="153"/>
        <v>0</v>
      </c>
      <c r="AE184" s="16">
        <f t="shared" si="153"/>
        <v>0</v>
      </c>
      <c r="AF184" s="16">
        <f t="shared" si="153"/>
        <v>-0.20021290213424117</v>
      </c>
      <c r="AG184" s="16">
        <f t="shared" si="153"/>
        <v>1.3947037445894344</v>
      </c>
      <c r="AH184" s="16">
        <f t="shared" si="153"/>
        <v>-0.19449084245519307</v>
      </c>
      <c r="AI184" s="16">
        <f t="shared" si="153"/>
        <v>0</v>
      </c>
      <c r="AJ184" s="16">
        <f t="shared" si="154"/>
        <v>0</v>
      </c>
      <c r="AK184" s="16">
        <f t="shared" si="154"/>
        <v>0</v>
      </c>
      <c r="AL184" s="16">
        <f t="shared" si="154"/>
        <v>0</v>
      </c>
      <c r="AM184" s="16">
        <f t="shared" si="154"/>
        <v>0</v>
      </c>
      <c r="AN184" s="16">
        <f t="shared" si="154"/>
        <v>0</v>
      </c>
      <c r="AO184" s="16">
        <f t="shared" si="154"/>
        <v>0</v>
      </c>
      <c r="AP184" s="16">
        <f t="shared" si="154"/>
        <v>0</v>
      </c>
      <c r="AQ184" s="16">
        <f t="shared" si="154"/>
        <v>0</v>
      </c>
      <c r="AR184" s="16">
        <f t="shared" si="154"/>
        <v>0</v>
      </c>
      <c r="AS184" s="16">
        <f t="shared" si="154"/>
        <v>0</v>
      </c>
      <c r="AT184" s="16">
        <f t="shared" si="155"/>
        <v>0</v>
      </c>
      <c r="AU184" s="16">
        <f t="shared" si="155"/>
        <v>0</v>
      </c>
      <c r="AV184" s="16">
        <f t="shared" si="155"/>
        <v>0</v>
      </c>
      <c r="AW184" s="16">
        <f t="shared" si="155"/>
        <v>0</v>
      </c>
      <c r="AX184" s="16">
        <f t="shared" si="155"/>
        <v>0</v>
      </c>
      <c r="AY184" s="16">
        <f t="shared" si="155"/>
        <v>0</v>
      </c>
      <c r="AZ184" s="16">
        <f t="shared" si="155"/>
        <v>0</v>
      </c>
      <c r="BA184" s="16">
        <f t="shared" si="155"/>
        <v>0</v>
      </c>
      <c r="BB184" s="16">
        <f t="shared" si="155"/>
        <v>0</v>
      </c>
      <c r="BC184" s="16">
        <f t="shared" si="155"/>
        <v>0</v>
      </c>
      <c r="BD184" s="16">
        <f t="shared" si="156"/>
        <v>0</v>
      </c>
      <c r="BE184" s="16">
        <f t="shared" si="156"/>
        <v>0</v>
      </c>
      <c r="BF184" s="16">
        <f t="shared" si="156"/>
        <v>0</v>
      </c>
      <c r="BG184" s="16">
        <f t="shared" si="156"/>
        <v>0</v>
      </c>
      <c r="BH184" s="16">
        <f t="shared" si="156"/>
        <v>0</v>
      </c>
      <c r="BI184" s="16">
        <f t="shared" si="156"/>
        <v>0</v>
      </c>
      <c r="BJ184" s="16">
        <f t="shared" si="156"/>
        <v>0</v>
      </c>
      <c r="BK184" s="16">
        <f t="shared" si="156"/>
        <v>0</v>
      </c>
      <c r="BL184" s="16">
        <f t="shared" si="156"/>
        <v>0</v>
      </c>
      <c r="BM184" s="16">
        <f t="shared" si="156"/>
        <v>0</v>
      </c>
      <c r="BN184" s="16">
        <f t="shared" si="156"/>
        <v>0</v>
      </c>
      <c r="BQ184" s="9">
        <f t="shared" si="151"/>
        <v>33</v>
      </c>
      <c r="BR184" s="16">
        <f t="shared" si="157"/>
        <v>0</v>
      </c>
      <c r="BS184" s="16">
        <f t="shared" si="157"/>
        <v>0</v>
      </c>
      <c r="BT184" s="16">
        <f t="shared" si="157"/>
        <v>0</v>
      </c>
      <c r="BU184" s="16">
        <f t="shared" si="157"/>
        <v>0</v>
      </c>
      <c r="BV184" s="16">
        <f t="shared" si="157"/>
        <v>0</v>
      </c>
      <c r="BW184" s="16">
        <f t="shared" si="157"/>
        <v>0</v>
      </c>
      <c r="BX184" s="16">
        <f t="shared" si="157"/>
        <v>0</v>
      </c>
      <c r="BY184" s="16">
        <f t="shared" si="157"/>
        <v>0</v>
      </c>
      <c r="BZ184" s="16">
        <f t="shared" si="157"/>
        <v>0</v>
      </c>
      <c r="CA184" s="16">
        <f t="shared" si="157"/>
        <v>0</v>
      </c>
      <c r="CB184" s="16">
        <f t="shared" si="158"/>
        <v>0</v>
      </c>
      <c r="CC184" s="16">
        <f t="shared" si="158"/>
        <v>0</v>
      </c>
      <c r="CD184" s="16">
        <f t="shared" si="158"/>
        <v>0</v>
      </c>
      <c r="CE184" s="16">
        <f t="shared" si="158"/>
        <v>0</v>
      </c>
      <c r="CF184" s="16">
        <f t="shared" si="158"/>
        <v>0</v>
      </c>
      <c r="CG184" s="16">
        <f t="shared" si="158"/>
        <v>0</v>
      </c>
      <c r="CH184" s="16">
        <f t="shared" si="158"/>
        <v>-0.52337402057501026</v>
      </c>
      <c r="CI184" s="16">
        <f t="shared" si="158"/>
        <v>2.0317900771613382</v>
      </c>
      <c r="CJ184" s="16">
        <f t="shared" si="158"/>
        <v>-0.50841605658632805</v>
      </c>
      <c r="CK184" s="16">
        <f t="shared" si="158"/>
        <v>0</v>
      </c>
      <c r="CL184" s="16">
        <f t="shared" si="159"/>
        <v>0</v>
      </c>
      <c r="CM184" s="16">
        <f t="shared" si="159"/>
        <v>0</v>
      </c>
      <c r="CN184" s="16">
        <f t="shared" si="159"/>
        <v>0</v>
      </c>
      <c r="CO184" s="16">
        <f t="shared" si="159"/>
        <v>0</v>
      </c>
      <c r="CP184" s="16">
        <f t="shared" si="159"/>
        <v>0</v>
      </c>
      <c r="CQ184" s="16">
        <f t="shared" si="159"/>
        <v>0</v>
      </c>
      <c r="CR184" s="16">
        <f t="shared" si="159"/>
        <v>0</v>
      </c>
      <c r="CS184" s="16">
        <f t="shared" si="159"/>
        <v>0</v>
      </c>
      <c r="CT184" s="16">
        <f t="shared" si="159"/>
        <v>0</v>
      </c>
      <c r="CU184" s="16">
        <f t="shared" si="159"/>
        <v>0</v>
      </c>
      <c r="CV184" s="16">
        <f t="shared" si="160"/>
        <v>0</v>
      </c>
      <c r="CW184" s="16">
        <f t="shared" si="160"/>
        <v>0</v>
      </c>
      <c r="CX184" s="16">
        <f t="shared" si="160"/>
        <v>0</v>
      </c>
      <c r="CY184" s="16">
        <f t="shared" si="160"/>
        <v>0</v>
      </c>
      <c r="CZ184" s="16">
        <f t="shared" si="160"/>
        <v>0</v>
      </c>
      <c r="DA184" s="16">
        <f t="shared" si="160"/>
        <v>0</v>
      </c>
      <c r="DB184" s="16">
        <f t="shared" si="160"/>
        <v>0</v>
      </c>
      <c r="DC184" s="16">
        <f t="shared" si="160"/>
        <v>0</v>
      </c>
      <c r="DD184" s="16">
        <f t="shared" si="160"/>
        <v>0</v>
      </c>
      <c r="DE184" s="16">
        <f t="shared" si="160"/>
        <v>0</v>
      </c>
      <c r="DF184" s="16">
        <f t="shared" si="161"/>
        <v>0</v>
      </c>
      <c r="DG184" s="16">
        <f t="shared" si="161"/>
        <v>0</v>
      </c>
      <c r="DH184" s="16">
        <f t="shared" si="161"/>
        <v>0</v>
      </c>
      <c r="DI184" s="16">
        <f t="shared" si="161"/>
        <v>0</v>
      </c>
      <c r="DJ184" s="16">
        <f t="shared" si="161"/>
        <v>0</v>
      </c>
      <c r="DK184" s="16">
        <f t="shared" si="161"/>
        <v>0</v>
      </c>
      <c r="DL184" s="16">
        <f t="shared" si="161"/>
        <v>0</v>
      </c>
      <c r="DM184" s="16">
        <f t="shared" si="161"/>
        <v>0</v>
      </c>
      <c r="DN184" s="16">
        <f t="shared" si="161"/>
        <v>0</v>
      </c>
      <c r="DO184" s="16">
        <f t="shared" si="161"/>
        <v>0</v>
      </c>
      <c r="DP184" s="16">
        <f t="shared" si="161"/>
        <v>0</v>
      </c>
    </row>
    <row r="185" spans="2:120" x14ac:dyDescent="0.25">
      <c r="B185" s="12"/>
      <c r="C185" s="1"/>
      <c r="D185" s="1"/>
      <c r="E185" s="1"/>
      <c r="F185" s="1"/>
      <c r="G185" s="1"/>
      <c r="H185" s="1"/>
      <c r="I185" s="1"/>
      <c r="J185" s="93"/>
      <c r="O185" s="9">
        <f t="shared" si="150"/>
        <v>32</v>
      </c>
      <c r="P185" s="16">
        <f t="shared" si="152"/>
        <v>0</v>
      </c>
      <c r="Q185" s="16">
        <f t="shared" si="152"/>
        <v>0</v>
      </c>
      <c r="R185" s="16">
        <f t="shared" si="152"/>
        <v>0</v>
      </c>
      <c r="S185" s="16">
        <f t="shared" si="152"/>
        <v>0</v>
      </c>
      <c r="T185" s="16">
        <f t="shared" si="152"/>
        <v>0</v>
      </c>
      <c r="U185" s="16">
        <f t="shared" si="152"/>
        <v>0</v>
      </c>
      <c r="V185" s="16">
        <f t="shared" si="152"/>
        <v>0</v>
      </c>
      <c r="W185" s="16">
        <f t="shared" si="152"/>
        <v>0</v>
      </c>
      <c r="X185" s="16">
        <f t="shared" si="152"/>
        <v>0</v>
      </c>
      <c r="Y185" s="16">
        <f t="shared" si="152"/>
        <v>0</v>
      </c>
      <c r="Z185" s="16">
        <f t="shared" si="153"/>
        <v>0</v>
      </c>
      <c r="AA185" s="16">
        <f t="shared" si="153"/>
        <v>0</v>
      </c>
      <c r="AB185" s="16">
        <f t="shared" si="153"/>
        <v>0</v>
      </c>
      <c r="AC185" s="16">
        <f t="shared" si="153"/>
        <v>0</v>
      </c>
      <c r="AD185" s="16">
        <f t="shared" si="153"/>
        <v>0</v>
      </c>
      <c r="AE185" s="16">
        <f t="shared" si="153"/>
        <v>0</v>
      </c>
      <c r="AF185" s="16">
        <f t="shared" si="153"/>
        <v>0</v>
      </c>
      <c r="AG185" s="16">
        <f t="shared" si="153"/>
        <v>-0.26870267251588092</v>
      </c>
      <c r="AH185" s="16">
        <f t="shared" si="153"/>
        <v>1.5297258562891998</v>
      </c>
      <c r="AI185" s="16">
        <f t="shared" si="153"/>
        <v>-0.2610231837733189</v>
      </c>
      <c r="AJ185" s="16">
        <f t="shared" si="154"/>
        <v>0</v>
      </c>
      <c r="AK185" s="16">
        <f t="shared" si="154"/>
        <v>0</v>
      </c>
      <c r="AL185" s="16">
        <f t="shared" si="154"/>
        <v>0</v>
      </c>
      <c r="AM185" s="16">
        <f t="shared" si="154"/>
        <v>0</v>
      </c>
      <c r="AN185" s="16">
        <f t="shared" si="154"/>
        <v>0</v>
      </c>
      <c r="AO185" s="16">
        <f t="shared" si="154"/>
        <v>0</v>
      </c>
      <c r="AP185" s="16">
        <f t="shared" si="154"/>
        <v>0</v>
      </c>
      <c r="AQ185" s="16">
        <f t="shared" si="154"/>
        <v>0</v>
      </c>
      <c r="AR185" s="16">
        <f t="shared" si="154"/>
        <v>0</v>
      </c>
      <c r="AS185" s="16">
        <f t="shared" si="154"/>
        <v>0</v>
      </c>
      <c r="AT185" s="16">
        <f t="shared" si="155"/>
        <v>0</v>
      </c>
      <c r="AU185" s="16">
        <f t="shared" si="155"/>
        <v>0</v>
      </c>
      <c r="AV185" s="16">
        <f t="shared" si="155"/>
        <v>0</v>
      </c>
      <c r="AW185" s="16">
        <f t="shared" si="155"/>
        <v>0</v>
      </c>
      <c r="AX185" s="16">
        <f t="shared" si="155"/>
        <v>0</v>
      </c>
      <c r="AY185" s="16">
        <f t="shared" si="155"/>
        <v>0</v>
      </c>
      <c r="AZ185" s="16">
        <f t="shared" si="155"/>
        <v>0</v>
      </c>
      <c r="BA185" s="16">
        <f t="shared" si="155"/>
        <v>0</v>
      </c>
      <c r="BB185" s="16">
        <f t="shared" si="155"/>
        <v>0</v>
      </c>
      <c r="BC185" s="16">
        <f t="shared" si="155"/>
        <v>0</v>
      </c>
      <c r="BD185" s="16">
        <f t="shared" si="156"/>
        <v>0</v>
      </c>
      <c r="BE185" s="16">
        <f t="shared" si="156"/>
        <v>0</v>
      </c>
      <c r="BF185" s="16">
        <f t="shared" si="156"/>
        <v>0</v>
      </c>
      <c r="BG185" s="16">
        <f t="shared" si="156"/>
        <v>0</v>
      </c>
      <c r="BH185" s="16">
        <f t="shared" si="156"/>
        <v>0</v>
      </c>
      <c r="BI185" s="16">
        <f t="shared" si="156"/>
        <v>0</v>
      </c>
      <c r="BJ185" s="16">
        <f t="shared" si="156"/>
        <v>0</v>
      </c>
      <c r="BK185" s="16">
        <f t="shared" si="156"/>
        <v>0</v>
      </c>
      <c r="BL185" s="16">
        <f t="shared" si="156"/>
        <v>0</v>
      </c>
      <c r="BM185" s="16">
        <f t="shared" si="156"/>
        <v>0</v>
      </c>
      <c r="BN185" s="16">
        <f t="shared" si="156"/>
        <v>0</v>
      </c>
      <c r="BQ185" s="9">
        <f t="shared" si="151"/>
        <v>32</v>
      </c>
      <c r="BR185" s="16">
        <f t="shared" si="157"/>
        <v>0</v>
      </c>
      <c r="BS185" s="16">
        <f t="shared" si="157"/>
        <v>0</v>
      </c>
      <c r="BT185" s="16">
        <f t="shared" si="157"/>
        <v>0</v>
      </c>
      <c r="BU185" s="16">
        <f t="shared" si="157"/>
        <v>0</v>
      </c>
      <c r="BV185" s="16">
        <f t="shared" si="157"/>
        <v>0</v>
      </c>
      <c r="BW185" s="16">
        <f t="shared" si="157"/>
        <v>0</v>
      </c>
      <c r="BX185" s="16">
        <f t="shared" si="157"/>
        <v>0</v>
      </c>
      <c r="BY185" s="16">
        <f t="shared" si="157"/>
        <v>0</v>
      </c>
      <c r="BZ185" s="16">
        <f t="shared" si="157"/>
        <v>0</v>
      </c>
      <c r="CA185" s="16">
        <f t="shared" si="157"/>
        <v>0</v>
      </c>
      <c r="CB185" s="16">
        <f t="shared" si="158"/>
        <v>0</v>
      </c>
      <c r="CC185" s="16">
        <f t="shared" si="158"/>
        <v>0</v>
      </c>
      <c r="CD185" s="16">
        <f t="shared" si="158"/>
        <v>0</v>
      </c>
      <c r="CE185" s="16">
        <f t="shared" si="158"/>
        <v>0</v>
      </c>
      <c r="CF185" s="16">
        <f t="shared" si="158"/>
        <v>0</v>
      </c>
      <c r="CG185" s="16">
        <f t="shared" si="158"/>
        <v>0</v>
      </c>
      <c r="CH185" s="16">
        <f t="shared" si="158"/>
        <v>0</v>
      </c>
      <c r="CI185" s="16">
        <f t="shared" si="158"/>
        <v>-0.56455652677369872</v>
      </c>
      <c r="CJ185" s="16">
        <f t="shared" si="158"/>
        <v>2.1129780986870497</v>
      </c>
      <c r="CK185" s="16">
        <f t="shared" si="158"/>
        <v>-0.54842157191335084</v>
      </c>
      <c r="CL185" s="16">
        <f t="shared" si="159"/>
        <v>0</v>
      </c>
      <c r="CM185" s="16">
        <f t="shared" si="159"/>
        <v>0</v>
      </c>
      <c r="CN185" s="16">
        <f t="shared" si="159"/>
        <v>0</v>
      </c>
      <c r="CO185" s="16">
        <f t="shared" si="159"/>
        <v>0</v>
      </c>
      <c r="CP185" s="16">
        <f t="shared" si="159"/>
        <v>0</v>
      </c>
      <c r="CQ185" s="16">
        <f t="shared" si="159"/>
        <v>0</v>
      </c>
      <c r="CR185" s="16">
        <f t="shared" si="159"/>
        <v>0</v>
      </c>
      <c r="CS185" s="16">
        <f t="shared" si="159"/>
        <v>0</v>
      </c>
      <c r="CT185" s="16">
        <f t="shared" si="159"/>
        <v>0</v>
      </c>
      <c r="CU185" s="16">
        <f t="shared" si="159"/>
        <v>0</v>
      </c>
      <c r="CV185" s="16">
        <f t="shared" si="160"/>
        <v>0</v>
      </c>
      <c r="CW185" s="16">
        <f t="shared" si="160"/>
        <v>0</v>
      </c>
      <c r="CX185" s="16">
        <f t="shared" si="160"/>
        <v>0</v>
      </c>
      <c r="CY185" s="16">
        <f t="shared" si="160"/>
        <v>0</v>
      </c>
      <c r="CZ185" s="16">
        <f t="shared" si="160"/>
        <v>0</v>
      </c>
      <c r="DA185" s="16">
        <f t="shared" si="160"/>
        <v>0</v>
      </c>
      <c r="DB185" s="16">
        <f t="shared" si="160"/>
        <v>0</v>
      </c>
      <c r="DC185" s="16">
        <f t="shared" si="160"/>
        <v>0</v>
      </c>
      <c r="DD185" s="16">
        <f t="shared" si="160"/>
        <v>0</v>
      </c>
      <c r="DE185" s="16">
        <f t="shared" si="160"/>
        <v>0</v>
      </c>
      <c r="DF185" s="16">
        <f t="shared" si="161"/>
        <v>0</v>
      </c>
      <c r="DG185" s="16">
        <f t="shared" si="161"/>
        <v>0</v>
      </c>
      <c r="DH185" s="16">
        <f t="shared" si="161"/>
        <v>0</v>
      </c>
      <c r="DI185" s="16">
        <f t="shared" si="161"/>
        <v>0</v>
      </c>
      <c r="DJ185" s="16">
        <f t="shared" si="161"/>
        <v>0</v>
      </c>
      <c r="DK185" s="16">
        <f t="shared" si="161"/>
        <v>0</v>
      </c>
      <c r="DL185" s="16">
        <f t="shared" si="161"/>
        <v>0</v>
      </c>
      <c r="DM185" s="16">
        <f t="shared" si="161"/>
        <v>0</v>
      </c>
      <c r="DN185" s="16">
        <f t="shared" si="161"/>
        <v>0</v>
      </c>
      <c r="DO185" s="16">
        <f t="shared" si="161"/>
        <v>0</v>
      </c>
      <c r="DP185" s="16">
        <f t="shared" si="161"/>
        <v>0</v>
      </c>
    </row>
    <row r="186" spans="2:120" x14ac:dyDescent="0.25">
      <c r="C186" s="1"/>
      <c r="D186" s="1"/>
      <c r="E186" s="1"/>
      <c r="F186" s="1"/>
      <c r="G186" s="1"/>
      <c r="H186" s="1"/>
      <c r="I186" s="1"/>
      <c r="J186" s="93"/>
      <c r="O186" s="9">
        <f t="shared" si="150"/>
        <v>31</v>
      </c>
      <c r="P186" s="16">
        <f t="shared" si="152"/>
        <v>0</v>
      </c>
      <c r="Q186" s="16">
        <f t="shared" si="152"/>
        <v>0</v>
      </c>
      <c r="R186" s="16">
        <f t="shared" si="152"/>
        <v>0</v>
      </c>
      <c r="S186" s="16">
        <f t="shared" si="152"/>
        <v>0</v>
      </c>
      <c r="T186" s="16">
        <f t="shared" si="152"/>
        <v>0</v>
      </c>
      <c r="U186" s="16">
        <f t="shared" si="152"/>
        <v>0</v>
      </c>
      <c r="V186" s="16">
        <f t="shared" si="152"/>
        <v>0</v>
      </c>
      <c r="W186" s="16">
        <f t="shared" si="152"/>
        <v>0</v>
      </c>
      <c r="X186" s="16">
        <f t="shared" si="152"/>
        <v>0</v>
      </c>
      <c r="Y186" s="16">
        <f t="shared" si="152"/>
        <v>0</v>
      </c>
      <c r="Z186" s="16">
        <f t="shared" si="153"/>
        <v>0</v>
      </c>
      <c r="AA186" s="16">
        <f t="shared" si="153"/>
        <v>0</v>
      </c>
      <c r="AB186" s="16">
        <f t="shared" si="153"/>
        <v>0</v>
      </c>
      <c r="AC186" s="16">
        <f t="shared" si="153"/>
        <v>0</v>
      </c>
      <c r="AD186" s="16">
        <f t="shared" si="153"/>
        <v>0</v>
      </c>
      <c r="AE186" s="16">
        <f t="shared" si="153"/>
        <v>0</v>
      </c>
      <c r="AF186" s="16">
        <f t="shared" si="153"/>
        <v>0</v>
      </c>
      <c r="AG186" s="16">
        <f t="shared" si="153"/>
        <v>0</v>
      </c>
      <c r="AH186" s="16">
        <f t="shared" si="153"/>
        <v>-0.34724998295351872</v>
      </c>
      <c r="AI186" s="16">
        <f t="shared" si="153"/>
        <v>1.6845756048652292</v>
      </c>
      <c r="AJ186" s="16">
        <f t="shared" si="154"/>
        <v>-0.33732562191171034</v>
      </c>
      <c r="AK186" s="16">
        <f t="shared" si="154"/>
        <v>0</v>
      </c>
      <c r="AL186" s="16">
        <f t="shared" si="154"/>
        <v>0</v>
      </c>
      <c r="AM186" s="16">
        <f t="shared" si="154"/>
        <v>0</v>
      </c>
      <c r="AN186" s="16">
        <f t="shared" si="154"/>
        <v>0</v>
      </c>
      <c r="AO186" s="16">
        <f t="shared" si="154"/>
        <v>0</v>
      </c>
      <c r="AP186" s="16">
        <f t="shared" si="154"/>
        <v>0</v>
      </c>
      <c r="AQ186" s="16">
        <f t="shared" si="154"/>
        <v>0</v>
      </c>
      <c r="AR186" s="16">
        <f t="shared" si="154"/>
        <v>0</v>
      </c>
      <c r="AS186" s="16">
        <f t="shared" si="154"/>
        <v>0</v>
      </c>
      <c r="AT186" s="16">
        <f t="shared" si="155"/>
        <v>0</v>
      </c>
      <c r="AU186" s="16">
        <f t="shared" si="155"/>
        <v>0</v>
      </c>
      <c r="AV186" s="16">
        <f t="shared" si="155"/>
        <v>0</v>
      </c>
      <c r="AW186" s="16">
        <f t="shared" si="155"/>
        <v>0</v>
      </c>
      <c r="AX186" s="16">
        <f t="shared" si="155"/>
        <v>0</v>
      </c>
      <c r="AY186" s="16">
        <f t="shared" si="155"/>
        <v>0</v>
      </c>
      <c r="AZ186" s="16">
        <f t="shared" si="155"/>
        <v>0</v>
      </c>
      <c r="BA186" s="16">
        <f t="shared" si="155"/>
        <v>0</v>
      </c>
      <c r="BB186" s="16">
        <f t="shared" si="155"/>
        <v>0</v>
      </c>
      <c r="BC186" s="16">
        <f t="shared" si="155"/>
        <v>0</v>
      </c>
      <c r="BD186" s="16">
        <f t="shared" si="156"/>
        <v>0</v>
      </c>
      <c r="BE186" s="16">
        <f t="shared" si="156"/>
        <v>0</v>
      </c>
      <c r="BF186" s="16">
        <f t="shared" si="156"/>
        <v>0</v>
      </c>
      <c r="BG186" s="16">
        <f t="shared" si="156"/>
        <v>0</v>
      </c>
      <c r="BH186" s="16">
        <f t="shared" si="156"/>
        <v>0</v>
      </c>
      <c r="BI186" s="16">
        <f t="shared" si="156"/>
        <v>0</v>
      </c>
      <c r="BJ186" s="16">
        <f t="shared" si="156"/>
        <v>0</v>
      </c>
      <c r="BK186" s="16">
        <f t="shared" si="156"/>
        <v>0</v>
      </c>
      <c r="BL186" s="16">
        <f t="shared" si="156"/>
        <v>0</v>
      </c>
      <c r="BM186" s="16">
        <f t="shared" si="156"/>
        <v>0</v>
      </c>
      <c r="BN186" s="16">
        <f t="shared" si="156"/>
        <v>0</v>
      </c>
      <c r="BQ186" s="9">
        <f t="shared" si="151"/>
        <v>31</v>
      </c>
      <c r="BR186" s="16">
        <f t="shared" si="157"/>
        <v>0</v>
      </c>
      <c r="BS186" s="16">
        <f t="shared" si="157"/>
        <v>0</v>
      </c>
      <c r="BT186" s="16">
        <f t="shared" si="157"/>
        <v>0</v>
      </c>
      <c r="BU186" s="16">
        <f t="shared" si="157"/>
        <v>0</v>
      </c>
      <c r="BV186" s="16">
        <f t="shared" si="157"/>
        <v>0</v>
      </c>
      <c r="BW186" s="16">
        <f t="shared" si="157"/>
        <v>0</v>
      </c>
      <c r="BX186" s="16">
        <f t="shared" si="157"/>
        <v>0</v>
      </c>
      <c r="BY186" s="16">
        <f t="shared" si="157"/>
        <v>0</v>
      </c>
      <c r="BZ186" s="16">
        <f t="shared" si="157"/>
        <v>0</v>
      </c>
      <c r="CA186" s="16">
        <f t="shared" si="157"/>
        <v>0</v>
      </c>
      <c r="CB186" s="16">
        <f t="shared" si="158"/>
        <v>0</v>
      </c>
      <c r="CC186" s="16">
        <f t="shared" si="158"/>
        <v>0</v>
      </c>
      <c r="CD186" s="16">
        <f t="shared" si="158"/>
        <v>0</v>
      </c>
      <c r="CE186" s="16">
        <f t="shared" si="158"/>
        <v>0</v>
      </c>
      <c r="CF186" s="16">
        <f t="shared" si="158"/>
        <v>0</v>
      </c>
      <c r="CG186" s="16">
        <f t="shared" si="158"/>
        <v>0</v>
      </c>
      <c r="CH186" s="16">
        <f t="shared" si="158"/>
        <v>0</v>
      </c>
      <c r="CI186" s="16">
        <f t="shared" si="158"/>
        <v>0</v>
      </c>
      <c r="CJ186" s="16">
        <f t="shared" si="158"/>
        <v>-0.60729851378303246</v>
      </c>
      <c r="CK186" s="16">
        <f t="shared" si="158"/>
        <v>2.197240512067709</v>
      </c>
      <c r="CL186" s="16">
        <f t="shared" si="159"/>
        <v>-0.58994199828467675</v>
      </c>
      <c r="CM186" s="16">
        <f t="shared" si="159"/>
        <v>0</v>
      </c>
      <c r="CN186" s="16">
        <f t="shared" si="159"/>
        <v>0</v>
      </c>
      <c r="CO186" s="16">
        <f t="shared" si="159"/>
        <v>0</v>
      </c>
      <c r="CP186" s="16">
        <f t="shared" si="159"/>
        <v>0</v>
      </c>
      <c r="CQ186" s="16">
        <f t="shared" si="159"/>
        <v>0</v>
      </c>
      <c r="CR186" s="16">
        <f t="shared" si="159"/>
        <v>0</v>
      </c>
      <c r="CS186" s="16">
        <f t="shared" si="159"/>
        <v>0</v>
      </c>
      <c r="CT186" s="16">
        <f t="shared" si="159"/>
        <v>0</v>
      </c>
      <c r="CU186" s="16">
        <f t="shared" si="159"/>
        <v>0</v>
      </c>
      <c r="CV186" s="16">
        <f t="shared" si="160"/>
        <v>0</v>
      </c>
      <c r="CW186" s="16">
        <f t="shared" si="160"/>
        <v>0</v>
      </c>
      <c r="CX186" s="16">
        <f t="shared" si="160"/>
        <v>0</v>
      </c>
      <c r="CY186" s="16">
        <f t="shared" si="160"/>
        <v>0</v>
      </c>
      <c r="CZ186" s="16">
        <f t="shared" si="160"/>
        <v>0</v>
      </c>
      <c r="DA186" s="16">
        <f t="shared" si="160"/>
        <v>0</v>
      </c>
      <c r="DB186" s="16">
        <f t="shared" si="160"/>
        <v>0</v>
      </c>
      <c r="DC186" s="16">
        <f t="shared" si="160"/>
        <v>0</v>
      </c>
      <c r="DD186" s="16">
        <f t="shared" si="160"/>
        <v>0</v>
      </c>
      <c r="DE186" s="16">
        <f t="shared" si="160"/>
        <v>0</v>
      </c>
      <c r="DF186" s="16">
        <f t="shared" si="161"/>
        <v>0</v>
      </c>
      <c r="DG186" s="16">
        <f t="shared" si="161"/>
        <v>0</v>
      </c>
      <c r="DH186" s="16">
        <f t="shared" si="161"/>
        <v>0</v>
      </c>
      <c r="DI186" s="16">
        <f t="shared" si="161"/>
        <v>0</v>
      </c>
      <c r="DJ186" s="16">
        <f t="shared" si="161"/>
        <v>0</v>
      </c>
      <c r="DK186" s="16">
        <f t="shared" si="161"/>
        <v>0</v>
      </c>
      <c r="DL186" s="16">
        <f t="shared" si="161"/>
        <v>0</v>
      </c>
      <c r="DM186" s="16">
        <f t="shared" si="161"/>
        <v>0</v>
      </c>
      <c r="DN186" s="16">
        <f t="shared" si="161"/>
        <v>0</v>
      </c>
      <c r="DO186" s="16">
        <f t="shared" si="161"/>
        <v>0</v>
      </c>
      <c r="DP186" s="16">
        <f t="shared" si="161"/>
        <v>0</v>
      </c>
    </row>
    <row r="187" spans="2:120" x14ac:dyDescent="0.25">
      <c r="C187" s="1"/>
      <c r="D187" s="1"/>
      <c r="E187" s="1"/>
      <c r="F187" s="1"/>
      <c r="G187" s="1"/>
      <c r="H187" s="1"/>
      <c r="I187" s="1"/>
      <c r="J187" s="93"/>
      <c r="O187" s="9">
        <f t="shared" si="150"/>
        <v>30</v>
      </c>
      <c r="P187" s="16">
        <f t="shared" ref="P187:Y196" si="162">IF(P$166=$O187,1-HLOOKUP($O187,$O$19:$BN$48,P$107,0),IF(P$166-$O187=1,-HLOOKUP($O187,$O$15:$BN$30,P$107,0),IF(P$166-$O187=-1,-HLOOKUP($O187,$O$23:$BN$68,P$107,0),0)))</f>
        <v>0</v>
      </c>
      <c r="Q187" s="16">
        <f t="shared" si="162"/>
        <v>0</v>
      </c>
      <c r="R187" s="16">
        <f t="shared" si="162"/>
        <v>0</v>
      </c>
      <c r="S187" s="16">
        <f t="shared" si="162"/>
        <v>0</v>
      </c>
      <c r="T187" s="16">
        <f t="shared" si="162"/>
        <v>0</v>
      </c>
      <c r="U187" s="16">
        <f t="shared" si="162"/>
        <v>0</v>
      </c>
      <c r="V187" s="16">
        <f t="shared" si="162"/>
        <v>0</v>
      </c>
      <c r="W187" s="16">
        <f t="shared" si="162"/>
        <v>0</v>
      </c>
      <c r="X187" s="16">
        <f t="shared" si="162"/>
        <v>0</v>
      </c>
      <c r="Y187" s="16">
        <f t="shared" si="162"/>
        <v>0</v>
      </c>
      <c r="Z187" s="16">
        <f t="shared" ref="Z187:AI196" si="163">IF(Z$166=$O187,1-HLOOKUP($O187,$O$19:$BN$48,Z$107,0),IF(Z$166-$O187=1,-HLOOKUP($O187,$O$15:$BN$30,Z$107,0),IF(Z$166-$O187=-1,-HLOOKUP($O187,$O$23:$BN$68,Z$107,0),0)))</f>
        <v>0</v>
      </c>
      <c r="AA187" s="16">
        <f t="shared" si="163"/>
        <v>0</v>
      </c>
      <c r="AB187" s="16">
        <f t="shared" si="163"/>
        <v>0</v>
      </c>
      <c r="AC187" s="16">
        <f t="shared" si="163"/>
        <v>0</v>
      </c>
      <c r="AD187" s="16">
        <f t="shared" si="163"/>
        <v>0</v>
      </c>
      <c r="AE187" s="16">
        <f t="shared" si="163"/>
        <v>0</v>
      </c>
      <c r="AF187" s="16">
        <f t="shared" si="163"/>
        <v>0</v>
      </c>
      <c r="AG187" s="16">
        <f t="shared" si="163"/>
        <v>0</v>
      </c>
      <c r="AH187" s="16">
        <f t="shared" si="163"/>
        <v>0</v>
      </c>
      <c r="AI187" s="16">
        <f t="shared" si="163"/>
        <v>-0.4358548334471522</v>
      </c>
      <c r="AJ187" s="16">
        <f t="shared" ref="AJ187:AS196" si="164">IF(AJ$166=$O187,1-HLOOKUP($O187,$O$19:$BN$48,AJ$107,0),IF(AJ$166-$O187=1,-HLOOKUP($O187,$O$15:$BN$30,AJ$107,0),IF(AJ$166-$O187=-1,-HLOOKUP($O187,$O$23:$BN$68,AJ$107,0),0)))</f>
        <v>1.8592529903175175</v>
      </c>
      <c r="AK187" s="16">
        <f t="shared" si="164"/>
        <v>-0.42339815687036514</v>
      </c>
      <c r="AL187" s="16">
        <f t="shared" si="164"/>
        <v>0</v>
      </c>
      <c r="AM187" s="16">
        <f t="shared" si="164"/>
        <v>0</v>
      </c>
      <c r="AN187" s="16">
        <f t="shared" si="164"/>
        <v>0</v>
      </c>
      <c r="AO187" s="16">
        <f t="shared" si="164"/>
        <v>0</v>
      </c>
      <c r="AP187" s="16">
        <f t="shared" si="164"/>
        <v>0</v>
      </c>
      <c r="AQ187" s="16">
        <f t="shared" si="164"/>
        <v>0</v>
      </c>
      <c r="AR187" s="16">
        <f t="shared" si="164"/>
        <v>0</v>
      </c>
      <c r="AS187" s="16">
        <f t="shared" si="164"/>
        <v>0</v>
      </c>
      <c r="AT187" s="16">
        <f t="shared" ref="AT187:BC196" si="165">IF(AT$166=$O187,1-HLOOKUP($O187,$O$19:$BN$48,AT$107,0),IF(AT$166-$O187=1,-HLOOKUP($O187,$O$15:$BN$30,AT$107,0),IF(AT$166-$O187=-1,-HLOOKUP($O187,$O$23:$BN$68,AT$107,0),0)))</f>
        <v>0</v>
      </c>
      <c r="AU187" s="16">
        <f t="shared" si="165"/>
        <v>0</v>
      </c>
      <c r="AV187" s="16">
        <f t="shared" si="165"/>
        <v>0</v>
      </c>
      <c r="AW187" s="16">
        <f t="shared" si="165"/>
        <v>0</v>
      </c>
      <c r="AX187" s="16">
        <f t="shared" si="165"/>
        <v>0</v>
      </c>
      <c r="AY187" s="16">
        <f t="shared" si="165"/>
        <v>0</v>
      </c>
      <c r="AZ187" s="16">
        <f t="shared" si="165"/>
        <v>0</v>
      </c>
      <c r="BA187" s="16">
        <f t="shared" si="165"/>
        <v>0</v>
      </c>
      <c r="BB187" s="16">
        <f t="shared" si="165"/>
        <v>0</v>
      </c>
      <c r="BC187" s="16">
        <f t="shared" si="165"/>
        <v>0</v>
      </c>
      <c r="BD187" s="16">
        <f t="shared" ref="BD187:BN196" si="166">IF(BD$166=$O187,1-HLOOKUP($O187,$O$19:$BN$48,BD$107,0),IF(BD$166-$O187=1,-HLOOKUP($O187,$O$15:$BN$30,BD$107,0),IF(BD$166-$O187=-1,-HLOOKUP($O187,$O$23:$BN$68,BD$107,0),0)))</f>
        <v>0</v>
      </c>
      <c r="BE187" s="16">
        <f t="shared" si="166"/>
        <v>0</v>
      </c>
      <c r="BF187" s="16">
        <f t="shared" si="166"/>
        <v>0</v>
      </c>
      <c r="BG187" s="16">
        <f t="shared" si="166"/>
        <v>0</v>
      </c>
      <c r="BH187" s="16">
        <f t="shared" si="166"/>
        <v>0</v>
      </c>
      <c r="BI187" s="16">
        <f t="shared" si="166"/>
        <v>0</v>
      </c>
      <c r="BJ187" s="16">
        <f t="shared" si="166"/>
        <v>0</v>
      </c>
      <c r="BK187" s="16">
        <f t="shared" si="166"/>
        <v>0</v>
      </c>
      <c r="BL187" s="16">
        <f t="shared" si="166"/>
        <v>0</v>
      </c>
      <c r="BM187" s="16">
        <f t="shared" si="166"/>
        <v>0</v>
      </c>
      <c r="BN187" s="16">
        <f t="shared" si="166"/>
        <v>0</v>
      </c>
      <c r="BQ187" s="9">
        <f t="shared" si="151"/>
        <v>30</v>
      </c>
      <c r="BR187" s="16">
        <f t="shared" ref="BR187:CA196" si="167">IF(BR$166=$O187,1-HLOOKUP($O187,$O$19:$BN$48,BR$107,0),IF(BR$166-$O187=1,-HLOOKUP($O187,$O$15:$BN$30,BR$107,0),IF(BR$166-$O187=-1,-HLOOKUP($O187,$O$23:$BN$68,BR$107,0),0)))</f>
        <v>0</v>
      </c>
      <c r="BS187" s="16">
        <f t="shared" si="167"/>
        <v>0</v>
      </c>
      <c r="BT187" s="16">
        <f t="shared" si="167"/>
        <v>0</v>
      </c>
      <c r="BU187" s="16">
        <f t="shared" si="167"/>
        <v>0</v>
      </c>
      <c r="BV187" s="16">
        <f t="shared" si="167"/>
        <v>0</v>
      </c>
      <c r="BW187" s="16">
        <f t="shared" si="167"/>
        <v>0</v>
      </c>
      <c r="BX187" s="16">
        <f t="shared" si="167"/>
        <v>0</v>
      </c>
      <c r="BY187" s="16">
        <f t="shared" si="167"/>
        <v>0</v>
      </c>
      <c r="BZ187" s="16">
        <f t="shared" si="167"/>
        <v>0</v>
      </c>
      <c r="CA187" s="16">
        <f t="shared" si="167"/>
        <v>0</v>
      </c>
      <c r="CB187" s="16">
        <f t="shared" ref="CB187:CK196" si="168">IF(CB$166=$O187,1-HLOOKUP($O187,$O$19:$BN$48,CB$107,0),IF(CB$166-$O187=1,-HLOOKUP($O187,$O$15:$BN$30,CB$107,0),IF(CB$166-$O187=-1,-HLOOKUP($O187,$O$23:$BN$68,CB$107,0),0)))</f>
        <v>0</v>
      </c>
      <c r="CC187" s="16">
        <f t="shared" si="168"/>
        <v>0</v>
      </c>
      <c r="CD187" s="16">
        <f t="shared" si="168"/>
        <v>0</v>
      </c>
      <c r="CE187" s="16">
        <f t="shared" si="168"/>
        <v>0</v>
      </c>
      <c r="CF187" s="16">
        <f t="shared" si="168"/>
        <v>0</v>
      </c>
      <c r="CG187" s="16">
        <f t="shared" si="168"/>
        <v>0</v>
      </c>
      <c r="CH187" s="16">
        <f t="shared" si="168"/>
        <v>0</v>
      </c>
      <c r="CI187" s="16">
        <f t="shared" si="168"/>
        <v>0</v>
      </c>
      <c r="CJ187" s="16">
        <f t="shared" si="168"/>
        <v>0</v>
      </c>
      <c r="CK187" s="16">
        <f t="shared" si="168"/>
        <v>-0.65159998160301036</v>
      </c>
      <c r="CL187" s="16">
        <f t="shared" ref="CL187:CU196" si="169">IF(CL$166=$O187,1-HLOOKUP($O187,$O$19:$BN$48,CL$107,0),IF(CL$166-$O187=1,-HLOOKUP($O187,$O$15:$BN$30,CL$107,0),IF(CL$166-$O187=-1,-HLOOKUP($O187,$O$23:$BN$68,CL$107,0),0)))</f>
        <v>2.2845773173033148</v>
      </c>
      <c r="CM187" s="16">
        <f t="shared" si="169"/>
        <v>-0.63297733570030468</v>
      </c>
      <c r="CN187" s="16">
        <f t="shared" si="169"/>
        <v>0</v>
      </c>
      <c r="CO187" s="16">
        <f t="shared" si="169"/>
        <v>0</v>
      </c>
      <c r="CP187" s="16">
        <f t="shared" si="169"/>
        <v>0</v>
      </c>
      <c r="CQ187" s="16">
        <f t="shared" si="169"/>
        <v>0</v>
      </c>
      <c r="CR187" s="16">
        <f t="shared" si="169"/>
        <v>0</v>
      </c>
      <c r="CS187" s="16">
        <f t="shared" si="169"/>
        <v>0</v>
      </c>
      <c r="CT187" s="16">
        <f t="shared" si="169"/>
        <v>0</v>
      </c>
      <c r="CU187" s="16">
        <f t="shared" si="169"/>
        <v>0</v>
      </c>
      <c r="CV187" s="16">
        <f t="shared" ref="CV187:DE196" si="170">IF(CV$166=$O187,1-HLOOKUP($O187,$O$19:$BN$48,CV$107,0),IF(CV$166-$O187=1,-HLOOKUP($O187,$O$15:$BN$30,CV$107,0),IF(CV$166-$O187=-1,-HLOOKUP($O187,$O$23:$BN$68,CV$107,0),0)))</f>
        <v>0</v>
      </c>
      <c r="CW187" s="16">
        <f t="shared" si="170"/>
        <v>0</v>
      </c>
      <c r="CX187" s="16">
        <f t="shared" si="170"/>
        <v>0</v>
      </c>
      <c r="CY187" s="16">
        <f t="shared" si="170"/>
        <v>0</v>
      </c>
      <c r="CZ187" s="16">
        <f t="shared" si="170"/>
        <v>0</v>
      </c>
      <c r="DA187" s="16">
        <f t="shared" si="170"/>
        <v>0</v>
      </c>
      <c r="DB187" s="16">
        <f t="shared" si="170"/>
        <v>0</v>
      </c>
      <c r="DC187" s="16">
        <f t="shared" si="170"/>
        <v>0</v>
      </c>
      <c r="DD187" s="16">
        <f t="shared" si="170"/>
        <v>0</v>
      </c>
      <c r="DE187" s="16">
        <f t="shared" si="170"/>
        <v>0</v>
      </c>
      <c r="DF187" s="16">
        <f t="shared" ref="DF187:DP196" si="171">IF(DF$166=$O187,1-HLOOKUP($O187,$O$19:$BN$48,DF$107,0),IF(DF$166-$O187=1,-HLOOKUP($O187,$O$15:$BN$30,DF$107,0),IF(DF$166-$O187=-1,-HLOOKUP($O187,$O$23:$BN$68,DF$107,0),0)))</f>
        <v>0</v>
      </c>
      <c r="DG187" s="16">
        <f t="shared" si="171"/>
        <v>0</v>
      </c>
      <c r="DH187" s="16">
        <f t="shared" si="171"/>
        <v>0</v>
      </c>
      <c r="DI187" s="16">
        <f t="shared" si="171"/>
        <v>0</v>
      </c>
      <c r="DJ187" s="16">
        <f t="shared" si="171"/>
        <v>0</v>
      </c>
      <c r="DK187" s="16">
        <f t="shared" si="171"/>
        <v>0</v>
      </c>
      <c r="DL187" s="16">
        <f t="shared" si="171"/>
        <v>0</v>
      </c>
      <c r="DM187" s="16">
        <f t="shared" si="171"/>
        <v>0</v>
      </c>
      <c r="DN187" s="16">
        <f t="shared" si="171"/>
        <v>0</v>
      </c>
      <c r="DO187" s="16">
        <f t="shared" si="171"/>
        <v>0</v>
      </c>
      <c r="DP187" s="16">
        <f t="shared" si="171"/>
        <v>0</v>
      </c>
    </row>
    <row r="188" spans="2:120" x14ac:dyDescent="0.25">
      <c r="C188" s="1"/>
      <c r="D188" s="1"/>
      <c r="E188" s="1"/>
      <c r="F188" s="1"/>
      <c r="G188" s="1"/>
      <c r="H188" s="1"/>
      <c r="I188" s="1"/>
      <c r="J188" s="93"/>
      <c r="O188" s="9">
        <f t="shared" si="150"/>
        <v>29</v>
      </c>
      <c r="P188" s="16">
        <f t="shared" si="162"/>
        <v>0</v>
      </c>
      <c r="Q188" s="16">
        <f t="shared" si="162"/>
        <v>0</v>
      </c>
      <c r="R188" s="16">
        <f t="shared" si="162"/>
        <v>0</v>
      </c>
      <c r="S188" s="16">
        <f t="shared" si="162"/>
        <v>0</v>
      </c>
      <c r="T188" s="16">
        <f t="shared" si="162"/>
        <v>0</v>
      </c>
      <c r="U188" s="16">
        <f t="shared" si="162"/>
        <v>0</v>
      </c>
      <c r="V188" s="16">
        <f t="shared" si="162"/>
        <v>0</v>
      </c>
      <c r="W188" s="16">
        <f t="shared" si="162"/>
        <v>0</v>
      </c>
      <c r="X188" s="16">
        <f t="shared" si="162"/>
        <v>0</v>
      </c>
      <c r="Y188" s="16">
        <f t="shared" si="162"/>
        <v>0</v>
      </c>
      <c r="Z188" s="16">
        <f t="shared" si="163"/>
        <v>0</v>
      </c>
      <c r="AA188" s="16">
        <f t="shared" si="163"/>
        <v>0</v>
      </c>
      <c r="AB188" s="16">
        <f t="shared" si="163"/>
        <v>0</v>
      </c>
      <c r="AC188" s="16">
        <f t="shared" si="163"/>
        <v>0</v>
      </c>
      <c r="AD188" s="16">
        <f t="shared" si="163"/>
        <v>0</v>
      </c>
      <c r="AE188" s="16">
        <f t="shared" si="163"/>
        <v>0</v>
      </c>
      <c r="AF188" s="16">
        <f t="shared" si="163"/>
        <v>0</v>
      </c>
      <c r="AG188" s="16">
        <f t="shared" si="163"/>
        <v>0</v>
      </c>
      <c r="AH188" s="16">
        <f t="shared" si="163"/>
        <v>0</v>
      </c>
      <c r="AI188" s="16">
        <f t="shared" si="163"/>
        <v>0</v>
      </c>
      <c r="AJ188" s="16">
        <f t="shared" si="164"/>
        <v>-0.49073925967617937</v>
      </c>
      <c r="AK188" s="16">
        <f t="shared" si="164"/>
        <v>1.9674532527447344</v>
      </c>
      <c r="AL188" s="16">
        <f t="shared" si="164"/>
        <v>-0.47671399306855489</v>
      </c>
      <c r="AM188" s="16">
        <f t="shared" si="164"/>
        <v>0</v>
      </c>
      <c r="AN188" s="16">
        <f t="shared" si="164"/>
        <v>0</v>
      </c>
      <c r="AO188" s="16">
        <f t="shared" si="164"/>
        <v>0</v>
      </c>
      <c r="AP188" s="16">
        <f t="shared" si="164"/>
        <v>0</v>
      </c>
      <c r="AQ188" s="16">
        <f t="shared" si="164"/>
        <v>0</v>
      </c>
      <c r="AR188" s="16">
        <f t="shared" si="164"/>
        <v>0</v>
      </c>
      <c r="AS188" s="16">
        <f t="shared" si="164"/>
        <v>0</v>
      </c>
      <c r="AT188" s="16">
        <f t="shared" si="165"/>
        <v>0</v>
      </c>
      <c r="AU188" s="16">
        <f t="shared" si="165"/>
        <v>0</v>
      </c>
      <c r="AV188" s="16">
        <f t="shared" si="165"/>
        <v>0</v>
      </c>
      <c r="AW188" s="16">
        <f t="shared" si="165"/>
        <v>0</v>
      </c>
      <c r="AX188" s="16">
        <f t="shared" si="165"/>
        <v>0</v>
      </c>
      <c r="AY188" s="16">
        <f t="shared" si="165"/>
        <v>0</v>
      </c>
      <c r="AZ188" s="16">
        <f t="shared" si="165"/>
        <v>0</v>
      </c>
      <c r="BA188" s="16">
        <f t="shared" si="165"/>
        <v>0</v>
      </c>
      <c r="BB188" s="16">
        <f t="shared" si="165"/>
        <v>0</v>
      </c>
      <c r="BC188" s="16">
        <f t="shared" si="165"/>
        <v>0</v>
      </c>
      <c r="BD188" s="16">
        <f t="shared" si="166"/>
        <v>0</v>
      </c>
      <c r="BE188" s="16">
        <f t="shared" si="166"/>
        <v>0</v>
      </c>
      <c r="BF188" s="16">
        <f t="shared" si="166"/>
        <v>0</v>
      </c>
      <c r="BG188" s="16">
        <f t="shared" si="166"/>
        <v>0</v>
      </c>
      <c r="BH188" s="16">
        <f t="shared" si="166"/>
        <v>0</v>
      </c>
      <c r="BI188" s="16">
        <f t="shared" si="166"/>
        <v>0</v>
      </c>
      <c r="BJ188" s="16">
        <f t="shared" si="166"/>
        <v>0</v>
      </c>
      <c r="BK188" s="16">
        <f t="shared" si="166"/>
        <v>0</v>
      </c>
      <c r="BL188" s="16">
        <f t="shared" si="166"/>
        <v>0</v>
      </c>
      <c r="BM188" s="16">
        <f t="shared" si="166"/>
        <v>0</v>
      </c>
      <c r="BN188" s="16">
        <f t="shared" si="166"/>
        <v>0</v>
      </c>
      <c r="BQ188" s="9">
        <f t="shared" si="151"/>
        <v>29</v>
      </c>
      <c r="BR188" s="16">
        <f t="shared" si="167"/>
        <v>0</v>
      </c>
      <c r="BS188" s="16">
        <f t="shared" si="167"/>
        <v>0</v>
      </c>
      <c r="BT188" s="16">
        <f t="shared" si="167"/>
        <v>0</v>
      </c>
      <c r="BU188" s="16">
        <f t="shared" si="167"/>
        <v>0</v>
      </c>
      <c r="BV188" s="16">
        <f t="shared" si="167"/>
        <v>0</v>
      </c>
      <c r="BW188" s="16">
        <f t="shared" si="167"/>
        <v>0</v>
      </c>
      <c r="BX188" s="16">
        <f t="shared" si="167"/>
        <v>0</v>
      </c>
      <c r="BY188" s="16">
        <f t="shared" si="167"/>
        <v>0</v>
      </c>
      <c r="BZ188" s="16">
        <f t="shared" si="167"/>
        <v>0</v>
      </c>
      <c r="CA188" s="16">
        <f t="shared" si="167"/>
        <v>0</v>
      </c>
      <c r="CB188" s="16">
        <f t="shared" si="168"/>
        <v>0</v>
      </c>
      <c r="CC188" s="16">
        <f t="shared" si="168"/>
        <v>0</v>
      </c>
      <c r="CD188" s="16">
        <f t="shared" si="168"/>
        <v>0</v>
      </c>
      <c r="CE188" s="16">
        <f t="shared" si="168"/>
        <v>0</v>
      </c>
      <c r="CF188" s="16">
        <f t="shared" si="168"/>
        <v>0</v>
      </c>
      <c r="CG188" s="16">
        <f t="shared" si="168"/>
        <v>0</v>
      </c>
      <c r="CH188" s="16">
        <f t="shared" si="168"/>
        <v>0</v>
      </c>
      <c r="CI188" s="16">
        <f t="shared" si="168"/>
        <v>0</v>
      </c>
      <c r="CJ188" s="16">
        <f t="shared" si="168"/>
        <v>0</v>
      </c>
      <c r="CK188" s="16">
        <f t="shared" si="168"/>
        <v>0</v>
      </c>
      <c r="CL188" s="16">
        <f t="shared" si="169"/>
        <v>-0.65909970057541933</v>
      </c>
      <c r="CM188" s="16">
        <f t="shared" si="169"/>
        <v>2.299362414218765</v>
      </c>
      <c r="CN188" s="16">
        <f t="shared" si="169"/>
        <v>-0.64026271364334564</v>
      </c>
      <c r="CO188" s="16">
        <f t="shared" si="169"/>
        <v>0</v>
      </c>
      <c r="CP188" s="16">
        <f t="shared" si="169"/>
        <v>0</v>
      </c>
      <c r="CQ188" s="16">
        <f t="shared" si="169"/>
        <v>0</v>
      </c>
      <c r="CR188" s="16">
        <f t="shared" si="169"/>
        <v>0</v>
      </c>
      <c r="CS188" s="16">
        <f t="shared" si="169"/>
        <v>0</v>
      </c>
      <c r="CT188" s="16">
        <f t="shared" si="169"/>
        <v>0</v>
      </c>
      <c r="CU188" s="16">
        <f t="shared" si="169"/>
        <v>0</v>
      </c>
      <c r="CV188" s="16">
        <f t="shared" si="170"/>
        <v>0</v>
      </c>
      <c r="CW188" s="16">
        <f t="shared" si="170"/>
        <v>0</v>
      </c>
      <c r="CX188" s="16">
        <f t="shared" si="170"/>
        <v>0</v>
      </c>
      <c r="CY188" s="16">
        <f t="shared" si="170"/>
        <v>0</v>
      </c>
      <c r="CZ188" s="16">
        <f t="shared" si="170"/>
        <v>0</v>
      </c>
      <c r="DA188" s="16">
        <f t="shared" si="170"/>
        <v>0</v>
      </c>
      <c r="DB188" s="16">
        <f t="shared" si="170"/>
        <v>0</v>
      </c>
      <c r="DC188" s="16">
        <f t="shared" si="170"/>
        <v>0</v>
      </c>
      <c r="DD188" s="16">
        <f t="shared" si="170"/>
        <v>0</v>
      </c>
      <c r="DE188" s="16">
        <f t="shared" si="170"/>
        <v>0</v>
      </c>
      <c r="DF188" s="16">
        <f t="shared" si="171"/>
        <v>0</v>
      </c>
      <c r="DG188" s="16">
        <f t="shared" si="171"/>
        <v>0</v>
      </c>
      <c r="DH188" s="16">
        <f t="shared" si="171"/>
        <v>0</v>
      </c>
      <c r="DI188" s="16">
        <f t="shared" si="171"/>
        <v>0</v>
      </c>
      <c r="DJ188" s="16">
        <f t="shared" si="171"/>
        <v>0</v>
      </c>
      <c r="DK188" s="16">
        <f t="shared" si="171"/>
        <v>0</v>
      </c>
      <c r="DL188" s="16">
        <f t="shared" si="171"/>
        <v>0</v>
      </c>
      <c r="DM188" s="16">
        <f t="shared" si="171"/>
        <v>0</v>
      </c>
      <c r="DN188" s="16">
        <f t="shared" si="171"/>
        <v>0</v>
      </c>
      <c r="DO188" s="16">
        <f t="shared" si="171"/>
        <v>0</v>
      </c>
      <c r="DP188" s="16">
        <f t="shared" si="171"/>
        <v>0</v>
      </c>
    </row>
    <row r="189" spans="2:120" x14ac:dyDescent="0.25">
      <c r="C189" s="1"/>
      <c r="D189" s="1"/>
      <c r="E189" s="1"/>
      <c r="F189" s="1"/>
      <c r="G189" s="1"/>
      <c r="H189" s="1"/>
      <c r="I189" s="1"/>
      <c r="J189" s="93"/>
      <c r="O189" s="9">
        <f t="shared" si="150"/>
        <v>28</v>
      </c>
      <c r="P189" s="16">
        <f t="shared" si="162"/>
        <v>0</v>
      </c>
      <c r="Q189" s="16">
        <f t="shared" si="162"/>
        <v>0</v>
      </c>
      <c r="R189" s="16">
        <f t="shared" si="162"/>
        <v>0</v>
      </c>
      <c r="S189" s="16">
        <f t="shared" si="162"/>
        <v>0</v>
      </c>
      <c r="T189" s="16">
        <f t="shared" si="162"/>
        <v>0</v>
      </c>
      <c r="U189" s="16">
        <f t="shared" si="162"/>
        <v>0</v>
      </c>
      <c r="V189" s="16">
        <f t="shared" si="162"/>
        <v>0</v>
      </c>
      <c r="W189" s="16">
        <f t="shared" si="162"/>
        <v>0</v>
      </c>
      <c r="X189" s="16">
        <f t="shared" si="162"/>
        <v>0</v>
      </c>
      <c r="Y189" s="16">
        <f t="shared" si="162"/>
        <v>0</v>
      </c>
      <c r="Z189" s="16">
        <f t="shared" si="163"/>
        <v>0</v>
      </c>
      <c r="AA189" s="16">
        <f t="shared" si="163"/>
        <v>0</v>
      </c>
      <c r="AB189" s="16">
        <f t="shared" si="163"/>
        <v>0</v>
      </c>
      <c r="AC189" s="16">
        <f t="shared" si="163"/>
        <v>0</v>
      </c>
      <c r="AD189" s="16">
        <f t="shared" si="163"/>
        <v>0</v>
      </c>
      <c r="AE189" s="16">
        <f t="shared" si="163"/>
        <v>0</v>
      </c>
      <c r="AF189" s="16">
        <f t="shared" si="163"/>
        <v>0</v>
      </c>
      <c r="AG189" s="16">
        <f t="shared" si="163"/>
        <v>0</v>
      </c>
      <c r="AH189" s="16">
        <f t="shared" si="163"/>
        <v>0</v>
      </c>
      <c r="AI189" s="16">
        <f t="shared" si="163"/>
        <v>0</v>
      </c>
      <c r="AJ189" s="16">
        <f t="shared" si="164"/>
        <v>0</v>
      </c>
      <c r="AK189" s="16">
        <f t="shared" si="164"/>
        <v>-0.40221301760057793</v>
      </c>
      <c r="AL189" s="16">
        <f t="shared" si="164"/>
        <v>1.7929308375097635</v>
      </c>
      <c r="AM189" s="16">
        <f t="shared" si="164"/>
        <v>-0.39071781990918547</v>
      </c>
      <c r="AN189" s="16">
        <f t="shared" si="164"/>
        <v>0</v>
      </c>
      <c r="AO189" s="16">
        <f t="shared" si="164"/>
        <v>0</v>
      </c>
      <c r="AP189" s="16">
        <f t="shared" si="164"/>
        <v>0</v>
      </c>
      <c r="AQ189" s="16">
        <f t="shared" si="164"/>
        <v>0</v>
      </c>
      <c r="AR189" s="16">
        <f t="shared" si="164"/>
        <v>0</v>
      </c>
      <c r="AS189" s="16">
        <f t="shared" si="164"/>
        <v>0</v>
      </c>
      <c r="AT189" s="16">
        <f t="shared" si="165"/>
        <v>0</v>
      </c>
      <c r="AU189" s="16">
        <f t="shared" si="165"/>
        <v>0</v>
      </c>
      <c r="AV189" s="16">
        <f t="shared" si="165"/>
        <v>0</v>
      </c>
      <c r="AW189" s="16">
        <f t="shared" si="165"/>
        <v>0</v>
      </c>
      <c r="AX189" s="16">
        <f t="shared" si="165"/>
        <v>0</v>
      </c>
      <c r="AY189" s="16">
        <f t="shared" si="165"/>
        <v>0</v>
      </c>
      <c r="AZ189" s="16">
        <f t="shared" si="165"/>
        <v>0</v>
      </c>
      <c r="BA189" s="16">
        <f t="shared" si="165"/>
        <v>0</v>
      </c>
      <c r="BB189" s="16">
        <f t="shared" si="165"/>
        <v>0</v>
      </c>
      <c r="BC189" s="16">
        <f t="shared" si="165"/>
        <v>0</v>
      </c>
      <c r="BD189" s="16">
        <f t="shared" si="166"/>
        <v>0</v>
      </c>
      <c r="BE189" s="16">
        <f t="shared" si="166"/>
        <v>0</v>
      </c>
      <c r="BF189" s="16">
        <f t="shared" si="166"/>
        <v>0</v>
      </c>
      <c r="BG189" s="16">
        <f t="shared" si="166"/>
        <v>0</v>
      </c>
      <c r="BH189" s="16">
        <f t="shared" si="166"/>
        <v>0</v>
      </c>
      <c r="BI189" s="16">
        <f t="shared" si="166"/>
        <v>0</v>
      </c>
      <c r="BJ189" s="16">
        <f t="shared" si="166"/>
        <v>0</v>
      </c>
      <c r="BK189" s="16">
        <f t="shared" si="166"/>
        <v>0</v>
      </c>
      <c r="BL189" s="16">
        <f t="shared" si="166"/>
        <v>0</v>
      </c>
      <c r="BM189" s="16">
        <f t="shared" si="166"/>
        <v>0</v>
      </c>
      <c r="BN189" s="16">
        <f t="shared" si="166"/>
        <v>0</v>
      </c>
      <c r="BQ189" s="9">
        <f t="shared" si="151"/>
        <v>28</v>
      </c>
      <c r="BR189" s="16">
        <f t="shared" si="167"/>
        <v>0</v>
      </c>
      <c r="BS189" s="16">
        <f t="shared" si="167"/>
        <v>0</v>
      </c>
      <c r="BT189" s="16">
        <f t="shared" si="167"/>
        <v>0</v>
      </c>
      <c r="BU189" s="16">
        <f t="shared" si="167"/>
        <v>0</v>
      </c>
      <c r="BV189" s="16">
        <f t="shared" si="167"/>
        <v>0</v>
      </c>
      <c r="BW189" s="16">
        <f t="shared" si="167"/>
        <v>0</v>
      </c>
      <c r="BX189" s="16">
        <f t="shared" si="167"/>
        <v>0</v>
      </c>
      <c r="BY189" s="16">
        <f t="shared" si="167"/>
        <v>0</v>
      </c>
      <c r="BZ189" s="16">
        <f t="shared" si="167"/>
        <v>0</v>
      </c>
      <c r="CA189" s="16">
        <f t="shared" si="167"/>
        <v>0</v>
      </c>
      <c r="CB189" s="16">
        <f t="shared" si="168"/>
        <v>0</v>
      </c>
      <c r="CC189" s="16">
        <f t="shared" si="168"/>
        <v>0</v>
      </c>
      <c r="CD189" s="16">
        <f t="shared" si="168"/>
        <v>0</v>
      </c>
      <c r="CE189" s="16">
        <f t="shared" si="168"/>
        <v>0</v>
      </c>
      <c r="CF189" s="16">
        <f t="shared" si="168"/>
        <v>0</v>
      </c>
      <c r="CG189" s="16">
        <f t="shared" si="168"/>
        <v>0</v>
      </c>
      <c r="CH189" s="16">
        <f t="shared" si="168"/>
        <v>0</v>
      </c>
      <c r="CI189" s="16">
        <f t="shared" si="168"/>
        <v>0</v>
      </c>
      <c r="CJ189" s="16">
        <f t="shared" si="168"/>
        <v>0</v>
      </c>
      <c r="CK189" s="16">
        <f t="shared" si="168"/>
        <v>0</v>
      </c>
      <c r="CL189" s="16">
        <f t="shared" si="169"/>
        <v>0</v>
      </c>
      <c r="CM189" s="16">
        <f t="shared" si="169"/>
        <v>-0.54057767401785162</v>
      </c>
      <c r="CN189" s="16">
        <f t="shared" si="169"/>
        <v>2.0657057057852892</v>
      </c>
      <c r="CO189" s="16">
        <f t="shared" si="169"/>
        <v>-0.52512803176743772</v>
      </c>
      <c r="CP189" s="16">
        <f t="shared" si="169"/>
        <v>0</v>
      </c>
      <c r="CQ189" s="16">
        <f t="shared" si="169"/>
        <v>0</v>
      </c>
      <c r="CR189" s="16">
        <f t="shared" si="169"/>
        <v>0</v>
      </c>
      <c r="CS189" s="16">
        <f t="shared" si="169"/>
        <v>0</v>
      </c>
      <c r="CT189" s="16">
        <f t="shared" si="169"/>
        <v>0</v>
      </c>
      <c r="CU189" s="16">
        <f t="shared" si="169"/>
        <v>0</v>
      </c>
      <c r="CV189" s="16">
        <f t="shared" si="170"/>
        <v>0</v>
      </c>
      <c r="CW189" s="16">
        <f t="shared" si="170"/>
        <v>0</v>
      </c>
      <c r="CX189" s="16">
        <f t="shared" si="170"/>
        <v>0</v>
      </c>
      <c r="CY189" s="16">
        <f t="shared" si="170"/>
        <v>0</v>
      </c>
      <c r="CZ189" s="16">
        <f t="shared" si="170"/>
        <v>0</v>
      </c>
      <c r="DA189" s="16">
        <f t="shared" si="170"/>
        <v>0</v>
      </c>
      <c r="DB189" s="16">
        <f t="shared" si="170"/>
        <v>0</v>
      </c>
      <c r="DC189" s="16">
        <f t="shared" si="170"/>
        <v>0</v>
      </c>
      <c r="DD189" s="16">
        <f t="shared" si="170"/>
        <v>0</v>
      </c>
      <c r="DE189" s="16">
        <f t="shared" si="170"/>
        <v>0</v>
      </c>
      <c r="DF189" s="16">
        <f t="shared" si="171"/>
        <v>0</v>
      </c>
      <c r="DG189" s="16">
        <f t="shared" si="171"/>
        <v>0</v>
      </c>
      <c r="DH189" s="16">
        <f t="shared" si="171"/>
        <v>0</v>
      </c>
      <c r="DI189" s="16">
        <f t="shared" si="171"/>
        <v>0</v>
      </c>
      <c r="DJ189" s="16">
        <f t="shared" si="171"/>
        <v>0</v>
      </c>
      <c r="DK189" s="16">
        <f t="shared" si="171"/>
        <v>0</v>
      </c>
      <c r="DL189" s="16">
        <f t="shared" si="171"/>
        <v>0</v>
      </c>
      <c r="DM189" s="16">
        <f t="shared" si="171"/>
        <v>0</v>
      </c>
      <c r="DN189" s="16">
        <f t="shared" si="171"/>
        <v>0</v>
      </c>
      <c r="DO189" s="16">
        <f t="shared" si="171"/>
        <v>0</v>
      </c>
      <c r="DP189" s="16">
        <f t="shared" si="171"/>
        <v>0</v>
      </c>
    </row>
    <row r="190" spans="2:120" x14ac:dyDescent="0.25">
      <c r="C190" s="1"/>
      <c r="D190" s="1"/>
      <c r="E190" s="1"/>
      <c r="F190" s="1"/>
      <c r="G190" s="1"/>
      <c r="H190" s="1"/>
      <c r="I190" s="1"/>
      <c r="J190" s="93"/>
      <c r="O190" s="9">
        <f t="shared" si="150"/>
        <v>27</v>
      </c>
      <c r="P190" s="16">
        <f t="shared" si="162"/>
        <v>0</v>
      </c>
      <c r="Q190" s="16">
        <f t="shared" si="162"/>
        <v>0</v>
      </c>
      <c r="R190" s="16">
        <f t="shared" si="162"/>
        <v>0</v>
      </c>
      <c r="S190" s="16">
        <f t="shared" si="162"/>
        <v>0</v>
      </c>
      <c r="T190" s="16">
        <f t="shared" si="162"/>
        <v>0</v>
      </c>
      <c r="U190" s="16">
        <f t="shared" si="162"/>
        <v>0</v>
      </c>
      <c r="V190" s="16">
        <f t="shared" si="162"/>
        <v>0</v>
      </c>
      <c r="W190" s="16">
        <f t="shared" si="162"/>
        <v>0</v>
      </c>
      <c r="X190" s="16">
        <f t="shared" si="162"/>
        <v>0</v>
      </c>
      <c r="Y190" s="16">
        <f t="shared" si="162"/>
        <v>0</v>
      </c>
      <c r="Z190" s="16">
        <f t="shared" si="163"/>
        <v>0</v>
      </c>
      <c r="AA190" s="16">
        <f t="shared" si="163"/>
        <v>0</v>
      </c>
      <c r="AB190" s="16">
        <f t="shared" si="163"/>
        <v>0</v>
      </c>
      <c r="AC190" s="16">
        <f t="shared" si="163"/>
        <v>0</v>
      </c>
      <c r="AD190" s="16">
        <f t="shared" si="163"/>
        <v>0</v>
      </c>
      <c r="AE190" s="16">
        <f t="shared" si="163"/>
        <v>0</v>
      </c>
      <c r="AF190" s="16">
        <f t="shared" si="163"/>
        <v>0</v>
      </c>
      <c r="AG190" s="16">
        <f t="shared" si="163"/>
        <v>0</v>
      </c>
      <c r="AH190" s="16">
        <f t="shared" si="163"/>
        <v>0</v>
      </c>
      <c r="AI190" s="16">
        <f t="shared" si="163"/>
        <v>0</v>
      </c>
      <c r="AJ190" s="16">
        <f t="shared" si="164"/>
        <v>0</v>
      </c>
      <c r="AK190" s="16">
        <f t="shared" si="164"/>
        <v>0</v>
      </c>
      <c r="AL190" s="16">
        <f t="shared" si="164"/>
        <v>-0.32568166995536668</v>
      </c>
      <c r="AM190" s="16">
        <f t="shared" si="164"/>
        <v>1.6420553985543509</v>
      </c>
      <c r="AN190" s="16">
        <f t="shared" si="164"/>
        <v>-0.31637372859898427</v>
      </c>
      <c r="AO190" s="16">
        <f t="shared" si="164"/>
        <v>0</v>
      </c>
      <c r="AP190" s="16">
        <f t="shared" si="164"/>
        <v>0</v>
      </c>
      <c r="AQ190" s="16">
        <f t="shared" si="164"/>
        <v>0</v>
      </c>
      <c r="AR190" s="16">
        <f t="shared" si="164"/>
        <v>0</v>
      </c>
      <c r="AS190" s="16">
        <f t="shared" si="164"/>
        <v>0</v>
      </c>
      <c r="AT190" s="16">
        <f t="shared" si="165"/>
        <v>0</v>
      </c>
      <c r="AU190" s="16">
        <f t="shared" si="165"/>
        <v>0</v>
      </c>
      <c r="AV190" s="16">
        <f t="shared" si="165"/>
        <v>0</v>
      </c>
      <c r="AW190" s="16">
        <f t="shared" si="165"/>
        <v>0</v>
      </c>
      <c r="AX190" s="16">
        <f t="shared" si="165"/>
        <v>0</v>
      </c>
      <c r="AY190" s="16">
        <f t="shared" si="165"/>
        <v>0</v>
      </c>
      <c r="AZ190" s="16">
        <f t="shared" si="165"/>
        <v>0</v>
      </c>
      <c r="BA190" s="16">
        <f t="shared" si="165"/>
        <v>0</v>
      </c>
      <c r="BB190" s="16">
        <f t="shared" si="165"/>
        <v>0</v>
      </c>
      <c r="BC190" s="16">
        <f t="shared" si="165"/>
        <v>0</v>
      </c>
      <c r="BD190" s="16">
        <f t="shared" si="166"/>
        <v>0</v>
      </c>
      <c r="BE190" s="16">
        <f t="shared" si="166"/>
        <v>0</v>
      </c>
      <c r="BF190" s="16">
        <f t="shared" si="166"/>
        <v>0</v>
      </c>
      <c r="BG190" s="16">
        <f t="shared" si="166"/>
        <v>0</v>
      </c>
      <c r="BH190" s="16">
        <f t="shared" si="166"/>
        <v>0</v>
      </c>
      <c r="BI190" s="16">
        <f t="shared" si="166"/>
        <v>0</v>
      </c>
      <c r="BJ190" s="16">
        <f t="shared" si="166"/>
        <v>0</v>
      </c>
      <c r="BK190" s="16">
        <f t="shared" si="166"/>
        <v>0</v>
      </c>
      <c r="BL190" s="16">
        <f t="shared" si="166"/>
        <v>0</v>
      </c>
      <c r="BM190" s="16">
        <f t="shared" si="166"/>
        <v>0</v>
      </c>
      <c r="BN190" s="16">
        <f t="shared" si="166"/>
        <v>0</v>
      </c>
      <c r="BQ190" s="9">
        <f t="shared" si="151"/>
        <v>27</v>
      </c>
      <c r="BR190" s="16">
        <f t="shared" si="167"/>
        <v>0</v>
      </c>
      <c r="BS190" s="16">
        <f t="shared" si="167"/>
        <v>0</v>
      </c>
      <c r="BT190" s="16">
        <f t="shared" si="167"/>
        <v>0</v>
      </c>
      <c r="BU190" s="16">
        <f t="shared" si="167"/>
        <v>0</v>
      </c>
      <c r="BV190" s="16">
        <f t="shared" si="167"/>
        <v>0</v>
      </c>
      <c r="BW190" s="16">
        <f t="shared" si="167"/>
        <v>0</v>
      </c>
      <c r="BX190" s="16">
        <f t="shared" si="167"/>
        <v>0</v>
      </c>
      <c r="BY190" s="16">
        <f t="shared" si="167"/>
        <v>0</v>
      </c>
      <c r="BZ190" s="16">
        <f t="shared" si="167"/>
        <v>0</v>
      </c>
      <c r="CA190" s="16">
        <f t="shared" si="167"/>
        <v>0</v>
      </c>
      <c r="CB190" s="16">
        <f t="shared" si="168"/>
        <v>0</v>
      </c>
      <c r="CC190" s="16">
        <f t="shared" si="168"/>
        <v>0</v>
      </c>
      <c r="CD190" s="16">
        <f t="shared" si="168"/>
        <v>0</v>
      </c>
      <c r="CE190" s="16">
        <f t="shared" si="168"/>
        <v>0</v>
      </c>
      <c r="CF190" s="16">
        <f t="shared" si="168"/>
        <v>0</v>
      </c>
      <c r="CG190" s="16">
        <f t="shared" si="168"/>
        <v>0</v>
      </c>
      <c r="CH190" s="16">
        <f t="shared" si="168"/>
        <v>0</v>
      </c>
      <c r="CI190" s="16">
        <f t="shared" si="168"/>
        <v>0</v>
      </c>
      <c r="CJ190" s="16">
        <f t="shared" si="168"/>
        <v>0</v>
      </c>
      <c r="CK190" s="16">
        <f t="shared" si="168"/>
        <v>0</v>
      </c>
      <c r="CL190" s="16">
        <f t="shared" si="169"/>
        <v>0</v>
      </c>
      <c r="CM190" s="16">
        <f t="shared" si="169"/>
        <v>0</v>
      </c>
      <c r="CN190" s="16">
        <f t="shared" si="169"/>
        <v>-0.43919759217394677</v>
      </c>
      <c r="CO190" s="16">
        <f t="shared" si="169"/>
        <v>1.8658429721451628</v>
      </c>
      <c r="CP190" s="16">
        <f t="shared" si="169"/>
        <v>-0.42664537997121604</v>
      </c>
      <c r="CQ190" s="16">
        <f t="shared" si="169"/>
        <v>0</v>
      </c>
      <c r="CR190" s="16">
        <f t="shared" si="169"/>
        <v>0</v>
      </c>
      <c r="CS190" s="16">
        <f t="shared" si="169"/>
        <v>0</v>
      </c>
      <c r="CT190" s="16">
        <f t="shared" si="169"/>
        <v>0</v>
      </c>
      <c r="CU190" s="16">
        <f t="shared" si="169"/>
        <v>0</v>
      </c>
      <c r="CV190" s="16">
        <f t="shared" si="170"/>
        <v>0</v>
      </c>
      <c r="CW190" s="16">
        <f t="shared" si="170"/>
        <v>0</v>
      </c>
      <c r="CX190" s="16">
        <f t="shared" si="170"/>
        <v>0</v>
      </c>
      <c r="CY190" s="16">
        <f t="shared" si="170"/>
        <v>0</v>
      </c>
      <c r="CZ190" s="16">
        <f t="shared" si="170"/>
        <v>0</v>
      </c>
      <c r="DA190" s="16">
        <f t="shared" si="170"/>
        <v>0</v>
      </c>
      <c r="DB190" s="16">
        <f t="shared" si="170"/>
        <v>0</v>
      </c>
      <c r="DC190" s="16">
        <f t="shared" si="170"/>
        <v>0</v>
      </c>
      <c r="DD190" s="16">
        <f t="shared" si="170"/>
        <v>0</v>
      </c>
      <c r="DE190" s="16">
        <f t="shared" si="170"/>
        <v>0</v>
      </c>
      <c r="DF190" s="16">
        <f t="shared" si="171"/>
        <v>0</v>
      </c>
      <c r="DG190" s="16">
        <f t="shared" si="171"/>
        <v>0</v>
      </c>
      <c r="DH190" s="16">
        <f t="shared" si="171"/>
        <v>0</v>
      </c>
      <c r="DI190" s="16">
        <f t="shared" si="171"/>
        <v>0</v>
      </c>
      <c r="DJ190" s="16">
        <f t="shared" si="171"/>
        <v>0</v>
      </c>
      <c r="DK190" s="16">
        <f t="shared" si="171"/>
        <v>0</v>
      </c>
      <c r="DL190" s="16">
        <f t="shared" si="171"/>
        <v>0</v>
      </c>
      <c r="DM190" s="16">
        <f t="shared" si="171"/>
        <v>0</v>
      </c>
      <c r="DN190" s="16">
        <f t="shared" si="171"/>
        <v>0</v>
      </c>
      <c r="DO190" s="16">
        <f t="shared" si="171"/>
        <v>0</v>
      </c>
      <c r="DP190" s="16">
        <f t="shared" si="171"/>
        <v>0</v>
      </c>
    </row>
    <row r="191" spans="2:120" x14ac:dyDescent="0.25">
      <c r="C191" s="1"/>
      <c r="D191" s="1"/>
      <c r="E191" s="1"/>
      <c r="F191" s="1"/>
      <c r="G191" s="1"/>
      <c r="H191" s="1"/>
      <c r="I191" s="1"/>
      <c r="J191" s="93"/>
      <c r="O191" s="9">
        <f t="shared" si="150"/>
        <v>26</v>
      </c>
      <c r="P191" s="16">
        <f t="shared" si="162"/>
        <v>0</v>
      </c>
      <c r="Q191" s="16">
        <f t="shared" si="162"/>
        <v>0</v>
      </c>
      <c r="R191" s="16">
        <f t="shared" si="162"/>
        <v>0</v>
      </c>
      <c r="S191" s="16">
        <f t="shared" si="162"/>
        <v>0</v>
      </c>
      <c r="T191" s="16">
        <f t="shared" si="162"/>
        <v>0</v>
      </c>
      <c r="U191" s="16">
        <f t="shared" si="162"/>
        <v>0</v>
      </c>
      <c r="V191" s="16">
        <f t="shared" si="162"/>
        <v>0</v>
      </c>
      <c r="W191" s="16">
        <f t="shared" si="162"/>
        <v>0</v>
      </c>
      <c r="X191" s="16">
        <f t="shared" si="162"/>
        <v>0</v>
      </c>
      <c r="Y191" s="16">
        <f t="shared" si="162"/>
        <v>0</v>
      </c>
      <c r="Z191" s="16">
        <f t="shared" si="163"/>
        <v>0</v>
      </c>
      <c r="AA191" s="16">
        <f t="shared" si="163"/>
        <v>0</v>
      </c>
      <c r="AB191" s="16">
        <f t="shared" si="163"/>
        <v>0</v>
      </c>
      <c r="AC191" s="16">
        <f t="shared" si="163"/>
        <v>0</v>
      </c>
      <c r="AD191" s="16">
        <f t="shared" si="163"/>
        <v>0</v>
      </c>
      <c r="AE191" s="16">
        <f t="shared" si="163"/>
        <v>0</v>
      </c>
      <c r="AF191" s="16">
        <f t="shared" si="163"/>
        <v>0</v>
      </c>
      <c r="AG191" s="16">
        <f t="shared" si="163"/>
        <v>0</v>
      </c>
      <c r="AH191" s="16">
        <f t="shared" si="163"/>
        <v>0</v>
      </c>
      <c r="AI191" s="16">
        <f t="shared" si="163"/>
        <v>0</v>
      </c>
      <c r="AJ191" s="16">
        <f t="shared" si="164"/>
        <v>0</v>
      </c>
      <c r="AK191" s="16">
        <f t="shared" si="164"/>
        <v>0</v>
      </c>
      <c r="AL191" s="16">
        <f t="shared" si="164"/>
        <v>0</v>
      </c>
      <c r="AM191" s="16">
        <f t="shared" si="164"/>
        <v>-0.28043676613140761</v>
      </c>
      <c r="AN191" s="16">
        <f t="shared" si="164"/>
        <v>1.5528586845936712</v>
      </c>
      <c r="AO191" s="16">
        <f t="shared" si="164"/>
        <v>-0.27242191846226366</v>
      </c>
      <c r="AP191" s="16">
        <f t="shared" si="164"/>
        <v>0</v>
      </c>
      <c r="AQ191" s="16">
        <f t="shared" si="164"/>
        <v>0</v>
      </c>
      <c r="AR191" s="16">
        <f t="shared" si="164"/>
        <v>0</v>
      </c>
      <c r="AS191" s="16">
        <f t="shared" si="164"/>
        <v>0</v>
      </c>
      <c r="AT191" s="16">
        <f t="shared" si="165"/>
        <v>0</v>
      </c>
      <c r="AU191" s="16">
        <f t="shared" si="165"/>
        <v>0</v>
      </c>
      <c r="AV191" s="16">
        <f t="shared" si="165"/>
        <v>0</v>
      </c>
      <c r="AW191" s="16">
        <f t="shared" si="165"/>
        <v>0</v>
      </c>
      <c r="AX191" s="16">
        <f t="shared" si="165"/>
        <v>0</v>
      </c>
      <c r="AY191" s="16">
        <f t="shared" si="165"/>
        <v>0</v>
      </c>
      <c r="AZ191" s="16">
        <f t="shared" si="165"/>
        <v>0</v>
      </c>
      <c r="BA191" s="16">
        <f t="shared" si="165"/>
        <v>0</v>
      </c>
      <c r="BB191" s="16">
        <f t="shared" si="165"/>
        <v>0</v>
      </c>
      <c r="BC191" s="16">
        <f t="shared" si="165"/>
        <v>0</v>
      </c>
      <c r="BD191" s="16">
        <f t="shared" si="166"/>
        <v>0</v>
      </c>
      <c r="BE191" s="16">
        <f t="shared" si="166"/>
        <v>0</v>
      </c>
      <c r="BF191" s="16">
        <f t="shared" si="166"/>
        <v>0</v>
      </c>
      <c r="BG191" s="16">
        <f t="shared" si="166"/>
        <v>0</v>
      </c>
      <c r="BH191" s="16">
        <f t="shared" si="166"/>
        <v>0</v>
      </c>
      <c r="BI191" s="16">
        <f t="shared" si="166"/>
        <v>0</v>
      </c>
      <c r="BJ191" s="16">
        <f t="shared" si="166"/>
        <v>0</v>
      </c>
      <c r="BK191" s="16">
        <f t="shared" si="166"/>
        <v>0</v>
      </c>
      <c r="BL191" s="16">
        <f t="shared" si="166"/>
        <v>0</v>
      </c>
      <c r="BM191" s="16">
        <f t="shared" si="166"/>
        <v>0</v>
      </c>
      <c r="BN191" s="16">
        <f t="shared" si="166"/>
        <v>0</v>
      </c>
      <c r="BQ191" s="9">
        <f t="shared" si="151"/>
        <v>26</v>
      </c>
      <c r="BR191" s="16">
        <f t="shared" si="167"/>
        <v>0</v>
      </c>
      <c r="BS191" s="16">
        <f t="shared" si="167"/>
        <v>0</v>
      </c>
      <c r="BT191" s="16">
        <f t="shared" si="167"/>
        <v>0</v>
      </c>
      <c r="BU191" s="16">
        <f t="shared" si="167"/>
        <v>0</v>
      </c>
      <c r="BV191" s="16">
        <f t="shared" si="167"/>
        <v>0</v>
      </c>
      <c r="BW191" s="16">
        <f t="shared" si="167"/>
        <v>0</v>
      </c>
      <c r="BX191" s="16">
        <f t="shared" si="167"/>
        <v>0</v>
      </c>
      <c r="BY191" s="16">
        <f t="shared" si="167"/>
        <v>0</v>
      </c>
      <c r="BZ191" s="16">
        <f t="shared" si="167"/>
        <v>0</v>
      </c>
      <c r="CA191" s="16">
        <f t="shared" si="167"/>
        <v>0</v>
      </c>
      <c r="CB191" s="16">
        <f t="shared" si="168"/>
        <v>0</v>
      </c>
      <c r="CC191" s="16">
        <f t="shared" si="168"/>
        <v>0</v>
      </c>
      <c r="CD191" s="16">
        <f t="shared" si="168"/>
        <v>0</v>
      </c>
      <c r="CE191" s="16">
        <f t="shared" si="168"/>
        <v>0</v>
      </c>
      <c r="CF191" s="16">
        <f t="shared" si="168"/>
        <v>0</v>
      </c>
      <c r="CG191" s="16">
        <f t="shared" si="168"/>
        <v>0</v>
      </c>
      <c r="CH191" s="16">
        <f t="shared" si="168"/>
        <v>0</v>
      </c>
      <c r="CI191" s="16">
        <f t="shared" si="168"/>
        <v>0</v>
      </c>
      <c r="CJ191" s="16">
        <f t="shared" si="168"/>
        <v>0</v>
      </c>
      <c r="CK191" s="16">
        <f t="shared" si="168"/>
        <v>0</v>
      </c>
      <c r="CL191" s="16">
        <f t="shared" si="169"/>
        <v>0</v>
      </c>
      <c r="CM191" s="16">
        <f t="shared" si="169"/>
        <v>0</v>
      </c>
      <c r="CN191" s="16">
        <f t="shared" si="169"/>
        <v>0</v>
      </c>
      <c r="CO191" s="16">
        <f t="shared" si="169"/>
        <v>-0.38790347230588451</v>
      </c>
      <c r="CP191" s="16">
        <f t="shared" si="169"/>
        <v>1.7647207119335371</v>
      </c>
      <c r="CQ191" s="16">
        <f t="shared" si="169"/>
        <v>-0.37681723962765268</v>
      </c>
      <c r="CR191" s="16">
        <f t="shared" si="169"/>
        <v>0</v>
      </c>
      <c r="CS191" s="16">
        <f t="shared" si="169"/>
        <v>0</v>
      </c>
      <c r="CT191" s="16">
        <f t="shared" si="169"/>
        <v>0</v>
      </c>
      <c r="CU191" s="16">
        <f t="shared" si="169"/>
        <v>0</v>
      </c>
      <c r="CV191" s="16">
        <f t="shared" si="170"/>
        <v>0</v>
      </c>
      <c r="CW191" s="16">
        <f t="shared" si="170"/>
        <v>0</v>
      </c>
      <c r="CX191" s="16">
        <f t="shared" si="170"/>
        <v>0</v>
      </c>
      <c r="CY191" s="16">
        <f t="shared" si="170"/>
        <v>0</v>
      </c>
      <c r="CZ191" s="16">
        <f t="shared" si="170"/>
        <v>0</v>
      </c>
      <c r="DA191" s="16">
        <f t="shared" si="170"/>
        <v>0</v>
      </c>
      <c r="DB191" s="16">
        <f t="shared" si="170"/>
        <v>0</v>
      </c>
      <c r="DC191" s="16">
        <f t="shared" si="170"/>
        <v>0</v>
      </c>
      <c r="DD191" s="16">
        <f t="shared" si="170"/>
        <v>0</v>
      </c>
      <c r="DE191" s="16">
        <f t="shared" si="170"/>
        <v>0</v>
      </c>
      <c r="DF191" s="16">
        <f t="shared" si="171"/>
        <v>0</v>
      </c>
      <c r="DG191" s="16">
        <f t="shared" si="171"/>
        <v>0</v>
      </c>
      <c r="DH191" s="16">
        <f t="shared" si="171"/>
        <v>0</v>
      </c>
      <c r="DI191" s="16">
        <f t="shared" si="171"/>
        <v>0</v>
      </c>
      <c r="DJ191" s="16">
        <f t="shared" si="171"/>
        <v>0</v>
      </c>
      <c r="DK191" s="16">
        <f t="shared" si="171"/>
        <v>0</v>
      </c>
      <c r="DL191" s="16">
        <f t="shared" si="171"/>
        <v>0</v>
      </c>
      <c r="DM191" s="16">
        <f t="shared" si="171"/>
        <v>0</v>
      </c>
      <c r="DN191" s="16">
        <f t="shared" si="171"/>
        <v>0</v>
      </c>
      <c r="DO191" s="16">
        <f t="shared" si="171"/>
        <v>0</v>
      </c>
      <c r="DP191" s="16">
        <f t="shared" si="171"/>
        <v>0</v>
      </c>
    </row>
    <row r="192" spans="2:120" x14ac:dyDescent="0.25">
      <c r="C192" s="1"/>
      <c r="D192" s="1"/>
      <c r="E192" s="1"/>
      <c r="F192" s="1"/>
      <c r="G192" s="1"/>
      <c r="H192" s="1"/>
      <c r="I192" s="1"/>
      <c r="J192" s="93"/>
      <c r="O192" s="9">
        <f t="shared" si="150"/>
        <v>25</v>
      </c>
      <c r="P192" s="16">
        <f t="shared" si="162"/>
        <v>0</v>
      </c>
      <c r="Q192" s="16">
        <f t="shared" si="162"/>
        <v>0</v>
      </c>
      <c r="R192" s="16">
        <f t="shared" si="162"/>
        <v>0</v>
      </c>
      <c r="S192" s="16">
        <f t="shared" si="162"/>
        <v>0</v>
      </c>
      <c r="T192" s="16">
        <f t="shared" si="162"/>
        <v>0</v>
      </c>
      <c r="U192" s="16">
        <f t="shared" si="162"/>
        <v>0</v>
      </c>
      <c r="V192" s="16">
        <f t="shared" si="162"/>
        <v>0</v>
      </c>
      <c r="W192" s="16">
        <f t="shared" si="162"/>
        <v>0</v>
      </c>
      <c r="X192" s="16">
        <f t="shared" si="162"/>
        <v>0</v>
      </c>
      <c r="Y192" s="16">
        <f t="shared" si="162"/>
        <v>0</v>
      </c>
      <c r="Z192" s="16">
        <f t="shared" si="163"/>
        <v>0</v>
      </c>
      <c r="AA192" s="16">
        <f t="shared" si="163"/>
        <v>0</v>
      </c>
      <c r="AB192" s="16">
        <f t="shared" si="163"/>
        <v>0</v>
      </c>
      <c r="AC192" s="16">
        <f t="shared" si="163"/>
        <v>0</v>
      </c>
      <c r="AD192" s="16">
        <f t="shared" si="163"/>
        <v>0</v>
      </c>
      <c r="AE192" s="16">
        <f t="shared" si="163"/>
        <v>0</v>
      </c>
      <c r="AF192" s="16">
        <f t="shared" si="163"/>
        <v>0</v>
      </c>
      <c r="AG192" s="16">
        <f t="shared" si="163"/>
        <v>0</v>
      </c>
      <c r="AH192" s="16">
        <f t="shared" si="163"/>
        <v>0</v>
      </c>
      <c r="AI192" s="16">
        <f t="shared" si="163"/>
        <v>0</v>
      </c>
      <c r="AJ192" s="16">
        <f t="shared" si="164"/>
        <v>0</v>
      </c>
      <c r="AK192" s="16">
        <f t="shared" si="164"/>
        <v>0</v>
      </c>
      <c r="AL192" s="16">
        <f t="shared" si="164"/>
        <v>0</v>
      </c>
      <c r="AM192" s="16">
        <f t="shared" si="164"/>
        <v>0</v>
      </c>
      <c r="AN192" s="16">
        <f t="shared" si="164"/>
        <v>-0.23857397522786369</v>
      </c>
      <c r="AO192" s="16">
        <f t="shared" si="164"/>
        <v>1.4703295361099513</v>
      </c>
      <c r="AP192" s="16">
        <f t="shared" si="164"/>
        <v>-0.2317555608820876</v>
      </c>
      <c r="AQ192" s="16">
        <f t="shared" si="164"/>
        <v>0</v>
      </c>
      <c r="AR192" s="16">
        <f t="shared" si="164"/>
        <v>0</v>
      </c>
      <c r="AS192" s="16">
        <f t="shared" si="164"/>
        <v>0</v>
      </c>
      <c r="AT192" s="16">
        <f t="shared" si="165"/>
        <v>0</v>
      </c>
      <c r="AU192" s="16">
        <f t="shared" si="165"/>
        <v>0</v>
      </c>
      <c r="AV192" s="16">
        <f t="shared" si="165"/>
        <v>0</v>
      </c>
      <c r="AW192" s="16">
        <f t="shared" si="165"/>
        <v>0</v>
      </c>
      <c r="AX192" s="16">
        <f t="shared" si="165"/>
        <v>0</v>
      </c>
      <c r="AY192" s="16">
        <f t="shared" si="165"/>
        <v>0</v>
      </c>
      <c r="AZ192" s="16">
        <f t="shared" si="165"/>
        <v>0</v>
      </c>
      <c r="BA192" s="16">
        <f t="shared" si="165"/>
        <v>0</v>
      </c>
      <c r="BB192" s="16">
        <f t="shared" si="165"/>
        <v>0</v>
      </c>
      <c r="BC192" s="16">
        <f t="shared" si="165"/>
        <v>0</v>
      </c>
      <c r="BD192" s="16">
        <f t="shared" si="166"/>
        <v>0</v>
      </c>
      <c r="BE192" s="16">
        <f t="shared" si="166"/>
        <v>0</v>
      </c>
      <c r="BF192" s="16">
        <f t="shared" si="166"/>
        <v>0</v>
      </c>
      <c r="BG192" s="16">
        <f t="shared" si="166"/>
        <v>0</v>
      </c>
      <c r="BH192" s="16">
        <f t="shared" si="166"/>
        <v>0</v>
      </c>
      <c r="BI192" s="16">
        <f t="shared" si="166"/>
        <v>0</v>
      </c>
      <c r="BJ192" s="16">
        <f t="shared" si="166"/>
        <v>0</v>
      </c>
      <c r="BK192" s="16">
        <f t="shared" si="166"/>
        <v>0</v>
      </c>
      <c r="BL192" s="16">
        <f t="shared" si="166"/>
        <v>0</v>
      </c>
      <c r="BM192" s="16">
        <f t="shared" si="166"/>
        <v>0</v>
      </c>
      <c r="BN192" s="16">
        <f t="shared" si="166"/>
        <v>0</v>
      </c>
      <c r="BQ192" s="9">
        <f t="shared" si="151"/>
        <v>25</v>
      </c>
      <c r="BR192" s="16">
        <f t="shared" si="167"/>
        <v>0</v>
      </c>
      <c r="BS192" s="16">
        <f t="shared" si="167"/>
        <v>0</v>
      </c>
      <c r="BT192" s="16">
        <f t="shared" si="167"/>
        <v>0</v>
      </c>
      <c r="BU192" s="16">
        <f t="shared" si="167"/>
        <v>0</v>
      </c>
      <c r="BV192" s="16">
        <f t="shared" si="167"/>
        <v>0</v>
      </c>
      <c r="BW192" s="16">
        <f t="shared" si="167"/>
        <v>0</v>
      </c>
      <c r="BX192" s="16">
        <f t="shared" si="167"/>
        <v>0</v>
      </c>
      <c r="BY192" s="16">
        <f t="shared" si="167"/>
        <v>0</v>
      </c>
      <c r="BZ192" s="16">
        <f t="shared" si="167"/>
        <v>0</v>
      </c>
      <c r="CA192" s="16">
        <f t="shared" si="167"/>
        <v>0</v>
      </c>
      <c r="CB192" s="16">
        <f t="shared" si="168"/>
        <v>0</v>
      </c>
      <c r="CC192" s="16">
        <f t="shared" si="168"/>
        <v>0</v>
      </c>
      <c r="CD192" s="16">
        <f t="shared" si="168"/>
        <v>0</v>
      </c>
      <c r="CE192" s="16">
        <f t="shared" si="168"/>
        <v>0</v>
      </c>
      <c r="CF192" s="16">
        <f t="shared" si="168"/>
        <v>0</v>
      </c>
      <c r="CG192" s="16">
        <f t="shared" si="168"/>
        <v>0</v>
      </c>
      <c r="CH192" s="16">
        <f t="shared" si="168"/>
        <v>0</v>
      </c>
      <c r="CI192" s="16">
        <f t="shared" si="168"/>
        <v>0</v>
      </c>
      <c r="CJ192" s="16">
        <f t="shared" si="168"/>
        <v>0</v>
      </c>
      <c r="CK192" s="16">
        <f t="shared" si="168"/>
        <v>0</v>
      </c>
      <c r="CL192" s="16">
        <f t="shared" si="169"/>
        <v>0</v>
      </c>
      <c r="CM192" s="16">
        <f t="shared" si="169"/>
        <v>0</v>
      </c>
      <c r="CN192" s="16">
        <f t="shared" si="169"/>
        <v>0</v>
      </c>
      <c r="CO192" s="16">
        <f t="shared" si="169"/>
        <v>0</v>
      </c>
      <c r="CP192" s="16">
        <f t="shared" si="169"/>
        <v>-0.33979351162170934</v>
      </c>
      <c r="CQ192" s="16">
        <f t="shared" si="169"/>
        <v>1.6698757672188238</v>
      </c>
      <c r="CR192" s="16">
        <f t="shared" si="169"/>
        <v>-0.33008225559711457</v>
      </c>
      <c r="CS192" s="16">
        <f t="shared" si="169"/>
        <v>0</v>
      </c>
      <c r="CT192" s="16">
        <f t="shared" si="169"/>
        <v>0</v>
      </c>
      <c r="CU192" s="16">
        <f t="shared" si="169"/>
        <v>0</v>
      </c>
      <c r="CV192" s="16">
        <f t="shared" si="170"/>
        <v>0</v>
      </c>
      <c r="CW192" s="16">
        <f t="shared" si="170"/>
        <v>0</v>
      </c>
      <c r="CX192" s="16">
        <f t="shared" si="170"/>
        <v>0</v>
      </c>
      <c r="CY192" s="16">
        <f t="shared" si="170"/>
        <v>0</v>
      </c>
      <c r="CZ192" s="16">
        <f t="shared" si="170"/>
        <v>0</v>
      </c>
      <c r="DA192" s="16">
        <f t="shared" si="170"/>
        <v>0</v>
      </c>
      <c r="DB192" s="16">
        <f t="shared" si="170"/>
        <v>0</v>
      </c>
      <c r="DC192" s="16">
        <f t="shared" si="170"/>
        <v>0</v>
      </c>
      <c r="DD192" s="16">
        <f t="shared" si="170"/>
        <v>0</v>
      </c>
      <c r="DE192" s="16">
        <f t="shared" si="170"/>
        <v>0</v>
      </c>
      <c r="DF192" s="16">
        <f t="shared" si="171"/>
        <v>0</v>
      </c>
      <c r="DG192" s="16">
        <f t="shared" si="171"/>
        <v>0</v>
      </c>
      <c r="DH192" s="16">
        <f t="shared" si="171"/>
        <v>0</v>
      </c>
      <c r="DI192" s="16">
        <f t="shared" si="171"/>
        <v>0</v>
      </c>
      <c r="DJ192" s="16">
        <f t="shared" si="171"/>
        <v>0</v>
      </c>
      <c r="DK192" s="16">
        <f t="shared" si="171"/>
        <v>0</v>
      </c>
      <c r="DL192" s="16">
        <f t="shared" si="171"/>
        <v>0</v>
      </c>
      <c r="DM192" s="16">
        <f t="shared" si="171"/>
        <v>0</v>
      </c>
      <c r="DN192" s="16">
        <f t="shared" si="171"/>
        <v>0</v>
      </c>
      <c r="DO192" s="16">
        <f t="shared" si="171"/>
        <v>0</v>
      </c>
      <c r="DP192" s="16">
        <f t="shared" si="171"/>
        <v>0</v>
      </c>
    </row>
    <row r="193" spans="3:120" x14ac:dyDescent="0.25">
      <c r="C193" s="1"/>
      <c r="D193" s="1"/>
      <c r="E193" s="1"/>
      <c r="F193" s="1"/>
      <c r="G193" s="1"/>
      <c r="H193" s="1"/>
      <c r="I193" s="1"/>
      <c r="J193" s="93"/>
      <c r="O193" s="9">
        <f t="shared" si="150"/>
        <v>24</v>
      </c>
      <c r="P193" s="16">
        <f t="shared" si="162"/>
        <v>0</v>
      </c>
      <c r="Q193" s="16">
        <f t="shared" si="162"/>
        <v>0</v>
      </c>
      <c r="R193" s="16">
        <f t="shared" si="162"/>
        <v>0</v>
      </c>
      <c r="S193" s="16">
        <f t="shared" si="162"/>
        <v>0</v>
      </c>
      <c r="T193" s="16">
        <f t="shared" si="162"/>
        <v>0</v>
      </c>
      <c r="U193" s="16">
        <f t="shared" si="162"/>
        <v>0</v>
      </c>
      <c r="V193" s="16">
        <f t="shared" si="162"/>
        <v>0</v>
      </c>
      <c r="W193" s="16">
        <f t="shared" si="162"/>
        <v>0</v>
      </c>
      <c r="X193" s="16">
        <f t="shared" si="162"/>
        <v>0</v>
      </c>
      <c r="Y193" s="16">
        <f t="shared" si="162"/>
        <v>0</v>
      </c>
      <c r="Z193" s="16">
        <f t="shared" si="163"/>
        <v>0</v>
      </c>
      <c r="AA193" s="16">
        <f t="shared" si="163"/>
        <v>0</v>
      </c>
      <c r="AB193" s="16">
        <f t="shared" si="163"/>
        <v>0</v>
      </c>
      <c r="AC193" s="16">
        <f t="shared" si="163"/>
        <v>0</v>
      </c>
      <c r="AD193" s="16">
        <f t="shared" si="163"/>
        <v>0</v>
      </c>
      <c r="AE193" s="16">
        <f t="shared" si="163"/>
        <v>0</v>
      </c>
      <c r="AF193" s="16">
        <f t="shared" si="163"/>
        <v>0</v>
      </c>
      <c r="AG193" s="16">
        <f t="shared" si="163"/>
        <v>0</v>
      </c>
      <c r="AH193" s="16">
        <f t="shared" si="163"/>
        <v>0</v>
      </c>
      <c r="AI193" s="16">
        <f t="shared" si="163"/>
        <v>0</v>
      </c>
      <c r="AJ193" s="16">
        <f t="shared" si="164"/>
        <v>0</v>
      </c>
      <c r="AK193" s="16">
        <f t="shared" si="164"/>
        <v>0</v>
      </c>
      <c r="AL193" s="16">
        <f t="shared" si="164"/>
        <v>0</v>
      </c>
      <c r="AM193" s="16">
        <f t="shared" si="164"/>
        <v>0</v>
      </c>
      <c r="AN193" s="16">
        <f t="shared" si="164"/>
        <v>0</v>
      </c>
      <c r="AO193" s="16">
        <f t="shared" si="164"/>
        <v>-0.24121657884087361</v>
      </c>
      <c r="AP193" s="16">
        <f t="shared" si="164"/>
        <v>1.4755392180555296</v>
      </c>
      <c r="AQ193" s="16">
        <f t="shared" si="164"/>
        <v>-0.23432263921465596</v>
      </c>
      <c r="AR193" s="16">
        <f t="shared" si="164"/>
        <v>0</v>
      </c>
      <c r="AS193" s="16">
        <f t="shared" si="164"/>
        <v>0</v>
      </c>
      <c r="AT193" s="16">
        <f t="shared" si="165"/>
        <v>0</v>
      </c>
      <c r="AU193" s="16">
        <f t="shared" si="165"/>
        <v>0</v>
      </c>
      <c r="AV193" s="16">
        <f t="shared" si="165"/>
        <v>0</v>
      </c>
      <c r="AW193" s="16">
        <f t="shared" si="165"/>
        <v>0</v>
      </c>
      <c r="AX193" s="16">
        <f t="shared" si="165"/>
        <v>0</v>
      </c>
      <c r="AY193" s="16">
        <f t="shared" si="165"/>
        <v>0</v>
      </c>
      <c r="AZ193" s="16">
        <f t="shared" si="165"/>
        <v>0</v>
      </c>
      <c r="BA193" s="16">
        <f t="shared" si="165"/>
        <v>0</v>
      </c>
      <c r="BB193" s="16">
        <f t="shared" si="165"/>
        <v>0</v>
      </c>
      <c r="BC193" s="16">
        <f t="shared" si="165"/>
        <v>0</v>
      </c>
      <c r="BD193" s="16">
        <f t="shared" si="166"/>
        <v>0</v>
      </c>
      <c r="BE193" s="16">
        <f t="shared" si="166"/>
        <v>0</v>
      </c>
      <c r="BF193" s="16">
        <f t="shared" si="166"/>
        <v>0</v>
      </c>
      <c r="BG193" s="16">
        <f t="shared" si="166"/>
        <v>0</v>
      </c>
      <c r="BH193" s="16">
        <f t="shared" si="166"/>
        <v>0</v>
      </c>
      <c r="BI193" s="16">
        <f t="shared" si="166"/>
        <v>0</v>
      </c>
      <c r="BJ193" s="16">
        <f t="shared" si="166"/>
        <v>0</v>
      </c>
      <c r="BK193" s="16">
        <f t="shared" si="166"/>
        <v>0</v>
      </c>
      <c r="BL193" s="16">
        <f t="shared" si="166"/>
        <v>0</v>
      </c>
      <c r="BM193" s="16">
        <f t="shared" si="166"/>
        <v>0</v>
      </c>
      <c r="BN193" s="16">
        <f t="shared" si="166"/>
        <v>0</v>
      </c>
      <c r="BQ193" s="9">
        <f t="shared" si="151"/>
        <v>24</v>
      </c>
      <c r="BR193" s="16">
        <f t="shared" si="167"/>
        <v>0</v>
      </c>
      <c r="BS193" s="16">
        <f t="shared" si="167"/>
        <v>0</v>
      </c>
      <c r="BT193" s="16">
        <f t="shared" si="167"/>
        <v>0</v>
      </c>
      <c r="BU193" s="16">
        <f t="shared" si="167"/>
        <v>0</v>
      </c>
      <c r="BV193" s="16">
        <f t="shared" si="167"/>
        <v>0</v>
      </c>
      <c r="BW193" s="16">
        <f t="shared" si="167"/>
        <v>0</v>
      </c>
      <c r="BX193" s="16">
        <f t="shared" si="167"/>
        <v>0</v>
      </c>
      <c r="BY193" s="16">
        <f t="shared" si="167"/>
        <v>0</v>
      </c>
      <c r="BZ193" s="16">
        <f t="shared" si="167"/>
        <v>0</v>
      </c>
      <c r="CA193" s="16">
        <f t="shared" si="167"/>
        <v>0</v>
      </c>
      <c r="CB193" s="16">
        <f t="shared" si="168"/>
        <v>0</v>
      </c>
      <c r="CC193" s="16">
        <f t="shared" si="168"/>
        <v>0</v>
      </c>
      <c r="CD193" s="16">
        <f t="shared" si="168"/>
        <v>0</v>
      </c>
      <c r="CE193" s="16">
        <f t="shared" si="168"/>
        <v>0</v>
      </c>
      <c r="CF193" s="16">
        <f t="shared" si="168"/>
        <v>0</v>
      </c>
      <c r="CG193" s="16">
        <f t="shared" si="168"/>
        <v>0</v>
      </c>
      <c r="CH193" s="16">
        <f t="shared" si="168"/>
        <v>0</v>
      </c>
      <c r="CI193" s="16">
        <f t="shared" si="168"/>
        <v>0</v>
      </c>
      <c r="CJ193" s="16">
        <f t="shared" si="168"/>
        <v>0</v>
      </c>
      <c r="CK193" s="16">
        <f t="shared" si="168"/>
        <v>0</v>
      </c>
      <c r="CL193" s="16">
        <f t="shared" si="169"/>
        <v>0</v>
      </c>
      <c r="CM193" s="16">
        <f t="shared" si="169"/>
        <v>0</v>
      </c>
      <c r="CN193" s="16">
        <f t="shared" si="169"/>
        <v>0</v>
      </c>
      <c r="CO193" s="16">
        <f t="shared" si="169"/>
        <v>0</v>
      </c>
      <c r="CP193" s="16">
        <f t="shared" si="169"/>
        <v>0</v>
      </c>
      <c r="CQ193" s="16">
        <f t="shared" si="169"/>
        <v>-0.35429008075848784</v>
      </c>
      <c r="CR193" s="16">
        <f t="shared" si="169"/>
        <v>1.6984545953612264</v>
      </c>
      <c r="CS193" s="16">
        <f t="shared" si="169"/>
        <v>-0.3441645146027385</v>
      </c>
      <c r="CT193" s="16">
        <f t="shared" si="169"/>
        <v>0</v>
      </c>
      <c r="CU193" s="16">
        <f t="shared" si="169"/>
        <v>0</v>
      </c>
      <c r="CV193" s="16">
        <f t="shared" si="170"/>
        <v>0</v>
      </c>
      <c r="CW193" s="16">
        <f t="shared" si="170"/>
        <v>0</v>
      </c>
      <c r="CX193" s="16">
        <f t="shared" si="170"/>
        <v>0</v>
      </c>
      <c r="CY193" s="16">
        <f t="shared" si="170"/>
        <v>0</v>
      </c>
      <c r="CZ193" s="16">
        <f t="shared" si="170"/>
        <v>0</v>
      </c>
      <c r="DA193" s="16">
        <f t="shared" si="170"/>
        <v>0</v>
      </c>
      <c r="DB193" s="16">
        <f t="shared" si="170"/>
        <v>0</v>
      </c>
      <c r="DC193" s="16">
        <f t="shared" si="170"/>
        <v>0</v>
      </c>
      <c r="DD193" s="16">
        <f t="shared" si="170"/>
        <v>0</v>
      </c>
      <c r="DE193" s="16">
        <f t="shared" si="170"/>
        <v>0</v>
      </c>
      <c r="DF193" s="16">
        <f t="shared" si="171"/>
        <v>0</v>
      </c>
      <c r="DG193" s="16">
        <f t="shared" si="171"/>
        <v>0</v>
      </c>
      <c r="DH193" s="16">
        <f t="shared" si="171"/>
        <v>0</v>
      </c>
      <c r="DI193" s="16">
        <f t="shared" si="171"/>
        <v>0</v>
      </c>
      <c r="DJ193" s="16">
        <f t="shared" si="171"/>
        <v>0</v>
      </c>
      <c r="DK193" s="16">
        <f t="shared" si="171"/>
        <v>0</v>
      </c>
      <c r="DL193" s="16">
        <f t="shared" si="171"/>
        <v>0</v>
      </c>
      <c r="DM193" s="16">
        <f t="shared" si="171"/>
        <v>0</v>
      </c>
      <c r="DN193" s="16">
        <f t="shared" si="171"/>
        <v>0</v>
      </c>
      <c r="DO193" s="16">
        <f t="shared" si="171"/>
        <v>0</v>
      </c>
      <c r="DP193" s="16">
        <f t="shared" si="171"/>
        <v>0</v>
      </c>
    </row>
    <row r="194" spans="3:120" x14ac:dyDescent="0.25">
      <c r="C194" s="1"/>
      <c r="D194" s="1"/>
      <c r="E194" s="1"/>
      <c r="F194" s="1"/>
      <c r="G194" s="1"/>
      <c r="H194" s="1"/>
      <c r="I194" s="1"/>
      <c r="J194" s="93"/>
      <c r="O194" s="9">
        <f t="shared" si="150"/>
        <v>23</v>
      </c>
      <c r="P194" s="16">
        <f t="shared" si="162"/>
        <v>0</v>
      </c>
      <c r="Q194" s="16">
        <f t="shared" si="162"/>
        <v>0</v>
      </c>
      <c r="R194" s="16">
        <f t="shared" si="162"/>
        <v>0</v>
      </c>
      <c r="S194" s="16">
        <f t="shared" si="162"/>
        <v>0</v>
      </c>
      <c r="T194" s="16">
        <f t="shared" si="162"/>
        <v>0</v>
      </c>
      <c r="U194" s="16">
        <f t="shared" si="162"/>
        <v>0</v>
      </c>
      <c r="V194" s="16">
        <f t="shared" si="162"/>
        <v>0</v>
      </c>
      <c r="W194" s="16">
        <f t="shared" si="162"/>
        <v>0</v>
      </c>
      <c r="X194" s="16">
        <f t="shared" si="162"/>
        <v>0</v>
      </c>
      <c r="Y194" s="16">
        <f t="shared" si="162"/>
        <v>0</v>
      </c>
      <c r="Z194" s="16">
        <f t="shared" si="163"/>
        <v>0</v>
      </c>
      <c r="AA194" s="16">
        <f t="shared" si="163"/>
        <v>0</v>
      </c>
      <c r="AB194" s="16">
        <f t="shared" si="163"/>
        <v>0</v>
      </c>
      <c r="AC194" s="16">
        <f t="shared" si="163"/>
        <v>0</v>
      </c>
      <c r="AD194" s="16">
        <f t="shared" si="163"/>
        <v>0</v>
      </c>
      <c r="AE194" s="16">
        <f t="shared" si="163"/>
        <v>0</v>
      </c>
      <c r="AF194" s="16">
        <f t="shared" si="163"/>
        <v>0</v>
      </c>
      <c r="AG194" s="16">
        <f t="shared" si="163"/>
        <v>0</v>
      </c>
      <c r="AH194" s="16">
        <f t="shared" si="163"/>
        <v>0</v>
      </c>
      <c r="AI194" s="16">
        <f t="shared" si="163"/>
        <v>0</v>
      </c>
      <c r="AJ194" s="16">
        <f t="shared" si="164"/>
        <v>0</v>
      </c>
      <c r="AK194" s="16">
        <f t="shared" si="164"/>
        <v>0</v>
      </c>
      <c r="AL194" s="16">
        <f t="shared" si="164"/>
        <v>0</v>
      </c>
      <c r="AM194" s="16">
        <f t="shared" si="164"/>
        <v>0</v>
      </c>
      <c r="AN194" s="16">
        <f t="shared" si="164"/>
        <v>0</v>
      </c>
      <c r="AO194" s="16">
        <f t="shared" si="164"/>
        <v>0</v>
      </c>
      <c r="AP194" s="16">
        <f t="shared" si="164"/>
        <v>-0.24387373756915104</v>
      </c>
      <c r="AQ194" s="16">
        <f t="shared" si="164"/>
        <v>1.4807775942482706</v>
      </c>
      <c r="AR194" s="16">
        <f t="shared" si="164"/>
        <v>-0.23690385667911953</v>
      </c>
      <c r="AS194" s="16">
        <f t="shared" si="164"/>
        <v>0</v>
      </c>
      <c r="AT194" s="16">
        <f t="shared" si="165"/>
        <v>0</v>
      </c>
      <c r="AU194" s="16">
        <f t="shared" si="165"/>
        <v>0</v>
      </c>
      <c r="AV194" s="16">
        <f t="shared" si="165"/>
        <v>0</v>
      </c>
      <c r="AW194" s="16">
        <f t="shared" si="165"/>
        <v>0</v>
      </c>
      <c r="AX194" s="16">
        <f t="shared" si="165"/>
        <v>0</v>
      </c>
      <c r="AY194" s="16">
        <f t="shared" si="165"/>
        <v>0</v>
      </c>
      <c r="AZ194" s="16">
        <f t="shared" si="165"/>
        <v>0</v>
      </c>
      <c r="BA194" s="16">
        <f t="shared" si="165"/>
        <v>0</v>
      </c>
      <c r="BB194" s="16">
        <f t="shared" si="165"/>
        <v>0</v>
      </c>
      <c r="BC194" s="16">
        <f t="shared" si="165"/>
        <v>0</v>
      </c>
      <c r="BD194" s="16">
        <f t="shared" si="166"/>
        <v>0</v>
      </c>
      <c r="BE194" s="16">
        <f t="shared" si="166"/>
        <v>0</v>
      </c>
      <c r="BF194" s="16">
        <f t="shared" si="166"/>
        <v>0</v>
      </c>
      <c r="BG194" s="16">
        <f t="shared" si="166"/>
        <v>0</v>
      </c>
      <c r="BH194" s="16">
        <f t="shared" si="166"/>
        <v>0</v>
      </c>
      <c r="BI194" s="16">
        <f t="shared" si="166"/>
        <v>0</v>
      </c>
      <c r="BJ194" s="16">
        <f t="shared" si="166"/>
        <v>0</v>
      </c>
      <c r="BK194" s="16">
        <f t="shared" si="166"/>
        <v>0</v>
      </c>
      <c r="BL194" s="16">
        <f t="shared" si="166"/>
        <v>0</v>
      </c>
      <c r="BM194" s="16">
        <f t="shared" si="166"/>
        <v>0</v>
      </c>
      <c r="BN194" s="16">
        <f t="shared" si="166"/>
        <v>0</v>
      </c>
      <c r="BQ194" s="9">
        <f t="shared" si="151"/>
        <v>23</v>
      </c>
      <c r="BR194" s="16">
        <f t="shared" si="167"/>
        <v>0</v>
      </c>
      <c r="BS194" s="16">
        <f t="shared" si="167"/>
        <v>0</v>
      </c>
      <c r="BT194" s="16">
        <f t="shared" si="167"/>
        <v>0</v>
      </c>
      <c r="BU194" s="16">
        <f t="shared" si="167"/>
        <v>0</v>
      </c>
      <c r="BV194" s="16">
        <f t="shared" si="167"/>
        <v>0</v>
      </c>
      <c r="BW194" s="16">
        <f t="shared" si="167"/>
        <v>0</v>
      </c>
      <c r="BX194" s="16">
        <f t="shared" si="167"/>
        <v>0</v>
      </c>
      <c r="BY194" s="16">
        <f t="shared" si="167"/>
        <v>0</v>
      </c>
      <c r="BZ194" s="16">
        <f t="shared" si="167"/>
        <v>0</v>
      </c>
      <c r="CA194" s="16">
        <f t="shared" si="167"/>
        <v>0</v>
      </c>
      <c r="CB194" s="16">
        <f t="shared" si="168"/>
        <v>0</v>
      </c>
      <c r="CC194" s="16">
        <f t="shared" si="168"/>
        <v>0</v>
      </c>
      <c r="CD194" s="16">
        <f t="shared" si="168"/>
        <v>0</v>
      </c>
      <c r="CE194" s="16">
        <f t="shared" si="168"/>
        <v>0</v>
      </c>
      <c r="CF194" s="16">
        <f t="shared" si="168"/>
        <v>0</v>
      </c>
      <c r="CG194" s="16">
        <f t="shared" si="168"/>
        <v>0</v>
      </c>
      <c r="CH194" s="16">
        <f t="shared" si="168"/>
        <v>0</v>
      </c>
      <c r="CI194" s="16">
        <f t="shared" si="168"/>
        <v>0</v>
      </c>
      <c r="CJ194" s="16">
        <f t="shared" si="168"/>
        <v>0</v>
      </c>
      <c r="CK194" s="16">
        <f t="shared" si="168"/>
        <v>0</v>
      </c>
      <c r="CL194" s="16">
        <f t="shared" si="169"/>
        <v>0</v>
      </c>
      <c r="CM194" s="16">
        <f t="shared" si="169"/>
        <v>0</v>
      </c>
      <c r="CN194" s="16">
        <f t="shared" si="169"/>
        <v>0</v>
      </c>
      <c r="CO194" s="16">
        <f t="shared" si="169"/>
        <v>0</v>
      </c>
      <c r="CP194" s="16">
        <f t="shared" si="169"/>
        <v>0</v>
      </c>
      <c r="CQ194" s="16">
        <f t="shared" si="169"/>
        <v>0</v>
      </c>
      <c r="CR194" s="16">
        <f t="shared" si="169"/>
        <v>-0.36908945699527651</v>
      </c>
      <c r="CS194" s="16">
        <f t="shared" si="169"/>
        <v>1.727630383514638</v>
      </c>
      <c r="CT194" s="16">
        <f t="shared" si="169"/>
        <v>-0.35854092651936154</v>
      </c>
      <c r="CU194" s="16">
        <f t="shared" si="169"/>
        <v>0</v>
      </c>
      <c r="CV194" s="16">
        <f t="shared" si="170"/>
        <v>0</v>
      </c>
      <c r="CW194" s="16">
        <f t="shared" si="170"/>
        <v>0</v>
      </c>
      <c r="CX194" s="16">
        <f t="shared" si="170"/>
        <v>0</v>
      </c>
      <c r="CY194" s="16">
        <f t="shared" si="170"/>
        <v>0</v>
      </c>
      <c r="CZ194" s="16">
        <f t="shared" si="170"/>
        <v>0</v>
      </c>
      <c r="DA194" s="16">
        <f t="shared" si="170"/>
        <v>0</v>
      </c>
      <c r="DB194" s="16">
        <f t="shared" si="170"/>
        <v>0</v>
      </c>
      <c r="DC194" s="16">
        <f t="shared" si="170"/>
        <v>0</v>
      </c>
      <c r="DD194" s="16">
        <f t="shared" si="170"/>
        <v>0</v>
      </c>
      <c r="DE194" s="16">
        <f t="shared" si="170"/>
        <v>0</v>
      </c>
      <c r="DF194" s="16">
        <f t="shared" si="171"/>
        <v>0</v>
      </c>
      <c r="DG194" s="16">
        <f t="shared" si="171"/>
        <v>0</v>
      </c>
      <c r="DH194" s="16">
        <f t="shared" si="171"/>
        <v>0</v>
      </c>
      <c r="DI194" s="16">
        <f t="shared" si="171"/>
        <v>0</v>
      </c>
      <c r="DJ194" s="16">
        <f t="shared" si="171"/>
        <v>0</v>
      </c>
      <c r="DK194" s="16">
        <f t="shared" si="171"/>
        <v>0</v>
      </c>
      <c r="DL194" s="16">
        <f t="shared" si="171"/>
        <v>0</v>
      </c>
      <c r="DM194" s="16">
        <f t="shared" si="171"/>
        <v>0</v>
      </c>
      <c r="DN194" s="16">
        <f t="shared" si="171"/>
        <v>0</v>
      </c>
      <c r="DO194" s="16">
        <f t="shared" si="171"/>
        <v>0</v>
      </c>
      <c r="DP194" s="16">
        <f t="shared" si="171"/>
        <v>0</v>
      </c>
    </row>
    <row r="195" spans="3:120" x14ac:dyDescent="0.25">
      <c r="C195" s="1"/>
      <c r="D195" s="1"/>
      <c r="E195" s="1"/>
      <c r="F195" s="1"/>
      <c r="G195" s="1"/>
      <c r="H195" s="1"/>
      <c r="I195" s="1"/>
      <c r="J195" s="93"/>
      <c r="O195" s="9">
        <f t="shared" si="150"/>
        <v>22</v>
      </c>
      <c r="P195" s="16">
        <f t="shared" si="162"/>
        <v>0</v>
      </c>
      <c r="Q195" s="16">
        <f t="shared" si="162"/>
        <v>0</v>
      </c>
      <c r="R195" s="16">
        <f t="shared" si="162"/>
        <v>0</v>
      </c>
      <c r="S195" s="16">
        <f t="shared" si="162"/>
        <v>0</v>
      </c>
      <c r="T195" s="16">
        <f t="shared" si="162"/>
        <v>0</v>
      </c>
      <c r="U195" s="16">
        <f t="shared" si="162"/>
        <v>0</v>
      </c>
      <c r="V195" s="16">
        <f t="shared" si="162"/>
        <v>0</v>
      </c>
      <c r="W195" s="16">
        <f t="shared" si="162"/>
        <v>0</v>
      </c>
      <c r="X195" s="16">
        <f t="shared" si="162"/>
        <v>0</v>
      </c>
      <c r="Y195" s="16">
        <f t="shared" si="162"/>
        <v>0</v>
      </c>
      <c r="Z195" s="16">
        <f t="shared" si="163"/>
        <v>0</v>
      </c>
      <c r="AA195" s="16">
        <f t="shared" si="163"/>
        <v>0</v>
      </c>
      <c r="AB195" s="16">
        <f t="shared" si="163"/>
        <v>0</v>
      </c>
      <c r="AC195" s="16">
        <f t="shared" si="163"/>
        <v>0</v>
      </c>
      <c r="AD195" s="16">
        <f t="shared" si="163"/>
        <v>0</v>
      </c>
      <c r="AE195" s="16">
        <f t="shared" si="163"/>
        <v>0</v>
      </c>
      <c r="AF195" s="16">
        <f t="shared" si="163"/>
        <v>0</v>
      </c>
      <c r="AG195" s="16">
        <f t="shared" si="163"/>
        <v>0</v>
      </c>
      <c r="AH195" s="16">
        <f t="shared" si="163"/>
        <v>0</v>
      </c>
      <c r="AI195" s="16">
        <f t="shared" si="163"/>
        <v>0</v>
      </c>
      <c r="AJ195" s="16">
        <f t="shared" si="164"/>
        <v>0</v>
      </c>
      <c r="AK195" s="16">
        <f t="shared" si="164"/>
        <v>0</v>
      </c>
      <c r="AL195" s="16">
        <f t="shared" si="164"/>
        <v>0</v>
      </c>
      <c r="AM195" s="16">
        <f t="shared" si="164"/>
        <v>0</v>
      </c>
      <c r="AN195" s="16">
        <f t="shared" si="164"/>
        <v>0</v>
      </c>
      <c r="AO195" s="16">
        <f t="shared" si="164"/>
        <v>0</v>
      </c>
      <c r="AP195" s="16">
        <f t="shared" si="164"/>
        <v>0</v>
      </c>
      <c r="AQ195" s="16">
        <f t="shared" si="164"/>
        <v>-0.24716775113795039</v>
      </c>
      <c r="AR195" s="16">
        <f t="shared" si="164"/>
        <v>1.4872714788904391</v>
      </c>
      <c r="AS195" s="16">
        <f t="shared" si="164"/>
        <v>-0.24010372775248859</v>
      </c>
      <c r="AT195" s="16">
        <f t="shared" si="165"/>
        <v>0</v>
      </c>
      <c r="AU195" s="16">
        <f t="shared" si="165"/>
        <v>0</v>
      </c>
      <c r="AV195" s="16">
        <f t="shared" si="165"/>
        <v>0</v>
      </c>
      <c r="AW195" s="16">
        <f t="shared" si="165"/>
        <v>0</v>
      </c>
      <c r="AX195" s="16">
        <f t="shared" si="165"/>
        <v>0</v>
      </c>
      <c r="AY195" s="16">
        <f t="shared" si="165"/>
        <v>0</v>
      </c>
      <c r="AZ195" s="16">
        <f t="shared" si="165"/>
        <v>0</v>
      </c>
      <c r="BA195" s="16">
        <f t="shared" si="165"/>
        <v>0</v>
      </c>
      <c r="BB195" s="16">
        <f t="shared" si="165"/>
        <v>0</v>
      </c>
      <c r="BC195" s="16">
        <f t="shared" si="165"/>
        <v>0</v>
      </c>
      <c r="BD195" s="16">
        <f t="shared" si="166"/>
        <v>0</v>
      </c>
      <c r="BE195" s="16">
        <f t="shared" si="166"/>
        <v>0</v>
      </c>
      <c r="BF195" s="16">
        <f t="shared" si="166"/>
        <v>0</v>
      </c>
      <c r="BG195" s="16">
        <f t="shared" si="166"/>
        <v>0</v>
      </c>
      <c r="BH195" s="16">
        <f t="shared" si="166"/>
        <v>0</v>
      </c>
      <c r="BI195" s="16">
        <f t="shared" si="166"/>
        <v>0</v>
      </c>
      <c r="BJ195" s="16">
        <f t="shared" si="166"/>
        <v>0</v>
      </c>
      <c r="BK195" s="16">
        <f t="shared" si="166"/>
        <v>0</v>
      </c>
      <c r="BL195" s="16">
        <f t="shared" si="166"/>
        <v>0</v>
      </c>
      <c r="BM195" s="16">
        <f t="shared" si="166"/>
        <v>0</v>
      </c>
      <c r="BN195" s="16">
        <f t="shared" si="166"/>
        <v>0</v>
      </c>
      <c r="BQ195" s="9">
        <f t="shared" si="151"/>
        <v>22</v>
      </c>
      <c r="BR195" s="16">
        <f t="shared" si="167"/>
        <v>0</v>
      </c>
      <c r="BS195" s="16">
        <f t="shared" si="167"/>
        <v>0</v>
      </c>
      <c r="BT195" s="16">
        <f t="shared" si="167"/>
        <v>0</v>
      </c>
      <c r="BU195" s="16">
        <f t="shared" si="167"/>
        <v>0</v>
      </c>
      <c r="BV195" s="16">
        <f t="shared" si="167"/>
        <v>0</v>
      </c>
      <c r="BW195" s="16">
        <f t="shared" si="167"/>
        <v>0</v>
      </c>
      <c r="BX195" s="16">
        <f t="shared" si="167"/>
        <v>0</v>
      </c>
      <c r="BY195" s="16">
        <f t="shared" si="167"/>
        <v>0</v>
      </c>
      <c r="BZ195" s="16">
        <f t="shared" si="167"/>
        <v>0</v>
      </c>
      <c r="CA195" s="16">
        <f t="shared" si="167"/>
        <v>0</v>
      </c>
      <c r="CB195" s="16">
        <f t="shared" si="168"/>
        <v>0</v>
      </c>
      <c r="CC195" s="16">
        <f t="shared" si="168"/>
        <v>0</v>
      </c>
      <c r="CD195" s="16">
        <f t="shared" si="168"/>
        <v>0</v>
      </c>
      <c r="CE195" s="16">
        <f t="shared" si="168"/>
        <v>0</v>
      </c>
      <c r="CF195" s="16">
        <f t="shared" si="168"/>
        <v>0</v>
      </c>
      <c r="CG195" s="16">
        <f t="shared" si="168"/>
        <v>0</v>
      </c>
      <c r="CH195" s="16">
        <f t="shared" si="168"/>
        <v>0</v>
      </c>
      <c r="CI195" s="16">
        <f t="shared" si="168"/>
        <v>0</v>
      </c>
      <c r="CJ195" s="16">
        <f t="shared" si="168"/>
        <v>0</v>
      </c>
      <c r="CK195" s="16">
        <f t="shared" si="168"/>
        <v>0</v>
      </c>
      <c r="CL195" s="16">
        <f t="shared" si="169"/>
        <v>0</v>
      </c>
      <c r="CM195" s="16">
        <f t="shared" si="169"/>
        <v>0</v>
      </c>
      <c r="CN195" s="16">
        <f t="shared" si="169"/>
        <v>0</v>
      </c>
      <c r="CO195" s="16">
        <f t="shared" si="169"/>
        <v>0</v>
      </c>
      <c r="CP195" s="16">
        <f t="shared" si="169"/>
        <v>0</v>
      </c>
      <c r="CQ195" s="16">
        <f t="shared" si="169"/>
        <v>0</v>
      </c>
      <c r="CR195" s="16">
        <f t="shared" si="169"/>
        <v>0</v>
      </c>
      <c r="CS195" s="16">
        <f t="shared" si="169"/>
        <v>-0.35597156639404332</v>
      </c>
      <c r="CT195" s="16">
        <f t="shared" si="169"/>
        <v>1.7017695099833725</v>
      </c>
      <c r="CU195" s="16">
        <f t="shared" si="169"/>
        <v>-0.34579794358932903</v>
      </c>
      <c r="CV195" s="16">
        <f t="shared" si="170"/>
        <v>0</v>
      </c>
      <c r="CW195" s="16">
        <f t="shared" si="170"/>
        <v>0</v>
      </c>
      <c r="CX195" s="16">
        <f t="shared" si="170"/>
        <v>0</v>
      </c>
      <c r="CY195" s="16">
        <f t="shared" si="170"/>
        <v>0</v>
      </c>
      <c r="CZ195" s="16">
        <f t="shared" si="170"/>
        <v>0</v>
      </c>
      <c r="DA195" s="16">
        <f t="shared" si="170"/>
        <v>0</v>
      </c>
      <c r="DB195" s="16">
        <f t="shared" si="170"/>
        <v>0</v>
      </c>
      <c r="DC195" s="16">
        <f t="shared" si="170"/>
        <v>0</v>
      </c>
      <c r="DD195" s="16">
        <f t="shared" si="170"/>
        <v>0</v>
      </c>
      <c r="DE195" s="16">
        <f t="shared" si="170"/>
        <v>0</v>
      </c>
      <c r="DF195" s="16">
        <f t="shared" si="171"/>
        <v>0</v>
      </c>
      <c r="DG195" s="16">
        <f t="shared" si="171"/>
        <v>0</v>
      </c>
      <c r="DH195" s="16">
        <f t="shared" si="171"/>
        <v>0</v>
      </c>
      <c r="DI195" s="16">
        <f t="shared" si="171"/>
        <v>0</v>
      </c>
      <c r="DJ195" s="16">
        <f t="shared" si="171"/>
        <v>0</v>
      </c>
      <c r="DK195" s="16">
        <f t="shared" si="171"/>
        <v>0</v>
      </c>
      <c r="DL195" s="16">
        <f t="shared" si="171"/>
        <v>0</v>
      </c>
      <c r="DM195" s="16">
        <f t="shared" si="171"/>
        <v>0</v>
      </c>
      <c r="DN195" s="16">
        <f t="shared" si="171"/>
        <v>0</v>
      </c>
      <c r="DO195" s="16">
        <f t="shared" si="171"/>
        <v>0</v>
      </c>
      <c r="DP195" s="16">
        <f t="shared" si="171"/>
        <v>0</v>
      </c>
    </row>
    <row r="196" spans="3:120" x14ac:dyDescent="0.25">
      <c r="C196" s="1"/>
      <c r="D196" s="1"/>
      <c r="E196" s="1"/>
      <c r="F196" s="1"/>
      <c r="G196" s="1"/>
      <c r="H196" s="1"/>
      <c r="I196" s="1"/>
      <c r="J196" s="93"/>
      <c r="O196" s="9">
        <f t="shared" si="150"/>
        <v>21</v>
      </c>
      <c r="P196" s="16">
        <f t="shared" si="162"/>
        <v>0</v>
      </c>
      <c r="Q196" s="16">
        <f t="shared" si="162"/>
        <v>0</v>
      </c>
      <c r="R196" s="16">
        <f t="shared" si="162"/>
        <v>0</v>
      </c>
      <c r="S196" s="16">
        <f t="shared" si="162"/>
        <v>0</v>
      </c>
      <c r="T196" s="16">
        <f t="shared" si="162"/>
        <v>0</v>
      </c>
      <c r="U196" s="16">
        <f t="shared" si="162"/>
        <v>0</v>
      </c>
      <c r="V196" s="16">
        <f t="shared" si="162"/>
        <v>0</v>
      </c>
      <c r="W196" s="16">
        <f t="shared" si="162"/>
        <v>0</v>
      </c>
      <c r="X196" s="16">
        <f t="shared" si="162"/>
        <v>0</v>
      </c>
      <c r="Y196" s="16">
        <f t="shared" si="162"/>
        <v>0</v>
      </c>
      <c r="Z196" s="16">
        <f t="shared" si="163"/>
        <v>0</v>
      </c>
      <c r="AA196" s="16">
        <f t="shared" si="163"/>
        <v>0</v>
      </c>
      <c r="AB196" s="16">
        <f t="shared" si="163"/>
        <v>0</v>
      </c>
      <c r="AC196" s="16">
        <f t="shared" si="163"/>
        <v>0</v>
      </c>
      <c r="AD196" s="16">
        <f t="shared" si="163"/>
        <v>0</v>
      </c>
      <c r="AE196" s="16">
        <f t="shared" si="163"/>
        <v>0</v>
      </c>
      <c r="AF196" s="16">
        <f t="shared" si="163"/>
        <v>0</v>
      </c>
      <c r="AG196" s="16">
        <f t="shared" si="163"/>
        <v>0</v>
      </c>
      <c r="AH196" s="16">
        <f t="shared" si="163"/>
        <v>0</v>
      </c>
      <c r="AI196" s="16">
        <f t="shared" si="163"/>
        <v>0</v>
      </c>
      <c r="AJ196" s="16">
        <f t="shared" si="164"/>
        <v>0</v>
      </c>
      <c r="AK196" s="16">
        <f t="shared" si="164"/>
        <v>0</v>
      </c>
      <c r="AL196" s="16">
        <f t="shared" si="164"/>
        <v>0</v>
      </c>
      <c r="AM196" s="16">
        <f t="shared" si="164"/>
        <v>0</v>
      </c>
      <c r="AN196" s="16">
        <f t="shared" si="164"/>
        <v>0</v>
      </c>
      <c r="AO196" s="16">
        <f t="shared" si="164"/>
        <v>0</v>
      </c>
      <c r="AP196" s="16">
        <f t="shared" si="164"/>
        <v>0</v>
      </c>
      <c r="AQ196" s="16">
        <f t="shared" si="164"/>
        <v>0</v>
      </c>
      <c r="AR196" s="16">
        <f t="shared" si="164"/>
        <v>-0.25056246047883979</v>
      </c>
      <c r="AS196" s="16">
        <f t="shared" si="164"/>
        <v>1.493963877204227</v>
      </c>
      <c r="AT196" s="16">
        <f t="shared" si="165"/>
        <v>-0.24340141672538707</v>
      </c>
      <c r="AU196" s="16">
        <f t="shared" si="165"/>
        <v>0</v>
      </c>
      <c r="AV196" s="16">
        <f t="shared" si="165"/>
        <v>0</v>
      </c>
      <c r="AW196" s="16">
        <f t="shared" si="165"/>
        <v>0</v>
      </c>
      <c r="AX196" s="16">
        <f t="shared" si="165"/>
        <v>0</v>
      </c>
      <c r="AY196" s="16">
        <f t="shared" si="165"/>
        <v>0</v>
      </c>
      <c r="AZ196" s="16">
        <f t="shared" si="165"/>
        <v>0</v>
      </c>
      <c r="BA196" s="16">
        <f t="shared" si="165"/>
        <v>0</v>
      </c>
      <c r="BB196" s="16">
        <f t="shared" si="165"/>
        <v>0</v>
      </c>
      <c r="BC196" s="16">
        <f t="shared" si="165"/>
        <v>0</v>
      </c>
      <c r="BD196" s="16">
        <f t="shared" si="166"/>
        <v>0</v>
      </c>
      <c r="BE196" s="16">
        <f t="shared" si="166"/>
        <v>0</v>
      </c>
      <c r="BF196" s="16">
        <f t="shared" si="166"/>
        <v>0</v>
      </c>
      <c r="BG196" s="16">
        <f t="shared" si="166"/>
        <v>0</v>
      </c>
      <c r="BH196" s="16">
        <f t="shared" si="166"/>
        <v>0</v>
      </c>
      <c r="BI196" s="16">
        <f t="shared" si="166"/>
        <v>0</v>
      </c>
      <c r="BJ196" s="16">
        <f t="shared" si="166"/>
        <v>0</v>
      </c>
      <c r="BK196" s="16">
        <f t="shared" si="166"/>
        <v>0</v>
      </c>
      <c r="BL196" s="16">
        <f t="shared" si="166"/>
        <v>0</v>
      </c>
      <c r="BM196" s="16">
        <f t="shared" si="166"/>
        <v>0</v>
      </c>
      <c r="BN196" s="16">
        <f t="shared" si="166"/>
        <v>0</v>
      </c>
      <c r="BQ196" s="9">
        <f t="shared" si="151"/>
        <v>21</v>
      </c>
      <c r="BR196" s="16">
        <f t="shared" si="167"/>
        <v>0</v>
      </c>
      <c r="BS196" s="16">
        <f t="shared" si="167"/>
        <v>0</v>
      </c>
      <c r="BT196" s="16">
        <f t="shared" si="167"/>
        <v>0</v>
      </c>
      <c r="BU196" s="16">
        <f t="shared" si="167"/>
        <v>0</v>
      </c>
      <c r="BV196" s="16">
        <f t="shared" si="167"/>
        <v>0</v>
      </c>
      <c r="BW196" s="16">
        <f t="shared" si="167"/>
        <v>0</v>
      </c>
      <c r="BX196" s="16">
        <f t="shared" si="167"/>
        <v>0</v>
      </c>
      <c r="BY196" s="16">
        <f t="shared" si="167"/>
        <v>0</v>
      </c>
      <c r="BZ196" s="16">
        <f t="shared" si="167"/>
        <v>0</v>
      </c>
      <c r="CA196" s="16">
        <f t="shared" si="167"/>
        <v>0</v>
      </c>
      <c r="CB196" s="16">
        <f t="shared" si="168"/>
        <v>0</v>
      </c>
      <c r="CC196" s="16">
        <f t="shared" si="168"/>
        <v>0</v>
      </c>
      <c r="CD196" s="16">
        <f t="shared" si="168"/>
        <v>0</v>
      </c>
      <c r="CE196" s="16">
        <f t="shared" si="168"/>
        <v>0</v>
      </c>
      <c r="CF196" s="16">
        <f t="shared" si="168"/>
        <v>0</v>
      </c>
      <c r="CG196" s="16">
        <f t="shared" si="168"/>
        <v>0</v>
      </c>
      <c r="CH196" s="16">
        <f t="shared" si="168"/>
        <v>0</v>
      </c>
      <c r="CI196" s="16">
        <f t="shared" si="168"/>
        <v>0</v>
      </c>
      <c r="CJ196" s="16">
        <f t="shared" si="168"/>
        <v>0</v>
      </c>
      <c r="CK196" s="16">
        <f t="shared" si="168"/>
        <v>0</v>
      </c>
      <c r="CL196" s="16">
        <f t="shared" si="169"/>
        <v>0</v>
      </c>
      <c r="CM196" s="16">
        <f t="shared" si="169"/>
        <v>0</v>
      </c>
      <c r="CN196" s="16">
        <f t="shared" si="169"/>
        <v>0</v>
      </c>
      <c r="CO196" s="16">
        <f t="shared" si="169"/>
        <v>0</v>
      </c>
      <c r="CP196" s="16">
        <f t="shared" si="169"/>
        <v>0</v>
      </c>
      <c r="CQ196" s="16">
        <f t="shared" si="169"/>
        <v>0</v>
      </c>
      <c r="CR196" s="16">
        <f t="shared" si="169"/>
        <v>0</v>
      </c>
      <c r="CS196" s="16">
        <f t="shared" si="169"/>
        <v>0</v>
      </c>
      <c r="CT196" s="16">
        <f t="shared" si="169"/>
        <v>-0.33969221656764736</v>
      </c>
      <c r="CU196" s="16">
        <f t="shared" si="169"/>
        <v>1.6696760721106645</v>
      </c>
      <c r="CV196" s="16">
        <f t="shared" si="170"/>
        <v>-0.32998385554301701</v>
      </c>
      <c r="CW196" s="16">
        <f t="shared" si="170"/>
        <v>0</v>
      </c>
      <c r="CX196" s="16">
        <f t="shared" si="170"/>
        <v>0</v>
      </c>
      <c r="CY196" s="16">
        <f t="shared" si="170"/>
        <v>0</v>
      </c>
      <c r="CZ196" s="16">
        <f t="shared" si="170"/>
        <v>0</v>
      </c>
      <c r="DA196" s="16">
        <f t="shared" si="170"/>
        <v>0</v>
      </c>
      <c r="DB196" s="16">
        <f t="shared" si="170"/>
        <v>0</v>
      </c>
      <c r="DC196" s="16">
        <f t="shared" si="170"/>
        <v>0</v>
      </c>
      <c r="DD196" s="16">
        <f t="shared" si="170"/>
        <v>0</v>
      </c>
      <c r="DE196" s="16">
        <f t="shared" si="170"/>
        <v>0</v>
      </c>
      <c r="DF196" s="16">
        <f t="shared" si="171"/>
        <v>0</v>
      </c>
      <c r="DG196" s="16">
        <f t="shared" si="171"/>
        <v>0</v>
      </c>
      <c r="DH196" s="16">
        <f t="shared" si="171"/>
        <v>0</v>
      </c>
      <c r="DI196" s="16">
        <f t="shared" si="171"/>
        <v>0</v>
      </c>
      <c r="DJ196" s="16">
        <f t="shared" si="171"/>
        <v>0</v>
      </c>
      <c r="DK196" s="16">
        <f t="shared" si="171"/>
        <v>0</v>
      </c>
      <c r="DL196" s="16">
        <f t="shared" si="171"/>
        <v>0</v>
      </c>
      <c r="DM196" s="16">
        <f t="shared" si="171"/>
        <v>0</v>
      </c>
      <c r="DN196" s="16">
        <f t="shared" si="171"/>
        <v>0</v>
      </c>
      <c r="DO196" s="16">
        <f t="shared" si="171"/>
        <v>0</v>
      </c>
      <c r="DP196" s="16">
        <f t="shared" si="171"/>
        <v>0</v>
      </c>
    </row>
    <row r="197" spans="3:120" x14ac:dyDescent="0.25">
      <c r="C197" s="1"/>
      <c r="D197" s="1"/>
      <c r="E197" s="1"/>
      <c r="F197" s="1"/>
      <c r="G197" s="1"/>
      <c r="H197" s="1"/>
      <c r="I197" s="1"/>
      <c r="J197" s="93"/>
      <c r="O197" s="9">
        <f t="shared" si="150"/>
        <v>20</v>
      </c>
      <c r="P197" s="16">
        <f t="shared" ref="P197:Y206" si="172">IF(P$166=$O197,1-HLOOKUP($O197,$O$19:$BN$48,P$107,0),IF(P$166-$O197=1,-HLOOKUP($O197,$O$15:$BN$30,P$107,0),IF(P$166-$O197=-1,-HLOOKUP($O197,$O$23:$BN$68,P$107,0),0)))</f>
        <v>0</v>
      </c>
      <c r="Q197" s="16">
        <f t="shared" si="172"/>
        <v>0</v>
      </c>
      <c r="R197" s="16">
        <f t="shared" si="172"/>
        <v>0</v>
      </c>
      <c r="S197" s="16">
        <f t="shared" si="172"/>
        <v>0</v>
      </c>
      <c r="T197" s="16">
        <f t="shared" si="172"/>
        <v>0</v>
      </c>
      <c r="U197" s="16">
        <f t="shared" si="172"/>
        <v>0</v>
      </c>
      <c r="V197" s="16">
        <f t="shared" si="172"/>
        <v>0</v>
      </c>
      <c r="W197" s="16">
        <f t="shared" si="172"/>
        <v>0</v>
      </c>
      <c r="X197" s="16">
        <f t="shared" si="172"/>
        <v>0</v>
      </c>
      <c r="Y197" s="16">
        <f t="shared" si="172"/>
        <v>0</v>
      </c>
      <c r="Z197" s="16">
        <f t="shared" ref="Z197:AI206" si="173">IF(Z$166=$O197,1-HLOOKUP($O197,$O$19:$BN$48,Z$107,0),IF(Z$166-$O197=1,-HLOOKUP($O197,$O$15:$BN$30,Z$107,0),IF(Z$166-$O197=-1,-HLOOKUP($O197,$O$23:$BN$68,Z$107,0),0)))</f>
        <v>0</v>
      </c>
      <c r="AA197" s="16">
        <f t="shared" si="173"/>
        <v>0</v>
      </c>
      <c r="AB197" s="16">
        <f t="shared" si="173"/>
        <v>0</v>
      </c>
      <c r="AC197" s="16">
        <f t="shared" si="173"/>
        <v>0</v>
      </c>
      <c r="AD197" s="16">
        <f t="shared" si="173"/>
        <v>0</v>
      </c>
      <c r="AE197" s="16">
        <f t="shared" si="173"/>
        <v>0</v>
      </c>
      <c r="AF197" s="16">
        <f t="shared" si="173"/>
        <v>0</v>
      </c>
      <c r="AG197" s="16">
        <f t="shared" si="173"/>
        <v>0</v>
      </c>
      <c r="AH197" s="16">
        <f t="shared" si="173"/>
        <v>0</v>
      </c>
      <c r="AI197" s="16">
        <f t="shared" si="173"/>
        <v>0</v>
      </c>
      <c r="AJ197" s="16">
        <f t="shared" ref="AJ197:AS206" si="174">IF(AJ$166=$O197,1-HLOOKUP($O197,$O$19:$BN$48,AJ$107,0),IF(AJ$166-$O197=1,-HLOOKUP($O197,$O$15:$BN$30,AJ$107,0),IF(AJ$166-$O197=-1,-HLOOKUP($O197,$O$23:$BN$68,AJ$107,0),0)))</f>
        <v>0</v>
      </c>
      <c r="AK197" s="16">
        <f t="shared" si="174"/>
        <v>0</v>
      </c>
      <c r="AL197" s="16">
        <f t="shared" si="174"/>
        <v>0</v>
      </c>
      <c r="AM197" s="16">
        <f t="shared" si="174"/>
        <v>0</v>
      </c>
      <c r="AN197" s="16">
        <f t="shared" si="174"/>
        <v>0</v>
      </c>
      <c r="AO197" s="16">
        <f t="shared" si="174"/>
        <v>0</v>
      </c>
      <c r="AP197" s="16">
        <f t="shared" si="174"/>
        <v>0</v>
      </c>
      <c r="AQ197" s="16">
        <f t="shared" si="174"/>
        <v>0</v>
      </c>
      <c r="AR197" s="16">
        <f t="shared" si="174"/>
        <v>0</v>
      </c>
      <c r="AS197" s="16">
        <f t="shared" si="174"/>
        <v>-0.25262168532798301</v>
      </c>
      <c r="AT197" s="16">
        <f t="shared" ref="AT197:BC206" si="175">IF(AT$166=$O197,1-HLOOKUP($O197,$O$19:$BN$48,AT$107,0),IF(AT$166-$O197=1,-HLOOKUP($O197,$O$15:$BN$30,AT$107,0),IF(AT$166-$O197=-1,-HLOOKUP($O197,$O$23:$BN$68,AT$107,0),0)))</f>
        <v>1.4980234745141119</v>
      </c>
      <c r="AU197" s="16">
        <f t="shared" si="175"/>
        <v>-0.24540178918612887</v>
      </c>
      <c r="AV197" s="16">
        <f t="shared" si="175"/>
        <v>0</v>
      </c>
      <c r="AW197" s="16">
        <f t="shared" si="175"/>
        <v>0</v>
      </c>
      <c r="AX197" s="16">
        <f t="shared" si="175"/>
        <v>0</v>
      </c>
      <c r="AY197" s="16">
        <f t="shared" si="175"/>
        <v>0</v>
      </c>
      <c r="AZ197" s="16">
        <f t="shared" si="175"/>
        <v>0</v>
      </c>
      <c r="BA197" s="16">
        <f t="shared" si="175"/>
        <v>0</v>
      </c>
      <c r="BB197" s="16">
        <f t="shared" si="175"/>
        <v>0</v>
      </c>
      <c r="BC197" s="16">
        <f t="shared" si="175"/>
        <v>0</v>
      </c>
      <c r="BD197" s="16">
        <f t="shared" ref="BD197:BN206" si="176">IF(BD$166=$O197,1-HLOOKUP($O197,$O$19:$BN$48,BD$107,0),IF(BD$166-$O197=1,-HLOOKUP($O197,$O$15:$BN$30,BD$107,0),IF(BD$166-$O197=-1,-HLOOKUP($O197,$O$23:$BN$68,BD$107,0),0)))</f>
        <v>0</v>
      </c>
      <c r="BE197" s="16">
        <f t="shared" si="176"/>
        <v>0</v>
      </c>
      <c r="BF197" s="16">
        <f t="shared" si="176"/>
        <v>0</v>
      </c>
      <c r="BG197" s="16">
        <f t="shared" si="176"/>
        <v>0</v>
      </c>
      <c r="BH197" s="16">
        <f t="shared" si="176"/>
        <v>0</v>
      </c>
      <c r="BI197" s="16">
        <f t="shared" si="176"/>
        <v>0</v>
      </c>
      <c r="BJ197" s="16">
        <f t="shared" si="176"/>
        <v>0</v>
      </c>
      <c r="BK197" s="16">
        <f t="shared" si="176"/>
        <v>0</v>
      </c>
      <c r="BL197" s="16">
        <f t="shared" si="176"/>
        <v>0</v>
      </c>
      <c r="BM197" s="16">
        <f t="shared" si="176"/>
        <v>0</v>
      </c>
      <c r="BN197" s="16">
        <f t="shared" si="176"/>
        <v>0</v>
      </c>
      <c r="BQ197" s="9">
        <f t="shared" si="151"/>
        <v>20</v>
      </c>
      <c r="BR197" s="16">
        <f t="shared" ref="BR197:CA206" si="177">IF(BR$166=$O197,1-HLOOKUP($O197,$O$19:$BN$48,BR$107,0),IF(BR$166-$O197=1,-HLOOKUP($O197,$O$15:$BN$30,BR$107,0),IF(BR$166-$O197=-1,-HLOOKUP($O197,$O$23:$BN$68,BR$107,0),0)))</f>
        <v>0</v>
      </c>
      <c r="BS197" s="16">
        <f t="shared" si="177"/>
        <v>0</v>
      </c>
      <c r="BT197" s="16">
        <f t="shared" si="177"/>
        <v>0</v>
      </c>
      <c r="BU197" s="16">
        <f t="shared" si="177"/>
        <v>0</v>
      </c>
      <c r="BV197" s="16">
        <f t="shared" si="177"/>
        <v>0</v>
      </c>
      <c r="BW197" s="16">
        <f t="shared" si="177"/>
        <v>0</v>
      </c>
      <c r="BX197" s="16">
        <f t="shared" si="177"/>
        <v>0</v>
      </c>
      <c r="BY197" s="16">
        <f t="shared" si="177"/>
        <v>0</v>
      </c>
      <c r="BZ197" s="16">
        <f t="shared" si="177"/>
        <v>0</v>
      </c>
      <c r="CA197" s="16">
        <f t="shared" si="177"/>
        <v>0</v>
      </c>
      <c r="CB197" s="16">
        <f t="shared" ref="CB197:CK206" si="178">IF(CB$166=$O197,1-HLOOKUP($O197,$O$19:$BN$48,CB$107,0),IF(CB$166-$O197=1,-HLOOKUP($O197,$O$15:$BN$30,CB$107,0),IF(CB$166-$O197=-1,-HLOOKUP($O197,$O$23:$BN$68,CB$107,0),0)))</f>
        <v>0</v>
      </c>
      <c r="CC197" s="16">
        <f t="shared" si="178"/>
        <v>0</v>
      </c>
      <c r="CD197" s="16">
        <f t="shared" si="178"/>
        <v>0</v>
      </c>
      <c r="CE197" s="16">
        <f t="shared" si="178"/>
        <v>0</v>
      </c>
      <c r="CF197" s="16">
        <f t="shared" si="178"/>
        <v>0</v>
      </c>
      <c r="CG197" s="16">
        <f t="shared" si="178"/>
        <v>0</v>
      </c>
      <c r="CH197" s="16">
        <f t="shared" si="178"/>
        <v>0</v>
      </c>
      <c r="CI197" s="16">
        <f t="shared" si="178"/>
        <v>0</v>
      </c>
      <c r="CJ197" s="16">
        <f t="shared" si="178"/>
        <v>0</v>
      </c>
      <c r="CK197" s="16">
        <f t="shared" si="178"/>
        <v>0</v>
      </c>
      <c r="CL197" s="16">
        <f t="shared" ref="CL197:CU206" si="179">IF(CL$166=$O197,1-HLOOKUP($O197,$O$19:$BN$48,CL$107,0),IF(CL$166-$O197=1,-HLOOKUP($O197,$O$15:$BN$30,CL$107,0),IF(CL$166-$O197=-1,-HLOOKUP($O197,$O$23:$BN$68,CL$107,0),0)))</f>
        <v>0</v>
      </c>
      <c r="CM197" s="16">
        <f t="shared" si="179"/>
        <v>0</v>
      </c>
      <c r="CN197" s="16">
        <f t="shared" si="179"/>
        <v>0</v>
      </c>
      <c r="CO197" s="16">
        <f t="shared" si="179"/>
        <v>0</v>
      </c>
      <c r="CP197" s="16">
        <f t="shared" si="179"/>
        <v>0</v>
      </c>
      <c r="CQ197" s="16">
        <f t="shared" si="179"/>
        <v>0</v>
      </c>
      <c r="CR197" s="16">
        <f t="shared" si="179"/>
        <v>0</v>
      </c>
      <c r="CS197" s="16">
        <f t="shared" si="179"/>
        <v>0</v>
      </c>
      <c r="CT197" s="16">
        <f t="shared" si="179"/>
        <v>0</v>
      </c>
      <c r="CU197" s="16">
        <f t="shared" si="179"/>
        <v>-0.3484098259730295</v>
      </c>
      <c r="CV197" s="16">
        <f t="shared" ref="CV197:DE206" si="180">IF(CV$166=$O197,1-HLOOKUP($O197,$O$19:$BN$48,CV$107,0),IF(CV$166-$O197=1,-HLOOKUP($O197,$O$15:$BN$30,CV$107,0),IF(CV$166-$O197=-1,-HLOOKUP($O197,$O$23:$BN$68,CV$107,0),0)))</f>
        <v>1.6868621427359498</v>
      </c>
      <c r="CW197" s="16">
        <f t="shared" si="180"/>
        <v>-0.33845231676292015</v>
      </c>
      <c r="CX197" s="16">
        <f t="shared" si="180"/>
        <v>0</v>
      </c>
      <c r="CY197" s="16">
        <f t="shared" si="180"/>
        <v>0</v>
      </c>
      <c r="CZ197" s="16">
        <f t="shared" si="180"/>
        <v>0</v>
      </c>
      <c r="DA197" s="16">
        <f t="shared" si="180"/>
        <v>0</v>
      </c>
      <c r="DB197" s="16">
        <f t="shared" si="180"/>
        <v>0</v>
      </c>
      <c r="DC197" s="16">
        <f t="shared" si="180"/>
        <v>0</v>
      </c>
      <c r="DD197" s="16">
        <f t="shared" si="180"/>
        <v>0</v>
      </c>
      <c r="DE197" s="16">
        <f t="shared" si="180"/>
        <v>0</v>
      </c>
      <c r="DF197" s="16">
        <f t="shared" ref="DF197:DP206" si="181">IF(DF$166=$O197,1-HLOOKUP($O197,$O$19:$BN$48,DF$107,0),IF(DF$166-$O197=1,-HLOOKUP($O197,$O$15:$BN$30,DF$107,0),IF(DF$166-$O197=-1,-HLOOKUP($O197,$O$23:$BN$68,DF$107,0),0)))</f>
        <v>0</v>
      </c>
      <c r="DG197" s="16">
        <f t="shared" si="181"/>
        <v>0</v>
      </c>
      <c r="DH197" s="16">
        <f t="shared" si="181"/>
        <v>0</v>
      </c>
      <c r="DI197" s="16">
        <f t="shared" si="181"/>
        <v>0</v>
      </c>
      <c r="DJ197" s="16">
        <f t="shared" si="181"/>
        <v>0</v>
      </c>
      <c r="DK197" s="16">
        <f t="shared" si="181"/>
        <v>0</v>
      </c>
      <c r="DL197" s="16">
        <f t="shared" si="181"/>
        <v>0</v>
      </c>
      <c r="DM197" s="16">
        <f t="shared" si="181"/>
        <v>0</v>
      </c>
      <c r="DN197" s="16">
        <f t="shared" si="181"/>
        <v>0</v>
      </c>
      <c r="DO197" s="16">
        <f t="shared" si="181"/>
        <v>0</v>
      </c>
      <c r="DP197" s="16">
        <f t="shared" si="181"/>
        <v>0</v>
      </c>
    </row>
    <row r="198" spans="3:120" x14ac:dyDescent="0.25">
      <c r="C198" s="1"/>
      <c r="D198" s="1"/>
      <c r="E198" s="1"/>
      <c r="F198" s="1"/>
      <c r="G198" s="1"/>
      <c r="H198" s="1"/>
      <c r="I198" s="1"/>
      <c r="J198" s="93"/>
      <c r="O198" s="9">
        <f t="shared" si="150"/>
        <v>19</v>
      </c>
      <c r="P198" s="16">
        <f t="shared" si="172"/>
        <v>0</v>
      </c>
      <c r="Q198" s="16">
        <f t="shared" si="172"/>
        <v>0</v>
      </c>
      <c r="R198" s="16">
        <f t="shared" si="172"/>
        <v>0</v>
      </c>
      <c r="S198" s="16">
        <f t="shared" si="172"/>
        <v>0</v>
      </c>
      <c r="T198" s="16">
        <f t="shared" si="172"/>
        <v>0</v>
      </c>
      <c r="U198" s="16">
        <f t="shared" si="172"/>
        <v>0</v>
      </c>
      <c r="V198" s="16">
        <f t="shared" si="172"/>
        <v>0</v>
      </c>
      <c r="W198" s="16">
        <f t="shared" si="172"/>
        <v>0</v>
      </c>
      <c r="X198" s="16">
        <f t="shared" si="172"/>
        <v>0</v>
      </c>
      <c r="Y198" s="16">
        <f t="shared" si="172"/>
        <v>0</v>
      </c>
      <c r="Z198" s="16">
        <f t="shared" si="173"/>
        <v>0</v>
      </c>
      <c r="AA198" s="16">
        <f t="shared" si="173"/>
        <v>0</v>
      </c>
      <c r="AB198" s="16">
        <f t="shared" si="173"/>
        <v>0</v>
      </c>
      <c r="AC198" s="16">
        <f t="shared" si="173"/>
        <v>0</v>
      </c>
      <c r="AD198" s="16">
        <f t="shared" si="173"/>
        <v>0</v>
      </c>
      <c r="AE198" s="16">
        <f t="shared" si="173"/>
        <v>0</v>
      </c>
      <c r="AF198" s="16">
        <f t="shared" si="173"/>
        <v>0</v>
      </c>
      <c r="AG198" s="16">
        <f t="shared" si="173"/>
        <v>0</v>
      </c>
      <c r="AH198" s="16">
        <f t="shared" si="173"/>
        <v>0</v>
      </c>
      <c r="AI198" s="16">
        <f t="shared" si="173"/>
        <v>0</v>
      </c>
      <c r="AJ198" s="16">
        <f t="shared" si="174"/>
        <v>0</v>
      </c>
      <c r="AK198" s="16">
        <f t="shared" si="174"/>
        <v>0</v>
      </c>
      <c r="AL198" s="16">
        <f t="shared" si="174"/>
        <v>0</v>
      </c>
      <c r="AM198" s="16">
        <f t="shared" si="174"/>
        <v>0</v>
      </c>
      <c r="AN198" s="16">
        <f t="shared" si="174"/>
        <v>0</v>
      </c>
      <c r="AO198" s="16">
        <f t="shared" si="174"/>
        <v>0</v>
      </c>
      <c r="AP198" s="16">
        <f t="shared" si="174"/>
        <v>0</v>
      </c>
      <c r="AQ198" s="16">
        <f t="shared" si="174"/>
        <v>0</v>
      </c>
      <c r="AR198" s="16">
        <f t="shared" si="174"/>
        <v>0</v>
      </c>
      <c r="AS198" s="16">
        <f t="shared" si="174"/>
        <v>0</v>
      </c>
      <c r="AT198" s="16">
        <f t="shared" si="175"/>
        <v>-0.25429890454701815</v>
      </c>
      <c r="AU198" s="16">
        <f t="shared" si="175"/>
        <v>1.5013299782368672</v>
      </c>
      <c r="AV198" s="16">
        <f t="shared" si="175"/>
        <v>-0.24703107368984914</v>
      </c>
      <c r="AW198" s="16">
        <f t="shared" si="175"/>
        <v>0</v>
      </c>
      <c r="AX198" s="16">
        <f t="shared" si="175"/>
        <v>0</v>
      </c>
      <c r="AY198" s="16">
        <f t="shared" si="175"/>
        <v>0</v>
      </c>
      <c r="AZ198" s="16">
        <f t="shared" si="175"/>
        <v>0</v>
      </c>
      <c r="BA198" s="16">
        <f t="shared" si="175"/>
        <v>0</v>
      </c>
      <c r="BB198" s="16">
        <f t="shared" si="175"/>
        <v>0</v>
      </c>
      <c r="BC198" s="16">
        <f t="shared" si="175"/>
        <v>0</v>
      </c>
      <c r="BD198" s="16">
        <f t="shared" si="176"/>
        <v>0</v>
      </c>
      <c r="BE198" s="16">
        <f t="shared" si="176"/>
        <v>0</v>
      </c>
      <c r="BF198" s="16">
        <f t="shared" si="176"/>
        <v>0</v>
      </c>
      <c r="BG198" s="16">
        <f t="shared" si="176"/>
        <v>0</v>
      </c>
      <c r="BH198" s="16">
        <f t="shared" si="176"/>
        <v>0</v>
      </c>
      <c r="BI198" s="16">
        <f t="shared" si="176"/>
        <v>0</v>
      </c>
      <c r="BJ198" s="16">
        <f t="shared" si="176"/>
        <v>0</v>
      </c>
      <c r="BK198" s="16">
        <f t="shared" si="176"/>
        <v>0</v>
      </c>
      <c r="BL198" s="16">
        <f t="shared" si="176"/>
        <v>0</v>
      </c>
      <c r="BM198" s="16">
        <f t="shared" si="176"/>
        <v>0</v>
      </c>
      <c r="BN198" s="16">
        <f t="shared" si="176"/>
        <v>0</v>
      </c>
      <c r="BQ198" s="9">
        <f t="shared" si="151"/>
        <v>19</v>
      </c>
      <c r="BR198" s="16">
        <f t="shared" si="177"/>
        <v>0</v>
      </c>
      <c r="BS198" s="16">
        <f t="shared" si="177"/>
        <v>0</v>
      </c>
      <c r="BT198" s="16">
        <f t="shared" si="177"/>
        <v>0</v>
      </c>
      <c r="BU198" s="16">
        <f t="shared" si="177"/>
        <v>0</v>
      </c>
      <c r="BV198" s="16">
        <f t="shared" si="177"/>
        <v>0</v>
      </c>
      <c r="BW198" s="16">
        <f t="shared" si="177"/>
        <v>0</v>
      </c>
      <c r="BX198" s="16">
        <f t="shared" si="177"/>
        <v>0</v>
      </c>
      <c r="BY198" s="16">
        <f t="shared" si="177"/>
        <v>0</v>
      </c>
      <c r="BZ198" s="16">
        <f t="shared" si="177"/>
        <v>0</v>
      </c>
      <c r="CA198" s="16">
        <f t="shared" si="177"/>
        <v>0</v>
      </c>
      <c r="CB198" s="16">
        <f t="shared" si="178"/>
        <v>0</v>
      </c>
      <c r="CC198" s="16">
        <f t="shared" si="178"/>
        <v>0</v>
      </c>
      <c r="CD198" s="16">
        <f t="shared" si="178"/>
        <v>0</v>
      </c>
      <c r="CE198" s="16">
        <f t="shared" si="178"/>
        <v>0</v>
      </c>
      <c r="CF198" s="16">
        <f t="shared" si="178"/>
        <v>0</v>
      </c>
      <c r="CG198" s="16">
        <f t="shared" si="178"/>
        <v>0</v>
      </c>
      <c r="CH198" s="16">
        <f t="shared" si="178"/>
        <v>0</v>
      </c>
      <c r="CI198" s="16">
        <f t="shared" si="178"/>
        <v>0</v>
      </c>
      <c r="CJ198" s="16">
        <f t="shared" si="178"/>
        <v>0</v>
      </c>
      <c r="CK198" s="16">
        <f t="shared" si="178"/>
        <v>0</v>
      </c>
      <c r="CL198" s="16">
        <f t="shared" si="179"/>
        <v>0</v>
      </c>
      <c r="CM198" s="16">
        <f t="shared" si="179"/>
        <v>0</v>
      </c>
      <c r="CN198" s="16">
        <f t="shared" si="179"/>
        <v>0</v>
      </c>
      <c r="CO198" s="16">
        <f t="shared" si="179"/>
        <v>0</v>
      </c>
      <c r="CP198" s="16">
        <f t="shared" si="179"/>
        <v>0</v>
      </c>
      <c r="CQ198" s="16">
        <f t="shared" si="179"/>
        <v>0</v>
      </c>
      <c r="CR198" s="16">
        <f t="shared" si="179"/>
        <v>0</v>
      </c>
      <c r="CS198" s="16">
        <f t="shared" si="179"/>
        <v>0</v>
      </c>
      <c r="CT198" s="16">
        <f t="shared" si="179"/>
        <v>0</v>
      </c>
      <c r="CU198" s="16">
        <f t="shared" si="179"/>
        <v>0</v>
      </c>
      <c r="CV198" s="16">
        <f t="shared" si="180"/>
        <v>-0.3645519788935252</v>
      </c>
      <c r="CW198" s="16">
        <f t="shared" si="180"/>
        <v>1.7186851078672527</v>
      </c>
      <c r="CX198" s="16">
        <f t="shared" si="180"/>
        <v>-0.3541331289737274</v>
      </c>
      <c r="CY198" s="16">
        <f t="shared" si="180"/>
        <v>0</v>
      </c>
      <c r="CZ198" s="16">
        <f t="shared" si="180"/>
        <v>0</v>
      </c>
      <c r="DA198" s="16">
        <f t="shared" si="180"/>
        <v>0</v>
      </c>
      <c r="DB198" s="16">
        <f t="shared" si="180"/>
        <v>0</v>
      </c>
      <c r="DC198" s="16">
        <f t="shared" si="180"/>
        <v>0</v>
      </c>
      <c r="DD198" s="16">
        <f t="shared" si="180"/>
        <v>0</v>
      </c>
      <c r="DE198" s="16">
        <f t="shared" si="180"/>
        <v>0</v>
      </c>
      <c r="DF198" s="16">
        <f t="shared" si="181"/>
        <v>0</v>
      </c>
      <c r="DG198" s="16">
        <f t="shared" si="181"/>
        <v>0</v>
      </c>
      <c r="DH198" s="16">
        <f t="shared" si="181"/>
        <v>0</v>
      </c>
      <c r="DI198" s="16">
        <f t="shared" si="181"/>
        <v>0</v>
      </c>
      <c r="DJ198" s="16">
        <f t="shared" si="181"/>
        <v>0</v>
      </c>
      <c r="DK198" s="16">
        <f t="shared" si="181"/>
        <v>0</v>
      </c>
      <c r="DL198" s="16">
        <f t="shared" si="181"/>
        <v>0</v>
      </c>
      <c r="DM198" s="16">
        <f t="shared" si="181"/>
        <v>0</v>
      </c>
      <c r="DN198" s="16">
        <f t="shared" si="181"/>
        <v>0</v>
      </c>
      <c r="DO198" s="16">
        <f t="shared" si="181"/>
        <v>0</v>
      </c>
      <c r="DP198" s="16">
        <f t="shared" si="181"/>
        <v>0</v>
      </c>
    </row>
    <row r="199" spans="3:120" x14ac:dyDescent="0.25">
      <c r="C199" s="1"/>
      <c r="D199" s="1"/>
      <c r="E199" s="1"/>
      <c r="F199" s="1"/>
      <c r="G199" s="1"/>
      <c r="H199" s="1"/>
      <c r="I199" s="1"/>
      <c r="J199" s="93"/>
      <c r="O199" s="9">
        <f t="shared" si="150"/>
        <v>18</v>
      </c>
      <c r="P199" s="16">
        <f t="shared" si="172"/>
        <v>0</v>
      </c>
      <c r="Q199" s="16">
        <f t="shared" si="172"/>
        <v>0</v>
      </c>
      <c r="R199" s="16">
        <f t="shared" si="172"/>
        <v>0</v>
      </c>
      <c r="S199" s="16">
        <f t="shared" si="172"/>
        <v>0</v>
      </c>
      <c r="T199" s="16">
        <f t="shared" si="172"/>
        <v>0</v>
      </c>
      <c r="U199" s="16">
        <f t="shared" si="172"/>
        <v>0</v>
      </c>
      <c r="V199" s="16">
        <f t="shared" si="172"/>
        <v>0</v>
      </c>
      <c r="W199" s="16">
        <f t="shared" si="172"/>
        <v>0</v>
      </c>
      <c r="X199" s="16">
        <f t="shared" si="172"/>
        <v>0</v>
      </c>
      <c r="Y199" s="16">
        <f t="shared" si="172"/>
        <v>0</v>
      </c>
      <c r="Z199" s="16">
        <f t="shared" si="173"/>
        <v>0</v>
      </c>
      <c r="AA199" s="16">
        <f t="shared" si="173"/>
        <v>0</v>
      </c>
      <c r="AB199" s="16">
        <f t="shared" si="173"/>
        <v>0</v>
      </c>
      <c r="AC199" s="16">
        <f t="shared" si="173"/>
        <v>0</v>
      </c>
      <c r="AD199" s="16">
        <f t="shared" si="173"/>
        <v>0</v>
      </c>
      <c r="AE199" s="16">
        <f t="shared" si="173"/>
        <v>0</v>
      </c>
      <c r="AF199" s="16">
        <f t="shared" si="173"/>
        <v>0</v>
      </c>
      <c r="AG199" s="16">
        <f t="shared" si="173"/>
        <v>0</v>
      </c>
      <c r="AH199" s="16">
        <f t="shared" si="173"/>
        <v>0</v>
      </c>
      <c r="AI199" s="16">
        <f t="shared" si="173"/>
        <v>0</v>
      </c>
      <c r="AJ199" s="16">
        <f t="shared" si="174"/>
        <v>0</v>
      </c>
      <c r="AK199" s="16">
        <f t="shared" si="174"/>
        <v>0</v>
      </c>
      <c r="AL199" s="16">
        <f t="shared" si="174"/>
        <v>0</v>
      </c>
      <c r="AM199" s="16">
        <f t="shared" si="174"/>
        <v>0</v>
      </c>
      <c r="AN199" s="16">
        <f t="shared" si="174"/>
        <v>0</v>
      </c>
      <c r="AO199" s="16">
        <f t="shared" si="174"/>
        <v>0</v>
      </c>
      <c r="AP199" s="16">
        <f t="shared" si="174"/>
        <v>0</v>
      </c>
      <c r="AQ199" s="16">
        <f t="shared" si="174"/>
        <v>0</v>
      </c>
      <c r="AR199" s="16">
        <f t="shared" si="174"/>
        <v>0</v>
      </c>
      <c r="AS199" s="16">
        <f t="shared" si="174"/>
        <v>0</v>
      </c>
      <c r="AT199" s="16">
        <f t="shared" si="175"/>
        <v>0</v>
      </c>
      <c r="AU199" s="16">
        <f t="shared" si="175"/>
        <v>-0.25598167310072956</v>
      </c>
      <c r="AV199" s="16">
        <f t="shared" si="175"/>
        <v>1.5046474220296848</v>
      </c>
      <c r="AW199" s="16">
        <f t="shared" si="175"/>
        <v>-0.24866574892895535</v>
      </c>
      <c r="AX199" s="16">
        <f t="shared" si="175"/>
        <v>0</v>
      </c>
      <c r="AY199" s="16">
        <f t="shared" si="175"/>
        <v>0</v>
      </c>
      <c r="AZ199" s="16">
        <f t="shared" si="175"/>
        <v>0</v>
      </c>
      <c r="BA199" s="16">
        <f t="shared" si="175"/>
        <v>0</v>
      </c>
      <c r="BB199" s="16">
        <f t="shared" si="175"/>
        <v>0</v>
      </c>
      <c r="BC199" s="16">
        <f t="shared" si="175"/>
        <v>0</v>
      </c>
      <c r="BD199" s="16">
        <f t="shared" si="176"/>
        <v>0</v>
      </c>
      <c r="BE199" s="16">
        <f t="shared" si="176"/>
        <v>0</v>
      </c>
      <c r="BF199" s="16">
        <f t="shared" si="176"/>
        <v>0</v>
      </c>
      <c r="BG199" s="16">
        <f t="shared" si="176"/>
        <v>0</v>
      </c>
      <c r="BH199" s="16">
        <f t="shared" si="176"/>
        <v>0</v>
      </c>
      <c r="BI199" s="16">
        <f t="shared" si="176"/>
        <v>0</v>
      </c>
      <c r="BJ199" s="16">
        <f t="shared" si="176"/>
        <v>0</v>
      </c>
      <c r="BK199" s="16">
        <f t="shared" si="176"/>
        <v>0</v>
      </c>
      <c r="BL199" s="16">
        <f t="shared" si="176"/>
        <v>0</v>
      </c>
      <c r="BM199" s="16">
        <f t="shared" si="176"/>
        <v>0</v>
      </c>
      <c r="BN199" s="16">
        <f t="shared" si="176"/>
        <v>0</v>
      </c>
      <c r="BQ199" s="9">
        <f t="shared" si="151"/>
        <v>18</v>
      </c>
      <c r="BR199" s="16">
        <f t="shared" si="177"/>
        <v>0</v>
      </c>
      <c r="BS199" s="16">
        <f t="shared" si="177"/>
        <v>0</v>
      </c>
      <c r="BT199" s="16">
        <f t="shared" si="177"/>
        <v>0</v>
      </c>
      <c r="BU199" s="16">
        <f t="shared" si="177"/>
        <v>0</v>
      </c>
      <c r="BV199" s="16">
        <f t="shared" si="177"/>
        <v>0</v>
      </c>
      <c r="BW199" s="16">
        <f t="shared" si="177"/>
        <v>0</v>
      </c>
      <c r="BX199" s="16">
        <f t="shared" si="177"/>
        <v>0</v>
      </c>
      <c r="BY199" s="16">
        <f t="shared" si="177"/>
        <v>0</v>
      </c>
      <c r="BZ199" s="16">
        <f t="shared" si="177"/>
        <v>0</v>
      </c>
      <c r="CA199" s="16">
        <f t="shared" si="177"/>
        <v>0</v>
      </c>
      <c r="CB199" s="16">
        <f t="shared" si="178"/>
        <v>0</v>
      </c>
      <c r="CC199" s="16">
        <f t="shared" si="178"/>
        <v>0</v>
      </c>
      <c r="CD199" s="16">
        <f t="shared" si="178"/>
        <v>0</v>
      </c>
      <c r="CE199" s="16">
        <f t="shared" si="178"/>
        <v>0</v>
      </c>
      <c r="CF199" s="16">
        <f t="shared" si="178"/>
        <v>0</v>
      </c>
      <c r="CG199" s="16">
        <f t="shared" si="178"/>
        <v>0</v>
      </c>
      <c r="CH199" s="16">
        <f t="shared" si="178"/>
        <v>0</v>
      </c>
      <c r="CI199" s="16">
        <f t="shared" si="178"/>
        <v>0</v>
      </c>
      <c r="CJ199" s="16">
        <f t="shared" si="178"/>
        <v>0</v>
      </c>
      <c r="CK199" s="16">
        <f t="shared" si="178"/>
        <v>0</v>
      </c>
      <c r="CL199" s="16">
        <f t="shared" si="179"/>
        <v>0</v>
      </c>
      <c r="CM199" s="16">
        <f t="shared" si="179"/>
        <v>0</v>
      </c>
      <c r="CN199" s="16">
        <f t="shared" si="179"/>
        <v>0</v>
      </c>
      <c r="CO199" s="16">
        <f t="shared" si="179"/>
        <v>0</v>
      </c>
      <c r="CP199" s="16">
        <f t="shared" si="179"/>
        <v>0</v>
      </c>
      <c r="CQ199" s="16">
        <f t="shared" si="179"/>
        <v>0</v>
      </c>
      <c r="CR199" s="16">
        <f t="shared" si="179"/>
        <v>0</v>
      </c>
      <c r="CS199" s="16">
        <f t="shared" si="179"/>
        <v>0</v>
      </c>
      <c r="CT199" s="16">
        <f t="shared" si="179"/>
        <v>0</v>
      </c>
      <c r="CU199" s="16">
        <f t="shared" si="179"/>
        <v>0</v>
      </c>
      <c r="CV199" s="16">
        <f t="shared" si="180"/>
        <v>0</v>
      </c>
      <c r="CW199" s="16">
        <f t="shared" si="180"/>
        <v>-0.38105965280059839</v>
      </c>
      <c r="CX199" s="16">
        <f t="shared" si="180"/>
        <v>1.7512286684276726</v>
      </c>
      <c r="CY199" s="16">
        <f t="shared" si="180"/>
        <v>-0.37016901562707399</v>
      </c>
      <c r="CZ199" s="16">
        <f t="shared" si="180"/>
        <v>0</v>
      </c>
      <c r="DA199" s="16">
        <f t="shared" si="180"/>
        <v>0</v>
      </c>
      <c r="DB199" s="16">
        <f t="shared" si="180"/>
        <v>0</v>
      </c>
      <c r="DC199" s="16">
        <f t="shared" si="180"/>
        <v>0</v>
      </c>
      <c r="DD199" s="16">
        <f t="shared" si="180"/>
        <v>0</v>
      </c>
      <c r="DE199" s="16">
        <f t="shared" si="180"/>
        <v>0</v>
      </c>
      <c r="DF199" s="16">
        <f t="shared" si="181"/>
        <v>0</v>
      </c>
      <c r="DG199" s="16">
        <f t="shared" si="181"/>
        <v>0</v>
      </c>
      <c r="DH199" s="16">
        <f t="shared" si="181"/>
        <v>0</v>
      </c>
      <c r="DI199" s="16">
        <f t="shared" si="181"/>
        <v>0</v>
      </c>
      <c r="DJ199" s="16">
        <f t="shared" si="181"/>
        <v>0</v>
      </c>
      <c r="DK199" s="16">
        <f t="shared" si="181"/>
        <v>0</v>
      </c>
      <c r="DL199" s="16">
        <f t="shared" si="181"/>
        <v>0</v>
      </c>
      <c r="DM199" s="16">
        <f t="shared" si="181"/>
        <v>0</v>
      </c>
      <c r="DN199" s="16">
        <f t="shared" si="181"/>
        <v>0</v>
      </c>
      <c r="DO199" s="16">
        <f t="shared" si="181"/>
        <v>0</v>
      </c>
      <c r="DP199" s="16">
        <f t="shared" si="181"/>
        <v>0</v>
      </c>
    </row>
    <row r="200" spans="3:120" x14ac:dyDescent="0.25">
      <c r="C200" s="1"/>
      <c r="D200" s="1"/>
      <c r="E200" s="1"/>
      <c r="F200" s="1"/>
      <c r="G200" s="1"/>
      <c r="H200" s="1"/>
      <c r="I200" s="1"/>
      <c r="J200" s="93"/>
      <c r="O200" s="9">
        <f t="shared" si="150"/>
        <v>17</v>
      </c>
      <c r="P200" s="16">
        <f t="shared" si="172"/>
        <v>0</v>
      </c>
      <c r="Q200" s="16">
        <f t="shared" si="172"/>
        <v>0</v>
      </c>
      <c r="R200" s="16">
        <f t="shared" si="172"/>
        <v>0</v>
      </c>
      <c r="S200" s="16">
        <f t="shared" si="172"/>
        <v>0</v>
      </c>
      <c r="T200" s="16">
        <f t="shared" si="172"/>
        <v>0</v>
      </c>
      <c r="U200" s="16">
        <f t="shared" si="172"/>
        <v>0</v>
      </c>
      <c r="V200" s="16">
        <f t="shared" si="172"/>
        <v>0</v>
      </c>
      <c r="W200" s="16">
        <f t="shared" si="172"/>
        <v>0</v>
      </c>
      <c r="X200" s="16">
        <f t="shared" si="172"/>
        <v>0</v>
      </c>
      <c r="Y200" s="16">
        <f t="shared" si="172"/>
        <v>0</v>
      </c>
      <c r="Z200" s="16">
        <f t="shared" si="173"/>
        <v>0</v>
      </c>
      <c r="AA200" s="16">
        <f t="shared" si="173"/>
        <v>0</v>
      </c>
      <c r="AB200" s="16">
        <f t="shared" si="173"/>
        <v>0</v>
      </c>
      <c r="AC200" s="16">
        <f t="shared" si="173"/>
        <v>0</v>
      </c>
      <c r="AD200" s="16">
        <f t="shared" si="173"/>
        <v>0</v>
      </c>
      <c r="AE200" s="16">
        <f t="shared" si="173"/>
        <v>0</v>
      </c>
      <c r="AF200" s="16">
        <f t="shared" si="173"/>
        <v>0</v>
      </c>
      <c r="AG200" s="16">
        <f t="shared" si="173"/>
        <v>0</v>
      </c>
      <c r="AH200" s="16">
        <f t="shared" si="173"/>
        <v>0</v>
      </c>
      <c r="AI200" s="16">
        <f t="shared" si="173"/>
        <v>0</v>
      </c>
      <c r="AJ200" s="16">
        <f t="shared" si="174"/>
        <v>0</v>
      </c>
      <c r="AK200" s="16">
        <f t="shared" si="174"/>
        <v>0</v>
      </c>
      <c r="AL200" s="16">
        <f t="shared" si="174"/>
        <v>0</v>
      </c>
      <c r="AM200" s="16">
        <f t="shared" si="174"/>
        <v>0</v>
      </c>
      <c r="AN200" s="16">
        <f t="shared" si="174"/>
        <v>0</v>
      </c>
      <c r="AO200" s="16">
        <f t="shared" si="174"/>
        <v>0</v>
      </c>
      <c r="AP200" s="16">
        <f t="shared" si="174"/>
        <v>0</v>
      </c>
      <c r="AQ200" s="16">
        <f t="shared" si="174"/>
        <v>0</v>
      </c>
      <c r="AR200" s="16">
        <f t="shared" si="174"/>
        <v>0</v>
      </c>
      <c r="AS200" s="16">
        <f t="shared" si="174"/>
        <v>0</v>
      </c>
      <c r="AT200" s="16">
        <f t="shared" si="175"/>
        <v>0</v>
      </c>
      <c r="AU200" s="16">
        <f t="shared" si="175"/>
        <v>0</v>
      </c>
      <c r="AV200" s="16">
        <f t="shared" si="175"/>
        <v>-0.25766999098911703</v>
      </c>
      <c r="AW200" s="16">
        <f t="shared" si="175"/>
        <v>1.5079758058925643</v>
      </c>
      <c r="AX200" s="16">
        <f t="shared" si="175"/>
        <v>-0.25030581490344733</v>
      </c>
      <c r="AY200" s="16">
        <f t="shared" si="175"/>
        <v>0</v>
      </c>
      <c r="AZ200" s="16">
        <f t="shared" si="175"/>
        <v>0</v>
      </c>
      <c r="BA200" s="16">
        <f t="shared" si="175"/>
        <v>0</v>
      </c>
      <c r="BB200" s="16">
        <f t="shared" si="175"/>
        <v>0</v>
      </c>
      <c r="BC200" s="16">
        <f t="shared" si="175"/>
        <v>0</v>
      </c>
      <c r="BD200" s="16">
        <f t="shared" si="176"/>
        <v>0</v>
      </c>
      <c r="BE200" s="16">
        <f t="shared" si="176"/>
        <v>0</v>
      </c>
      <c r="BF200" s="16">
        <f t="shared" si="176"/>
        <v>0</v>
      </c>
      <c r="BG200" s="16">
        <f t="shared" si="176"/>
        <v>0</v>
      </c>
      <c r="BH200" s="16">
        <f t="shared" si="176"/>
        <v>0</v>
      </c>
      <c r="BI200" s="16">
        <f t="shared" si="176"/>
        <v>0</v>
      </c>
      <c r="BJ200" s="16">
        <f t="shared" si="176"/>
        <v>0</v>
      </c>
      <c r="BK200" s="16">
        <f t="shared" si="176"/>
        <v>0</v>
      </c>
      <c r="BL200" s="16">
        <f t="shared" si="176"/>
        <v>0</v>
      </c>
      <c r="BM200" s="16">
        <f t="shared" si="176"/>
        <v>0</v>
      </c>
      <c r="BN200" s="16">
        <f t="shared" si="176"/>
        <v>0</v>
      </c>
      <c r="BQ200" s="9">
        <f t="shared" si="151"/>
        <v>17</v>
      </c>
      <c r="BR200" s="16">
        <f t="shared" si="177"/>
        <v>0</v>
      </c>
      <c r="BS200" s="16">
        <f t="shared" si="177"/>
        <v>0</v>
      </c>
      <c r="BT200" s="16">
        <f t="shared" si="177"/>
        <v>0</v>
      </c>
      <c r="BU200" s="16">
        <f t="shared" si="177"/>
        <v>0</v>
      </c>
      <c r="BV200" s="16">
        <f t="shared" si="177"/>
        <v>0</v>
      </c>
      <c r="BW200" s="16">
        <f t="shared" si="177"/>
        <v>0</v>
      </c>
      <c r="BX200" s="16">
        <f t="shared" si="177"/>
        <v>0</v>
      </c>
      <c r="BY200" s="16">
        <f t="shared" si="177"/>
        <v>0</v>
      </c>
      <c r="BZ200" s="16">
        <f t="shared" si="177"/>
        <v>0</v>
      </c>
      <c r="CA200" s="16">
        <f t="shared" si="177"/>
        <v>0</v>
      </c>
      <c r="CB200" s="16">
        <f t="shared" si="178"/>
        <v>0</v>
      </c>
      <c r="CC200" s="16">
        <f t="shared" si="178"/>
        <v>0</v>
      </c>
      <c r="CD200" s="16">
        <f t="shared" si="178"/>
        <v>0</v>
      </c>
      <c r="CE200" s="16">
        <f t="shared" si="178"/>
        <v>0</v>
      </c>
      <c r="CF200" s="16">
        <f t="shared" si="178"/>
        <v>0</v>
      </c>
      <c r="CG200" s="16">
        <f t="shared" si="178"/>
        <v>0</v>
      </c>
      <c r="CH200" s="16">
        <f t="shared" si="178"/>
        <v>0</v>
      </c>
      <c r="CI200" s="16">
        <f t="shared" si="178"/>
        <v>0</v>
      </c>
      <c r="CJ200" s="16">
        <f t="shared" si="178"/>
        <v>0</v>
      </c>
      <c r="CK200" s="16">
        <f t="shared" si="178"/>
        <v>0</v>
      </c>
      <c r="CL200" s="16">
        <f t="shared" si="179"/>
        <v>0</v>
      </c>
      <c r="CM200" s="16">
        <f t="shared" si="179"/>
        <v>0</v>
      </c>
      <c r="CN200" s="16">
        <f t="shared" si="179"/>
        <v>0</v>
      </c>
      <c r="CO200" s="16">
        <f t="shared" si="179"/>
        <v>0</v>
      </c>
      <c r="CP200" s="16">
        <f t="shared" si="179"/>
        <v>0</v>
      </c>
      <c r="CQ200" s="16">
        <f t="shared" si="179"/>
        <v>0</v>
      </c>
      <c r="CR200" s="16">
        <f t="shared" si="179"/>
        <v>0</v>
      </c>
      <c r="CS200" s="16">
        <f t="shared" si="179"/>
        <v>0</v>
      </c>
      <c r="CT200" s="16">
        <f t="shared" si="179"/>
        <v>0</v>
      </c>
      <c r="CU200" s="16">
        <f t="shared" si="179"/>
        <v>0</v>
      </c>
      <c r="CV200" s="16">
        <f t="shared" si="180"/>
        <v>0</v>
      </c>
      <c r="CW200" s="16">
        <f t="shared" si="180"/>
        <v>0</v>
      </c>
      <c r="CX200" s="16">
        <f t="shared" si="180"/>
        <v>-0.39793284769424836</v>
      </c>
      <c r="CY200" s="16">
        <f t="shared" si="180"/>
        <v>1.7844928244172078</v>
      </c>
      <c r="CZ200" s="16">
        <f t="shared" si="180"/>
        <v>-0.38655997672295939</v>
      </c>
      <c r="DA200" s="16">
        <f t="shared" si="180"/>
        <v>0</v>
      </c>
      <c r="DB200" s="16">
        <f t="shared" si="180"/>
        <v>0</v>
      </c>
      <c r="DC200" s="16">
        <f t="shared" si="180"/>
        <v>0</v>
      </c>
      <c r="DD200" s="16">
        <f t="shared" si="180"/>
        <v>0</v>
      </c>
      <c r="DE200" s="16">
        <f t="shared" si="180"/>
        <v>0</v>
      </c>
      <c r="DF200" s="16">
        <f t="shared" si="181"/>
        <v>0</v>
      </c>
      <c r="DG200" s="16">
        <f t="shared" si="181"/>
        <v>0</v>
      </c>
      <c r="DH200" s="16">
        <f t="shared" si="181"/>
        <v>0</v>
      </c>
      <c r="DI200" s="16">
        <f t="shared" si="181"/>
        <v>0</v>
      </c>
      <c r="DJ200" s="16">
        <f t="shared" si="181"/>
        <v>0</v>
      </c>
      <c r="DK200" s="16">
        <f t="shared" si="181"/>
        <v>0</v>
      </c>
      <c r="DL200" s="16">
        <f t="shared" si="181"/>
        <v>0</v>
      </c>
      <c r="DM200" s="16">
        <f t="shared" si="181"/>
        <v>0</v>
      </c>
      <c r="DN200" s="16">
        <f t="shared" si="181"/>
        <v>0</v>
      </c>
      <c r="DO200" s="16">
        <f t="shared" si="181"/>
        <v>0</v>
      </c>
      <c r="DP200" s="16">
        <f t="shared" si="181"/>
        <v>0</v>
      </c>
    </row>
    <row r="201" spans="3:120" x14ac:dyDescent="0.25">
      <c r="C201" s="1"/>
      <c r="D201" s="1"/>
      <c r="E201" s="1"/>
      <c r="F201" s="1"/>
      <c r="G201" s="1"/>
      <c r="H201" s="1"/>
      <c r="I201" s="1"/>
      <c r="J201" s="93"/>
      <c r="O201" s="9">
        <f t="shared" si="150"/>
        <v>16</v>
      </c>
      <c r="P201" s="16">
        <f t="shared" si="172"/>
        <v>0</v>
      </c>
      <c r="Q201" s="16">
        <f t="shared" si="172"/>
        <v>0</v>
      </c>
      <c r="R201" s="16">
        <f t="shared" si="172"/>
        <v>0</v>
      </c>
      <c r="S201" s="16">
        <f t="shared" si="172"/>
        <v>0</v>
      </c>
      <c r="T201" s="16">
        <f t="shared" si="172"/>
        <v>0</v>
      </c>
      <c r="U201" s="16">
        <f t="shared" si="172"/>
        <v>0</v>
      </c>
      <c r="V201" s="16">
        <f t="shared" si="172"/>
        <v>0</v>
      </c>
      <c r="W201" s="16">
        <f t="shared" si="172"/>
        <v>0</v>
      </c>
      <c r="X201" s="16">
        <f t="shared" si="172"/>
        <v>0</v>
      </c>
      <c r="Y201" s="16">
        <f t="shared" si="172"/>
        <v>0</v>
      </c>
      <c r="Z201" s="16">
        <f t="shared" si="173"/>
        <v>0</v>
      </c>
      <c r="AA201" s="16">
        <f t="shared" si="173"/>
        <v>0</v>
      </c>
      <c r="AB201" s="16">
        <f t="shared" si="173"/>
        <v>0</v>
      </c>
      <c r="AC201" s="16">
        <f t="shared" si="173"/>
        <v>0</v>
      </c>
      <c r="AD201" s="16">
        <f t="shared" si="173"/>
        <v>0</v>
      </c>
      <c r="AE201" s="16">
        <f t="shared" si="173"/>
        <v>0</v>
      </c>
      <c r="AF201" s="16">
        <f t="shared" si="173"/>
        <v>0</v>
      </c>
      <c r="AG201" s="16">
        <f t="shared" si="173"/>
        <v>0</v>
      </c>
      <c r="AH201" s="16">
        <f t="shared" si="173"/>
        <v>0</v>
      </c>
      <c r="AI201" s="16">
        <f t="shared" si="173"/>
        <v>0</v>
      </c>
      <c r="AJ201" s="16">
        <f t="shared" si="174"/>
        <v>0</v>
      </c>
      <c r="AK201" s="16">
        <f t="shared" si="174"/>
        <v>0</v>
      </c>
      <c r="AL201" s="16">
        <f t="shared" si="174"/>
        <v>0</v>
      </c>
      <c r="AM201" s="16">
        <f t="shared" si="174"/>
        <v>0</v>
      </c>
      <c r="AN201" s="16">
        <f t="shared" si="174"/>
        <v>0</v>
      </c>
      <c r="AO201" s="16">
        <f t="shared" si="174"/>
        <v>0</v>
      </c>
      <c r="AP201" s="16">
        <f t="shared" si="174"/>
        <v>0</v>
      </c>
      <c r="AQ201" s="16">
        <f t="shared" si="174"/>
        <v>0</v>
      </c>
      <c r="AR201" s="16">
        <f t="shared" si="174"/>
        <v>0</v>
      </c>
      <c r="AS201" s="16">
        <f t="shared" si="174"/>
        <v>0</v>
      </c>
      <c r="AT201" s="16">
        <f t="shared" si="175"/>
        <v>0</v>
      </c>
      <c r="AU201" s="16">
        <f t="shared" si="175"/>
        <v>0</v>
      </c>
      <c r="AV201" s="16">
        <f t="shared" si="175"/>
        <v>0</v>
      </c>
      <c r="AW201" s="16">
        <f t="shared" si="175"/>
        <v>-0.25936385821218089</v>
      </c>
      <c r="AX201" s="16">
        <f t="shared" si="175"/>
        <v>1.5113151298255061</v>
      </c>
      <c r="AY201" s="16">
        <f t="shared" si="175"/>
        <v>-0.25195127161332531</v>
      </c>
      <c r="AZ201" s="16">
        <f t="shared" si="175"/>
        <v>0</v>
      </c>
      <c r="BA201" s="16">
        <f t="shared" si="175"/>
        <v>0</v>
      </c>
      <c r="BB201" s="16">
        <f t="shared" si="175"/>
        <v>0</v>
      </c>
      <c r="BC201" s="16">
        <f t="shared" si="175"/>
        <v>0</v>
      </c>
      <c r="BD201" s="16">
        <f t="shared" si="176"/>
        <v>0</v>
      </c>
      <c r="BE201" s="16">
        <f t="shared" si="176"/>
        <v>0</v>
      </c>
      <c r="BF201" s="16">
        <f t="shared" si="176"/>
        <v>0</v>
      </c>
      <c r="BG201" s="16">
        <f t="shared" si="176"/>
        <v>0</v>
      </c>
      <c r="BH201" s="16">
        <f t="shared" si="176"/>
        <v>0</v>
      </c>
      <c r="BI201" s="16">
        <f t="shared" si="176"/>
        <v>0</v>
      </c>
      <c r="BJ201" s="16">
        <f t="shared" si="176"/>
        <v>0</v>
      </c>
      <c r="BK201" s="16">
        <f t="shared" si="176"/>
        <v>0</v>
      </c>
      <c r="BL201" s="16">
        <f t="shared" si="176"/>
        <v>0</v>
      </c>
      <c r="BM201" s="16">
        <f t="shared" si="176"/>
        <v>0</v>
      </c>
      <c r="BN201" s="16">
        <f t="shared" si="176"/>
        <v>0</v>
      </c>
      <c r="BQ201" s="9">
        <f t="shared" si="151"/>
        <v>16</v>
      </c>
      <c r="BR201" s="16">
        <f t="shared" si="177"/>
        <v>0</v>
      </c>
      <c r="BS201" s="16">
        <f t="shared" si="177"/>
        <v>0</v>
      </c>
      <c r="BT201" s="16">
        <f t="shared" si="177"/>
        <v>0</v>
      </c>
      <c r="BU201" s="16">
        <f t="shared" si="177"/>
        <v>0</v>
      </c>
      <c r="BV201" s="16">
        <f t="shared" si="177"/>
        <v>0</v>
      </c>
      <c r="BW201" s="16">
        <f t="shared" si="177"/>
        <v>0</v>
      </c>
      <c r="BX201" s="16">
        <f t="shared" si="177"/>
        <v>0</v>
      </c>
      <c r="BY201" s="16">
        <f t="shared" si="177"/>
        <v>0</v>
      </c>
      <c r="BZ201" s="16">
        <f t="shared" si="177"/>
        <v>0</v>
      </c>
      <c r="CA201" s="16">
        <f t="shared" si="177"/>
        <v>0</v>
      </c>
      <c r="CB201" s="16">
        <f t="shared" si="178"/>
        <v>0</v>
      </c>
      <c r="CC201" s="16">
        <f t="shared" si="178"/>
        <v>0</v>
      </c>
      <c r="CD201" s="16">
        <f t="shared" si="178"/>
        <v>0</v>
      </c>
      <c r="CE201" s="16">
        <f t="shared" si="178"/>
        <v>0</v>
      </c>
      <c r="CF201" s="16">
        <f t="shared" si="178"/>
        <v>0</v>
      </c>
      <c r="CG201" s="16">
        <f t="shared" si="178"/>
        <v>0</v>
      </c>
      <c r="CH201" s="16">
        <f t="shared" si="178"/>
        <v>0</v>
      </c>
      <c r="CI201" s="16">
        <f t="shared" si="178"/>
        <v>0</v>
      </c>
      <c r="CJ201" s="16">
        <f t="shared" si="178"/>
        <v>0</v>
      </c>
      <c r="CK201" s="16">
        <f t="shared" si="178"/>
        <v>0</v>
      </c>
      <c r="CL201" s="16">
        <f t="shared" si="179"/>
        <v>0</v>
      </c>
      <c r="CM201" s="16">
        <f t="shared" si="179"/>
        <v>0</v>
      </c>
      <c r="CN201" s="16">
        <f t="shared" si="179"/>
        <v>0</v>
      </c>
      <c r="CO201" s="16">
        <f t="shared" si="179"/>
        <v>0</v>
      </c>
      <c r="CP201" s="16">
        <f t="shared" si="179"/>
        <v>0</v>
      </c>
      <c r="CQ201" s="16">
        <f t="shared" si="179"/>
        <v>0</v>
      </c>
      <c r="CR201" s="16">
        <f t="shared" si="179"/>
        <v>0</v>
      </c>
      <c r="CS201" s="16">
        <f t="shared" si="179"/>
        <v>0</v>
      </c>
      <c r="CT201" s="16">
        <f t="shared" si="179"/>
        <v>0</v>
      </c>
      <c r="CU201" s="16">
        <f t="shared" si="179"/>
        <v>0</v>
      </c>
      <c r="CV201" s="16">
        <f t="shared" si="180"/>
        <v>0</v>
      </c>
      <c r="CW201" s="16">
        <f t="shared" si="180"/>
        <v>0</v>
      </c>
      <c r="CX201" s="16">
        <f t="shared" si="180"/>
        <v>0</v>
      </c>
      <c r="CY201" s="16">
        <f t="shared" si="180"/>
        <v>-0.41517156357447582</v>
      </c>
      <c r="CZ201" s="16">
        <f t="shared" si="180"/>
        <v>1.81847757583586</v>
      </c>
      <c r="DA201" s="16">
        <f t="shared" si="180"/>
        <v>-0.40330601226138402</v>
      </c>
      <c r="DB201" s="16">
        <f t="shared" si="180"/>
        <v>0</v>
      </c>
      <c r="DC201" s="16">
        <f t="shared" si="180"/>
        <v>0</v>
      </c>
      <c r="DD201" s="16">
        <f t="shared" si="180"/>
        <v>0</v>
      </c>
      <c r="DE201" s="16">
        <f t="shared" si="180"/>
        <v>0</v>
      </c>
      <c r="DF201" s="16">
        <f t="shared" si="181"/>
        <v>0</v>
      </c>
      <c r="DG201" s="16">
        <f t="shared" si="181"/>
        <v>0</v>
      </c>
      <c r="DH201" s="16">
        <f t="shared" si="181"/>
        <v>0</v>
      </c>
      <c r="DI201" s="16">
        <f t="shared" si="181"/>
        <v>0</v>
      </c>
      <c r="DJ201" s="16">
        <f t="shared" si="181"/>
        <v>0</v>
      </c>
      <c r="DK201" s="16">
        <f t="shared" si="181"/>
        <v>0</v>
      </c>
      <c r="DL201" s="16">
        <f t="shared" si="181"/>
        <v>0</v>
      </c>
      <c r="DM201" s="16">
        <f t="shared" si="181"/>
        <v>0</v>
      </c>
      <c r="DN201" s="16">
        <f t="shared" si="181"/>
        <v>0</v>
      </c>
      <c r="DO201" s="16">
        <f t="shared" si="181"/>
        <v>0</v>
      </c>
      <c r="DP201" s="16">
        <f t="shared" si="181"/>
        <v>0</v>
      </c>
    </row>
    <row r="202" spans="3:120" x14ac:dyDescent="0.25">
      <c r="C202" s="1"/>
      <c r="D202" s="1"/>
      <c r="E202" s="1"/>
      <c r="F202" s="1"/>
      <c r="G202" s="1"/>
      <c r="H202" s="1"/>
      <c r="I202" s="1"/>
      <c r="J202" s="93"/>
      <c r="O202" s="9">
        <f t="shared" si="150"/>
        <v>15</v>
      </c>
      <c r="P202" s="16">
        <f t="shared" si="172"/>
        <v>0</v>
      </c>
      <c r="Q202" s="16">
        <f t="shared" si="172"/>
        <v>0</v>
      </c>
      <c r="R202" s="16">
        <f t="shared" si="172"/>
        <v>0</v>
      </c>
      <c r="S202" s="16">
        <f t="shared" si="172"/>
        <v>0</v>
      </c>
      <c r="T202" s="16">
        <f t="shared" si="172"/>
        <v>0</v>
      </c>
      <c r="U202" s="16">
        <f t="shared" si="172"/>
        <v>0</v>
      </c>
      <c r="V202" s="16">
        <f t="shared" si="172"/>
        <v>0</v>
      </c>
      <c r="W202" s="16">
        <f t="shared" si="172"/>
        <v>0</v>
      </c>
      <c r="X202" s="16">
        <f t="shared" si="172"/>
        <v>0</v>
      </c>
      <c r="Y202" s="16">
        <f t="shared" si="172"/>
        <v>0</v>
      </c>
      <c r="Z202" s="16">
        <f t="shared" si="173"/>
        <v>0</v>
      </c>
      <c r="AA202" s="16">
        <f t="shared" si="173"/>
        <v>0</v>
      </c>
      <c r="AB202" s="16">
        <f t="shared" si="173"/>
        <v>0</v>
      </c>
      <c r="AC202" s="16">
        <f t="shared" si="173"/>
        <v>0</v>
      </c>
      <c r="AD202" s="16">
        <f t="shared" si="173"/>
        <v>0</v>
      </c>
      <c r="AE202" s="16">
        <f t="shared" si="173"/>
        <v>0</v>
      </c>
      <c r="AF202" s="16">
        <f t="shared" si="173"/>
        <v>0</v>
      </c>
      <c r="AG202" s="16">
        <f t="shared" si="173"/>
        <v>0</v>
      </c>
      <c r="AH202" s="16">
        <f t="shared" si="173"/>
        <v>0</v>
      </c>
      <c r="AI202" s="16">
        <f t="shared" si="173"/>
        <v>0</v>
      </c>
      <c r="AJ202" s="16">
        <f t="shared" si="174"/>
        <v>0</v>
      </c>
      <c r="AK202" s="16">
        <f t="shared" si="174"/>
        <v>0</v>
      </c>
      <c r="AL202" s="16">
        <f t="shared" si="174"/>
        <v>0</v>
      </c>
      <c r="AM202" s="16">
        <f t="shared" si="174"/>
        <v>0</v>
      </c>
      <c r="AN202" s="16">
        <f t="shared" si="174"/>
        <v>0</v>
      </c>
      <c r="AO202" s="16">
        <f t="shared" si="174"/>
        <v>0</v>
      </c>
      <c r="AP202" s="16">
        <f t="shared" si="174"/>
        <v>0</v>
      </c>
      <c r="AQ202" s="16">
        <f t="shared" si="174"/>
        <v>0</v>
      </c>
      <c r="AR202" s="16">
        <f t="shared" si="174"/>
        <v>0</v>
      </c>
      <c r="AS202" s="16">
        <f t="shared" si="174"/>
        <v>0</v>
      </c>
      <c r="AT202" s="16">
        <f t="shared" si="175"/>
        <v>0</v>
      </c>
      <c r="AU202" s="16">
        <f t="shared" si="175"/>
        <v>0</v>
      </c>
      <c r="AV202" s="16">
        <f t="shared" si="175"/>
        <v>0</v>
      </c>
      <c r="AW202" s="16">
        <f t="shared" si="175"/>
        <v>0</v>
      </c>
      <c r="AX202" s="16">
        <f t="shared" si="175"/>
        <v>-0.26106327476992086</v>
      </c>
      <c r="AY202" s="16">
        <f t="shared" si="175"/>
        <v>1.51466539382851</v>
      </c>
      <c r="AZ202" s="16">
        <f t="shared" si="175"/>
        <v>-0.25360211905858904</v>
      </c>
      <c r="BA202" s="16">
        <f t="shared" si="175"/>
        <v>0</v>
      </c>
      <c r="BB202" s="16">
        <f t="shared" si="175"/>
        <v>0</v>
      </c>
      <c r="BC202" s="16">
        <f t="shared" si="175"/>
        <v>0</v>
      </c>
      <c r="BD202" s="16">
        <f t="shared" si="176"/>
        <v>0</v>
      </c>
      <c r="BE202" s="16">
        <f t="shared" si="176"/>
        <v>0</v>
      </c>
      <c r="BF202" s="16">
        <f t="shared" si="176"/>
        <v>0</v>
      </c>
      <c r="BG202" s="16">
        <f t="shared" si="176"/>
        <v>0</v>
      </c>
      <c r="BH202" s="16">
        <f t="shared" si="176"/>
        <v>0</v>
      </c>
      <c r="BI202" s="16">
        <f t="shared" si="176"/>
        <v>0</v>
      </c>
      <c r="BJ202" s="16">
        <f t="shared" si="176"/>
        <v>0</v>
      </c>
      <c r="BK202" s="16">
        <f t="shared" si="176"/>
        <v>0</v>
      </c>
      <c r="BL202" s="16">
        <f t="shared" si="176"/>
        <v>0</v>
      </c>
      <c r="BM202" s="16">
        <f t="shared" si="176"/>
        <v>0</v>
      </c>
      <c r="BN202" s="16">
        <f t="shared" si="176"/>
        <v>0</v>
      </c>
      <c r="BQ202" s="9">
        <f t="shared" si="151"/>
        <v>15</v>
      </c>
      <c r="BR202" s="16">
        <f t="shared" si="177"/>
        <v>0</v>
      </c>
      <c r="BS202" s="16">
        <f t="shared" si="177"/>
        <v>0</v>
      </c>
      <c r="BT202" s="16">
        <f t="shared" si="177"/>
        <v>0</v>
      </c>
      <c r="BU202" s="16">
        <f t="shared" si="177"/>
        <v>0</v>
      </c>
      <c r="BV202" s="16">
        <f t="shared" si="177"/>
        <v>0</v>
      </c>
      <c r="BW202" s="16">
        <f t="shared" si="177"/>
        <v>0</v>
      </c>
      <c r="BX202" s="16">
        <f t="shared" si="177"/>
        <v>0</v>
      </c>
      <c r="BY202" s="16">
        <f t="shared" si="177"/>
        <v>0</v>
      </c>
      <c r="BZ202" s="16">
        <f t="shared" si="177"/>
        <v>0</v>
      </c>
      <c r="CA202" s="16">
        <f t="shared" si="177"/>
        <v>0</v>
      </c>
      <c r="CB202" s="16">
        <f t="shared" si="178"/>
        <v>0</v>
      </c>
      <c r="CC202" s="16">
        <f t="shared" si="178"/>
        <v>0</v>
      </c>
      <c r="CD202" s="16">
        <f t="shared" si="178"/>
        <v>0</v>
      </c>
      <c r="CE202" s="16">
        <f t="shared" si="178"/>
        <v>0</v>
      </c>
      <c r="CF202" s="16">
        <f t="shared" si="178"/>
        <v>0</v>
      </c>
      <c r="CG202" s="16">
        <f t="shared" si="178"/>
        <v>0</v>
      </c>
      <c r="CH202" s="16">
        <f t="shared" si="178"/>
        <v>0</v>
      </c>
      <c r="CI202" s="16">
        <f t="shared" si="178"/>
        <v>0</v>
      </c>
      <c r="CJ202" s="16">
        <f t="shared" si="178"/>
        <v>0</v>
      </c>
      <c r="CK202" s="16">
        <f t="shared" si="178"/>
        <v>0</v>
      </c>
      <c r="CL202" s="16">
        <f t="shared" si="179"/>
        <v>0</v>
      </c>
      <c r="CM202" s="16">
        <f t="shared" si="179"/>
        <v>0</v>
      </c>
      <c r="CN202" s="16">
        <f t="shared" si="179"/>
        <v>0</v>
      </c>
      <c r="CO202" s="16">
        <f t="shared" si="179"/>
        <v>0</v>
      </c>
      <c r="CP202" s="16">
        <f t="shared" si="179"/>
        <v>0</v>
      </c>
      <c r="CQ202" s="16">
        <f t="shared" si="179"/>
        <v>0</v>
      </c>
      <c r="CR202" s="16">
        <f t="shared" si="179"/>
        <v>0</v>
      </c>
      <c r="CS202" s="16">
        <f t="shared" si="179"/>
        <v>0</v>
      </c>
      <c r="CT202" s="16">
        <f t="shared" si="179"/>
        <v>0</v>
      </c>
      <c r="CU202" s="16">
        <f t="shared" si="179"/>
        <v>0</v>
      </c>
      <c r="CV202" s="16">
        <f t="shared" si="180"/>
        <v>0</v>
      </c>
      <c r="CW202" s="16">
        <f t="shared" si="180"/>
        <v>0</v>
      </c>
      <c r="CX202" s="16">
        <f t="shared" si="180"/>
        <v>0</v>
      </c>
      <c r="CY202" s="16">
        <f t="shared" si="180"/>
        <v>0</v>
      </c>
      <c r="CZ202" s="16">
        <f t="shared" si="180"/>
        <v>-0.43277580044128039</v>
      </c>
      <c r="DA202" s="16">
        <f t="shared" si="180"/>
        <v>1.8531829226836281</v>
      </c>
      <c r="DB202" s="16">
        <f t="shared" si="180"/>
        <v>-0.42040712224234783</v>
      </c>
      <c r="DC202" s="16">
        <f t="shared" si="180"/>
        <v>0</v>
      </c>
      <c r="DD202" s="16">
        <f t="shared" si="180"/>
        <v>0</v>
      </c>
      <c r="DE202" s="16">
        <f t="shared" si="180"/>
        <v>0</v>
      </c>
      <c r="DF202" s="16">
        <f t="shared" si="181"/>
        <v>0</v>
      </c>
      <c r="DG202" s="16">
        <f t="shared" si="181"/>
        <v>0</v>
      </c>
      <c r="DH202" s="16">
        <f t="shared" si="181"/>
        <v>0</v>
      </c>
      <c r="DI202" s="16">
        <f t="shared" si="181"/>
        <v>0</v>
      </c>
      <c r="DJ202" s="16">
        <f t="shared" si="181"/>
        <v>0</v>
      </c>
      <c r="DK202" s="16">
        <f t="shared" si="181"/>
        <v>0</v>
      </c>
      <c r="DL202" s="16">
        <f t="shared" si="181"/>
        <v>0</v>
      </c>
      <c r="DM202" s="16">
        <f t="shared" si="181"/>
        <v>0</v>
      </c>
      <c r="DN202" s="16">
        <f t="shared" si="181"/>
        <v>0</v>
      </c>
      <c r="DO202" s="16">
        <f t="shared" si="181"/>
        <v>0</v>
      </c>
      <c r="DP202" s="16">
        <f t="shared" si="181"/>
        <v>0</v>
      </c>
    </row>
    <row r="203" spans="3:120" x14ac:dyDescent="0.25">
      <c r="C203" s="1"/>
      <c r="D203" s="1"/>
      <c r="E203" s="1"/>
      <c r="F203" s="1"/>
      <c r="G203" s="1"/>
      <c r="H203" s="1"/>
      <c r="I203" s="1"/>
      <c r="J203" s="93"/>
      <c r="O203" s="9">
        <f t="shared" si="150"/>
        <v>14</v>
      </c>
      <c r="P203" s="16">
        <f t="shared" si="172"/>
        <v>0</v>
      </c>
      <c r="Q203" s="16">
        <f t="shared" si="172"/>
        <v>0</v>
      </c>
      <c r="R203" s="16">
        <f t="shared" si="172"/>
        <v>0</v>
      </c>
      <c r="S203" s="16">
        <f t="shared" si="172"/>
        <v>0</v>
      </c>
      <c r="T203" s="16">
        <f t="shared" si="172"/>
        <v>0</v>
      </c>
      <c r="U203" s="16">
        <f t="shared" si="172"/>
        <v>0</v>
      </c>
      <c r="V203" s="16">
        <f t="shared" si="172"/>
        <v>0</v>
      </c>
      <c r="W203" s="16">
        <f t="shared" si="172"/>
        <v>0</v>
      </c>
      <c r="X203" s="16">
        <f t="shared" si="172"/>
        <v>0</v>
      </c>
      <c r="Y203" s="16">
        <f t="shared" si="172"/>
        <v>0</v>
      </c>
      <c r="Z203" s="16">
        <f t="shared" si="173"/>
        <v>0</v>
      </c>
      <c r="AA203" s="16">
        <f t="shared" si="173"/>
        <v>0</v>
      </c>
      <c r="AB203" s="16">
        <f t="shared" si="173"/>
        <v>0</v>
      </c>
      <c r="AC203" s="16">
        <f t="shared" si="173"/>
        <v>0</v>
      </c>
      <c r="AD203" s="16">
        <f t="shared" si="173"/>
        <v>0</v>
      </c>
      <c r="AE203" s="16">
        <f t="shared" si="173"/>
        <v>0</v>
      </c>
      <c r="AF203" s="16">
        <f t="shared" si="173"/>
        <v>0</v>
      </c>
      <c r="AG203" s="16">
        <f t="shared" si="173"/>
        <v>0</v>
      </c>
      <c r="AH203" s="16">
        <f t="shared" si="173"/>
        <v>0</v>
      </c>
      <c r="AI203" s="16">
        <f t="shared" si="173"/>
        <v>0</v>
      </c>
      <c r="AJ203" s="16">
        <f t="shared" si="174"/>
        <v>0</v>
      </c>
      <c r="AK203" s="16">
        <f t="shared" si="174"/>
        <v>0</v>
      </c>
      <c r="AL203" s="16">
        <f t="shared" si="174"/>
        <v>0</v>
      </c>
      <c r="AM203" s="16">
        <f t="shared" si="174"/>
        <v>0</v>
      </c>
      <c r="AN203" s="16">
        <f t="shared" si="174"/>
        <v>0</v>
      </c>
      <c r="AO203" s="16">
        <f t="shared" si="174"/>
        <v>0</v>
      </c>
      <c r="AP203" s="16">
        <f t="shared" si="174"/>
        <v>0</v>
      </c>
      <c r="AQ203" s="16">
        <f t="shared" si="174"/>
        <v>0</v>
      </c>
      <c r="AR203" s="16">
        <f t="shared" si="174"/>
        <v>0</v>
      </c>
      <c r="AS203" s="16">
        <f t="shared" si="174"/>
        <v>0</v>
      </c>
      <c r="AT203" s="16">
        <f t="shared" si="175"/>
        <v>0</v>
      </c>
      <c r="AU203" s="16">
        <f t="shared" si="175"/>
        <v>0</v>
      </c>
      <c r="AV203" s="16">
        <f t="shared" si="175"/>
        <v>0</v>
      </c>
      <c r="AW203" s="16">
        <f t="shared" si="175"/>
        <v>0</v>
      </c>
      <c r="AX203" s="16">
        <f t="shared" si="175"/>
        <v>0</v>
      </c>
      <c r="AY203" s="16">
        <f t="shared" si="175"/>
        <v>-0.26276824066233706</v>
      </c>
      <c r="AZ203" s="16">
        <f t="shared" si="175"/>
        <v>1.5180265979015757</v>
      </c>
      <c r="BA203" s="16">
        <f t="shared" si="175"/>
        <v>-0.25525835723923868</v>
      </c>
      <c r="BB203" s="16">
        <f t="shared" si="175"/>
        <v>0</v>
      </c>
      <c r="BC203" s="16">
        <f t="shared" si="175"/>
        <v>0</v>
      </c>
      <c r="BD203" s="16">
        <f t="shared" si="176"/>
        <v>0</v>
      </c>
      <c r="BE203" s="16">
        <f t="shared" si="176"/>
        <v>0</v>
      </c>
      <c r="BF203" s="16">
        <f t="shared" si="176"/>
        <v>0</v>
      </c>
      <c r="BG203" s="16">
        <f t="shared" si="176"/>
        <v>0</v>
      </c>
      <c r="BH203" s="16">
        <f t="shared" si="176"/>
        <v>0</v>
      </c>
      <c r="BI203" s="16">
        <f t="shared" si="176"/>
        <v>0</v>
      </c>
      <c r="BJ203" s="16">
        <f t="shared" si="176"/>
        <v>0</v>
      </c>
      <c r="BK203" s="16">
        <f t="shared" si="176"/>
        <v>0</v>
      </c>
      <c r="BL203" s="16">
        <f t="shared" si="176"/>
        <v>0</v>
      </c>
      <c r="BM203" s="16">
        <f t="shared" si="176"/>
        <v>0</v>
      </c>
      <c r="BN203" s="16">
        <f t="shared" si="176"/>
        <v>0</v>
      </c>
      <c r="BQ203" s="9">
        <f t="shared" si="151"/>
        <v>14</v>
      </c>
      <c r="BR203" s="16">
        <f t="shared" si="177"/>
        <v>0</v>
      </c>
      <c r="BS203" s="16">
        <f t="shared" si="177"/>
        <v>0</v>
      </c>
      <c r="BT203" s="16">
        <f t="shared" si="177"/>
        <v>0</v>
      </c>
      <c r="BU203" s="16">
        <f t="shared" si="177"/>
        <v>0</v>
      </c>
      <c r="BV203" s="16">
        <f t="shared" si="177"/>
        <v>0</v>
      </c>
      <c r="BW203" s="16">
        <f t="shared" si="177"/>
        <v>0</v>
      </c>
      <c r="BX203" s="16">
        <f t="shared" si="177"/>
        <v>0</v>
      </c>
      <c r="BY203" s="16">
        <f t="shared" si="177"/>
        <v>0</v>
      </c>
      <c r="BZ203" s="16">
        <f t="shared" si="177"/>
        <v>0</v>
      </c>
      <c r="CA203" s="16">
        <f t="shared" si="177"/>
        <v>0</v>
      </c>
      <c r="CB203" s="16">
        <f t="shared" si="178"/>
        <v>0</v>
      </c>
      <c r="CC203" s="16">
        <f t="shared" si="178"/>
        <v>0</v>
      </c>
      <c r="CD203" s="16">
        <f t="shared" si="178"/>
        <v>0</v>
      </c>
      <c r="CE203" s="16">
        <f t="shared" si="178"/>
        <v>0</v>
      </c>
      <c r="CF203" s="16">
        <f t="shared" si="178"/>
        <v>0</v>
      </c>
      <c r="CG203" s="16">
        <f t="shared" si="178"/>
        <v>0</v>
      </c>
      <c r="CH203" s="16">
        <f t="shared" si="178"/>
        <v>0</v>
      </c>
      <c r="CI203" s="16">
        <f t="shared" si="178"/>
        <v>0</v>
      </c>
      <c r="CJ203" s="16">
        <f t="shared" si="178"/>
        <v>0</v>
      </c>
      <c r="CK203" s="16">
        <f t="shared" si="178"/>
        <v>0</v>
      </c>
      <c r="CL203" s="16">
        <f t="shared" si="179"/>
        <v>0</v>
      </c>
      <c r="CM203" s="16">
        <f t="shared" si="179"/>
        <v>0</v>
      </c>
      <c r="CN203" s="16">
        <f t="shared" si="179"/>
        <v>0</v>
      </c>
      <c r="CO203" s="16">
        <f t="shared" si="179"/>
        <v>0</v>
      </c>
      <c r="CP203" s="16">
        <f t="shared" si="179"/>
        <v>0</v>
      </c>
      <c r="CQ203" s="16">
        <f t="shared" si="179"/>
        <v>0</v>
      </c>
      <c r="CR203" s="16">
        <f t="shared" si="179"/>
        <v>0</v>
      </c>
      <c r="CS203" s="16">
        <f t="shared" si="179"/>
        <v>0</v>
      </c>
      <c r="CT203" s="16">
        <f t="shared" si="179"/>
        <v>0</v>
      </c>
      <c r="CU203" s="16">
        <f t="shared" si="179"/>
        <v>0</v>
      </c>
      <c r="CV203" s="16">
        <f t="shared" si="180"/>
        <v>0</v>
      </c>
      <c r="CW203" s="16">
        <f t="shared" si="180"/>
        <v>0</v>
      </c>
      <c r="CX203" s="16">
        <f t="shared" si="180"/>
        <v>0</v>
      </c>
      <c r="CY203" s="16">
        <f t="shared" si="180"/>
        <v>0</v>
      </c>
      <c r="CZ203" s="16">
        <f t="shared" si="180"/>
        <v>0</v>
      </c>
      <c r="DA203" s="16">
        <f t="shared" si="180"/>
        <v>-0.4507455582946614</v>
      </c>
      <c r="DB203" s="16">
        <f t="shared" si="180"/>
        <v>1.8886088649605113</v>
      </c>
      <c r="DC203" s="16">
        <f t="shared" si="180"/>
        <v>-0.43786330666584994</v>
      </c>
      <c r="DD203" s="16">
        <f t="shared" si="180"/>
        <v>0</v>
      </c>
      <c r="DE203" s="16">
        <f t="shared" si="180"/>
        <v>0</v>
      </c>
      <c r="DF203" s="16">
        <f t="shared" si="181"/>
        <v>0</v>
      </c>
      <c r="DG203" s="16">
        <f t="shared" si="181"/>
        <v>0</v>
      </c>
      <c r="DH203" s="16">
        <f t="shared" si="181"/>
        <v>0</v>
      </c>
      <c r="DI203" s="16">
        <f t="shared" si="181"/>
        <v>0</v>
      </c>
      <c r="DJ203" s="16">
        <f t="shared" si="181"/>
        <v>0</v>
      </c>
      <c r="DK203" s="16">
        <f t="shared" si="181"/>
        <v>0</v>
      </c>
      <c r="DL203" s="16">
        <f t="shared" si="181"/>
        <v>0</v>
      </c>
      <c r="DM203" s="16">
        <f t="shared" si="181"/>
        <v>0</v>
      </c>
      <c r="DN203" s="16">
        <f t="shared" si="181"/>
        <v>0</v>
      </c>
      <c r="DO203" s="16">
        <f t="shared" si="181"/>
        <v>0</v>
      </c>
      <c r="DP203" s="16">
        <f t="shared" si="181"/>
        <v>0</v>
      </c>
    </row>
    <row r="204" spans="3:120" x14ac:dyDescent="0.25">
      <c r="C204" s="1"/>
      <c r="D204" s="1"/>
      <c r="E204" s="1"/>
      <c r="F204" s="1"/>
      <c r="G204" s="1"/>
      <c r="H204" s="1"/>
      <c r="I204" s="1"/>
      <c r="J204" s="93"/>
      <c r="O204" s="9">
        <f t="shared" si="150"/>
        <v>13</v>
      </c>
      <c r="P204" s="16">
        <f t="shared" si="172"/>
        <v>0</v>
      </c>
      <c r="Q204" s="16">
        <f t="shared" si="172"/>
        <v>0</v>
      </c>
      <c r="R204" s="16">
        <f t="shared" si="172"/>
        <v>0</v>
      </c>
      <c r="S204" s="16">
        <f t="shared" si="172"/>
        <v>0</v>
      </c>
      <c r="T204" s="16">
        <f t="shared" si="172"/>
        <v>0</v>
      </c>
      <c r="U204" s="16">
        <f t="shared" si="172"/>
        <v>0</v>
      </c>
      <c r="V204" s="16">
        <f t="shared" si="172"/>
        <v>0</v>
      </c>
      <c r="W204" s="16">
        <f t="shared" si="172"/>
        <v>0</v>
      </c>
      <c r="X204" s="16">
        <f t="shared" si="172"/>
        <v>0</v>
      </c>
      <c r="Y204" s="16">
        <f t="shared" si="172"/>
        <v>0</v>
      </c>
      <c r="Z204" s="16">
        <f t="shared" si="173"/>
        <v>0</v>
      </c>
      <c r="AA204" s="16">
        <f t="shared" si="173"/>
        <v>0</v>
      </c>
      <c r="AB204" s="16">
        <f t="shared" si="173"/>
        <v>0</v>
      </c>
      <c r="AC204" s="16">
        <f t="shared" si="173"/>
        <v>0</v>
      </c>
      <c r="AD204" s="16">
        <f t="shared" si="173"/>
        <v>0</v>
      </c>
      <c r="AE204" s="16">
        <f t="shared" si="173"/>
        <v>0</v>
      </c>
      <c r="AF204" s="16">
        <f t="shared" si="173"/>
        <v>0</v>
      </c>
      <c r="AG204" s="16">
        <f t="shared" si="173"/>
        <v>0</v>
      </c>
      <c r="AH204" s="16">
        <f t="shared" si="173"/>
        <v>0</v>
      </c>
      <c r="AI204" s="16">
        <f t="shared" si="173"/>
        <v>0</v>
      </c>
      <c r="AJ204" s="16">
        <f t="shared" si="174"/>
        <v>0</v>
      </c>
      <c r="AK204" s="16">
        <f t="shared" si="174"/>
        <v>0</v>
      </c>
      <c r="AL204" s="16">
        <f t="shared" si="174"/>
        <v>0</v>
      </c>
      <c r="AM204" s="16">
        <f t="shared" si="174"/>
        <v>0</v>
      </c>
      <c r="AN204" s="16">
        <f t="shared" si="174"/>
        <v>0</v>
      </c>
      <c r="AO204" s="16">
        <f t="shared" si="174"/>
        <v>0</v>
      </c>
      <c r="AP204" s="16">
        <f t="shared" si="174"/>
        <v>0</v>
      </c>
      <c r="AQ204" s="16">
        <f t="shared" si="174"/>
        <v>0</v>
      </c>
      <c r="AR204" s="16">
        <f t="shared" si="174"/>
        <v>0</v>
      </c>
      <c r="AS204" s="16">
        <f t="shared" si="174"/>
        <v>0</v>
      </c>
      <c r="AT204" s="16">
        <f t="shared" si="175"/>
        <v>0</v>
      </c>
      <c r="AU204" s="16">
        <f t="shared" si="175"/>
        <v>0</v>
      </c>
      <c r="AV204" s="16">
        <f t="shared" si="175"/>
        <v>0</v>
      </c>
      <c r="AW204" s="16">
        <f t="shared" si="175"/>
        <v>0</v>
      </c>
      <c r="AX204" s="16">
        <f t="shared" si="175"/>
        <v>0</v>
      </c>
      <c r="AY204" s="16">
        <f t="shared" si="175"/>
        <v>0</v>
      </c>
      <c r="AZ204" s="16">
        <f t="shared" si="175"/>
        <v>-0.26447875588942943</v>
      </c>
      <c r="BA204" s="16">
        <f t="shared" si="175"/>
        <v>1.5213987420447035</v>
      </c>
      <c r="BB204" s="16">
        <f t="shared" si="175"/>
        <v>-0.25691998615527412</v>
      </c>
      <c r="BC204" s="16">
        <f t="shared" si="175"/>
        <v>0</v>
      </c>
      <c r="BD204" s="16">
        <f t="shared" si="176"/>
        <v>0</v>
      </c>
      <c r="BE204" s="16">
        <f t="shared" si="176"/>
        <v>0</v>
      </c>
      <c r="BF204" s="16">
        <f t="shared" si="176"/>
        <v>0</v>
      </c>
      <c r="BG204" s="16">
        <f t="shared" si="176"/>
        <v>0</v>
      </c>
      <c r="BH204" s="16">
        <f t="shared" si="176"/>
        <v>0</v>
      </c>
      <c r="BI204" s="16">
        <f t="shared" si="176"/>
        <v>0</v>
      </c>
      <c r="BJ204" s="16">
        <f t="shared" si="176"/>
        <v>0</v>
      </c>
      <c r="BK204" s="16">
        <f t="shared" si="176"/>
        <v>0</v>
      </c>
      <c r="BL204" s="16">
        <f t="shared" si="176"/>
        <v>0</v>
      </c>
      <c r="BM204" s="16">
        <f t="shared" si="176"/>
        <v>0</v>
      </c>
      <c r="BN204" s="16">
        <f t="shared" si="176"/>
        <v>0</v>
      </c>
      <c r="BQ204" s="9">
        <f t="shared" si="151"/>
        <v>13</v>
      </c>
      <c r="BR204" s="16">
        <f t="shared" si="177"/>
        <v>0</v>
      </c>
      <c r="BS204" s="16">
        <f t="shared" si="177"/>
        <v>0</v>
      </c>
      <c r="BT204" s="16">
        <f t="shared" si="177"/>
        <v>0</v>
      </c>
      <c r="BU204" s="16">
        <f t="shared" si="177"/>
        <v>0</v>
      </c>
      <c r="BV204" s="16">
        <f t="shared" si="177"/>
        <v>0</v>
      </c>
      <c r="BW204" s="16">
        <f t="shared" si="177"/>
        <v>0</v>
      </c>
      <c r="BX204" s="16">
        <f t="shared" si="177"/>
        <v>0</v>
      </c>
      <c r="BY204" s="16">
        <f t="shared" si="177"/>
        <v>0</v>
      </c>
      <c r="BZ204" s="16">
        <f t="shared" si="177"/>
        <v>0</v>
      </c>
      <c r="CA204" s="16">
        <f t="shared" si="177"/>
        <v>0</v>
      </c>
      <c r="CB204" s="16">
        <f t="shared" si="178"/>
        <v>0</v>
      </c>
      <c r="CC204" s="16">
        <f t="shared" si="178"/>
        <v>0</v>
      </c>
      <c r="CD204" s="16">
        <f t="shared" si="178"/>
        <v>0</v>
      </c>
      <c r="CE204" s="16">
        <f t="shared" si="178"/>
        <v>0</v>
      </c>
      <c r="CF204" s="16">
        <f t="shared" si="178"/>
        <v>0</v>
      </c>
      <c r="CG204" s="16">
        <f t="shared" si="178"/>
        <v>0</v>
      </c>
      <c r="CH204" s="16">
        <f t="shared" si="178"/>
        <v>0</v>
      </c>
      <c r="CI204" s="16">
        <f t="shared" si="178"/>
        <v>0</v>
      </c>
      <c r="CJ204" s="16">
        <f t="shared" si="178"/>
        <v>0</v>
      </c>
      <c r="CK204" s="16">
        <f t="shared" si="178"/>
        <v>0</v>
      </c>
      <c r="CL204" s="16">
        <f t="shared" si="179"/>
        <v>0</v>
      </c>
      <c r="CM204" s="16">
        <f t="shared" si="179"/>
        <v>0</v>
      </c>
      <c r="CN204" s="16">
        <f t="shared" si="179"/>
        <v>0</v>
      </c>
      <c r="CO204" s="16">
        <f t="shared" si="179"/>
        <v>0</v>
      </c>
      <c r="CP204" s="16">
        <f t="shared" si="179"/>
        <v>0</v>
      </c>
      <c r="CQ204" s="16">
        <f t="shared" si="179"/>
        <v>0</v>
      </c>
      <c r="CR204" s="16">
        <f t="shared" si="179"/>
        <v>0</v>
      </c>
      <c r="CS204" s="16">
        <f t="shared" si="179"/>
        <v>0</v>
      </c>
      <c r="CT204" s="16">
        <f t="shared" si="179"/>
        <v>0</v>
      </c>
      <c r="CU204" s="16">
        <f t="shared" si="179"/>
        <v>0</v>
      </c>
      <c r="CV204" s="16">
        <f t="shared" si="180"/>
        <v>0</v>
      </c>
      <c r="CW204" s="16">
        <f t="shared" si="180"/>
        <v>0</v>
      </c>
      <c r="CX204" s="16">
        <f t="shared" si="180"/>
        <v>0</v>
      </c>
      <c r="CY204" s="16">
        <f t="shared" si="180"/>
        <v>0</v>
      </c>
      <c r="CZ204" s="16">
        <f t="shared" si="180"/>
        <v>0</v>
      </c>
      <c r="DA204" s="16">
        <f t="shared" si="180"/>
        <v>0</v>
      </c>
      <c r="DB204" s="16">
        <f t="shared" si="180"/>
        <v>-0.46908083713462007</v>
      </c>
      <c r="DC204" s="16">
        <f t="shared" si="180"/>
        <v>1.9247554026665115</v>
      </c>
      <c r="DD204" s="16">
        <f t="shared" si="180"/>
        <v>-0.45567456553189156</v>
      </c>
      <c r="DE204" s="16">
        <f t="shared" si="180"/>
        <v>0</v>
      </c>
      <c r="DF204" s="16">
        <f t="shared" si="181"/>
        <v>0</v>
      </c>
      <c r="DG204" s="16">
        <f t="shared" si="181"/>
        <v>0</v>
      </c>
      <c r="DH204" s="16">
        <f t="shared" si="181"/>
        <v>0</v>
      </c>
      <c r="DI204" s="16">
        <f t="shared" si="181"/>
        <v>0</v>
      </c>
      <c r="DJ204" s="16">
        <f t="shared" si="181"/>
        <v>0</v>
      </c>
      <c r="DK204" s="16">
        <f t="shared" si="181"/>
        <v>0</v>
      </c>
      <c r="DL204" s="16">
        <f t="shared" si="181"/>
        <v>0</v>
      </c>
      <c r="DM204" s="16">
        <f t="shared" si="181"/>
        <v>0</v>
      </c>
      <c r="DN204" s="16">
        <f t="shared" si="181"/>
        <v>0</v>
      </c>
      <c r="DO204" s="16">
        <f t="shared" si="181"/>
        <v>0</v>
      </c>
      <c r="DP204" s="16">
        <f t="shared" si="181"/>
        <v>0</v>
      </c>
    </row>
    <row r="205" spans="3:120" x14ac:dyDescent="0.25">
      <c r="C205" s="1"/>
      <c r="D205" s="1"/>
      <c r="E205" s="1"/>
      <c r="F205" s="1"/>
      <c r="G205" s="1"/>
      <c r="H205" s="1"/>
      <c r="I205" s="1"/>
      <c r="J205" s="93"/>
      <c r="O205" s="9">
        <f t="shared" si="150"/>
        <v>12</v>
      </c>
      <c r="P205" s="16">
        <f t="shared" si="172"/>
        <v>0</v>
      </c>
      <c r="Q205" s="16">
        <f t="shared" si="172"/>
        <v>0</v>
      </c>
      <c r="R205" s="16">
        <f t="shared" si="172"/>
        <v>0</v>
      </c>
      <c r="S205" s="16">
        <f t="shared" si="172"/>
        <v>0</v>
      </c>
      <c r="T205" s="16">
        <f t="shared" si="172"/>
        <v>0</v>
      </c>
      <c r="U205" s="16">
        <f t="shared" si="172"/>
        <v>0</v>
      </c>
      <c r="V205" s="16">
        <f t="shared" si="172"/>
        <v>0</v>
      </c>
      <c r="W205" s="16">
        <f t="shared" si="172"/>
        <v>0</v>
      </c>
      <c r="X205" s="16">
        <f t="shared" si="172"/>
        <v>0</v>
      </c>
      <c r="Y205" s="16">
        <f t="shared" si="172"/>
        <v>0</v>
      </c>
      <c r="Z205" s="16">
        <f t="shared" si="173"/>
        <v>0</v>
      </c>
      <c r="AA205" s="16">
        <f t="shared" si="173"/>
        <v>0</v>
      </c>
      <c r="AB205" s="16">
        <f t="shared" si="173"/>
        <v>0</v>
      </c>
      <c r="AC205" s="16">
        <f t="shared" si="173"/>
        <v>0</v>
      </c>
      <c r="AD205" s="16">
        <f t="shared" si="173"/>
        <v>0</v>
      </c>
      <c r="AE205" s="16">
        <f t="shared" si="173"/>
        <v>0</v>
      </c>
      <c r="AF205" s="16">
        <f t="shared" si="173"/>
        <v>0</v>
      </c>
      <c r="AG205" s="16">
        <f t="shared" si="173"/>
        <v>0</v>
      </c>
      <c r="AH205" s="16">
        <f t="shared" si="173"/>
        <v>0</v>
      </c>
      <c r="AI205" s="16">
        <f t="shared" si="173"/>
        <v>0</v>
      </c>
      <c r="AJ205" s="16">
        <f t="shared" si="174"/>
        <v>0</v>
      </c>
      <c r="AK205" s="16">
        <f t="shared" si="174"/>
        <v>0</v>
      </c>
      <c r="AL205" s="16">
        <f t="shared" si="174"/>
        <v>0</v>
      </c>
      <c r="AM205" s="16">
        <f t="shared" si="174"/>
        <v>0</v>
      </c>
      <c r="AN205" s="16">
        <f t="shared" si="174"/>
        <v>0</v>
      </c>
      <c r="AO205" s="16">
        <f t="shared" si="174"/>
        <v>0</v>
      </c>
      <c r="AP205" s="16">
        <f t="shared" si="174"/>
        <v>0</v>
      </c>
      <c r="AQ205" s="16">
        <f t="shared" si="174"/>
        <v>0</v>
      </c>
      <c r="AR205" s="16">
        <f t="shared" si="174"/>
        <v>0</v>
      </c>
      <c r="AS205" s="16">
        <f t="shared" si="174"/>
        <v>0</v>
      </c>
      <c r="AT205" s="16">
        <f t="shared" si="175"/>
        <v>0</v>
      </c>
      <c r="AU205" s="16">
        <f t="shared" si="175"/>
        <v>0</v>
      </c>
      <c r="AV205" s="16">
        <f t="shared" si="175"/>
        <v>0</v>
      </c>
      <c r="AW205" s="16">
        <f t="shared" si="175"/>
        <v>0</v>
      </c>
      <c r="AX205" s="16">
        <f t="shared" si="175"/>
        <v>0</v>
      </c>
      <c r="AY205" s="16">
        <f t="shared" si="175"/>
        <v>0</v>
      </c>
      <c r="AZ205" s="16">
        <f t="shared" si="175"/>
        <v>0</v>
      </c>
      <c r="BA205" s="16">
        <f t="shared" si="175"/>
        <v>-0.26562523935700999</v>
      </c>
      <c r="BB205" s="16">
        <f t="shared" si="175"/>
        <v>1.5236589426258855</v>
      </c>
      <c r="BC205" s="16">
        <f t="shared" si="175"/>
        <v>-0.25803370326887548</v>
      </c>
      <c r="BD205" s="16">
        <f t="shared" si="176"/>
        <v>0</v>
      </c>
      <c r="BE205" s="16">
        <f t="shared" si="176"/>
        <v>0</v>
      </c>
      <c r="BF205" s="16">
        <f t="shared" si="176"/>
        <v>0</v>
      </c>
      <c r="BG205" s="16">
        <f t="shared" si="176"/>
        <v>0</v>
      </c>
      <c r="BH205" s="16">
        <f t="shared" si="176"/>
        <v>0</v>
      </c>
      <c r="BI205" s="16">
        <f t="shared" si="176"/>
        <v>0</v>
      </c>
      <c r="BJ205" s="16">
        <f t="shared" si="176"/>
        <v>0</v>
      </c>
      <c r="BK205" s="16">
        <f t="shared" si="176"/>
        <v>0</v>
      </c>
      <c r="BL205" s="16">
        <f t="shared" si="176"/>
        <v>0</v>
      </c>
      <c r="BM205" s="16">
        <f t="shared" si="176"/>
        <v>0</v>
      </c>
      <c r="BN205" s="16">
        <f t="shared" si="176"/>
        <v>0</v>
      </c>
      <c r="BQ205" s="9">
        <f t="shared" si="151"/>
        <v>12</v>
      </c>
      <c r="BR205" s="16">
        <f t="shared" si="177"/>
        <v>0</v>
      </c>
      <c r="BS205" s="16">
        <f t="shared" si="177"/>
        <v>0</v>
      </c>
      <c r="BT205" s="16">
        <f t="shared" si="177"/>
        <v>0</v>
      </c>
      <c r="BU205" s="16">
        <f t="shared" si="177"/>
        <v>0</v>
      </c>
      <c r="BV205" s="16">
        <f t="shared" si="177"/>
        <v>0</v>
      </c>
      <c r="BW205" s="16">
        <f t="shared" si="177"/>
        <v>0</v>
      </c>
      <c r="BX205" s="16">
        <f t="shared" si="177"/>
        <v>0</v>
      </c>
      <c r="BY205" s="16">
        <f t="shared" si="177"/>
        <v>0</v>
      </c>
      <c r="BZ205" s="16">
        <f t="shared" si="177"/>
        <v>0</v>
      </c>
      <c r="CA205" s="16">
        <f t="shared" si="177"/>
        <v>0</v>
      </c>
      <c r="CB205" s="16">
        <f t="shared" si="178"/>
        <v>0</v>
      </c>
      <c r="CC205" s="16">
        <f t="shared" si="178"/>
        <v>0</v>
      </c>
      <c r="CD205" s="16">
        <f t="shared" si="178"/>
        <v>0</v>
      </c>
      <c r="CE205" s="16">
        <f t="shared" si="178"/>
        <v>0</v>
      </c>
      <c r="CF205" s="16">
        <f t="shared" si="178"/>
        <v>0</v>
      </c>
      <c r="CG205" s="16">
        <f t="shared" si="178"/>
        <v>0</v>
      </c>
      <c r="CH205" s="16">
        <f t="shared" si="178"/>
        <v>0</v>
      </c>
      <c r="CI205" s="16">
        <f t="shared" si="178"/>
        <v>0</v>
      </c>
      <c r="CJ205" s="16">
        <f t="shared" si="178"/>
        <v>0</v>
      </c>
      <c r="CK205" s="16">
        <f t="shared" si="178"/>
        <v>0</v>
      </c>
      <c r="CL205" s="16">
        <f t="shared" si="179"/>
        <v>0</v>
      </c>
      <c r="CM205" s="16">
        <f t="shared" si="179"/>
        <v>0</v>
      </c>
      <c r="CN205" s="16">
        <f t="shared" si="179"/>
        <v>0</v>
      </c>
      <c r="CO205" s="16">
        <f t="shared" si="179"/>
        <v>0</v>
      </c>
      <c r="CP205" s="16">
        <f t="shared" si="179"/>
        <v>0</v>
      </c>
      <c r="CQ205" s="16">
        <f t="shared" si="179"/>
        <v>0</v>
      </c>
      <c r="CR205" s="16">
        <f t="shared" si="179"/>
        <v>0</v>
      </c>
      <c r="CS205" s="16">
        <f t="shared" si="179"/>
        <v>0</v>
      </c>
      <c r="CT205" s="16">
        <f t="shared" si="179"/>
        <v>0</v>
      </c>
      <c r="CU205" s="16">
        <f t="shared" si="179"/>
        <v>0</v>
      </c>
      <c r="CV205" s="16">
        <f t="shared" si="180"/>
        <v>0</v>
      </c>
      <c r="CW205" s="16">
        <f t="shared" si="180"/>
        <v>0</v>
      </c>
      <c r="CX205" s="16">
        <f t="shared" si="180"/>
        <v>0</v>
      </c>
      <c r="CY205" s="16">
        <f t="shared" si="180"/>
        <v>0</v>
      </c>
      <c r="CZ205" s="16">
        <f t="shared" si="180"/>
        <v>0</v>
      </c>
      <c r="DA205" s="16">
        <f t="shared" si="180"/>
        <v>0</v>
      </c>
      <c r="DB205" s="16">
        <f t="shared" si="180"/>
        <v>0</v>
      </c>
      <c r="DC205" s="16">
        <f t="shared" si="180"/>
        <v>-0.48154082842126616</v>
      </c>
      <c r="DD205" s="16">
        <f t="shared" si="180"/>
        <v>1.9493192802486541</v>
      </c>
      <c r="DE205" s="16">
        <f t="shared" si="180"/>
        <v>-0.46777845182738781</v>
      </c>
      <c r="DF205" s="16">
        <f t="shared" si="181"/>
        <v>0</v>
      </c>
      <c r="DG205" s="16">
        <f t="shared" si="181"/>
        <v>0</v>
      </c>
      <c r="DH205" s="16">
        <f t="shared" si="181"/>
        <v>0</v>
      </c>
      <c r="DI205" s="16">
        <f t="shared" si="181"/>
        <v>0</v>
      </c>
      <c r="DJ205" s="16">
        <f t="shared" si="181"/>
        <v>0</v>
      </c>
      <c r="DK205" s="16">
        <f t="shared" si="181"/>
        <v>0</v>
      </c>
      <c r="DL205" s="16">
        <f t="shared" si="181"/>
        <v>0</v>
      </c>
      <c r="DM205" s="16">
        <f t="shared" si="181"/>
        <v>0</v>
      </c>
      <c r="DN205" s="16">
        <f t="shared" si="181"/>
        <v>0</v>
      </c>
      <c r="DO205" s="16">
        <f t="shared" si="181"/>
        <v>0</v>
      </c>
      <c r="DP205" s="16">
        <f t="shared" si="181"/>
        <v>0</v>
      </c>
    </row>
    <row r="206" spans="3:120" x14ac:dyDescent="0.25">
      <c r="C206" s="1"/>
      <c r="D206" s="1"/>
      <c r="E206" s="1"/>
      <c r="F206" s="1"/>
      <c r="G206" s="1"/>
      <c r="H206" s="1"/>
      <c r="I206" s="1"/>
      <c r="J206" s="93"/>
      <c r="O206" s="9">
        <f t="shared" si="150"/>
        <v>11</v>
      </c>
      <c r="P206" s="16">
        <f t="shared" si="172"/>
        <v>0</v>
      </c>
      <c r="Q206" s="16">
        <f t="shared" si="172"/>
        <v>0</v>
      </c>
      <c r="R206" s="16">
        <f t="shared" si="172"/>
        <v>0</v>
      </c>
      <c r="S206" s="16">
        <f t="shared" si="172"/>
        <v>0</v>
      </c>
      <c r="T206" s="16">
        <f t="shared" si="172"/>
        <v>0</v>
      </c>
      <c r="U206" s="16">
        <f t="shared" si="172"/>
        <v>0</v>
      </c>
      <c r="V206" s="16">
        <f t="shared" si="172"/>
        <v>0</v>
      </c>
      <c r="W206" s="16">
        <f t="shared" si="172"/>
        <v>0</v>
      </c>
      <c r="X206" s="16">
        <f t="shared" si="172"/>
        <v>0</v>
      </c>
      <c r="Y206" s="16">
        <f t="shared" si="172"/>
        <v>0</v>
      </c>
      <c r="Z206" s="16">
        <f t="shared" si="173"/>
        <v>0</v>
      </c>
      <c r="AA206" s="16">
        <f t="shared" si="173"/>
        <v>0</v>
      </c>
      <c r="AB206" s="16">
        <f t="shared" si="173"/>
        <v>0</v>
      </c>
      <c r="AC206" s="16">
        <f t="shared" si="173"/>
        <v>0</v>
      </c>
      <c r="AD206" s="16">
        <f t="shared" si="173"/>
        <v>0</v>
      </c>
      <c r="AE206" s="16">
        <f t="shared" si="173"/>
        <v>0</v>
      </c>
      <c r="AF206" s="16">
        <f t="shared" si="173"/>
        <v>0</v>
      </c>
      <c r="AG206" s="16">
        <f t="shared" si="173"/>
        <v>0</v>
      </c>
      <c r="AH206" s="16">
        <f t="shared" si="173"/>
        <v>0</v>
      </c>
      <c r="AI206" s="16">
        <f t="shared" si="173"/>
        <v>0</v>
      </c>
      <c r="AJ206" s="16">
        <f t="shared" si="174"/>
        <v>0</v>
      </c>
      <c r="AK206" s="16">
        <f t="shared" si="174"/>
        <v>0</v>
      </c>
      <c r="AL206" s="16">
        <f t="shared" si="174"/>
        <v>0</v>
      </c>
      <c r="AM206" s="16">
        <f t="shared" si="174"/>
        <v>0</v>
      </c>
      <c r="AN206" s="16">
        <f t="shared" si="174"/>
        <v>0</v>
      </c>
      <c r="AO206" s="16">
        <f t="shared" si="174"/>
        <v>0</v>
      </c>
      <c r="AP206" s="16">
        <f t="shared" si="174"/>
        <v>0</v>
      </c>
      <c r="AQ206" s="16">
        <f t="shared" si="174"/>
        <v>0</v>
      </c>
      <c r="AR206" s="16">
        <f t="shared" si="174"/>
        <v>0</v>
      </c>
      <c r="AS206" s="16">
        <f t="shared" si="174"/>
        <v>0</v>
      </c>
      <c r="AT206" s="16">
        <f t="shared" si="175"/>
        <v>0</v>
      </c>
      <c r="AU206" s="16">
        <f t="shared" si="175"/>
        <v>0</v>
      </c>
      <c r="AV206" s="16">
        <f t="shared" si="175"/>
        <v>0</v>
      </c>
      <c r="AW206" s="16">
        <f t="shared" si="175"/>
        <v>0</v>
      </c>
      <c r="AX206" s="16">
        <f t="shared" si="175"/>
        <v>0</v>
      </c>
      <c r="AY206" s="16">
        <f t="shared" si="175"/>
        <v>0</v>
      </c>
      <c r="AZ206" s="16">
        <f t="shared" si="175"/>
        <v>0</v>
      </c>
      <c r="BA206" s="16">
        <f t="shared" si="175"/>
        <v>0</v>
      </c>
      <c r="BB206" s="16">
        <f t="shared" si="175"/>
        <v>-0.26562523935700999</v>
      </c>
      <c r="BC206" s="16">
        <f t="shared" si="175"/>
        <v>1.5236589426258855</v>
      </c>
      <c r="BD206" s="16">
        <f t="shared" si="176"/>
        <v>-0.25803370326887548</v>
      </c>
      <c r="BE206" s="16">
        <f t="shared" si="176"/>
        <v>0</v>
      </c>
      <c r="BF206" s="16">
        <f t="shared" si="176"/>
        <v>0</v>
      </c>
      <c r="BG206" s="16">
        <f t="shared" si="176"/>
        <v>0</v>
      </c>
      <c r="BH206" s="16">
        <f t="shared" si="176"/>
        <v>0</v>
      </c>
      <c r="BI206" s="16">
        <f t="shared" si="176"/>
        <v>0</v>
      </c>
      <c r="BJ206" s="16">
        <f t="shared" si="176"/>
        <v>0</v>
      </c>
      <c r="BK206" s="16">
        <f t="shared" si="176"/>
        <v>0</v>
      </c>
      <c r="BL206" s="16">
        <f t="shared" si="176"/>
        <v>0</v>
      </c>
      <c r="BM206" s="16">
        <f t="shared" si="176"/>
        <v>0</v>
      </c>
      <c r="BN206" s="16">
        <f t="shared" si="176"/>
        <v>0</v>
      </c>
      <c r="BQ206" s="9">
        <f t="shared" si="151"/>
        <v>11</v>
      </c>
      <c r="BR206" s="16">
        <f t="shared" si="177"/>
        <v>0</v>
      </c>
      <c r="BS206" s="16">
        <f t="shared" si="177"/>
        <v>0</v>
      </c>
      <c r="BT206" s="16">
        <f t="shared" si="177"/>
        <v>0</v>
      </c>
      <c r="BU206" s="16">
        <f t="shared" si="177"/>
        <v>0</v>
      </c>
      <c r="BV206" s="16">
        <f t="shared" si="177"/>
        <v>0</v>
      </c>
      <c r="BW206" s="16">
        <f t="shared" si="177"/>
        <v>0</v>
      </c>
      <c r="BX206" s="16">
        <f t="shared" si="177"/>
        <v>0</v>
      </c>
      <c r="BY206" s="16">
        <f t="shared" si="177"/>
        <v>0</v>
      </c>
      <c r="BZ206" s="16">
        <f t="shared" si="177"/>
        <v>0</v>
      </c>
      <c r="CA206" s="16">
        <f t="shared" si="177"/>
        <v>0</v>
      </c>
      <c r="CB206" s="16">
        <f t="shared" si="178"/>
        <v>0</v>
      </c>
      <c r="CC206" s="16">
        <f t="shared" si="178"/>
        <v>0</v>
      </c>
      <c r="CD206" s="16">
        <f t="shared" si="178"/>
        <v>0</v>
      </c>
      <c r="CE206" s="16">
        <f t="shared" si="178"/>
        <v>0</v>
      </c>
      <c r="CF206" s="16">
        <f t="shared" si="178"/>
        <v>0</v>
      </c>
      <c r="CG206" s="16">
        <f t="shared" si="178"/>
        <v>0</v>
      </c>
      <c r="CH206" s="16">
        <f t="shared" si="178"/>
        <v>0</v>
      </c>
      <c r="CI206" s="16">
        <f t="shared" si="178"/>
        <v>0</v>
      </c>
      <c r="CJ206" s="16">
        <f t="shared" si="178"/>
        <v>0</v>
      </c>
      <c r="CK206" s="16">
        <f t="shared" si="178"/>
        <v>0</v>
      </c>
      <c r="CL206" s="16">
        <f t="shared" si="179"/>
        <v>0</v>
      </c>
      <c r="CM206" s="16">
        <f t="shared" si="179"/>
        <v>0</v>
      </c>
      <c r="CN206" s="16">
        <f t="shared" si="179"/>
        <v>0</v>
      </c>
      <c r="CO206" s="16">
        <f t="shared" si="179"/>
        <v>0</v>
      </c>
      <c r="CP206" s="16">
        <f t="shared" si="179"/>
        <v>0</v>
      </c>
      <c r="CQ206" s="16">
        <f t="shared" si="179"/>
        <v>0</v>
      </c>
      <c r="CR206" s="16">
        <f t="shared" si="179"/>
        <v>0</v>
      </c>
      <c r="CS206" s="16">
        <f t="shared" si="179"/>
        <v>0</v>
      </c>
      <c r="CT206" s="16">
        <f t="shared" si="179"/>
        <v>0</v>
      </c>
      <c r="CU206" s="16">
        <f t="shared" si="179"/>
        <v>0</v>
      </c>
      <c r="CV206" s="16">
        <f t="shared" si="180"/>
        <v>0</v>
      </c>
      <c r="CW206" s="16">
        <f t="shared" si="180"/>
        <v>0</v>
      </c>
      <c r="CX206" s="16">
        <f t="shared" si="180"/>
        <v>0</v>
      </c>
      <c r="CY206" s="16">
        <f t="shared" si="180"/>
        <v>0</v>
      </c>
      <c r="CZ206" s="16">
        <f t="shared" si="180"/>
        <v>0</v>
      </c>
      <c r="DA206" s="16">
        <f t="shared" si="180"/>
        <v>0</v>
      </c>
      <c r="DB206" s="16">
        <f t="shared" si="180"/>
        <v>0</v>
      </c>
      <c r="DC206" s="16">
        <f t="shared" si="180"/>
        <v>0</v>
      </c>
      <c r="DD206" s="16">
        <f t="shared" si="180"/>
        <v>-0.48154082842126616</v>
      </c>
      <c r="DE206" s="16">
        <f t="shared" si="180"/>
        <v>1.9493192802486541</v>
      </c>
      <c r="DF206" s="16">
        <f t="shared" si="181"/>
        <v>-0.46777845182738781</v>
      </c>
      <c r="DG206" s="16">
        <f t="shared" si="181"/>
        <v>0</v>
      </c>
      <c r="DH206" s="16">
        <f t="shared" si="181"/>
        <v>0</v>
      </c>
      <c r="DI206" s="16">
        <f t="shared" si="181"/>
        <v>0</v>
      </c>
      <c r="DJ206" s="16">
        <f t="shared" si="181"/>
        <v>0</v>
      </c>
      <c r="DK206" s="16">
        <f t="shared" si="181"/>
        <v>0</v>
      </c>
      <c r="DL206" s="16">
        <f t="shared" si="181"/>
        <v>0</v>
      </c>
      <c r="DM206" s="16">
        <f t="shared" si="181"/>
        <v>0</v>
      </c>
      <c r="DN206" s="16">
        <f t="shared" si="181"/>
        <v>0</v>
      </c>
      <c r="DO206" s="16">
        <f t="shared" si="181"/>
        <v>0</v>
      </c>
      <c r="DP206" s="16">
        <f t="shared" si="181"/>
        <v>0</v>
      </c>
    </row>
    <row r="207" spans="3:120" x14ac:dyDescent="0.25">
      <c r="C207" s="1"/>
      <c r="D207" s="1"/>
      <c r="E207" s="1"/>
      <c r="F207" s="1"/>
      <c r="G207" s="1"/>
      <c r="H207" s="1"/>
      <c r="I207" s="1"/>
      <c r="J207" s="93"/>
      <c r="O207" s="9">
        <f t="shared" si="150"/>
        <v>10</v>
      </c>
      <c r="P207" s="16">
        <f t="shared" ref="P207:Y217" si="182">IF(P$166=$O207,1-HLOOKUP($O207,$O$19:$BN$48,P$107,0),IF(P$166-$O207=1,-HLOOKUP($O207,$O$15:$BN$30,P$107,0),IF(P$166-$O207=-1,-HLOOKUP($O207,$O$23:$BN$68,P$107,0),0)))</f>
        <v>0</v>
      </c>
      <c r="Q207" s="16">
        <f t="shared" si="182"/>
        <v>0</v>
      </c>
      <c r="R207" s="16">
        <f t="shared" si="182"/>
        <v>0</v>
      </c>
      <c r="S207" s="16">
        <f t="shared" si="182"/>
        <v>0</v>
      </c>
      <c r="T207" s="16">
        <f t="shared" si="182"/>
        <v>0</v>
      </c>
      <c r="U207" s="16">
        <f t="shared" si="182"/>
        <v>0</v>
      </c>
      <c r="V207" s="16">
        <f t="shared" si="182"/>
        <v>0</v>
      </c>
      <c r="W207" s="16">
        <f t="shared" si="182"/>
        <v>0</v>
      </c>
      <c r="X207" s="16">
        <f t="shared" si="182"/>
        <v>0</v>
      </c>
      <c r="Y207" s="16">
        <f t="shared" si="182"/>
        <v>0</v>
      </c>
      <c r="Z207" s="16">
        <f t="shared" ref="Z207:AI217" si="183">IF(Z$166=$O207,1-HLOOKUP($O207,$O$19:$BN$48,Z$107,0),IF(Z$166-$O207=1,-HLOOKUP($O207,$O$15:$BN$30,Z$107,0),IF(Z$166-$O207=-1,-HLOOKUP($O207,$O$23:$BN$68,Z$107,0),0)))</f>
        <v>0</v>
      </c>
      <c r="AA207" s="16">
        <f t="shared" si="183"/>
        <v>0</v>
      </c>
      <c r="AB207" s="16">
        <f t="shared" si="183"/>
        <v>0</v>
      </c>
      <c r="AC207" s="16">
        <f t="shared" si="183"/>
        <v>0</v>
      </c>
      <c r="AD207" s="16">
        <f t="shared" si="183"/>
        <v>0</v>
      </c>
      <c r="AE207" s="16">
        <f t="shared" si="183"/>
        <v>0</v>
      </c>
      <c r="AF207" s="16">
        <f t="shared" si="183"/>
        <v>0</v>
      </c>
      <c r="AG207" s="16">
        <f t="shared" si="183"/>
        <v>0</v>
      </c>
      <c r="AH207" s="16">
        <f t="shared" si="183"/>
        <v>0</v>
      </c>
      <c r="AI207" s="16">
        <f t="shared" si="183"/>
        <v>0</v>
      </c>
      <c r="AJ207" s="16">
        <f t="shared" ref="AJ207:AS217" si="184">IF(AJ$166=$O207,1-HLOOKUP($O207,$O$19:$BN$48,AJ$107,0),IF(AJ$166-$O207=1,-HLOOKUP($O207,$O$15:$BN$30,AJ$107,0),IF(AJ$166-$O207=-1,-HLOOKUP($O207,$O$23:$BN$68,AJ$107,0),0)))</f>
        <v>0</v>
      </c>
      <c r="AK207" s="16">
        <f t="shared" si="184"/>
        <v>0</v>
      </c>
      <c r="AL207" s="16">
        <f t="shared" si="184"/>
        <v>0</v>
      </c>
      <c r="AM207" s="16">
        <f t="shared" si="184"/>
        <v>0</v>
      </c>
      <c r="AN207" s="16">
        <f t="shared" si="184"/>
        <v>0</v>
      </c>
      <c r="AO207" s="16">
        <f t="shared" si="184"/>
        <v>0</v>
      </c>
      <c r="AP207" s="16">
        <f t="shared" si="184"/>
        <v>0</v>
      </c>
      <c r="AQ207" s="16">
        <f t="shared" si="184"/>
        <v>0</v>
      </c>
      <c r="AR207" s="16">
        <f t="shared" si="184"/>
        <v>0</v>
      </c>
      <c r="AS207" s="16">
        <f t="shared" si="184"/>
        <v>0</v>
      </c>
      <c r="AT207" s="16">
        <f t="shared" ref="AT207:BC217" si="185">IF(AT$166=$O207,1-HLOOKUP($O207,$O$19:$BN$48,AT$107,0),IF(AT$166-$O207=1,-HLOOKUP($O207,$O$15:$BN$30,AT$107,0),IF(AT$166-$O207=-1,-HLOOKUP($O207,$O$23:$BN$68,AT$107,0),0)))</f>
        <v>0</v>
      </c>
      <c r="AU207" s="16">
        <f t="shared" si="185"/>
        <v>0</v>
      </c>
      <c r="AV207" s="16">
        <f t="shared" si="185"/>
        <v>0</v>
      </c>
      <c r="AW207" s="16">
        <f t="shared" si="185"/>
        <v>0</v>
      </c>
      <c r="AX207" s="16">
        <f t="shared" si="185"/>
        <v>0</v>
      </c>
      <c r="AY207" s="16">
        <f t="shared" si="185"/>
        <v>0</v>
      </c>
      <c r="AZ207" s="16">
        <f t="shared" si="185"/>
        <v>0</v>
      </c>
      <c r="BA207" s="16">
        <f t="shared" si="185"/>
        <v>0</v>
      </c>
      <c r="BB207" s="16">
        <f t="shared" si="185"/>
        <v>0</v>
      </c>
      <c r="BC207" s="16">
        <f t="shared" si="185"/>
        <v>-0.26562523935700999</v>
      </c>
      <c r="BD207" s="16">
        <f t="shared" ref="BD207:BN217" si="186">IF(BD$166=$O207,1-HLOOKUP($O207,$O$19:$BN$48,BD$107,0),IF(BD$166-$O207=1,-HLOOKUP($O207,$O$15:$BN$30,BD$107,0),IF(BD$166-$O207=-1,-HLOOKUP($O207,$O$23:$BN$68,BD$107,0),0)))</f>
        <v>1.5236589426258855</v>
      </c>
      <c r="BE207" s="16">
        <f t="shared" si="186"/>
        <v>-0.25803370326887548</v>
      </c>
      <c r="BF207" s="16">
        <f t="shared" si="186"/>
        <v>0</v>
      </c>
      <c r="BG207" s="16">
        <f t="shared" si="186"/>
        <v>0</v>
      </c>
      <c r="BH207" s="16">
        <f t="shared" si="186"/>
        <v>0</v>
      </c>
      <c r="BI207" s="16">
        <f t="shared" si="186"/>
        <v>0</v>
      </c>
      <c r="BJ207" s="16">
        <f t="shared" si="186"/>
        <v>0</v>
      </c>
      <c r="BK207" s="16">
        <f t="shared" si="186"/>
        <v>0</v>
      </c>
      <c r="BL207" s="16">
        <f t="shared" si="186"/>
        <v>0</v>
      </c>
      <c r="BM207" s="16">
        <f t="shared" si="186"/>
        <v>0</v>
      </c>
      <c r="BN207" s="16">
        <f t="shared" si="186"/>
        <v>0</v>
      </c>
      <c r="BQ207" s="9">
        <f t="shared" si="151"/>
        <v>10</v>
      </c>
      <c r="BR207" s="16">
        <f t="shared" ref="BR207:CA217" si="187">IF(BR$166=$O207,1-HLOOKUP($O207,$O$19:$BN$48,BR$107,0),IF(BR$166-$O207=1,-HLOOKUP($O207,$O$15:$BN$30,BR$107,0),IF(BR$166-$O207=-1,-HLOOKUP($O207,$O$23:$BN$68,BR$107,0),0)))</f>
        <v>0</v>
      </c>
      <c r="BS207" s="16">
        <f t="shared" si="187"/>
        <v>0</v>
      </c>
      <c r="BT207" s="16">
        <f t="shared" si="187"/>
        <v>0</v>
      </c>
      <c r="BU207" s="16">
        <f t="shared" si="187"/>
        <v>0</v>
      </c>
      <c r="BV207" s="16">
        <f t="shared" si="187"/>
        <v>0</v>
      </c>
      <c r="BW207" s="16">
        <f t="shared" si="187"/>
        <v>0</v>
      </c>
      <c r="BX207" s="16">
        <f t="shared" si="187"/>
        <v>0</v>
      </c>
      <c r="BY207" s="16">
        <f t="shared" si="187"/>
        <v>0</v>
      </c>
      <c r="BZ207" s="16">
        <f t="shared" si="187"/>
        <v>0</v>
      </c>
      <c r="CA207" s="16">
        <f t="shared" si="187"/>
        <v>0</v>
      </c>
      <c r="CB207" s="16">
        <f t="shared" ref="CB207:CK217" si="188">IF(CB$166=$O207,1-HLOOKUP($O207,$O$19:$BN$48,CB$107,0),IF(CB$166-$O207=1,-HLOOKUP($O207,$O$15:$BN$30,CB$107,0),IF(CB$166-$O207=-1,-HLOOKUP($O207,$O$23:$BN$68,CB$107,0),0)))</f>
        <v>0</v>
      </c>
      <c r="CC207" s="16">
        <f t="shared" si="188"/>
        <v>0</v>
      </c>
      <c r="CD207" s="16">
        <f t="shared" si="188"/>
        <v>0</v>
      </c>
      <c r="CE207" s="16">
        <f t="shared" si="188"/>
        <v>0</v>
      </c>
      <c r="CF207" s="16">
        <f t="shared" si="188"/>
        <v>0</v>
      </c>
      <c r="CG207" s="16">
        <f t="shared" si="188"/>
        <v>0</v>
      </c>
      <c r="CH207" s="16">
        <f t="shared" si="188"/>
        <v>0</v>
      </c>
      <c r="CI207" s="16">
        <f t="shared" si="188"/>
        <v>0</v>
      </c>
      <c r="CJ207" s="16">
        <f t="shared" si="188"/>
        <v>0</v>
      </c>
      <c r="CK207" s="16">
        <f t="shared" si="188"/>
        <v>0</v>
      </c>
      <c r="CL207" s="16">
        <f t="shared" ref="CL207:CU217" si="189">IF(CL$166=$O207,1-HLOOKUP($O207,$O$19:$BN$48,CL$107,0),IF(CL$166-$O207=1,-HLOOKUP($O207,$O$15:$BN$30,CL$107,0),IF(CL$166-$O207=-1,-HLOOKUP($O207,$O$23:$BN$68,CL$107,0),0)))</f>
        <v>0</v>
      </c>
      <c r="CM207" s="16">
        <f t="shared" si="189"/>
        <v>0</v>
      </c>
      <c r="CN207" s="16">
        <f t="shared" si="189"/>
        <v>0</v>
      </c>
      <c r="CO207" s="16">
        <f t="shared" si="189"/>
        <v>0</v>
      </c>
      <c r="CP207" s="16">
        <f t="shared" si="189"/>
        <v>0</v>
      </c>
      <c r="CQ207" s="16">
        <f t="shared" si="189"/>
        <v>0</v>
      </c>
      <c r="CR207" s="16">
        <f t="shared" si="189"/>
        <v>0</v>
      </c>
      <c r="CS207" s="16">
        <f t="shared" si="189"/>
        <v>0</v>
      </c>
      <c r="CT207" s="16">
        <f t="shared" si="189"/>
        <v>0</v>
      </c>
      <c r="CU207" s="16">
        <f t="shared" si="189"/>
        <v>0</v>
      </c>
      <c r="CV207" s="16">
        <f t="shared" ref="CV207:DE217" si="190">IF(CV$166=$O207,1-HLOOKUP($O207,$O$19:$BN$48,CV$107,0),IF(CV$166-$O207=1,-HLOOKUP($O207,$O$15:$BN$30,CV$107,0),IF(CV$166-$O207=-1,-HLOOKUP($O207,$O$23:$BN$68,CV$107,0),0)))</f>
        <v>0</v>
      </c>
      <c r="CW207" s="16">
        <f t="shared" si="190"/>
        <v>0</v>
      </c>
      <c r="CX207" s="16">
        <f t="shared" si="190"/>
        <v>0</v>
      </c>
      <c r="CY207" s="16">
        <f t="shared" si="190"/>
        <v>0</v>
      </c>
      <c r="CZ207" s="16">
        <f t="shared" si="190"/>
        <v>0</v>
      </c>
      <c r="DA207" s="16">
        <f t="shared" si="190"/>
        <v>0</v>
      </c>
      <c r="DB207" s="16">
        <f t="shared" si="190"/>
        <v>0</v>
      </c>
      <c r="DC207" s="16">
        <f t="shared" si="190"/>
        <v>0</v>
      </c>
      <c r="DD207" s="16">
        <f t="shared" si="190"/>
        <v>0</v>
      </c>
      <c r="DE207" s="16">
        <f t="shared" si="190"/>
        <v>-0.48154082842126616</v>
      </c>
      <c r="DF207" s="16">
        <f t="shared" ref="DF207:DP217" si="191">IF(DF$166=$O207,1-HLOOKUP($O207,$O$19:$BN$48,DF$107,0),IF(DF$166-$O207=1,-HLOOKUP($O207,$O$15:$BN$30,DF$107,0),IF(DF$166-$O207=-1,-HLOOKUP($O207,$O$23:$BN$68,DF$107,0),0)))</f>
        <v>1.9493192802486541</v>
      </c>
      <c r="DG207" s="16">
        <f t="shared" si="191"/>
        <v>-0.46777845182738781</v>
      </c>
      <c r="DH207" s="16">
        <f t="shared" si="191"/>
        <v>0</v>
      </c>
      <c r="DI207" s="16">
        <f t="shared" si="191"/>
        <v>0</v>
      </c>
      <c r="DJ207" s="16">
        <f t="shared" si="191"/>
        <v>0</v>
      </c>
      <c r="DK207" s="16">
        <f t="shared" si="191"/>
        <v>0</v>
      </c>
      <c r="DL207" s="16">
        <f t="shared" si="191"/>
        <v>0</v>
      </c>
      <c r="DM207" s="16">
        <f t="shared" si="191"/>
        <v>0</v>
      </c>
      <c r="DN207" s="16">
        <f t="shared" si="191"/>
        <v>0</v>
      </c>
      <c r="DO207" s="16">
        <f t="shared" si="191"/>
        <v>0</v>
      </c>
      <c r="DP207" s="16">
        <f t="shared" si="191"/>
        <v>0</v>
      </c>
    </row>
    <row r="208" spans="3:120" x14ac:dyDescent="0.25">
      <c r="C208" s="1"/>
      <c r="D208" s="1"/>
      <c r="E208" s="1"/>
      <c r="F208" s="1"/>
      <c r="G208" s="1"/>
      <c r="H208" s="1"/>
      <c r="I208" s="1"/>
      <c r="J208" s="93"/>
      <c r="O208" s="9">
        <f t="shared" si="150"/>
        <v>9</v>
      </c>
      <c r="P208" s="16">
        <f t="shared" si="182"/>
        <v>0</v>
      </c>
      <c r="Q208" s="16">
        <f t="shared" si="182"/>
        <v>0</v>
      </c>
      <c r="R208" s="16">
        <f t="shared" si="182"/>
        <v>0</v>
      </c>
      <c r="S208" s="16">
        <f t="shared" si="182"/>
        <v>0</v>
      </c>
      <c r="T208" s="16">
        <f t="shared" si="182"/>
        <v>0</v>
      </c>
      <c r="U208" s="16">
        <f t="shared" si="182"/>
        <v>0</v>
      </c>
      <c r="V208" s="16">
        <f t="shared" si="182"/>
        <v>0</v>
      </c>
      <c r="W208" s="16">
        <f t="shared" si="182"/>
        <v>0</v>
      </c>
      <c r="X208" s="16">
        <f t="shared" si="182"/>
        <v>0</v>
      </c>
      <c r="Y208" s="16">
        <f t="shared" si="182"/>
        <v>0</v>
      </c>
      <c r="Z208" s="16">
        <f t="shared" si="183"/>
        <v>0</v>
      </c>
      <c r="AA208" s="16">
        <f t="shared" si="183"/>
        <v>0</v>
      </c>
      <c r="AB208" s="16">
        <f t="shared" si="183"/>
        <v>0</v>
      </c>
      <c r="AC208" s="16">
        <f t="shared" si="183"/>
        <v>0</v>
      </c>
      <c r="AD208" s="16">
        <f t="shared" si="183"/>
        <v>0</v>
      </c>
      <c r="AE208" s="16">
        <f t="shared" si="183"/>
        <v>0</v>
      </c>
      <c r="AF208" s="16">
        <f t="shared" si="183"/>
        <v>0</v>
      </c>
      <c r="AG208" s="16">
        <f t="shared" si="183"/>
        <v>0</v>
      </c>
      <c r="AH208" s="16">
        <f t="shared" si="183"/>
        <v>0</v>
      </c>
      <c r="AI208" s="16">
        <f t="shared" si="183"/>
        <v>0</v>
      </c>
      <c r="AJ208" s="16">
        <f t="shared" si="184"/>
        <v>0</v>
      </c>
      <c r="AK208" s="16">
        <f t="shared" si="184"/>
        <v>0</v>
      </c>
      <c r="AL208" s="16">
        <f t="shared" si="184"/>
        <v>0</v>
      </c>
      <c r="AM208" s="16">
        <f t="shared" si="184"/>
        <v>0</v>
      </c>
      <c r="AN208" s="16">
        <f t="shared" si="184"/>
        <v>0</v>
      </c>
      <c r="AO208" s="16">
        <f t="shared" si="184"/>
        <v>0</v>
      </c>
      <c r="AP208" s="16">
        <f t="shared" si="184"/>
        <v>0</v>
      </c>
      <c r="AQ208" s="16">
        <f t="shared" si="184"/>
        <v>0</v>
      </c>
      <c r="AR208" s="16">
        <f t="shared" si="184"/>
        <v>0</v>
      </c>
      <c r="AS208" s="16">
        <f t="shared" si="184"/>
        <v>0</v>
      </c>
      <c r="AT208" s="16">
        <f t="shared" si="185"/>
        <v>0</v>
      </c>
      <c r="AU208" s="16">
        <f t="shared" si="185"/>
        <v>0</v>
      </c>
      <c r="AV208" s="16">
        <f t="shared" si="185"/>
        <v>0</v>
      </c>
      <c r="AW208" s="16">
        <f t="shared" si="185"/>
        <v>0</v>
      </c>
      <c r="AX208" s="16">
        <f t="shared" si="185"/>
        <v>0</v>
      </c>
      <c r="AY208" s="16">
        <f t="shared" si="185"/>
        <v>0</v>
      </c>
      <c r="AZ208" s="16">
        <f t="shared" si="185"/>
        <v>0</v>
      </c>
      <c r="BA208" s="16">
        <f t="shared" si="185"/>
        <v>0</v>
      </c>
      <c r="BB208" s="16">
        <f t="shared" si="185"/>
        <v>0</v>
      </c>
      <c r="BC208" s="16">
        <f t="shared" si="185"/>
        <v>0</v>
      </c>
      <c r="BD208" s="16">
        <f t="shared" si="186"/>
        <v>-0.26562523935700999</v>
      </c>
      <c r="BE208" s="16">
        <f t="shared" si="186"/>
        <v>1.5236589426258855</v>
      </c>
      <c r="BF208" s="16">
        <f t="shared" si="186"/>
        <v>-0.25803370326887548</v>
      </c>
      <c r="BG208" s="16">
        <f t="shared" si="186"/>
        <v>0</v>
      </c>
      <c r="BH208" s="16">
        <f t="shared" si="186"/>
        <v>0</v>
      </c>
      <c r="BI208" s="16">
        <f t="shared" si="186"/>
        <v>0</v>
      </c>
      <c r="BJ208" s="16">
        <f t="shared" si="186"/>
        <v>0</v>
      </c>
      <c r="BK208" s="16">
        <f t="shared" si="186"/>
        <v>0</v>
      </c>
      <c r="BL208" s="16">
        <f t="shared" si="186"/>
        <v>0</v>
      </c>
      <c r="BM208" s="16">
        <f t="shared" si="186"/>
        <v>0</v>
      </c>
      <c r="BN208" s="16">
        <f t="shared" si="186"/>
        <v>0</v>
      </c>
      <c r="BQ208" s="9">
        <f t="shared" si="151"/>
        <v>9</v>
      </c>
      <c r="BR208" s="16">
        <f t="shared" si="187"/>
        <v>0</v>
      </c>
      <c r="BS208" s="16">
        <f t="shared" si="187"/>
        <v>0</v>
      </c>
      <c r="BT208" s="16">
        <f t="shared" si="187"/>
        <v>0</v>
      </c>
      <c r="BU208" s="16">
        <f t="shared" si="187"/>
        <v>0</v>
      </c>
      <c r="BV208" s="16">
        <f t="shared" si="187"/>
        <v>0</v>
      </c>
      <c r="BW208" s="16">
        <f t="shared" si="187"/>
        <v>0</v>
      </c>
      <c r="BX208" s="16">
        <f t="shared" si="187"/>
        <v>0</v>
      </c>
      <c r="BY208" s="16">
        <f t="shared" si="187"/>
        <v>0</v>
      </c>
      <c r="BZ208" s="16">
        <f t="shared" si="187"/>
        <v>0</v>
      </c>
      <c r="CA208" s="16">
        <f t="shared" si="187"/>
        <v>0</v>
      </c>
      <c r="CB208" s="16">
        <f t="shared" si="188"/>
        <v>0</v>
      </c>
      <c r="CC208" s="16">
        <f t="shared" si="188"/>
        <v>0</v>
      </c>
      <c r="CD208" s="16">
        <f t="shared" si="188"/>
        <v>0</v>
      </c>
      <c r="CE208" s="16">
        <f t="shared" si="188"/>
        <v>0</v>
      </c>
      <c r="CF208" s="16">
        <f t="shared" si="188"/>
        <v>0</v>
      </c>
      <c r="CG208" s="16">
        <f t="shared" si="188"/>
        <v>0</v>
      </c>
      <c r="CH208" s="16">
        <f t="shared" si="188"/>
        <v>0</v>
      </c>
      <c r="CI208" s="16">
        <f t="shared" si="188"/>
        <v>0</v>
      </c>
      <c r="CJ208" s="16">
        <f t="shared" si="188"/>
        <v>0</v>
      </c>
      <c r="CK208" s="16">
        <f t="shared" si="188"/>
        <v>0</v>
      </c>
      <c r="CL208" s="16">
        <f t="shared" si="189"/>
        <v>0</v>
      </c>
      <c r="CM208" s="16">
        <f t="shared" si="189"/>
        <v>0</v>
      </c>
      <c r="CN208" s="16">
        <f t="shared" si="189"/>
        <v>0</v>
      </c>
      <c r="CO208" s="16">
        <f t="shared" si="189"/>
        <v>0</v>
      </c>
      <c r="CP208" s="16">
        <f t="shared" si="189"/>
        <v>0</v>
      </c>
      <c r="CQ208" s="16">
        <f t="shared" si="189"/>
        <v>0</v>
      </c>
      <c r="CR208" s="16">
        <f t="shared" si="189"/>
        <v>0</v>
      </c>
      <c r="CS208" s="16">
        <f t="shared" si="189"/>
        <v>0</v>
      </c>
      <c r="CT208" s="16">
        <f t="shared" si="189"/>
        <v>0</v>
      </c>
      <c r="CU208" s="16">
        <f t="shared" si="189"/>
        <v>0</v>
      </c>
      <c r="CV208" s="16">
        <f t="shared" si="190"/>
        <v>0</v>
      </c>
      <c r="CW208" s="16">
        <f t="shared" si="190"/>
        <v>0</v>
      </c>
      <c r="CX208" s="16">
        <f t="shared" si="190"/>
        <v>0</v>
      </c>
      <c r="CY208" s="16">
        <f t="shared" si="190"/>
        <v>0</v>
      </c>
      <c r="CZ208" s="16">
        <f t="shared" si="190"/>
        <v>0</v>
      </c>
      <c r="DA208" s="16">
        <f t="shared" si="190"/>
        <v>0</v>
      </c>
      <c r="DB208" s="16">
        <f t="shared" si="190"/>
        <v>0</v>
      </c>
      <c r="DC208" s="16">
        <f t="shared" si="190"/>
        <v>0</v>
      </c>
      <c r="DD208" s="16">
        <f t="shared" si="190"/>
        <v>0</v>
      </c>
      <c r="DE208" s="16">
        <f t="shared" si="190"/>
        <v>0</v>
      </c>
      <c r="DF208" s="16">
        <f t="shared" si="191"/>
        <v>-0.48154082842126616</v>
      </c>
      <c r="DG208" s="16">
        <f t="shared" si="191"/>
        <v>1.9493192802486541</v>
      </c>
      <c r="DH208" s="16">
        <f t="shared" si="191"/>
        <v>-0.46777845182738781</v>
      </c>
      <c r="DI208" s="16">
        <f t="shared" si="191"/>
        <v>0</v>
      </c>
      <c r="DJ208" s="16">
        <f t="shared" si="191"/>
        <v>0</v>
      </c>
      <c r="DK208" s="16">
        <f t="shared" si="191"/>
        <v>0</v>
      </c>
      <c r="DL208" s="16">
        <f t="shared" si="191"/>
        <v>0</v>
      </c>
      <c r="DM208" s="16">
        <f t="shared" si="191"/>
        <v>0</v>
      </c>
      <c r="DN208" s="16">
        <f t="shared" si="191"/>
        <v>0</v>
      </c>
      <c r="DO208" s="16">
        <f t="shared" si="191"/>
        <v>0</v>
      </c>
      <c r="DP208" s="16">
        <f t="shared" si="191"/>
        <v>0</v>
      </c>
    </row>
    <row r="209" spans="3:120" x14ac:dyDescent="0.25">
      <c r="C209" s="1"/>
      <c r="D209" s="1"/>
      <c r="E209" s="1"/>
      <c r="F209" s="1"/>
      <c r="G209" s="1"/>
      <c r="H209" s="1"/>
      <c r="I209" s="1"/>
      <c r="J209" s="93"/>
      <c r="O209" s="9">
        <f t="shared" si="150"/>
        <v>8</v>
      </c>
      <c r="P209" s="16">
        <f t="shared" si="182"/>
        <v>0</v>
      </c>
      <c r="Q209" s="16">
        <f t="shared" si="182"/>
        <v>0</v>
      </c>
      <c r="R209" s="16">
        <f t="shared" si="182"/>
        <v>0</v>
      </c>
      <c r="S209" s="16">
        <f t="shared" si="182"/>
        <v>0</v>
      </c>
      <c r="T209" s="16">
        <f t="shared" si="182"/>
        <v>0</v>
      </c>
      <c r="U209" s="16">
        <f t="shared" si="182"/>
        <v>0</v>
      </c>
      <c r="V209" s="16">
        <f t="shared" si="182"/>
        <v>0</v>
      </c>
      <c r="W209" s="16">
        <f t="shared" si="182"/>
        <v>0</v>
      </c>
      <c r="X209" s="16">
        <f t="shared" si="182"/>
        <v>0</v>
      </c>
      <c r="Y209" s="16">
        <f t="shared" si="182"/>
        <v>0</v>
      </c>
      <c r="Z209" s="16">
        <f t="shared" si="183"/>
        <v>0</v>
      </c>
      <c r="AA209" s="16">
        <f t="shared" si="183"/>
        <v>0</v>
      </c>
      <c r="AB209" s="16">
        <f t="shared" si="183"/>
        <v>0</v>
      </c>
      <c r="AC209" s="16">
        <f t="shared" si="183"/>
        <v>0</v>
      </c>
      <c r="AD209" s="16">
        <f t="shared" si="183"/>
        <v>0</v>
      </c>
      <c r="AE209" s="16">
        <f t="shared" si="183"/>
        <v>0</v>
      </c>
      <c r="AF209" s="16">
        <f t="shared" si="183"/>
        <v>0</v>
      </c>
      <c r="AG209" s="16">
        <f t="shared" si="183"/>
        <v>0</v>
      </c>
      <c r="AH209" s="16">
        <f t="shared" si="183"/>
        <v>0</v>
      </c>
      <c r="AI209" s="16">
        <f t="shared" si="183"/>
        <v>0</v>
      </c>
      <c r="AJ209" s="16">
        <f t="shared" si="184"/>
        <v>0</v>
      </c>
      <c r="AK209" s="16">
        <f t="shared" si="184"/>
        <v>0</v>
      </c>
      <c r="AL209" s="16">
        <f t="shared" si="184"/>
        <v>0</v>
      </c>
      <c r="AM209" s="16">
        <f t="shared" si="184"/>
        <v>0</v>
      </c>
      <c r="AN209" s="16">
        <f t="shared" si="184"/>
        <v>0</v>
      </c>
      <c r="AO209" s="16">
        <f t="shared" si="184"/>
        <v>0</v>
      </c>
      <c r="AP209" s="16">
        <f t="shared" si="184"/>
        <v>0</v>
      </c>
      <c r="AQ209" s="16">
        <f t="shared" si="184"/>
        <v>0</v>
      </c>
      <c r="AR209" s="16">
        <f t="shared" si="184"/>
        <v>0</v>
      </c>
      <c r="AS209" s="16">
        <f t="shared" si="184"/>
        <v>0</v>
      </c>
      <c r="AT209" s="16">
        <f t="shared" si="185"/>
        <v>0</v>
      </c>
      <c r="AU209" s="16">
        <f t="shared" si="185"/>
        <v>0</v>
      </c>
      <c r="AV209" s="16">
        <f t="shared" si="185"/>
        <v>0</v>
      </c>
      <c r="AW209" s="16">
        <f t="shared" si="185"/>
        <v>0</v>
      </c>
      <c r="AX209" s="16">
        <f t="shared" si="185"/>
        <v>0</v>
      </c>
      <c r="AY209" s="16">
        <f t="shared" si="185"/>
        <v>0</v>
      </c>
      <c r="AZ209" s="16">
        <f t="shared" si="185"/>
        <v>0</v>
      </c>
      <c r="BA209" s="16">
        <f t="shared" si="185"/>
        <v>0</v>
      </c>
      <c r="BB209" s="16">
        <f t="shared" si="185"/>
        <v>0</v>
      </c>
      <c r="BC209" s="16">
        <f t="shared" si="185"/>
        <v>0</v>
      </c>
      <c r="BD209" s="16">
        <f t="shared" si="186"/>
        <v>0</v>
      </c>
      <c r="BE209" s="16">
        <f t="shared" si="186"/>
        <v>-0.26562523935700999</v>
      </c>
      <c r="BF209" s="16">
        <f t="shared" si="186"/>
        <v>1.5236589426258855</v>
      </c>
      <c r="BG209" s="16">
        <f t="shared" si="186"/>
        <v>-0.25803370326887548</v>
      </c>
      <c r="BH209" s="16">
        <f t="shared" si="186"/>
        <v>0</v>
      </c>
      <c r="BI209" s="16">
        <f t="shared" si="186"/>
        <v>0</v>
      </c>
      <c r="BJ209" s="16">
        <f t="shared" si="186"/>
        <v>0</v>
      </c>
      <c r="BK209" s="16">
        <f t="shared" si="186"/>
        <v>0</v>
      </c>
      <c r="BL209" s="16">
        <f t="shared" si="186"/>
        <v>0</v>
      </c>
      <c r="BM209" s="16">
        <f t="shared" si="186"/>
        <v>0</v>
      </c>
      <c r="BN209" s="16">
        <f t="shared" si="186"/>
        <v>0</v>
      </c>
      <c r="BQ209" s="9">
        <f t="shared" si="151"/>
        <v>8</v>
      </c>
      <c r="BR209" s="16">
        <f t="shared" si="187"/>
        <v>0</v>
      </c>
      <c r="BS209" s="16">
        <f t="shared" si="187"/>
        <v>0</v>
      </c>
      <c r="BT209" s="16">
        <f t="shared" si="187"/>
        <v>0</v>
      </c>
      <c r="BU209" s="16">
        <f t="shared" si="187"/>
        <v>0</v>
      </c>
      <c r="BV209" s="16">
        <f t="shared" si="187"/>
        <v>0</v>
      </c>
      <c r="BW209" s="16">
        <f t="shared" si="187"/>
        <v>0</v>
      </c>
      <c r="BX209" s="16">
        <f t="shared" si="187"/>
        <v>0</v>
      </c>
      <c r="BY209" s="16">
        <f t="shared" si="187"/>
        <v>0</v>
      </c>
      <c r="BZ209" s="16">
        <f t="shared" si="187"/>
        <v>0</v>
      </c>
      <c r="CA209" s="16">
        <f t="shared" si="187"/>
        <v>0</v>
      </c>
      <c r="CB209" s="16">
        <f t="shared" si="188"/>
        <v>0</v>
      </c>
      <c r="CC209" s="16">
        <f t="shared" si="188"/>
        <v>0</v>
      </c>
      <c r="CD209" s="16">
        <f t="shared" si="188"/>
        <v>0</v>
      </c>
      <c r="CE209" s="16">
        <f t="shared" si="188"/>
        <v>0</v>
      </c>
      <c r="CF209" s="16">
        <f t="shared" si="188"/>
        <v>0</v>
      </c>
      <c r="CG209" s="16">
        <f t="shared" si="188"/>
        <v>0</v>
      </c>
      <c r="CH209" s="16">
        <f t="shared" si="188"/>
        <v>0</v>
      </c>
      <c r="CI209" s="16">
        <f t="shared" si="188"/>
        <v>0</v>
      </c>
      <c r="CJ209" s="16">
        <f t="shared" si="188"/>
        <v>0</v>
      </c>
      <c r="CK209" s="16">
        <f t="shared" si="188"/>
        <v>0</v>
      </c>
      <c r="CL209" s="16">
        <f t="shared" si="189"/>
        <v>0</v>
      </c>
      <c r="CM209" s="16">
        <f t="shared" si="189"/>
        <v>0</v>
      </c>
      <c r="CN209" s="16">
        <f t="shared" si="189"/>
        <v>0</v>
      </c>
      <c r="CO209" s="16">
        <f t="shared" si="189"/>
        <v>0</v>
      </c>
      <c r="CP209" s="16">
        <f t="shared" si="189"/>
        <v>0</v>
      </c>
      <c r="CQ209" s="16">
        <f t="shared" si="189"/>
        <v>0</v>
      </c>
      <c r="CR209" s="16">
        <f t="shared" si="189"/>
        <v>0</v>
      </c>
      <c r="CS209" s="16">
        <f t="shared" si="189"/>
        <v>0</v>
      </c>
      <c r="CT209" s="16">
        <f t="shared" si="189"/>
        <v>0</v>
      </c>
      <c r="CU209" s="16">
        <f t="shared" si="189"/>
        <v>0</v>
      </c>
      <c r="CV209" s="16">
        <f t="shared" si="190"/>
        <v>0</v>
      </c>
      <c r="CW209" s="16">
        <f t="shared" si="190"/>
        <v>0</v>
      </c>
      <c r="CX209" s="16">
        <f t="shared" si="190"/>
        <v>0</v>
      </c>
      <c r="CY209" s="16">
        <f t="shared" si="190"/>
        <v>0</v>
      </c>
      <c r="CZ209" s="16">
        <f t="shared" si="190"/>
        <v>0</v>
      </c>
      <c r="DA209" s="16">
        <f t="shared" si="190"/>
        <v>0</v>
      </c>
      <c r="DB209" s="16">
        <f t="shared" si="190"/>
        <v>0</v>
      </c>
      <c r="DC209" s="16">
        <f t="shared" si="190"/>
        <v>0</v>
      </c>
      <c r="DD209" s="16">
        <f t="shared" si="190"/>
        <v>0</v>
      </c>
      <c r="DE209" s="16">
        <f t="shared" si="190"/>
        <v>0</v>
      </c>
      <c r="DF209" s="16">
        <f t="shared" si="191"/>
        <v>0</v>
      </c>
      <c r="DG209" s="16">
        <f t="shared" si="191"/>
        <v>-0.48154082842126616</v>
      </c>
      <c r="DH209" s="16">
        <f t="shared" si="191"/>
        <v>1.9493192802486541</v>
      </c>
      <c r="DI209" s="16">
        <f t="shared" si="191"/>
        <v>-0.46777845182738781</v>
      </c>
      <c r="DJ209" s="16">
        <f t="shared" si="191"/>
        <v>0</v>
      </c>
      <c r="DK209" s="16">
        <f t="shared" si="191"/>
        <v>0</v>
      </c>
      <c r="DL209" s="16">
        <f t="shared" si="191"/>
        <v>0</v>
      </c>
      <c r="DM209" s="16">
        <f t="shared" si="191"/>
        <v>0</v>
      </c>
      <c r="DN209" s="16">
        <f t="shared" si="191"/>
        <v>0</v>
      </c>
      <c r="DO209" s="16">
        <f t="shared" si="191"/>
        <v>0</v>
      </c>
      <c r="DP209" s="16">
        <f t="shared" si="191"/>
        <v>0</v>
      </c>
    </row>
    <row r="210" spans="3:120" x14ac:dyDescent="0.25">
      <c r="C210" s="1"/>
      <c r="D210" s="1"/>
      <c r="E210" s="1"/>
      <c r="F210" s="1"/>
      <c r="G210" s="1"/>
      <c r="H210" s="1"/>
      <c r="I210" s="1"/>
      <c r="J210" s="93"/>
      <c r="O210" s="9">
        <f t="shared" si="150"/>
        <v>7</v>
      </c>
      <c r="P210" s="16">
        <f t="shared" si="182"/>
        <v>0</v>
      </c>
      <c r="Q210" s="16">
        <f t="shared" si="182"/>
        <v>0</v>
      </c>
      <c r="R210" s="16">
        <f t="shared" si="182"/>
        <v>0</v>
      </c>
      <c r="S210" s="16">
        <f t="shared" si="182"/>
        <v>0</v>
      </c>
      <c r="T210" s="16">
        <f t="shared" si="182"/>
        <v>0</v>
      </c>
      <c r="U210" s="16">
        <f t="shared" si="182"/>
        <v>0</v>
      </c>
      <c r="V210" s="16">
        <f t="shared" si="182"/>
        <v>0</v>
      </c>
      <c r="W210" s="16">
        <f t="shared" si="182"/>
        <v>0</v>
      </c>
      <c r="X210" s="16">
        <f t="shared" si="182"/>
        <v>0</v>
      </c>
      <c r="Y210" s="16">
        <f t="shared" si="182"/>
        <v>0</v>
      </c>
      <c r="Z210" s="16">
        <f t="shared" si="183"/>
        <v>0</v>
      </c>
      <c r="AA210" s="16">
        <f t="shared" si="183"/>
        <v>0</v>
      </c>
      <c r="AB210" s="16">
        <f t="shared" si="183"/>
        <v>0</v>
      </c>
      <c r="AC210" s="16">
        <f t="shared" si="183"/>
        <v>0</v>
      </c>
      <c r="AD210" s="16">
        <f t="shared" si="183"/>
        <v>0</v>
      </c>
      <c r="AE210" s="16">
        <f t="shared" si="183"/>
        <v>0</v>
      </c>
      <c r="AF210" s="16">
        <f t="shared" si="183"/>
        <v>0</v>
      </c>
      <c r="AG210" s="16">
        <f t="shared" si="183"/>
        <v>0</v>
      </c>
      <c r="AH210" s="16">
        <f t="shared" si="183"/>
        <v>0</v>
      </c>
      <c r="AI210" s="16">
        <f t="shared" si="183"/>
        <v>0</v>
      </c>
      <c r="AJ210" s="16">
        <f t="shared" si="184"/>
        <v>0</v>
      </c>
      <c r="AK210" s="16">
        <f t="shared" si="184"/>
        <v>0</v>
      </c>
      <c r="AL210" s="16">
        <f t="shared" si="184"/>
        <v>0</v>
      </c>
      <c r="AM210" s="16">
        <f t="shared" si="184"/>
        <v>0</v>
      </c>
      <c r="AN210" s="16">
        <f t="shared" si="184"/>
        <v>0</v>
      </c>
      <c r="AO210" s="16">
        <f t="shared" si="184"/>
        <v>0</v>
      </c>
      <c r="AP210" s="16">
        <f t="shared" si="184"/>
        <v>0</v>
      </c>
      <c r="AQ210" s="16">
        <f t="shared" si="184"/>
        <v>0</v>
      </c>
      <c r="AR210" s="16">
        <f t="shared" si="184"/>
        <v>0</v>
      </c>
      <c r="AS210" s="16">
        <f t="shared" si="184"/>
        <v>0</v>
      </c>
      <c r="AT210" s="16">
        <f t="shared" si="185"/>
        <v>0</v>
      </c>
      <c r="AU210" s="16">
        <f t="shared" si="185"/>
        <v>0</v>
      </c>
      <c r="AV210" s="16">
        <f t="shared" si="185"/>
        <v>0</v>
      </c>
      <c r="AW210" s="16">
        <f t="shared" si="185"/>
        <v>0</v>
      </c>
      <c r="AX210" s="16">
        <f t="shared" si="185"/>
        <v>0</v>
      </c>
      <c r="AY210" s="16">
        <f t="shared" si="185"/>
        <v>0</v>
      </c>
      <c r="AZ210" s="16">
        <f t="shared" si="185"/>
        <v>0</v>
      </c>
      <c r="BA210" s="16">
        <f t="shared" si="185"/>
        <v>0</v>
      </c>
      <c r="BB210" s="16">
        <f t="shared" si="185"/>
        <v>0</v>
      </c>
      <c r="BC210" s="16">
        <f t="shared" si="185"/>
        <v>0</v>
      </c>
      <c r="BD210" s="16">
        <f t="shared" si="186"/>
        <v>0</v>
      </c>
      <c r="BE210" s="16">
        <f t="shared" si="186"/>
        <v>0</v>
      </c>
      <c r="BF210" s="16">
        <f t="shared" si="186"/>
        <v>-0.26562523935700999</v>
      </c>
      <c r="BG210" s="16">
        <f t="shared" si="186"/>
        <v>1.5236589426258855</v>
      </c>
      <c r="BH210" s="16">
        <f t="shared" si="186"/>
        <v>-0.25803370326887548</v>
      </c>
      <c r="BI210" s="16">
        <f t="shared" si="186"/>
        <v>0</v>
      </c>
      <c r="BJ210" s="16">
        <f t="shared" si="186"/>
        <v>0</v>
      </c>
      <c r="BK210" s="16">
        <f t="shared" si="186"/>
        <v>0</v>
      </c>
      <c r="BL210" s="16">
        <f t="shared" si="186"/>
        <v>0</v>
      </c>
      <c r="BM210" s="16">
        <f t="shared" si="186"/>
        <v>0</v>
      </c>
      <c r="BN210" s="16">
        <f t="shared" si="186"/>
        <v>0</v>
      </c>
      <c r="BQ210" s="9">
        <f t="shared" si="151"/>
        <v>7</v>
      </c>
      <c r="BR210" s="16">
        <f t="shared" si="187"/>
        <v>0</v>
      </c>
      <c r="BS210" s="16">
        <f t="shared" si="187"/>
        <v>0</v>
      </c>
      <c r="BT210" s="16">
        <f t="shared" si="187"/>
        <v>0</v>
      </c>
      <c r="BU210" s="16">
        <f t="shared" si="187"/>
        <v>0</v>
      </c>
      <c r="BV210" s="16">
        <f t="shared" si="187"/>
        <v>0</v>
      </c>
      <c r="BW210" s="16">
        <f t="shared" si="187"/>
        <v>0</v>
      </c>
      <c r="BX210" s="16">
        <f t="shared" si="187"/>
        <v>0</v>
      </c>
      <c r="BY210" s="16">
        <f t="shared" si="187"/>
        <v>0</v>
      </c>
      <c r="BZ210" s="16">
        <f t="shared" si="187"/>
        <v>0</v>
      </c>
      <c r="CA210" s="16">
        <f t="shared" si="187"/>
        <v>0</v>
      </c>
      <c r="CB210" s="16">
        <f t="shared" si="188"/>
        <v>0</v>
      </c>
      <c r="CC210" s="16">
        <f t="shared" si="188"/>
        <v>0</v>
      </c>
      <c r="CD210" s="16">
        <f t="shared" si="188"/>
        <v>0</v>
      </c>
      <c r="CE210" s="16">
        <f t="shared" si="188"/>
        <v>0</v>
      </c>
      <c r="CF210" s="16">
        <f t="shared" si="188"/>
        <v>0</v>
      </c>
      <c r="CG210" s="16">
        <f t="shared" si="188"/>
        <v>0</v>
      </c>
      <c r="CH210" s="16">
        <f t="shared" si="188"/>
        <v>0</v>
      </c>
      <c r="CI210" s="16">
        <f t="shared" si="188"/>
        <v>0</v>
      </c>
      <c r="CJ210" s="16">
        <f t="shared" si="188"/>
        <v>0</v>
      </c>
      <c r="CK210" s="16">
        <f t="shared" si="188"/>
        <v>0</v>
      </c>
      <c r="CL210" s="16">
        <f t="shared" si="189"/>
        <v>0</v>
      </c>
      <c r="CM210" s="16">
        <f t="shared" si="189"/>
        <v>0</v>
      </c>
      <c r="CN210" s="16">
        <f t="shared" si="189"/>
        <v>0</v>
      </c>
      <c r="CO210" s="16">
        <f t="shared" si="189"/>
        <v>0</v>
      </c>
      <c r="CP210" s="16">
        <f t="shared" si="189"/>
        <v>0</v>
      </c>
      <c r="CQ210" s="16">
        <f t="shared" si="189"/>
        <v>0</v>
      </c>
      <c r="CR210" s="16">
        <f t="shared" si="189"/>
        <v>0</v>
      </c>
      <c r="CS210" s="16">
        <f t="shared" si="189"/>
        <v>0</v>
      </c>
      <c r="CT210" s="16">
        <f t="shared" si="189"/>
        <v>0</v>
      </c>
      <c r="CU210" s="16">
        <f t="shared" si="189"/>
        <v>0</v>
      </c>
      <c r="CV210" s="16">
        <f t="shared" si="190"/>
        <v>0</v>
      </c>
      <c r="CW210" s="16">
        <f t="shared" si="190"/>
        <v>0</v>
      </c>
      <c r="CX210" s="16">
        <f t="shared" si="190"/>
        <v>0</v>
      </c>
      <c r="CY210" s="16">
        <f t="shared" si="190"/>
        <v>0</v>
      </c>
      <c r="CZ210" s="16">
        <f t="shared" si="190"/>
        <v>0</v>
      </c>
      <c r="DA210" s="16">
        <f t="shared" si="190"/>
        <v>0</v>
      </c>
      <c r="DB210" s="16">
        <f t="shared" si="190"/>
        <v>0</v>
      </c>
      <c r="DC210" s="16">
        <f t="shared" si="190"/>
        <v>0</v>
      </c>
      <c r="DD210" s="16">
        <f t="shared" si="190"/>
        <v>0</v>
      </c>
      <c r="DE210" s="16">
        <f t="shared" si="190"/>
        <v>0</v>
      </c>
      <c r="DF210" s="16">
        <f t="shared" si="191"/>
        <v>0</v>
      </c>
      <c r="DG210" s="16">
        <f t="shared" si="191"/>
        <v>0</v>
      </c>
      <c r="DH210" s="16">
        <f t="shared" si="191"/>
        <v>-0.48154082842126616</v>
      </c>
      <c r="DI210" s="16">
        <f t="shared" si="191"/>
        <v>1.9493192802486541</v>
      </c>
      <c r="DJ210" s="16">
        <f t="shared" si="191"/>
        <v>-0.46777845182738781</v>
      </c>
      <c r="DK210" s="16">
        <f t="shared" si="191"/>
        <v>0</v>
      </c>
      <c r="DL210" s="16">
        <f t="shared" si="191"/>
        <v>0</v>
      </c>
      <c r="DM210" s="16">
        <f t="shared" si="191"/>
        <v>0</v>
      </c>
      <c r="DN210" s="16">
        <f t="shared" si="191"/>
        <v>0</v>
      </c>
      <c r="DO210" s="16">
        <f t="shared" si="191"/>
        <v>0</v>
      </c>
      <c r="DP210" s="16">
        <f t="shared" si="191"/>
        <v>0</v>
      </c>
    </row>
    <row r="211" spans="3:120" x14ac:dyDescent="0.25">
      <c r="C211" s="1"/>
      <c r="D211" s="1"/>
      <c r="E211" s="1"/>
      <c r="F211" s="1"/>
      <c r="G211" s="1"/>
      <c r="H211" s="1"/>
      <c r="I211" s="1"/>
      <c r="J211" s="93"/>
      <c r="O211" s="9">
        <f t="shared" si="150"/>
        <v>6</v>
      </c>
      <c r="P211" s="16">
        <f t="shared" si="182"/>
        <v>0</v>
      </c>
      <c r="Q211" s="16">
        <f t="shared" si="182"/>
        <v>0</v>
      </c>
      <c r="R211" s="16">
        <f t="shared" si="182"/>
        <v>0</v>
      </c>
      <c r="S211" s="16">
        <f t="shared" si="182"/>
        <v>0</v>
      </c>
      <c r="T211" s="16">
        <f t="shared" si="182"/>
        <v>0</v>
      </c>
      <c r="U211" s="16">
        <f t="shared" si="182"/>
        <v>0</v>
      </c>
      <c r="V211" s="16">
        <f t="shared" si="182"/>
        <v>0</v>
      </c>
      <c r="W211" s="16">
        <f t="shared" si="182"/>
        <v>0</v>
      </c>
      <c r="X211" s="16">
        <f t="shared" si="182"/>
        <v>0</v>
      </c>
      <c r="Y211" s="16">
        <f t="shared" si="182"/>
        <v>0</v>
      </c>
      <c r="Z211" s="16">
        <f t="shared" si="183"/>
        <v>0</v>
      </c>
      <c r="AA211" s="16">
        <f t="shared" si="183"/>
        <v>0</v>
      </c>
      <c r="AB211" s="16">
        <f t="shared" si="183"/>
        <v>0</v>
      </c>
      <c r="AC211" s="16">
        <f t="shared" si="183"/>
        <v>0</v>
      </c>
      <c r="AD211" s="16">
        <f t="shared" si="183"/>
        <v>0</v>
      </c>
      <c r="AE211" s="16">
        <f t="shared" si="183"/>
        <v>0</v>
      </c>
      <c r="AF211" s="16">
        <f t="shared" si="183"/>
        <v>0</v>
      </c>
      <c r="AG211" s="16">
        <f t="shared" si="183"/>
        <v>0</v>
      </c>
      <c r="AH211" s="16">
        <f t="shared" si="183"/>
        <v>0</v>
      </c>
      <c r="AI211" s="16">
        <f t="shared" si="183"/>
        <v>0</v>
      </c>
      <c r="AJ211" s="16">
        <f t="shared" si="184"/>
        <v>0</v>
      </c>
      <c r="AK211" s="16">
        <f t="shared" si="184"/>
        <v>0</v>
      </c>
      <c r="AL211" s="16">
        <f t="shared" si="184"/>
        <v>0</v>
      </c>
      <c r="AM211" s="16">
        <f t="shared" si="184"/>
        <v>0</v>
      </c>
      <c r="AN211" s="16">
        <f t="shared" si="184"/>
        <v>0</v>
      </c>
      <c r="AO211" s="16">
        <f t="shared" si="184"/>
        <v>0</v>
      </c>
      <c r="AP211" s="16">
        <f t="shared" si="184"/>
        <v>0</v>
      </c>
      <c r="AQ211" s="16">
        <f t="shared" si="184"/>
        <v>0</v>
      </c>
      <c r="AR211" s="16">
        <f t="shared" si="184"/>
        <v>0</v>
      </c>
      <c r="AS211" s="16">
        <f t="shared" si="184"/>
        <v>0</v>
      </c>
      <c r="AT211" s="16">
        <f t="shared" si="185"/>
        <v>0</v>
      </c>
      <c r="AU211" s="16">
        <f t="shared" si="185"/>
        <v>0</v>
      </c>
      <c r="AV211" s="16">
        <f t="shared" si="185"/>
        <v>0</v>
      </c>
      <c r="AW211" s="16">
        <f t="shared" si="185"/>
        <v>0</v>
      </c>
      <c r="AX211" s="16">
        <f t="shared" si="185"/>
        <v>0</v>
      </c>
      <c r="AY211" s="16">
        <f t="shared" si="185"/>
        <v>0</v>
      </c>
      <c r="AZ211" s="16">
        <f t="shared" si="185"/>
        <v>0</v>
      </c>
      <c r="BA211" s="16">
        <f t="shared" si="185"/>
        <v>0</v>
      </c>
      <c r="BB211" s="16">
        <f t="shared" si="185"/>
        <v>0</v>
      </c>
      <c r="BC211" s="16">
        <f t="shared" si="185"/>
        <v>0</v>
      </c>
      <c r="BD211" s="16">
        <f t="shared" si="186"/>
        <v>0</v>
      </c>
      <c r="BE211" s="16">
        <f t="shared" si="186"/>
        <v>0</v>
      </c>
      <c r="BF211" s="16">
        <f t="shared" si="186"/>
        <v>0</v>
      </c>
      <c r="BG211" s="16">
        <f t="shared" si="186"/>
        <v>-0.26562523935700999</v>
      </c>
      <c r="BH211" s="16">
        <f t="shared" si="186"/>
        <v>1.5236589426258855</v>
      </c>
      <c r="BI211" s="16">
        <f t="shared" si="186"/>
        <v>-0.25803370326887548</v>
      </c>
      <c r="BJ211" s="16">
        <f t="shared" si="186"/>
        <v>0</v>
      </c>
      <c r="BK211" s="16">
        <f t="shared" si="186"/>
        <v>0</v>
      </c>
      <c r="BL211" s="16">
        <f t="shared" si="186"/>
        <v>0</v>
      </c>
      <c r="BM211" s="16">
        <f t="shared" si="186"/>
        <v>0</v>
      </c>
      <c r="BN211" s="16">
        <f t="shared" si="186"/>
        <v>0</v>
      </c>
      <c r="BQ211" s="9">
        <f t="shared" si="151"/>
        <v>6</v>
      </c>
      <c r="BR211" s="16">
        <f t="shared" si="187"/>
        <v>0</v>
      </c>
      <c r="BS211" s="16">
        <f t="shared" si="187"/>
        <v>0</v>
      </c>
      <c r="BT211" s="16">
        <f t="shared" si="187"/>
        <v>0</v>
      </c>
      <c r="BU211" s="16">
        <f t="shared" si="187"/>
        <v>0</v>
      </c>
      <c r="BV211" s="16">
        <f t="shared" si="187"/>
        <v>0</v>
      </c>
      <c r="BW211" s="16">
        <f t="shared" si="187"/>
        <v>0</v>
      </c>
      <c r="BX211" s="16">
        <f t="shared" si="187"/>
        <v>0</v>
      </c>
      <c r="BY211" s="16">
        <f t="shared" si="187"/>
        <v>0</v>
      </c>
      <c r="BZ211" s="16">
        <f t="shared" si="187"/>
        <v>0</v>
      </c>
      <c r="CA211" s="16">
        <f t="shared" si="187"/>
        <v>0</v>
      </c>
      <c r="CB211" s="16">
        <f t="shared" si="188"/>
        <v>0</v>
      </c>
      <c r="CC211" s="16">
        <f t="shared" si="188"/>
        <v>0</v>
      </c>
      <c r="CD211" s="16">
        <f t="shared" si="188"/>
        <v>0</v>
      </c>
      <c r="CE211" s="16">
        <f t="shared" si="188"/>
        <v>0</v>
      </c>
      <c r="CF211" s="16">
        <f t="shared" si="188"/>
        <v>0</v>
      </c>
      <c r="CG211" s="16">
        <f t="shared" si="188"/>
        <v>0</v>
      </c>
      <c r="CH211" s="16">
        <f t="shared" si="188"/>
        <v>0</v>
      </c>
      <c r="CI211" s="16">
        <f t="shared" si="188"/>
        <v>0</v>
      </c>
      <c r="CJ211" s="16">
        <f t="shared" si="188"/>
        <v>0</v>
      </c>
      <c r="CK211" s="16">
        <f t="shared" si="188"/>
        <v>0</v>
      </c>
      <c r="CL211" s="16">
        <f t="shared" si="189"/>
        <v>0</v>
      </c>
      <c r="CM211" s="16">
        <f t="shared" si="189"/>
        <v>0</v>
      </c>
      <c r="CN211" s="16">
        <f t="shared" si="189"/>
        <v>0</v>
      </c>
      <c r="CO211" s="16">
        <f t="shared" si="189"/>
        <v>0</v>
      </c>
      <c r="CP211" s="16">
        <f t="shared" si="189"/>
        <v>0</v>
      </c>
      <c r="CQ211" s="16">
        <f t="shared" si="189"/>
        <v>0</v>
      </c>
      <c r="CR211" s="16">
        <f t="shared" si="189"/>
        <v>0</v>
      </c>
      <c r="CS211" s="16">
        <f t="shared" si="189"/>
        <v>0</v>
      </c>
      <c r="CT211" s="16">
        <f t="shared" si="189"/>
        <v>0</v>
      </c>
      <c r="CU211" s="16">
        <f t="shared" si="189"/>
        <v>0</v>
      </c>
      <c r="CV211" s="16">
        <f t="shared" si="190"/>
        <v>0</v>
      </c>
      <c r="CW211" s="16">
        <f t="shared" si="190"/>
        <v>0</v>
      </c>
      <c r="CX211" s="16">
        <f t="shared" si="190"/>
        <v>0</v>
      </c>
      <c r="CY211" s="16">
        <f t="shared" si="190"/>
        <v>0</v>
      </c>
      <c r="CZ211" s="16">
        <f t="shared" si="190"/>
        <v>0</v>
      </c>
      <c r="DA211" s="16">
        <f t="shared" si="190"/>
        <v>0</v>
      </c>
      <c r="DB211" s="16">
        <f t="shared" si="190"/>
        <v>0</v>
      </c>
      <c r="DC211" s="16">
        <f t="shared" si="190"/>
        <v>0</v>
      </c>
      <c r="DD211" s="16">
        <f t="shared" si="190"/>
        <v>0</v>
      </c>
      <c r="DE211" s="16">
        <f t="shared" si="190"/>
        <v>0</v>
      </c>
      <c r="DF211" s="16">
        <f t="shared" si="191"/>
        <v>0</v>
      </c>
      <c r="DG211" s="16">
        <f t="shared" si="191"/>
        <v>0</v>
      </c>
      <c r="DH211" s="16">
        <f t="shared" si="191"/>
        <v>0</v>
      </c>
      <c r="DI211" s="16">
        <f t="shared" si="191"/>
        <v>-0.48154082842126616</v>
      </c>
      <c r="DJ211" s="16">
        <f t="shared" si="191"/>
        <v>1.9493192802486541</v>
      </c>
      <c r="DK211" s="16">
        <f t="shared" si="191"/>
        <v>-0.46777845182738781</v>
      </c>
      <c r="DL211" s="16">
        <f t="shared" si="191"/>
        <v>0</v>
      </c>
      <c r="DM211" s="16">
        <f t="shared" si="191"/>
        <v>0</v>
      </c>
      <c r="DN211" s="16">
        <f t="shared" si="191"/>
        <v>0</v>
      </c>
      <c r="DO211" s="16">
        <f t="shared" si="191"/>
        <v>0</v>
      </c>
      <c r="DP211" s="16">
        <f t="shared" si="191"/>
        <v>0</v>
      </c>
    </row>
    <row r="212" spans="3:120" x14ac:dyDescent="0.25">
      <c r="C212" s="1"/>
      <c r="D212" s="1"/>
      <c r="E212" s="1"/>
      <c r="F212" s="1"/>
      <c r="G212" s="1"/>
      <c r="H212" s="1"/>
      <c r="I212" s="1"/>
      <c r="J212" s="93"/>
      <c r="O212" s="9">
        <f t="shared" si="150"/>
        <v>5</v>
      </c>
      <c r="P212" s="16">
        <f t="shared" si="182"/>
        <v>0</v>
      </c>
      <c r="Q212" s="16">
        <f t="shared" si="182"/>
        <v>0</v>
      </c>
      <c r="R212" s="16">
        <f t="shared" si="182"/>
        <v>0</v>
      </c>
      <c r="S212" s="16">
        <f t="shared" si="182"/>
        <v>0</v>
      </c>
      <c r="T212" s="16">
        <f t="shared" si="182"/>
        <v>0</v>
      </c>
      <c r="U212" s="16">
        <f t="shared" si="182"/>
        <v>0</v>
      </c>
      <c r="V212" s="16">
        <f t="shared" si="182"/>
        <v>0</v>
      </c>
      <c r="W212" s="16">
        <f t="shared" si="182"/>
        <v>0</v>
      </c>
      <c r="X212" s="16">
        <f t="shared" si="182"/>
        <v>0</v>
      </c>
      <c r="Y212" s="16">
        <f t="shared" si="182"/>
        <v>0</v>
      </c>
      <c r="Z212" s="16">
        <f t="shared" si="183"/>
        <v>0</v>
      </c>
      <c r="AA212" s="16">
        <f t="shared" si="183"/>
        <v>0</v>
      </c>
      <c r="AB212" s="16">
        <f t="shared" si="183"/>
        <v>0</v>
      </c>
      <c r="AC212" s="16">
        <f t="shared" si="183"/>
        <v>0</v>
      </c>
      <c r="AD212" s="16">
        <f t="shared" si="183"/>
        <v>0</v>
      </c>
      <c r="AE212" s="16">
        <f t="shared" si="183"/>
        <v>0</v>
      </c>
      <c r="AF212" s="16">
        <f t="shared" si="183"/>
        <v>0</v>
      </c>
      <c r="AG212" s="16">
        <f t="shared" si="183"/>
        <v>0</v>
      </c>
      <c r="AH212" s="16">
        <f t="shared" si="183"/>
        <v>0</v>
      </c>
      <c r="AI212" s="16">
        <f t="shared" si="183"/>
        <v>0</v>
      </c>
      <c r="AJ212" s="16">
        <f t="shared" si="184"/>
        <v>0</v>
      </c>
      <c r="AK212" s="16">
        <f t="shared" si="184"/>
        <v>0</v>
      </c>
      <c r="AL212" s="16">
        <f t="shared" si="184"/>
        <v>0</v>
      </c>
      <c r="AM212" s="16">
        <f t="shared" si="184"/>
        <v>0</v>
      </c>
      <c r="AN212" s="16">
        <f t="shared" si="184"/>
        <v>0</v>
      </c>
      <c r="AO212" s="16">
        <f t="shared" si="184"/>
        <v>0</v>
      </c>
      <c r="AP212" s="16">
        <f t="shared" si="184"/>
        <v>0</v>
      </c>
      <c r="AQ212" s="16">
        <f t="shared" si="184"/>
        <v>0</v>
      </c>
      <c r="AR212" s="16">
        <f t="shared" si="184"/>
        <v>0</v>
      </c>
      <c r="AS212" s="16">
        <f t="shared" si="184"/>
        <v>0</v>
      </c>
      <c r="AT212" s="16">
        <f t="shared" si="185"/>
        <v>0</v>
      </c>
      <c r="AU212" s="16">
        <f t="shared" si="185"/>
        <v>0</v>
      </c>
      <c r="AV212" s="16">
        <f t="shared" si="185"/>
        <v>0</v>
      </c>
      <c r="AW212" s="16">
        <f t="shared" si="185"/>
        <v>0</v>
      </c>
      <c r="AX212" s="16">
        <f t="shared" si="185"/>
        <v>0</v>
      </c>
      <c r="AY212" s="16">
        <f t="shared" si="185"/>
        <v>0</v>
      </c>
      <c r="AZ212" s="16">
        <f t="shared" si="185"/>
        <v>0</v>
      </c>
      <c r="BA212" s="16">
        <f t="shared" si="185"/>
        <v>0</v>
      </c>
      <c r="BB212" s="16">
        <f t="shared" si="185"/>
        <v>0</v>
      </c>
      <c r="BC212" s="16">
        <f t="shared" si="185"/>
        <v>0</v>
      </c>
      <c r="BD212" s="16">
        <f t="shared" si="186"/>
        <v>0</v>
      </c>
      <c r="BE212" s="16">
        <f t="shared" si="186"/>
        <v>0</v>
      </c>
      <c r="BF212" s="16">
        <f t="shared" si="186"/>
        <v>0</v>
      </c>
      <c r="BG212" s="16">
        <f t="shared" si="186"/>
        <v>0</v>
      </c>
      <c r="BH212" s="16">
        <f t="shared" si="186"/>
        <v>-0.26562523935700999</v>
      </c>
      <c r="BI212" s="16">
        <f t="shared" si="186"/>
        <v>1.5236589426258855</v>
      </c>
      <c r="BJ212" s="16">
        <f t="shared" si="186"/>
        <v>-0.25803370326887548</v>
      </c>
      <c r="BK212" s="16">
        <f t="shared" si="186"/>
        <v>0</v>
      </c>
      <c r="BL212" s="16">
        <f t="shared" si="186"/>
        <v>0</v>
      </c>
      <c r="BM212" s="16">
        <f t="shared" si="186"/>
        <v>0</v>
      </c>
      <c r="BN212" s="16">
        <f t="shared" si="186"/>
        <v>0</v>
      </c>
      <c r="BQ212" s="9">
        <f t="shared" si="151"/>
        <v>5</v>
      </c>
      <c r="BR212" s="16">
        <f t="shared" si="187"/>
        <v>0</v>
      </c>
      <c r="BS212" s="16">
        <f t="shared" si="187"/>
        <v>0</v>
      </c>
      <c r="BT212" s="16">
        <f t="shared" si="187"/>
        <v>0</v>
      </c>
      <c r="BU212" s="16">
        <f t="shared" si="187"/>
        <v>0</v>
      </c>
      <c r="BV212" s="16">
        <f t="shared" si="187"/>
        <v>0</v>
      </c>
      <c r="BW212" s="16">
        <f t="shared" si="187"/>
        <v>0</v>
      </c>
      <c r="BX212" s="16">
        <f t="shared" si="187"/>
        <v>0</v>
      </c>
      <c r="BY212" s="16">
        <f t="shared" si="187"/>
        <v>0</v>
      </c>
      <c r="BZ212" s="16">
        <f t="shared" si="187"/>
        <v>0</v>
      </c>
      <c r="CA212" s="16">
        <f t="shared" si="187"/>
        <v>0</v>
      </c>
      <c r="CB212" s="16">
        <f t="shared" si="188"/>
        <v>0</v>
      </c>
      <c r="CC212" s="16">
        <f t="shared" si="188"/>
        <v>0</v>
      </c>
      <c r="CD212" s="16">
        <f t="shared" si="188"/>
        <v>0</v>
      </c>
      <c r="CE212" s="16">
        <f t="shared" si="188"/>
        <v>0</v>
      </c>
      <c r="CF212" s="16">
        <f t="shared" si="188"/>
        <v>0</v>
      </c>
      <c r="CG212" s="16">
        <f t="shared" si="188"/>
        <v>0</v>
      </c>
      <c r="CH212" s="16">
        <f t="shared" si="188"/>
        <v>0</v>
      </c>
      <c r="CI212" s="16">
        <f t="shared" si="188"/>
        <v>0</v>
      </c>
      <c r="CJ212" s="16">
        <f t="shared" si="188"/>
        <v>0</v>
      </c>
      <c r="CK212" s="16">
        <f t="shared" si="188"/>
        <v>0</v>
      </c>
      <c r="CL212" s="16">
        <f t="shared" si="189"/>
        <v>0</v>
      </c>
      <c r="CM212" s="16">
        <f t="shared" si="189"/>
        <v>0</v>
      </c>
      <c r="CN212" s="16">
        <f t="shared" si="189"/>
        <v>0</v>
      </c>
      <c r="CO212" s="16">
        <f t="shared" si="189"/>
        <v>0</v>
      </c>
      <c r="CP212" s="16">
        <f t="shared" si="189"/>
        <v>0</v>
      </c>
      <c r="CQ212" s="16">
        <f t="shared" si="189"/>
        <v>0</v>
      </c>
      <c r="CR212" s="16">
        <f t="shared" si="189"/>
        <v>0</v>
      </c>
      <c r="CS212" s="16">
        <f t="shared" si="189"/>
        <v>0</v>
      </c>
      <c r="CT212" s="16">
        <f t="shared" si="189"/>
        <v>0</v>
      </c>
      <c r="CU212" s="16">
        <f t="shared" si="189"/>
        <v>0</v>
      </c>
      <c r="CV212" s="16">
        <f t="shared" si="190"/>
        <v>0</v>
      </c>
      <c r="CW212" s="16">
        <f t="shared" si="190"/>
        <v>0</v>
      </c>
      <c r="CX212" s="16">
        <f t="shared" si="190"/>
        <v>0</v>
      </c>
      <c r="CY212" s="16">
        <f t="shared" si="190"/>
        <v>0</v>
      </c>
      <c r="CZ212" s="16">
        <f t="shared" si="190"/>
        <v>0</v>
      </c>
      <c r="DA212" s="16">
        <f t="shared" si="190"/>
        <v>0</v>
      </c>
      <c r="DB212" s="16">
        <f t="shared" si="190"/>
        <v>0</v>
      </c>
      <c r="DC212" s="16">
        <f t="shared" si="190"/>
        <v>0</v>
      </c>
      <c r="DD212" s="16">
        <f t="shared" si="190"/>
        <v>0</v>
      </c>
      <c r="DE212" s="16">
        <f t="shared" si="190"/>
        <v>0</v>
      </c>
      <c r="DF212" s="16">
        <f t="shared" si="191"/>
        <v>0</v>
      </c>
      <c r="DG212" s="16">
        <f t="shared" si="191"/>
        <v>0</v>
      </c>
      <c r="DH212" s="16">
        <f t="shared" si="191"/>
        <v>0</v>
      </c>
      <c r="DI212" s="16">
        <f t="shared" si="191"/>
        <v>0</v>
      </c>
      <c r="DJ212" s="16">
        <f t="shared" si="191"/>
        <v>-0.48154082842126616</v>
      </c>
      <c r="DK212" s="16">
        <f t="shared" si="191"/>
        <v>1.9493192802486541</v>
      </c>
      <c r="DL212" s="16">
        <f t="shared" si="191"/>
        <v>-0.46777845182738781</v>
      </c>
      <c r="DM212" s="16">
        <f t="shared" si="191"/>
        <v>0</v>
      </c>
      <c r="DN212" s="16">
        <f t="shared" si="191"/>
        <v>0</v>
      </c>
      <c r="DO212" s="16">
        <f t="shared" si="191"/>
        <v>0</v>
      </c>
      <c r="DP212" s="16">
        <f t="shared" si="191"/>
        <v>0</v>
      </c>
    </row>
    <row r="213" spans="3:120" x14ac:dyDescent="0.25">
      <c r="C213" s="1"/>
      <c r="D213" s="1"/>
      <c r="E213" s="1"/>
      <c r="F213" s="1"/>
      <c r="G213" s="1"/>
      <c r="H213" s="1"/>
      <c r="I213" s="1"/>
      <c r="J213" s="93"/>
      <c r="O213" s="9">
        <f t="shared" si="150"/>
        <v>4</v>
      </c>
      <c r="P213" s="16">
        <f t="shared" si="182"/>
        <v>0</v>
      </c>
      <c r="Q213" s="16">
        <f t="shared" si="182"/>
        <v>0</v>
      </c>
      <c r="R213" s="16">
        <f t="shared" si="182"/>
        <v>0</v>
      </c>
      <c r="S213" s="16">
        <f t="shared" si="182"/>
        <v>0</v>
      </c>
      <c r="T213" s="16">
        <f t="shared" si="182"/>
        <v>0</v>
      </c>
      <c r="U213" s="16">
        <f t="shared" si="182"/>
        <v>0</v>
      </c>
      <c r="V213" s="16">
        <f t="shared" si="182"/>
        <v>0</v>
      </c>
      <c r="W213" s="16">
        <f t="shared" si="182"/>
        <v>0</v>
      </c>
      <c r="X213" s="16">
        <f t="shared" si="182"/>
        <v>0</v>
      </c>
      <c r="Y213" s="16">
        <f t="shared" si="182"/>
        <v>0</v>
      </c>
      <c r="Z213" s="16">
        <f t="shared" si="183"/>
        <v>0</v>
      </c>
      <c r="AA213" s="16">
        <f t="shared" si="183"/>
        <v>0</v>
      </c>
      <c r="AB213" s="16">
        <f t="shared" si="183"/>
        <v>0</v>
      </c>
      <c r="AC213" s="16">
        <f t="shared" si="183"/>
        <v>0</v>
      </c>
      <c r="AD213" s="16">
        <f t="shared" si="183"/>
        <v>0</v>
      </c>
      <c r="AE213" s="16">
        <f t="shared" si="183"/>
        <v>0</v>
      </c>
      <c r="AF213" s="16">
        <f t="shared" si="183"/>
        <v>0</v>
      </c>
      <c r="AG213" s="16">
        <f t="shared" si="183"/>
        <v>0</v>
      </c>
      <c r="AH213" s="16">
        <f t="shared" si="183"/>
        <v>0</v>
      </c>
      <c r="AI213" s="16">
        <f t="shared" si="183"/>
        <v>0</v>
      </c>
      <c r="AJ213" s="16">
        <f t="shared" si="184"/>
        <v>0</v>
      </c>
      <c r="AK213" s="16">
        <f t="shared" si="184"/>
        <v>0</v>
      </c>
      <c r="AL213" s="16">
        <f t="shared" si="184"/>
        <v>0</v>
      </c>
      <c r="AM213" s="16">
        <f t="shared" si="184"/>
        <v>0</v>
      </c>
      <c r="AN213" s="16">
        <f t="shared" si="184"/>
        <v>0</v>
      </c>
      <c r="AO213" s="16">
        <f t="shared" si="184"/>
        <v>0</v>
      </c>
      <c r="AP213" s="16">
        <f t="shared" si="184"/>
        <v>0</v>
      </c>
      <c r="AQ213" s="16">
        <f t="shared" si="184"/>
        <v>0</v>
      </c>
      <c r="AR213" s="16">
        <f t="shared" si="184"/>
        <v>0</v>
      </c>
      <c r="AS213" s="16">
        <f t="shared" si="184"/>
        <v>0</v>
      </c>
      <c r="AT213" s="16">
        <f t="shared" si="185"/>
        <v>0</v>
      </c>
      <c r="AU213" s="16">
        <f t="shared" si="185"/>
        <v>0</v>
      </c>
      <c r="AV213" s="16">
        <f t="shared" si="185"/>
        <v>0</v>
      </c>
      <c r="AW213" s="16">
        <f t="shared" si="185"/>
        <v>0</v>
      </c>
      <c r="AX213" s="16">
        <f t="shared" si="185"/>
        <v>0</v>
      </c>
      <c r="AY213" s="16">
        <f t="shared" si="185"/>
        <v>0</v>
      </c>
      <c r="AZ213" s="16">
        <f t="shared" si="185"/>
        <v>0</v>
      </c>
      <c r="BA213" s="16">
        <f t="shared" si="185"/>
        <v>0</v>
      </c>
      <c r="BB213" s="16">
        <f t="shared" si="185"/>
        <v>0</v>
      </c>
      <c r="BC213" s="16">
        <f t="shared" si="185"/>
        <v>0</v>
      </c>
      <c r="BD213" s="16">
        <f t="shared" si="186"/>
        <v>0</v>
      </c>
      <c r="BE213" s="16">
        <f t="shared" si="186"/>
        <v>0</v>
      </c>
      <c r="BF213" s="16">
        <f t="shared" si="186"/>
        <v>0</v>
      </c>
      <c r="BG213" s="16">
        <f t="shared" si="186"/>
        <v>0</v>
      </c>
      <c r="BH213" s="16">
        <f t="shared" si="186"/>
        <v>0</v>
      </c>
      <c r="BI213" s="16">
        <f t="shared" si="186"/>
        <v>-0.26562523935700999</v>
      </c>
      <c r="BJ213" s="16">
        <f t="shared" si="186"/>
        <v>1.5236589426258855</v>
      </c>
      <c r="BK213" s="16">
        <f t="shared" si="186"/>
        <v>-0.25803370326887548</v>
      </c>
      <c r="BL213" s="16">
        <f t="shared" si="186"/>
        <v>0</v>
      </c>
      <c r="BM213" s="16">
        <f t="shared" si="186"/>
        <v>0</v>
      </c>
      <c r="BN213" s="16">
        <f t="shared" si="186"/>
        <v>0</v>
      </c>
      <c r="BQ213" s="9">
        <f t="shared" si="151"/>
        <v>4</v>
      </c>
      <c r="BR213" s="16">
        <f t="shared" si="187"/>
        <v>0</v>
      </c>
      <c r="BS213" s="16">
        <f t="shared" si="187"/>
        <v>0</v>
      </c>
      <c r="BT213" s="16">
        <f t="shared" si="187"/>
        <v>0</v>
      </c>
      <c r="BU213" s="16">
        <f t="shared" si="187"/>
        <v>0</v>
      </c>
      <c r="BV213" s="16">
        <f t="shared" si="187"/>
        <v>0</v>
      </c>
      <c r="BW213" s="16">
        <f t="shared" si="187"/>
        <v>0</v>
      </c>
      <c r="BX213" s="16">
        <f t="shared" si="187"/>
        <v>0</v>
      </c>
      <c r="BY213" s="16">
        <f t="shared" si="187"/>
        <v>0</v>
      </c>
      <c r="BZ213" s="16">
        <f t="shared" si="187"/>
        <v>0</v>
      </c>
      <c r="CA213" s="16">
        <f t="shared" si="187"/>
        <v>0</v>
      </c>
      <c r="CB213" s="16">
        <f t="shared" si="188"/>
        <v>0</v>
      </c>
      <c r="CC213" s="16">
        <f t="shared" si="188"/>
        <v>0</v>
      </c>
      <c r="CD213" s="16">
        <f t="shared" si="188"/>
        <v>0</v>
      </c>
      <c r="CE213" s="16">
        <f t="shared" si="188"/>
        <v>0</v>
      </c>
      <c r="CF213" s="16">
        <f t="shared" si="188"/>
        <v>0</v>
      </c>
      <c r="CG213" s="16">
        <f t="shared" si="188"/>
        <v>0</v>
      </c>
      <c r="CH213" s="16">
        <f t="shared" si="188"/>
        <v>0</v>
      </c>
      <c r="CI213" s="16">
        <f t="shared" si="188"/>
        <v>0</v>
      </c>
      <c r="CJ213" s="16">
        <f t="shared" si="188"/>
        <v>0</v>
      </c>
      <c r="CK213" s="16">
        <f t="shared" si="188"/>
        <v>0</v>
      </c>
      <c r="CL213" s="16">
        <f t="shared" si="189"/>
        <v>0</v>
      </c>
      <c r="CM213" s="16">
        <f t="shared" si="189"/>
        <v>0</v>
      </c>
      <c r="CN213" s="16">
        <f t="shared" si="189"/>
        <v>0</v>
      </c>
      <c r="CO213" s="16">
        <f t="shared" si="189"/>
        <v>0</v>
      </c>
      <c r="CP213" s="16">
        <f t="shared" si="189"/>
        <v>0</v>
      </c>
      <c r="CQ213" s="16">
        <f t="shared" si="189"/>
        <v>0</v>
      </c>
      <c r="CR213" s="16">
        <f t="shared" si="189"/>
        <v>0</v>
      </c>
      <c r="CS213" s="16">
        <f t="shared" si="189"/>
        <v>0</v>
      </c>
      <c r="CT213" s="16">
        <f t="shared" si="189"/>
        <v>0</v>
      </c>
      <c r="CU213" s="16">
        <f t="shared" si="189"/>
        <v>0</v>
      </c>
      <c r="CV213" s="16">
        <f t="shared" si="190"/>
        <v>0</v>
      </c>
      <c r="CW213" s="16">
        <f t="shared" si="190"/>
        <v>0</v>
      </c>
      <c r="CX213" s="16">
        <f t="shared" si="190"/>
        <v>0</v>
      </c>
      <c r="CY213" s="16">
        <f t="shared" si="190"/>
        <v>0</v>
      </c>
      <c r="CZ213" s="16">
        <f t="shared" si="190"/>
        <v>0</v>
      </c>
      <c r="DA213" s="16">
        <f t="shared" si="190"/>
        <v>0</v>
      </c>
      <c r="DB213" s="16">
        <f t="shared" si="190"/>
        <v>0</v>
      </c>
      <c r="DC213" s="16">
        <f t="shared" si="190"/>
        <v>0</v>
      </c>
      <c r="DD213" s="16">
        <f t="shared" si="190"/>
        <v>0</v>
      </c>
      <c r="DE213" s="16">
        <f t="shared" si="190"/>
        <v>0</v>
      </c>
      <c r="DF213" s="16">
        <f t="shared" si="191"/>
        <v>0</v>
      </c>
      <c r="DG213" s="16">
        <f t="shared" si="191"/>
        <v>0</v>
      </c>
      <c r="DH213" s="16">
        <f t="shared" si="191"/>
        <v>0</v>
      </c>
      <c r="DI213" s="16">
        <f t="shared" si="191"/>
        <v>0</v>
      </c>
      <c r="DJ213" s="16">
        <f t="shared" si="191"/>
        <v>0</v>
      </c>
      <c r="DK213" s="16">
        <f t="shared" si="191"/>
        <v>-0.48154082842126616</v>
      </c>
      <c r="DL213" s="16">
        <f t="shared" si="191"/>
        <v>1.9493192802486541</v>
      </c>
      <c r="DM213" s="16">
        <f t="shared" si="191"/>
        <v>-0.46777845182738781</v>
      </c>
      <c r="DN213" s="16">
        <f t="shared" si="191"/>
        <v>0</v>
      </c>
      <c r="DO213" s="16">
        <f t="shared" si="191"/>
        <v>0</v>
      </c>
      <c r="DP213" s="16">
        <f t="shared" si="191"/>
        <v>0</v>
      </c>
    </row>
    <row r="214" spans="3:120" x14ac:dyDescent="0.25">
      <c r="C214" s="1"/>
      <c r="D214" s="1"/>
      <c r="E214" s="1"/>
      <c r="F214" s="1"/>
      <c r="G214" s="1"/>
      <c r="H214" s="1"/>
      <c r="I214" s="1"/>
      <c r="J214" s="93"/>
      <c r="O214" s="9">
        <f t="shared" si="150"/>
        <v>3</v>
      </c>
      <c r="P214" s="16">
        <f t="shared" si="182"/>
        <v>0</v>
      </c>
      <c r="Q214" s="16">
        <f t="shared" si="182"/>
        <v>0</v>
      </c>
      <c r="R214" s="16">
        <f t="shared" si="182"/>
        <v>0</v>
      </c>
      <c r="S214" s="16">
        <f t="shared" si="182"/>
        <v>0</v>
      </c>
      <c r="T214" s="16">
        <f t="shared" si="182"/>
        <v>0</v>
      </c>
      <c r="U214" s="16">
        <f t="shared" si="182"/>
        <v>0</v>
      </c>
      <c r="V214" s="16">
        <f t="shared" si="182"/>
        <v>0</v>
      </c>
      <c r="W214" s="16">
        <f t="shared" si="182"/>
        <v>0</v>
      </c>
      <c r="X214" s="16">
        <f t="shared" si="182"/>
        <v>0</v>
      </c>
      <c r="Y214" s="16">
        <f t="shared" si="182"/>
        <v>0</v>
      </c>
      <c r="Z214" s="16">
        <f t="shared" si="183"/>
        <v>0</v>
      </c>
      <c r="AA214" s="16">
        <f t="shared" si="183"/>
        <v>0</v>
      </c>
      <c r="AB214" s="16">
        <f t="shared" si="183"/>
        <v>0</v>
      </c>
      <c r="AC214" s="16">
        <f t="shared" si="183"/>
        <v>0</v>
      </c>
      <c r="AD214" s="16">
        <f t="shared" si="183"/>
        <v>0</v>
      </c>
      <c r="AE214" s="16">
        <f t="shared" si="183"/>
        <v>0</v>
      </c>
      <c r="AF214" s="16">
        <f t="shared" si="183"/>
        <v>0</v>
      </c>
      <c r="AG214" s="16">
        <f t="shared" si="183"/>
        <v>0</v>
      </c>
      <c r="AH214" s="16">
        <f t="shared" si="183"/>
        <v>0</v>
      </c>
      <c r="AI214" s="16">
        <f t="shared" si="183"/>
        <v>0</v>
      </c>
      <c r="AJ214" s="16">
        <f t="shared" si="184"/>
        <v>0</v>
      </c>
      <c r="AK214" s="16">
        <f t="shared" si="184"/>
        <v>0</v>
      </c>
      <c r="AL214" s="16">
        <f t="shared" si="184"/>
        <v>0</v>
      </c>
      <c r="AM214" s="16">
        <f t="shared" si="184"/>
        <v>0</v>
      </c>
      <c r="AN214" s="16">
        <f t="shared" si="184"/>
        <v>0</v>
      </c>
      <c r="AO214" s="16">
        <f t="shared" si="184"/>
        <v>0</v>
      </c>
      <c r="AP214" s="16">
        <f t="shared" si="184"/>
        <v>0</v>
      </c>
      <c r="AQ214" s="16">
        <f t="shared" si="184"/>
        <v>0</v>
      </c>
      <c r="AR214" s="16">
        <f t="shared" si="184"/>
        <v>0</v>
      </c>
      <c r="AS214" s="16">
        <f t="shared" si="184"/>
        <v>0</v>
      </c>
      <c r="AT214" s="16">
        <f t="shared" si="185"/>
        <v>0</v>
      </c>
      <c r="AU214" s="16">
        <f t="shared" si="185"/>
        <v>0</v>
      </c>
      <c r="AV214" s="16">
        <f t="shared" si="185"/>
        <v>0</v>
      </c>
      <c r="AW214" s="16">
        <f t="shared" si="185"/>
        <v>0</v>
      </c>
      <c r="AX214" s="16">
        <f t="shared" si="185"/>
        <v>0</v>
      </c>
      <c r="AY214" s="16">
        <f t="shared" si="185"/>
        <v>0</v>
      </c>
      <c r="AZ214" s="16">
        <f t="shared" si="185"/>
        <v>0</v>
      </c>
      <c r="BA214" s="16">
        <f t="shared" si="185"/>
        <v>0</v>
      </c>
      <c r="BB214" s="16">
        <f t="shared" si="185"/>
        <v>0</v>
      </c>
      <c r="BC214" s="16">
        <f t="shared" si="185"/>
        <v>0</v>
      </c>
      <c r="BD214" s="16">
        <f t="shared" si="186"/>
        <v>0</v>
      </c>
      <c r="BE214" s="16">
        <f t="shared" si="186"/>
        <v>0</v>
      </c>
      <c r="BF214" s="16">
        <f t="shared" si="186"/>
        <v>0</v>
      </c>
      <c r="BG214" s="16">
        <f t="shared" si="186"/>
        <v>0</v>
      </c>
      <c r="BH214" s="16">
        <f t="shared" si="186"/>
        <v>0</v>
      </c>
      <c r="BI214" s="16">
        <f t="shared" si="186"/>
        <v>0</v>
      </c>
      <c r="BJ214" s="16">
        <f t="shared" si="186"/>
        <v>-0.26562523935700999</v>
      </c>
      <c r="BK214" s="16">
        <f t="shared" si="186"/>
        <v>1.5236589426258855</v>
      </c>
      <c r="BL214" s="16">
        <f t="shared" si="186"/>
        <v>-0.25803370326887548</v>
      </c>
      <c r="BM214" s="16">
        <f t="shared" si="186"/>
        <v>0</v>
      </c>
      <c r="BN214" s="16">
        <f t="shared" si="186"/>
        <v>0</v>
      </c>
      <c r="BQ214" s="9">
        <f t="shared" si="151"/>
        <v>3</v>
      </c>
      <c r="BR214" s="16">
        <f t="shared" si="187"/>
        <v>0</v>
      </c>
      <c r="BS214" s="16">
        <f t="shared" si="187"/>
        <v>0</v>
      </c>
      <c r="BT214" s="16">
        <f t="shared" si="187"/>
        <v>0</v>
      </c>
      <c r="BU214" s="16">
        <f t="shared" si="187"/>
        <v>0</v>
      </c>
      <c r="BV214" s="16">
        <f t="shared" si="187"/>
        <v>0</v>
      </c>
      <c r="BW214" s="16">
        <f t="shared" si="187"/>
        <v>0</v>
      </c>
      <c r="BX214" s="16">
        <f t="shared" si="187"/>
        <v>0</v>
      </c>
      <c r="BY214" s="16">
        <f t="shared" si="187"/>
        <v>0</v>
      </c>
      <c r="BZ214" s="16">
        <f t="shared" si="187"/>
        <v>0</v>
      </c>
      <c r="CA214" s="16">
        <f t="shared" si="187"/>
        <v>0</v>
      </c>
      <c r="CB214" s="16">
        <f t="shared" si="188"/>
        <v>0</v>
      </c>
      <c r="CC214" s="16">
        <f t="shared" si="188"/>
        <v>0</v>
      </c>
      <c r="CD214" s="16">
        <f t="shared" si="188"/>
        <v>0</v>
      </c>
      <c r="CE214" s="16">
        <f t="shared" si="188"/>
        <v>0</v>
      </c>
      <c r="CF214" s="16">
        <f t="shared" si="188"/>
        <v>0</v>
      </c>
      <c r="CG214" s="16">
        <f t="shared" si="188"/>
        <v>0</v>
      </c>
      <c r="CH214" s="16">
        <f t="shared" si="188"/>
        <v>0</v>
      </c>
      <c r="CI214" s="16">
        <f t="shared" si="188"/>
        <v>0</v>
      </c>
      <c r="CJ214" s="16">
        <f t="shared" si="188"/>
        <v>0</v>
      </c>
      <c r="CK214" s="16">
        <f t="shared" si="188"/>
        <v>0</v>
      </c>
      <c r="CL214" s="16">
        <f t="shared" si="189"/>
        <v>0</v>
      </c>
      <c r="CM214" s="16">
        <f t="shared" si="189"/>
        <v>0</v>
      </c>
      <c r="CN214" s="16">
        <f t="shared" si="189"/>
        <v>0</v>
      </c>
      <c r="CO214" s="16">
        <f t="shared" si="189"/>
        <v>0</v>
      </c>
      <c r="CP214" s="16">
        <f t="shared" si="189"/>
        <v>0</v>
      </c>
      <c r="CQ214" s="16">
        <f t="shared" si="189"/>
        <v>0</v>
      </c>
      <c r="CR214" s="16">
        <f t="shared" si="189"/>
        <v>0</v>
      </c>
      <c r="CS214" s="16">
        <f t="shared" si="189"/>
        <v>0</v>
      </c>
      <c r="CT214" s="16">
        <f t="shared" si="189"/>
        <v>0</v>
      </c>
      <c r="CU214" s="16">
        <f t="shared" si="189"/>
        <v>0</v>
      </c>
      <c r="CV214" s="16">
        <f t="shared" si="190"/>
        <v>0</v>
      </c>
      <c r="CW214" s="16">
        <f t="shared" si="190"/>
        <v>0</v>
      </c>
      <c r="CX214" s="16">
        <f t="shared" si="190"/>
        <v>0</v>
      </c>
      <c r="CY214" s="16">
        <f t="shared" si="190"/>
        <v>0</v>
      </c>
      <c r="CZ214" s="16">
        <f t="shared" si="190"/>
        <v>0</v>
      </c>
      <c r="DA214" s="16">
        <f t="shared" si="190"/>
        <v>0</v>
      </c>
      <c r="DB214" s="16">
        <f t="shared" si="190"/>
        <v>0</v>
      </c>
      <c r="DC214" s="16">
        <f t="shared" si="190"/>
        <v>0</v>
      </c>
      <c r="DD214" s="16">
        <f t="shared" si="190"/>
        <v>0</v>
      </c>
      <c r="DE214" s="16">
        <f t="shared" si="190"/>
        <v>0</v>
      </c>
      <c r="DF214" s="16">
        <f t="shared" si="191"/>
        <v>0</v>
      </c>
      <c r="DG214" s="16">
        <f t="shared" si="191"/>
        <v>0</v>
      </c>
      <c r="DH214" s="16">
        <f t="shared" si="191"/>
        <v>0</v>
      </c>
      <c r="DI214" s="16">
        <f t="shared" si="191"/>
        <v>0</v>
      </c>
      <c r="DJ214" s="16">
        <f t="shared" si="191"/>
        <v>0</v>
      </c>
      <c r="DK214" s="16">
        <f t="shared" si="191"/>
        <v>0</v>
      </c>
      <c r="DL214" s="16">
        <f t="shared" si="191"/>
        <v>-0.48154082842126616</v>
      </c>
      <c r="DM214" s="16">
        <f t="shared" si="191"/>
        <v>1.9493192802486541</v>
      </c>
      <c r="DN214" s="16">
        <f t="shared" si="191"/>
        <v>-0.46777845182738781</v>
      </c>
      <c r="DO214" s="16">
        <f t="shared" si="191"/>
        <v>0</v>
      </c>
      <c r="DP214" s="16">
        <f t="shared" si="191"/>
        <v>0</v>
      </c>
    </row>
    <row r="215" spans="3:120" x14ac:dyDescent="0.25">
      <c r="C215" s="1"/>
      <c r="D215" s="1"/>
      <c r="E215" s="1"/>
      <c r="F215" s="1"/>
      <c r="G215" s="1"/>
      <c r="H215" s="1"/>
      <c r="I215" s="1"/>
      <c r="J215" s="93"/>
      <c r="O215" s="9">
        <f t="shared" si="150"/>
        <v>2</v>
      </c>
      <c r="P215" s="16">
        <f t="shared" si="182"/>
        <v>0</v>
      </c>
      <c r="Q215" s="16">
        <f t="shared" si="182"/>
        <v>0</v>
      </c>
      <c r="R215" s="16">
        <f t="shared" si="182"/>
        <v>0</v>
      </c>
      <c r="S215" s="16">
        <f t="shared" si="182"/>
        <v>0</v>
      </c>
      <c r="T215" s="16">
        <f t="shared" si="182"/>
        <v>0</v>
      </c>
      <c r="U215" s="16">
        <f t="shared" si="182"/>
        <v>0</v>
      </c>
      <c r="V215" s="16">
        <f t="shared" si="182"/>
        <v>0</v>
      </c>
      <c r="W215" s="16">
        <f t="shared" si="182"/>
        <v>0</v>
      </c>
      <c r="X215" s="16">
        <f t="shared" si="182"/>
        <v>0</v>
      </c>
      <c r="Y215" s="16">
        <f t="shared" si="182"/>
        <v>0</v>
      </c>
      <c r="Z215" s="16">
        <f t="shared" si="183"/>
        <v>0</v>
      </c>
      <c r="AA215" s="16">
        <f t="shared" si="183"/>
        <v>0</v>
      </c>
      <c r="AB215" s="16">
        <f t="shared" si="183"/>
        <v>0</v>
      </c>
      <c r="AC215" s="16">
        <f t="shared" si="183"/>
        <v>0</v>
      </c>
      <c r="AD215" s="16">
        <f t="shared" si="183"/>
        <v>0</v>
      </c>
      <c r="AE215" s="16">
        <f t="shared" si="183"/>
        <v>0</v>
      </c>
      <c r="AF215" s="16">
        <f t="shared" si="183"/>
        <v>0</v>
      </c>
      <c r="AG215" s="16">
        <f t="shared" si="183"/>
        <v>0</v>
      </c>
      <c r="AH215" s="16">
        <f t="shared" si="183"/>
        <v>0</v>
      </c>
      <c r="AI215" s="16">
        <f t="shared" si="183"/>
        <v>0</v>
      </c>
      <c r="AJ215" s="16">
        <f t="shared" si="184"/>
        <v>0</v>
      </c>
      <c r="AK215" s="16">
        <f t="shared" si="184"/>
        <v>0</v>
      </c>
      <c r="AL215" s="16">
        <f t="shared" si="184"/>
        <v>0</v>
      </c>
      <c r="AM215" s="16">
        <f t="shared" si="184"/>
        <v>0</v>
      </c>
      <c r="AN215" s="16">
        <f t="shared" si="184"/>
        <v>0</v>
      </c>
      <c r="AO215" s="16">
        <f t="shared" si="184"/>
        <v>0</v>
      </c>
      <c r="AP215" s="16">
        <f t="shared" si="184"/>
        <v>0</v>
      </c>
      <c r="AQ215" s="16">
        <f t="shared" si="184"/>
        <v>0</v>
      </c>
      <c r="AR215" s="16">
        <f t="shared" si="184"/>
        <v>0</v>
      </c>
      <c r="AS215" s="16">
        <f t="shared" si="184"/>
        <v>0</v>
      </c>
      <c r="AT215" s="16">
        <f t="shared" si="185"/>
        <v>0</v>
      </c>
      <c r="AU215" s="16">
        <f t="shared" si="185"/>
        <v>0</v>
      </c>
      <c r="AV215" s="16">
        <f t="shared" si="185"/>
        <v>0</v>
      </c>
      <c r="AW215" s="16">
        <f t="shared" si="185"/>
        <v>0</v>
      </c>
      <c r="AX215" s="16">
        <f t="shared" si="185"/>
        <v>0</v>
      </c>
      <c r="AY215" s="16">
        <f t="shared" si="185"/>
        <v>0</v>
      </c>
      <c r="AZ215" s="16">
        <f t="shared" si="185"/>
        <v>0</v>
      </c>
      <c r="BA215" s="16">
        <f t="shared" si="185"/>
        <v>0</v>
      </c>
      <c r="BB215" s="16">
        <f t="shared" si="185"/>
        <v>0</v>
      </c>
      <c r="BC215" s="16">
        <f t="shared" si="185"/>
        <v>0</v>
      </c>
      <c r="BD215" s="16">
        <f t="shared" si="186"/>
        <v>0</v>
      </c>
      <c r="BE215" s="16">
        <f t="shared" si="186"/>
        <v>0</v>
      </c>
      <c r="BF215" s="16">
        <f t="shared" si="186"/>
        <v>0</v>
      </c>
      <c r="BG215" s="16">
        <f t="shared" si="186"/>
        <v>0</v>
      </c>
      <c r="BH215" s="16">
        <f t="shared" si="186"/>
        <v>0</v>
      </c>
      <c r="BI215" s="16">
        <f t="shared" si="186"/>
        <v>0</v>
      </c>
      <c r="BJ215" s="16">
        <f t="shared" si="186"/>
        <v>0</v>
      </c>
      <c r="BK215" s="16">
        <f t="shared" si="186"/>
        <v>-0.26562523935700999</v>
      </c>
      <c r="BL215" s="16">
        <f t="shared" si="186"/>
        <v>1.5236589426258855</v>
      </c>
      <c r="BM215" s="16">
        <f t="shared" si="186"/>
        <v>-0.25803370326887548</v>
      </c>
      <c r="BN215" s="16">
        <f t="shared" si="186"/>
        <v>0</v>
      </c>
      <c r="BQ215" s="9">
        <f t="shared" si="151"/>
        <v>2</v>
      </c>
      <c r="BR215" s="16">
        <f t="shared" si="187"/>
        <v>0</v>
      </c>
      <c r="BS215" s="16">
        <f t="shared" si="187"/>
        <v>0</v>
      </c>
      <c r="BT215" s="16">
        <f t="shared" si="187"/>
        <v>0</v>
      </c>
      <c r="BU215" s="16">
        <f t="shared" si="187"/>
        <v>0</v>
      </c>
      <c r="BV215" s="16">
        <f t="shared" si="187"/>
        <v>0</v>
      </c>
      <c r="BW215" s="16">
        <f t="shared" si="187"/>
        <v>0</v>
      </c>
      <c r="BX215" s="16">
        <f t="shared" si="187"/>
        <v>0</v>
      </c>
      <c r="BY215" s="16">
        <f t="shared" si="187"/>
        <v>0</v>
      </c>
      <c r="BZ215" s="16">
        <f t="shared" si="187"/>
        <v>0</v>
      </c>
      <c r="CA215" s="16">
        <f t="shared" si="187"/>
        <v>0</v>
      </c>
      <c r="CB215" s="16">
        <f t="shared" si="188"/>
        <v>0</v>
      </c>
      <c r="CC215" s="16">
        <f t="shared" si="188"/>
        <v>0</v>
      </c>
      <c r="CD215" s="16">
        <f t="shared" si="188"/>
        <v>0</v>
      </c>
      <c r="CE215" s="16">
        <f t="shared" si="188"/>
        <v>0</v>
      </c>
      <c r="CF215" s="16">
        <f t="shared" si="188"/>
        <v>0</v>
      </c>
      <c r="CG215" s="16">
        <f t="shared" si="188"/>
        <v>0</v>
      </c>
      <c r="CH215" s="16">
        <f t="shared" si="188"/>
        <v>0</v>
      </c>
      <c r="CI215" s="16">
        <f t="shared" si="188"/>
        <v>0</v>
      </c>
      <c r="CJ215" s="16">
        <f t="shared" si="188"/>
        <v>0</v>
      </c>
      <c r="CK215" s="16">
        <f t="shared" si="188"/>
        <v>0</v>
      </c>
      <c r="CL215" s="16">
        <f t="shared" si="189"/>
        <v>0</v>
      </c>
      <c r="CM215" s="16">
        <f t="shared" si="189"/>
        <v>0</v>
      </c>
      <c r="CN215" s="16">
        <f t="shared" si="189"/>
        <v>0</v>
      </c>
      <c r="CO215" s="16">
        <f t="shared" si="189"/>
        <v>0</v>
      </c>
      <c r="CP215" s="16">
        <f t="shared" si="189"/>
        <v>0</v>
      </c>
      <c r="CQ215" s="16">
        <f t="shared" si="189"/>
        <v>0</v>
      </c>
      <c r="CR215" s="16">
        <f t="shared" si="189"/>
        <v>0</v>
      </c>
      <c r="CS215" s="16">
        <f t="shared" si="189"/>
        <v>0</v>
      </c>
      <c r="CT215" s="16">
        <f t="shared" si="189"/>
        <v>0</v>
      </c>
      <c r="CU215" s="16">
        <f t="shared" si="189"/>
        <v>0</v>
      </c>
      <c r="CV215" s="16">
        <f t="shared" si="190"/>
        <v>0</v>
      </c>
      <c r="CW215" s="16">
        <f t="shared" si="190"/>
        <v>0</v>
      </c>
      <c r="CX215" s="16">
        <f t="shared" si="190"/>
        <v>0</v>
      </c>
      <c r="CY215" s="16">
        <f t="shared" si="190"/>
        <v>0</v>
      </c>
      <c r="CZ215" s="16">
        <f t="shared" si="190"/>
        <v>0</v>
      </c>
      <c r="DA215" s="16">
        <f t="shared" si="190"/>
        <v>0</v>
      </c>
      <c r="DB215" s="16">
        <f t="shared" si="190"/>
        <v>0</v>
      </c>
      <c r="DC215" s="16">
        <f t="shared" si="190"/>
        <v>0</v>
      </c>
      <c r="DD215" s="16">
        <f t="shared" si="190"/>
        <v>0</v>
      </c>
      <c r="DE215" s="16">
        <f t="shared" si="190"/>
        <v>0</v>
      </c>
      <c r="DF215" s="16">
        <f t="shared" si="191"/>
        <v>0</v>
      </c>
      <c r="DG215" s="16">
        <f t="shared" si="191"/>
        <v>0</v>
      </c>
      <c r="DH215" s="16">
        <f t="shared" si="191"/>
        <v>0</v>
      </c>
      <c r="DI215" s="16">
        <f t="shared" si="191"/>
        <v>0</v>
      </c>
      <c r="DJ215" s="16">
        <f t="shared" si="191"/>
        <v>0</v>
      </c>
      <c r="DK215" s="16">
        <f t="shared" si="191"/>
        <v>0</v>
      </c>
      <c r="DL215" s="16">
        <f t="shared" si="191"/>
        <v>0</v>
      </c>
      <c r="DM215" s="16">
        <f t="shared" si="191"/>
        <v>-0.48154082842126616</v>
      </c>
      <c r="DN215" s="16">
        <f t="shared" si="191"/>
        <v>1.9493192802486541</v>
      </c>
      <c r="DO215" s="16">
        <f t="shared" si="191"/>
        <v>-0.46777845182738781</v>
      </c>
      <c r="DP215" s="16">
        <f t="shared" si="191"/>
        <v>0</v>
      </c>
    </row>
    <row r="216" spans="3:120" x14ac:dyDescent="0.25">
      <c r="C216" s="1"/>
      <c r="D216" s="1"/>
      <c r="E216" s="1"/>
      <c r="F216" s="1"/>
      <c r="G216" s="1"/>
      <c r="H216" s="1"/>
      <c r="I216" s="1"/>
      <c r="J216" s="93"/>
      <c r="O216" s="9">
        <f t="shared" si="150"/>
        <v>1</v>
      </c>
      <c r="P216" s="16">
        <f t="shared" si="182"/>
        <v>0</v>
      </c>
      <c r="Q216" s="16">
        <f t="shared" si="182"/>
        <v>0</v>
      </c>
      <c r="R216" s="16">
        <f t="shared" si="182"/>
        <v>0</v>
      </c>
      <c r="S216" s="16">
        <f t="shared" si="182"/>
        <v>0</v>
      </c>
      <c r="T216" s="16">
        <f t="shared" si="182"/>
        <v>0</v>
      </c>
      <c r="U216" s="16">
        <f t="shared" si="182"/>
        <v>0</v>
      </c>
      <c r="V216" s="16">
        <f t="shared" si="182"/>
        <v>0</v>
      </c>
      <c r="W216" s="16">
        <f t="shared" si="182"/>
        <v>0</v>
      </c>
      <c r="X216" s="16">
        <f t="shared" si="182"/>
        <v>0</v>
      </c>
      <c r="Y216" s="16">
        <f t="shared" si="182"/>
        <v>0</v>
      </c>
      <c r="Z216" s="16">
        <f t="shared" si="183"/>
        <v>0</v>
      </c>
      <c r="AA216" s="16">
        <f t="shared" si="183"/>
        <v>0</v>
      </c>
      <c r="AB216" s="16">
        <f t="shared" si="183"/>
        <v>0</v>
      </c>
      <c r="AC216" s="16">
        <f t="shared" si="183"/>
        <v>0</v>
      </c>
      <c r="AD216" s="16">
        <f t="shared" si="183"/>
        <v>0</v>
      </c>
      <c r="AE216" s="16">
        <f t="shared" si="183"/>
        <v>0</v>
      </c>
      <c r="AF216" s="16">
        <f t="shared" si="183"/>
        <v>0</v>
      </c>
      <c r="AG216" s="16">
        <f t="shared" si="183"/>
        <v>0</v>
      </c>
      <c r="AH216" s="16">
        <f t="shared" si="183"/>
        <v>0</v>
      </c>
      <c r="AI216" s="16">
        <f t="shared" si="183"/>
        <v>0</v>
      </c>
      <c r="AJ216" s="16">
        <f t="shared" si="184"/>
        <v>0</v>
      </c>
      <c r="AK216" s="16">
        <f t="shared" si="184"/>
        <v>0</v>
      </c>
      <c r="AL216" s="16">
        <f t="shared" si="184"/>
        <v>0</v>
      </c>
      <c r="AM216" s="16">
        <f t="shared" si="184"/>
        <v>0</v>
      </c>
      <c r="AN216" s="16">
        <f t="shared" si="184"/>
        <v>0</v>
      </c>
      <c r="AO216" s="16">
        <f t="shared" si="184"/>
        <v>0</v>
      </c>
      <c r="AP216" s="16">
        <f t="shared" si="184"/>
        <v>0</v>
      </c>
      <c r="AQ216" s="16">
        <f t="shared" si="184"/>
        <v>0</v>
      </c>
      <c r="AR216" s="16">
        <f t="shared" si="184"/>
        <v>0</v>
      </c>
      <c r="AS216" s="16">
        <f t="shared" si="184"/>
        <v>0</v>
      </c>
      <c r="AT216" s="16">
        <f t="shared" si="185"/>
        <v>0</v>
      </c>
      <c r="AU216" s="16">
        <f t="shared" si="185"/>
        <v>0</v>
      </c>
      <c r="AV216" s="16">
        <f t="shared" si="185"/>
        <v>0</v>
      </c>
      <c r="AW216" s="16">
        <f t="shared" si="185"/>
        <v>0</v>
      </c>
      <c r="AX216" s="16">
        <f t="shared" si="185"/>
        <v>0</v>
      </c>
      <c r="AY216" s="16">
        <f t="shared" si="185"/>
        <v>0</v>
      </c>
      <c r="AZ216" s="16">
        <f t="shared" si="185"/>
        <v>0</v>
      </c>
      <c r="BA216" s="16">
        <f t="shared" si="185"/>
        <v>0</v>
      </c>
      <c r="BB216" s="16">
        <f t="shared" si="185"/>
        <v>0</v>
      </c>
      <c r="BC216" s="16">
        <f t="shared" si="185"/>
        <v>0</v>
      </c>
      <c r="BD216" s="16">
        <f t="shared" si="186"/>
        <v>0</v>
      </c>
      <c r="BE216" s="16">
        <f t="shared" si="186"/>
        <v>0</v>
      </c>
      <c r="BF216" s="16">
        <f t="shared" si="186"/>
        <v>0</v>
      </c>
      <c r="BG216" s="16">
        <f t="shared" si="186"/>
        <v>0</v>
      </c>
      <c r="BH216" s="16">
        <f t="shared" si="186"/>
        <v>0</v>
      </c>
      <c r="BI216" s="16">
        <f t="shared" si="186"/>
        <v>0</v>
      </c>
      <c r="BJ216" s="16">
        <f t="shared" si="186"/>
        <v>0</v>
      </c>
      <c r="BK216" s="16">
        <f t="shared" si="186"/>
        <v>0</v>
      </c>
      <c r="BL216" s="16">
        <f t="shared" si="186"/>
        <v>-0.26562523935700999</v>
      </c>
      <c r="BM216" s="16">
        <f t="shared" si="186"/>
        <v>1.5236589426258855</v>
      </c>
      <c r="BN216" s="16">
        <f t="shared" si="186"/>
        <v>-0.25803370326887548</v>
      </c>
      <c r="BQ216" s="9">
        <f t="shared" si="151"/>
        <v>1</v>
      </c>
      <c r="BR216" s="16">
        <f t="shared" si="187"/>
        <v>0</v>
      </c>
      <c r="BS216" s="16">
        <f t="shared" si="187"/>
        <v>0</v>
      </c>
      <c r="BT216" s="16">
        <f t="shared" si="187"/>
        <v>0</v>
      </c>
      <c r="BU216" s="16">
        <f t="shared" si="187"/>
        <v>0</v>
      </c>
      <c r="BV216" s="16">
        <f t="shared" si="187"/>
        <v>0</v>
      </c>
      <c r="BW216" s="16">
        <f t="shared" si="187"/>
        <v>0</v>
      </c>
      <c r="BX216" s="16">
        <f t="shared" si="187"/>
        <v>0</v>
      </c>
      <c r="BY216" s="16">
        <f t="shared" si="187"/>
        <v>0</v>
      </c>
      <c r="BZ216" s="16">
        <f t="shared" si="187"/>
        <v>0</v>
      </c>
      <c r="CA216" s="16">
        <f t="shared" si="187"/>
        <v>0</v>
      </c>
      <c r="CB216" s="16">
        <f t="shared" si="188"/>
        <v>0</v>
      </c>
      <c r="CC216" s="16">
        <f t="shared" si="188"/>
        <v>0</v>
      </c>
      <c r="CD216" s="16">
        <f t="shared" si="188"/>
        <v>0</v>
      </c>
      <c r="CE216" s="16">
        <f t="shared" si="188"/>
        <v>0</v>
      </c>
      <c r="CF216" s="16">
        <f t="shared" si="188"/>
        <v>0</v>
      </c>
      <c r="CG216" s="16">
        <f t="shared" si="188"/>
        <v>0</v>
      </c>
      <c r="CH216" s="16">
        <f t="shared" si="188"/>
        <v>0</v>
      </c>
      <c r="CI216" s="16">
        <f t="shared" si="188"/>
        <v>0</v>
      </c>
      <c r="CJ216" s="16">
        <f t="shared" si="188"/>
        <v>0</v>
      </c>
      <c r="CK216" s="16">
        <f t="shared" si="188"/>
        <v>0</v>
      </c>
      <c r="CL216" s="16">
        <f t="shared" si="189"/>
        <v>0</v>
      </c>
      <c r="CM216" s="16">
        <f t="shared" si="189"/>
        <v>0</v>
      </c>
      <c r="CN216" s="16">
        <f t="shared" si="189"/>
        <v>0</v>
      </c>
      <c r="CO216" s="16">
        <f t="shared" si="189"/>
        <v>0</v>
      </c>
      <c r="CP216" s="16">
        <f t="shared" si="189"/>
        <v>0</v>
      </c>
      <c r="CQ216" s="16">
        <f t="shared" si="189"/>
        <v>0</v>
      </c>
      <c r="CR216" s="16">
        <f t="shared" si="189"/>
        <v>0</v>
      </c>
      <c r="CS216" s="16">
        <f t="shared" si="189"/>
        <v>0</v>
      </c>
      <c r="CT216" s="16">
        <f t="shared" si="189"/>
        <v>0</v>
      </c>
      <c r="CU216" s="16">
        <f t="shared" si="189"/>
        <v>0</v>
      </c>
      <c r="CV216" s="16">
        <f t="shared" si="190"/>
        <v>0</v>
      </c>
      <c r="CW216" s="16">
        <f t="shared" si="190"/>
        <v>0</v>
      </c>
      <c r="CX216" s="16">
        <f t="shared" si="190"/>
        <v>0</v>
      </c>
      <c r="CY216" s="16">
        <f t="shared" si="190"/>
        <v>0</v>
      </c>
      <c r="CZ216" s="16">
        <f t="shared" si="190"/>
        <v>0</v>
      </c>
      <c r="DA216" s="16">
        <f t="shared" si="190"/>
        <v>0</v>
      </c>
      <c r="DB216" s="16">
        <f t="shared" si="190"/>
        <v>0</v>
      </c>
      <c r="DC216" s="16">
        <f t="shared" si="190"/>
        <v>0</v>
      </c>
      <c r="DD216" s="16">
        <f t="shared" si="190"/>
        <v>0</v>
      </c>
      <c r="DE216" s="16">
        <f t="shared" si="190"/>
        <v>0</v>
      </c>
      <c r="DF216" s="16">
        <f t="shared" si="191"/>
        <v>0</v>
      </c>
      <c r="DG216" s="16">
        <f t="shared" si="191"/>
        <v>0</v>
      </c>
      <c r="DH216" s="16">
        <f t="shared" si="191"/>
        <v>0</v>
      </c>
      <c r="DI216" s="16">
        <f t="shared" si="191"/>
        <v>0</v>
      </c>
      <c r="DJ216" s="16">
        <f t="shared" si="191"/>
        <v>0</v>
      </c>
      <c r="DK216" s="16">
        <f t="shared" si="191"/>
        <v>0</v>
      </c>
      <c r="DL216" s="16">
        <f t="shared" si="191"/>
        <v>0</v>
      </c>
      <c r="DM216" s="16">
        <f t="shared" si="191"/>
        <v>0</v>
      </c>
      <c r="DN216" s="16">
        <f t="shared" si="191"/>
        <v>-0.48154082842126616</v>
      </c>
      <c r="DO216" s="16">
        <f t="shared" si="191"/>
        <v>1.9493192802486541</v>
      </c>
      <c r="DP216" s="16">
        <f t="shared" si="191"/>
        <v>-0.46777845182738781</v>
      </c>
    </row>
    <row r="217" spans="3:120" x14ac:dyDescent="0.25">
      <c r="C217" s="1"/>
      <c r="D217" s="1"/>
      <c r="E217" s="1"/>
      <c r="F217" s="1"/>
      <c r="G217" s="1"/>
      <c r="H217" s="1"/>
      <c r="I217" s="1"/>
      <c r="J217" s="93"/>
      <c r="O217" s="9">
        <f t="shared" si="150"/>
        <v>0</v>
      </c>
      <c r="P217" s="16">
        <f t="shared" si="182"/>
        <v>0</v>
      </c>
      <c r="Q217" s="16">
        <f t="shared" si="182"/>
        <v>0</v>
      </c>
      <c r="R217" s="16">
        <f t="shared" si="182"/>
        <v>0</v>
      </c>
      <c r="S217" s="16">
        <f t="shared" si="182"/>
        <v>0</v>
      </c>
      <c r="T217" s="16">
        <f t="shared" si="182"/>
        <v>0</v>
      </c>
      <c r="U217" s="16">
        <f t="shared" si="182"/>
        <v>0</v>
      </c>
      <c r="V217" s="16">
        <f t="shared" si="182"/>
        <v>0</v>
      </c>
      <c r="W217" s="16">
        <f t="shared" si="182"/>
        <v>0</v>
      </c>
      <c r="X217" s="16">
        <f t="shared" si="182"/>
        <v>0</v>
      </c>
      <c r="Y217" s="16">
        <f t="shared" si="182"/>
        <v>0</v>
      </c>
      <c r="Z217" s="16">
        <f t="shared" si="183"/>
        <v>0</v>
      </c>
      <c r="AA217" s="16">
        <f t="shared" si="183"/>
        <v>0</v>
      </c>
      <c r="AB217" s="16">
        <f t="shared" si="183"/>
        <v>0</v>
      </c>
      <c r="AC217" s="16">
        <f t="shared" si="183"/>
        <v>0</v>
      </c>
      <c r="AD217" s="16">
        <f t="shared" si="183"/>
        <v>0</v>
      </c>
      <c r="AE217" s="16">
        <f t="shared" si="183"/>
        <v>0</v>
      </c>
      <c r="AF217" s="16">
        <f t="shared" si="183"/>
        <v>0</v>
      </c>
      <c r="AG217" s="16">
        <f t="shared" si="183"/>
        <v>0</v>
      </c>
      <c r="AH217" s="16">
        <f t="shared" si="183"/>
        <v>0</v>
      </c>
      <c r="AI217" s="16">
        <f t="shared" si="183"/>
        <v>0</v>
      </c>
      <c r="AJ217" s="16">
        <f t="shared" si="184"/>
        <v>0</v>
      </c>
      <c r="AK217" s="16">
        <f t="shared" si="184"/>
        <v>0</v>
      </c>
      <c r="AL217" s="16">
        <f t="shared" si="184"/>
        <v>0</v>
      </c>
      <c r="AM217" s="16">
        <f t="shared" si="184"/>
        <v>0</v>
      </c>
      <c r="AN217" s="16">
        <f t="shared" si="184"/>
        <v>0</v>
      </c>
      <c r="AO217" s="16">
        <f t="shared" si="184"/>
        <v>0</v>
      </c>
      <c r="AP217" s="16">
        <f t="shared" si="184"/>
        <v>0</v>
      </c>
      <c r="AQ217" s="16">
        <f t="shared" si="184"/>
        <v>0</v>
      </c>
      <c r="AR217" s="16">
        <f t="shared" si="184"/>
        <v>0</v>
      </c>
      <c r="AS217" s="16">
        <f t="shared" si="184"/>
        <v>0</v>
      </c>
      <c r="AT217" s="16">
        <f t="shared" si="185"/>
        <v>0</v>
      </c>
      <c r="AU217" s="16">
        <f t="shared" si="185"/>
        <v>0</v>
      </c>
      <c r="AV217" s="16">
        <f t="shared" si="185"/>
        <v>0</v>
      </c>
      <c r="AW217" s="16">
        <f t="shared" si="185"/>
        <v>0</v>
      </c>
      <c r="AX217" s="16">
        <f t="shared" si="185"/>
        <v>0</v>
      </c>
      <c r="AY217" s="16">
        <f t="shared" si="185"/>
        <v>0</v>
      </c>
      <c r="AZ217" s="16">
        <f t="shared" si="185"/>
        <v>0</v>
      </c>
      <c r="BA217" s="16">
        <f t="shared" si="185"/>
        <v>0</v>
      </c>
      <c r="BB217" s="16">
        <f t="shared" si="185"/>
        <v>0</v>
      </c>
      <c r="BC217" s="16">
        <f t="shared" si="185"/>
        <v>0</v>
      </c>
      <c r="BD217" s="16">
        <f t="shared" si="186"/>
        <v>0</v>
      </c>
      <c r="BE217" s="16">
        <f t="shared" si="186"/>
        <v>0</v>
      </c>
      <c r="BF217" s="16">
        <f t="shared" si="186"/>
        <v>0</v>
      </c>
      <c r="BG217" s="16">
        <f t="shared" si="186"/>
        <v>0</v>
      </c>
      <c r="BH217" s="16">
        <f t="shared" si="186"/>
        <v>0</v>
      </c>
      <c r="BI217" s="16">
        <f t="shared" si="186"/>
        <v>0</v>
      </c>
      <c r="BJ217" s="16">
        <f t="shared" si="186"/>
        <v>0</v>
      </c>
      <c r="BK217" s="16">
        <f t="shared" si="186"/>
        <v>0</v>
      </c>
      <c r="BL217" s="16">
        <f t="shared" si="186"/>
        <v>0</v>
      </c>
      <c r="BM217" s="16">
        <f t="shared" si="186"/>
        <v>-0.26562523935700999</v>
      </c>
      <c r="BN217" s="16">
        <f t="shared" si="186"/>
        <v>1.5236589426258855</v>
      </c>
      <c r="BQ217" s="9">
        <f t="shared" si="151"/>
        <v>0</v>
      </c>
      <c r="BR217" s="16">
        <f t="shared" si="187"/>
        <v>0</v>
      </c>
      <c r="BS217" s="16">
        <f t="shared" si="187"/>
        <v>0</v>
      </c>
      <c r="BT217" s="16">
        <f t="shared" si="187"/>
        <v>0</v>
      </c>
      <c r="BU217" s="16">
        <f t="shared" si="187"/>
        <v>0</v>
      </c>
      <c r="BV217" s="16">
        <f t="shared" si="187"/>
        <v>0</v>
      </c>
      <c r="BW217" s="16">
        <f t="shared" si="187"/>
        <v>0</v>
      </c>
      <c r="BX217" s="16">
        <f t="shared" si="187"/>
        <v>0</v>
      </c>
      <c r="BY217" s="16">
        <f t="shared" si="187"/>
        <v>0</v>
      </c>
      <c r="BZ217" s="16">
        <f t="shared" si="187"/>
        <v>0</v>
      </c>
      <c r="CA217" s="16">
        <f t="shared" si="187"/>
        <v>0</v>
      </c>
      <c r="CB217" s="16">
        <f t="shared" si="188"/>
        <v>0</v>
      </c>
      <c r="CC217" s="16">
        <f t="shared" si="188"/>
        <v>0</v>
      </c>
      <c r="CD217" s="16">
        <f t="shared" si="188"/>
        <v>0</v>
      </c>
      <c r="CE217" s="16">
        <f t="shared" si="188"/>
        <v>0</v>
      </c>
      <c r="CF217" s="16">
        <f t="shared" si="188"/>
        <v>0</v>
      </c>
      <c r="CG217" s="16">
        <f t="shared" si="188"/>
        <v>0</v>
      </c>
      <c r="CH217" s="16">
        <f t="shared" si="188"/>
        <v>0</v>
      </c>
      <c r="CI217" s="16">
        <f t="shared" si="188"/>
        <v>0</v>
      </c>
      <c r="CJ217" s="16">
        <f t="shared" si="188"/>
        <v>0</v>
      </c>
      <c r="CK217" s="16">
        <f t="shared" si="188"/>
        <v>0</v>
      </c>
      <c r="CL217" s="16">
        <f t="shared" si="189"/>
        <v>0</v>
      </c>
      <c r="CM217" s="16">
        <f t="shared" si="189"/>
        <v>0</v>
      </c>
      <c r="CN217" s="16">
        <f t="shared" si="189"/>
        <v>0</v>
      </c>
      <c r="CO217" s="16">
        <f t="shared" si="189"/>
        <v>0</v>
      </c>
      <c r="CP217" s="16">
        <f t="shared" si="189"/>
        <v>0</v>
      </c>
      <c r="CQ217" s="16">
        <f t="shared" si="189"/>
        <v>0</v>
      </c>
      <c r="CR217" s="16">
        <f t="shared" si="189"/>
        <v>0</v>
      </c>
      <c r="CS217" s="16">
        <f t="shared" si="189"/>
        <v>0</v>
      </c>
      <c r="CT217" s="16">
        <f t="shared" si="189"/>
        <v>0</v>
      </c>
      <c r="CU217" s="16">
        <f t="shared" si="189"/>
        <v>0</v>
      </c>
      <c r="CV217" s="16">
        <f t="shared" si="190"/>
        <v>0</v>
      </c>
      <c r="CW217" s="16">
        <f t="shared" si="190"/>
        <v>0</v>
      </c>
      <c r="CX217" s="16">
        <f t="shared" si="190"/>
        <v>0</v>
      </c>
      <c r="CY217" s="16">
        <f t="shared" si="190"/>
        <v>0</v>
      </c>
      <c r="CZ217" s="16">
        <f t="shared" si="190"/>
        <v>0</v>
      </c>
      <c r="DA217" s="16">
        <f t="shared" si="190"/>
        <v>0</v>
      </c>
      <c r="DB217" s="16">
        <f t="shared" si="190"/>
        <v>0</v>
      </c>
      <c r="DC217" s="16">
        <f t="shared" si="190"/>
        <v>0</v>
      </c>
      <c r="DD217" s="16">
        <f t="shared" si="190"/>
        <v>0</v>
      </c>
      <c r="DE217" s="16">
        <f t="shared" si="190"/>
        <v>0</v>
      </c>
      <c r="DF217" s="16">
        <f t="shared" si="191"/>
        <v>0</v>
      </c>
      <c r="DG217" s="16">
        <f t="shared" si="191"/>
        <v>0</v>
      </c>
      <c r="DH217" s="16">
        <f t="shared" si="191"/>
        <v>0</v>
      </c>
      <c r="DI217" s="16">
        <f t="shared" si="191"/>
        <v>0</v>
      </c>
      <c r="DJ217" s="16">
        <f t="shared" si="191"/>
        <v>0</v>
      </c>
      <c r="DK217" s="16">
        <f t="shared" si="191"/>
        <v>0</v>
      </c>
      <c r="DL217" s="16">
        <f t="shared" si="191"/>
        <v>0</v>
      </c>
      <c r="DM217" s="16">
        <f t="shared" si="191"/>
        <v>0</v>
      </c>
      <c r="DN217" s="16">
        <f t="shared" si="191"/>
        <v>0</v>
      </c>
      <c r="DO217" s="16">
        <f t="shared" si="191"/>
        <v>-0.48154082842126616</v>
      </c>
      <c r="DP217" s="16">
        <f t="shared" si="191"/>
        <v>1.9493192802486541</v>
      </c>
    </row>
    <row r="218" spans="3:120" x14ac:dyDescent="0.25">
      <c r="C218" s="1"/>
      <c r="D218" s="1"/>
      <c r="E218" s="1"/>
      <c r="F218" s="1"/>
      <c r="G218" s="1"/>
      <c r="H218" s="1"/>
      <c r="I218" s="1"/>
      <c r="J218" s="93"/>
      <c r="BI218" s="29"/>
      <c r="BJ218" s="29"/>
    </row>
    <row r="219" spans="3:120" x14ac:dyDescent="0.25">
      <c r="C219" s="1"/>
      <c r="D219" s="1"/>
      <c r="E219" s="1"/>
      <c r="F219" s="1"/>
      <c r="G219" s="1"/>
      <c r="H219" s="1"/>
      <c r="I219" s="1"/>
      <c r="J219" s="93"/>
      <c r="BI219" s="29"/>
      <c r="BJ219" s="29"/>
    </row>
    <row r="220" spans="3:120" x14ac:dyDescent="0.25">
      <c r="C220" s="1"/>
      <c r="D220" s="1"/>
      <c r="E220" s="1"/>
      <c r="F220" s="1"/>
      <c r="G220" s="1"/>
      <c r="H220" s="1"/>
      <c r="I220" s="1"/>
      <c r="J220" s="93"/>
      <c r="O220" s="1"/>
      <c r="BI220" s="29"/>
      <c r="BJ220" s="29"/>
      <c r="BQ220" s="1"/>
    </row>
    <row r="221" spans="3:120" x14ac:dyDescent="0.25">
      <c r="C221" s="1"/>
      <c r="D221" s="1"/>
      <c r="E221" s="1"/>
      <c r="F221" s="1"/>
      <c r="G221" s="1"/>
      <c r="H221" s="1"/>
      <c r="I221" s="1"/>
      <c r="J221" s="93"/>
      <c r="O221" s="11" t="s">
        <v>14</v>
      </c>
      <c r="P221" s="24">
        <f t="shared" ref="P221:BN221" si="192">P166</f>
        <v>50</v>
      </c>
      <c r="Q221" s="24">
        <f t="shared" si="192"/>
        <v>49</v>
      </c>
      <c r="R221" s="24">
        <f t="shared" si="192"/>
        <v>48</v>
      </c>
      <c r="S221" s="24">
        <f t="shared" si="192"/>
        <v>47</v>
      </c>
      <c r="T221" s="24">
        <f t="shared" si="192"/>
        <v>46</v>
      </c>
      <c r="U221" s="24">
        <f t="shared" si="192"/>
        <v>45</v>
      </c>
      <c r="V221" s="24">
        <f t="shared" si="192"/>
        <v>44</v>
      </c>
      <c r="W221" s="24">
        <f t="shared" si="192"/>
        <v>43</v>
      </c>
      <c r="X221" s="24">
        <f t="shared" si="192"/>
        <v>42</v>
      </c>
      <c r="Y221" s="24">
        <f t="shared" si="192"/>
        <v>41</v>
      </c>
      <c r="Z221" s="24">
        <f t="shared" si="192"/>
        <v>40</v>
      </c>
      <c r="AA221" s="24">
        <f t="shared" si="192"/>
        <v>39</v>
      </c>
      <c r="AB221" s="24">
        <f t="shared" si="192"/>
        <v>38</v>
      </c>
      <c r="AC221" s="24">
        <f t="shared" si="192"/>
        <v>37</v>
      </c>
      <c r="AD221" s="24">
        <f t="shared" si="192"/>
        <v>36</v>
      </c>
      <c r="AE221" s="24">
        <f t="shared" si="192"/>
        <v>35</v>
      </c>
      <c r="AF221" s="24">
        <f t="shared" si="192"/>
        <v>34</v>
      </c>
      <c r="AG221" s="24">
        <f t="shared" si="192"/>
        <v>33</v>
      </c>
      <c r="AH221" s="24">
        <f t="shared" si="192"/>
        <v>32</v>
      </c>
      <c r="AI221" s="24">
        <f t="shared" si="192"/>
        <v>31</v>
      </c>
      <c r="AJ221" s="24">
        <f t="shared" si="192"/>
        <v>30</v>
      </c>
      <c r="AK221" s="24">
        <f t="shared" si="192"/>
        <v>29</v>
      </c>
      <c r="AL221" s="24">
        <f t="shared" si="192"/>
        <v>28</v>
      </c>
      <c r="AM221" s="24">
        <f t="shared" si="192"/>
        <v>27</v>
      </c>
      <c r="AN221" s="24">
        <f t="shared" si="192"/>
        <v>26</v>
      </c>
      <c r="AO221" s="24">
        <f t="shared" si="192"/>
        <v>25</v>
      </c>
      <c r="AP221" s="24">
        <f t="shared" si="192"/>
        <v>24</v>
      </c>
      <c r="AQ221" s="24">
        <f t="shared" si="192"/>
        <v>23</v>
      </c>
      <c r="AR221" s="24">
        <f t="shared" si="192"/>
        <v>22</v>
      </c>
      <c r="AS221" s="24">
        <f t="shared" si="192"/>
        <v>21</v>
      </c>
      <c r="AT221" s="24">
        <f t="shared" si="192"/>
        <v>20</v>
      </c>
      <c r="AU221" s="24">
        <f t="shared" si="192"/>
        <v>19</v>
      </c>
      <c r="AV221" s="24">
        <f t="shared" si="192"/>
        <v>18</v>
      </c>
      <c r="AW221" s="24">
        <f t="shared" si="192"/>
        <v>17</v>
      </c>
      <c r="AX221" s="24">
        <f t="shared" si="192"/>
        <v>16</v>
      </c>
      <c r="AY221" s="24">
        <f t="shared" si="192"/>
        <v>15</v>
      </c>
      <c r="AZ221" s="24">
        <f t="shared" si="192"/>
        <v>14</v>
      </c>
      <c r="BA221" s="24">
        <f t="shared" si="192"/>
        <v>13</v>
      </c>
      <c r="BB221" s="24">
        <f t="shared" si="192"/>
        <v>12</v>
      </c>
      <c r="BC221" s="24">
        <f t="shared" si="192"/>
        <v>11</v>
      </c>
      <c r="BD221" s="24">
        <f t="shared" si="192"/>
        <v>10</v>
      </c>
      <c r="BE221" s="24">
        <f t="shared" si="192"/>
        <v>9</v>
      </c>
      <c r="BF221" s="24">
        <f t="shared" si="192"/>
        <v>8</v>
      </c>
      <c r="BG221" s="24">
        <f t="shared" si="192"/>
        <v>7</v>
      </c>
      <c r="BH221" s="24">
        <f t="shared" si="192"/>
        <v>6</v>
      </c>
      <c r="BI221" s="24">
        <f t="shared" si="192"/>
        <v>5</v>
      </c>
      <c r="BJ221" s="24">
        <f t="shared" si="192"/>
        <v>4</v>
      </c>
      <c r="BK221" s="24">
        <f t="shared" si="192"/>
        <v>3</v>
      </c>
      <c r="BL221" s="24">
        <f t="shared" si="192"/>
        <v>2</v>
      </c>
      <c r="BM221" s="24">
        <f t="shared" si="192"/>
        <v>1</v>
      </c>
      <c r="BN221" s="24">
        <f t="shared" si="192"/>
        <v>0</v>
      </c>
      <c r="BQ221" s="11" t="s">
        <v>14</v>
      </c>
      <c r="BR221" s="24">
        <f t="shared" ref="BR221:DP221" si="193">BR166</f>
        <v>50</v>
      </c>
      <c r="BS221" s="24">
        <f t="shared" si="193"/>
        <v>49</v>
      </c>
      <c r="BT221" s="24">
        <f t="shared" si="193"/>
        <v>48</v>
      </c>
      <c r="BU221" s="24">
        <f t="shared" si="193"/>
        <v>47</v>
      </c>
      <c r="BV221" s="24">
        <f t="shared" si="193"/>
        <v>46</v>
      </c>
      <c r="BW221" s="24">
        <f t="shared" si="193"/>
        <v>45</v>
      </c>
      <c r="BX221" s="24">
        <f t="shared" si="193"/>
        <v>44</v>
      </c>
      <c r="BY221" s="24">
        <f t="shared" si="193"/>
        <v>43</v>
      </c>
      <c r="BZ221" s="24">
        <f t="shared" si="193"/>
        <v>42</v>
      </c>
      <c r="CA221" s="24">
        <f t="shared" si="193"/>
        <v>41</v>
      </c>
      <c r="CB221" s="24">
        <f t="shared" si="193"/>
        <v>40</v>
      </c>
      <c r="CC221" s="24">
        <f t="shared" si="193"/>
        <v>39</v>
      </c>
      <c r="CD221" s="24">
        <f t="shared" si="193"/>
        <v>38</v>
      </c>
      <c r="CE221" s="24">
        <f t="shared" si="193"/>
        <v>37</v>
      </c>
      <c r="CF221" s="24">
        <f t="shared" si="193"/>
        <v>36</v>
      </c>
      <c r="CG221" s="24">
        <f t="shared" si="193"/>
        <v>35</v>
      </c>
      <c r="CH221" s="24">
        <f t="shared" si="193"/>
        <v>34</v>
      </c>
      <c r="CI221" s="24">
        <f t="shared" si="193"/>
        <v>33</v>
      </c>
      <c r="CJ221" s="24">
        <f t="shared" si="193"/>
        <v>32</v>
      </c>
      <c r="CK221" s="24">
        <f t="shared" si="193"/>
        <v>31</v>
      </c>
      <c r="CL221" s="24">
        <f t="shared" si="193"/>
        <v>30</v>
      </c>
      <c r="CM221" s="24">
        <f t="shared" si="193"/>
        <v>29</v>
      </c>
      <c r="CN221" s="24">
        <f t="shared" si="193"/>
        <v>28</v>
      </c>
      <c r="CO221" s="24">
        <f t="shared" si="193"/>
        <v>27</v>
      </c>
      <c r="CP221" s="24">
        <f t="shared" si="193"/>
        <v>26</v>
      </c>
      <c r="CQ221" s="24">
        <f t="shared" si="193"/>
        <v>25</v>
      </c>
      <c r="CR221" s="24">
        <f t="shared" si="193"/>
        <v>24</v>
      </c>
      <c r="CS221" s="24">
        <f t="shared" si="193"/>
        <v>23</v>
      </c>
      <c r="CT221" s="24">
        <f t="shared" si="193"/>
        <v>22</v>
      </c>
      <c r="CU221" s="24">
        <f t="shared" si="193"/>
        <v>21</v>
      </c>
      <c r="CV221" s="24">
        <f t="shared" si="193"/>
        <v>20</v>
      </c>
      <c r="CW221" s="24">
        <f t="shared" si="193"/>
        <v>19</v>
      </c>
      <c r="CX221" s="24">
        <f t="shared" si="193"/>
        <v>18</v>
      </c>
      <c r="CY221" s="24">
        <f t="shared" si="193"/>
        <v>17</v>
      </c>
      <c r="CZ221" s="24">
        <f t="shared" si="193"/>
        <v>16</v>
      </c>
      <c r="DA221" s="24">
        <f t="shared" si="193"/>
        <v>15</v>
      </c>
      <c r="DB221" s="24">
        <f t="shared" si="193"/>
        <v>14</v>
      </c>
      <c r="DC221" s="24">
        <f t="shared" si="193"/>
        <v>13</v>
      </c>
      <c r="DD221" s="24">
        <f t="shared" si="193"/>
        <v>12</v>
      </c>
      <c r="DE221" s="24">
        <f t="shared" si="193"/>
        <v>11</v>
      </c>
      <c r="DF221" s="24">
        <f t="shared" si="193"/>
        <v>10</v>
      </c>
      <c r="DG221" s="24">
        <f t="shared" si="193"/>
        <v>9</v>
      </c>
      <c r="DH221" s="24">
        <f t="shared" si="193"/>
        <v>8</v>
      </c>
      <c r="DI221" s="24">
        <f t="shared" si="193"/>
        <v>7</v>
      </c>
      <c r="DJ221" s="24">
        <f t="shared" si="193"/>
        <v>6</v>
      </c>
      <c r="DK221" s="24">
        <f t="shared" si="193"/>
        <v>5</v>
      </c>
      <c r="DL221" s="24">
        <f t="shared" si="193"/>
        <v>4</v>
      </c>
      <c r="DM221" s="24">
        <f t="shared" si="193"/>
        <v>3</v>
      </c>
      <c r="DN221" s="24">
        <f t="shared" si="193"/>
        <v>2</v>
      </c>
      <c r="DO221" s="24">
        <f t="shared" si="193"/>
        <v>1</v>
      </c>
      <c r="DP221" s="24">
        <f t="shared" si="193"/>
        <v>0</v>
      </c>
    </row>
    <row r="222" spans="3:120" x14ac:dyDescent="0.25">
      <c r="C222" s="1"/>
      <c r="D222" s="1"/>
      <c r="E222" s="1"/>
      <c r="F222" s="1"/>
      <c r="G222" s="1"/>
      <c r="H222" s="1"/>
      <c r="I222" s="1"/>
      <c r="J222" s="93"/>
      <c r="O222" s="9">
        <f>P221</f>
        <v>50</v>
      </c>
      <c r="P222" s="32" cm="1">
        <f t="array" ref="P222:BN272">IF(Q109="Implicit",MINVERSE(P111:BN161),MMULT(MINVERSE(P167:BN217),P111:BN161))</f>
        <v>0.94830310221177883</v>
      </c>
      <c r="Q222" s="16">
        <v>2.4977696209412172E-2</v>
      </c>
      <c r="R222" s="16">
        <v>3.2021984013751647E-4</v>
      </c>
      <c r="S222" s="16">
        <v>4.1052923839732217E-6</v>
      </c>
      <c r="T222" s="16">
        <v>5.263079748797246E-8</v>
      </c>
      <c r="U222" s="16">
        <v>6.7473899180332677E-10</v>
      </c>
      <c r="V222" s="16">
        <v>8.6503098715882427E-12</v>
      </c>
      <c r="W222" s="16">
        <v>1.108989724671312E-13</v>
      </c>
      <c r="X222" s="16">
        <v>1.4217504663803955E-15</v>
      </c>
      <c r="Y222" s="16">
        <v>1.822716968141413E-17</v>
      </c>
      <c r="Z222" s="16">
        <v>2.3367652935777162E-19</v>
      </c>
      <c r="AA222" s="16">
        <v>2.995787211387621E-21</v>
      </c>
      <c r="AB222" s="16">
        <v>3.8412749585243073E-23</v>
      </c>
      <c r="AC222" s="16">
        <v>4.8072601796781814E-25</v>
      </c>
      <c r="AD222" s="16">
        <v>1.1345089490213358E-26</v>
      </c>
      <c r="AE222" s="16">
        <v>5.1717537337900805E-28</v>
      </c>
      <c r="AF222" s="16">
        <v>3.7266390264644654E-29</v>
      </c>
      <c r="AG222" s="16">
        <v>3.7761514555814721E-30</v>
      </c>
      <c r="AH222" s="16">
        <v>4.9856181891213385E-31</v>
      </c>
      <c r="AI222" s="16">
        <v>8.1313258171708416E-32</v>
      </c>
      <c r="AJ222" s="16">
        <v>1.5698203307261956E-32</v>
      </c>
      <c r="AK222" s="16">
        <v>3.5821182522875728E-33</v>
      </c>
      <c r="AL222" s="16">
        <v>9.9713296974083789E-34</v>
      </c>
      <c r="AM222" s="16">
        <v>2.4608248559171005E-34</v>
      </c>
      <c r="AN222" s="16">
        <v>5.1646059318920331E-35</v>
      </c>
      <c r="AO222" s="16">
        <v>9.8292289703036243E-36</v>
      </c>
      <c r="AP222" s="16">
        <v>1.5864876012577935E-36</v>
      </c>
      <c r="AQ222" s="16">
        <v>2.581097997306446E-37</v>
      </c>
      <c r="AR222" s="16">
        <v>4.2292113112919364E-38</v>
      </c>
      <c r="AS222" s="16">
        <v>6.9948491431597315E-39</v>
      </c>
      <c r="AT222" s="16">
        <v>1.1699626381955623E-39</v>
      </c>
      <c r="AU222" s="16">
        <v>1.9691514277331534E-40</v>
      </c>
      <c r="AV222" s="16">
        <v>3.3298017850295618E-41</v>
      </c>
      <c r="AW222" s="16">
        <v>5.6569163000640944E-42</v>
      </c>
      <c r="AX222" s="16">
        <v>9.6550217747603941E-43</v>
      </c>
      <c r="AY222" s="16">
        <v>1.6554992045112973E-43</v>
      </c>
      <c r="AZ222" s="16">
        <v>2.8516513559549264E-44</v>
      </c>
      <c r="BA222" s="16">
        <v>4.9342920645580181E-45</v>
      </c>
      <c r="BB222" s="16">
        <v>8.5815389776397486E-46</v>
      </c>
      <c r="BC222" s="16">
        <v>1.4989393199756018E-46</v>
      </c>
      <c r="BD222" s="16">
        <v>2.6182006407280617E-47</v>
      </c>
      <c r="BE222" s="16">
        <v>4.5732168765980452E-48</v>
      </c>
      <c r="BF222" s="16">
        <v>7.9880480796860584E-49</v>
      </c>
      <c r="BG222" s="16">
        <v>1.3952741329596876E-49</v>
      </c>
      <c r="BH222" s="16">
        <v>2.4371284281602123E-50</v>
      </c>
      <c r="BI222" s="16">
        <v>4.2569376366198937E-51</v>
      </c>
      <c r="BJ222" s="16">
        <v>7.4356022083733517E-52</v>
      </c>
      <c r="BK222" s="16">
        <v>1.2987770658205532E-52</v>
      </c>
      <c r="BL222" s="16">
        <v>2.2685087117456443E-53</v>
      </c>
      <c r="BM222" s="16">
        <v>3.9586232538331451E-54</v>
      </c>
      <c r="BN222" s="16">
        <v>6.7039820359828209E-55</v>
      </c>
      <c r="BQ222" s="9">
        <f>BR221</f>
        <v>50</v>
      </c>
      <c r="BR222" s="32" cm="1">
        <f t="array" ref="BR222:DP272">IF(BS109="Implicit",MINVERSE(BR111:DP161),MMULT(MINVERSE(BR167:DP217),BR111:DP161))</f>
        <v>0.68068954058230557</v>
      </c>
      <c r="BS222" s="16">
        <v>0.1379657752163598</v>
      </c>
      <c r="BT222" s="16">
        <v>1.1332021018240985E-2</v>
      </c>
      <c r="BU222" s="16">
        <v>9.1732420946899983E-4</v>
      </c>
      <c r="BV222" s="16">
        <v>7.9377186643185888E-5</v>
      </c>
      <c r="BW222" s="16">
        <v>7.838047945982825E-6</v>
      </c>
      <c r="BX222" s="16">
        <v>8.7184322818821005E-7</v>
      </c>
      <c r="BY222" s="16">
        <v>1.0803298670360444E-7</v>
      </c>
      <c r="BZ222" s="16">
        <v>1.4769779142982728E-8</v>
      </c>
      <c r="CA222" s="16">
        <v>2.20919264992353E-9</v>
      </c>
      <c r="CB222" s="16">
        <v>3.5885571831630437E-10</v>
      </c>
      <c r="CC222" s="16">
        <v>6.2891273353426804E-11</v>
      </c>
      <c r="CD222" s="16">
        <v>1.1822779735559951E-11</v>
      </c>
      <c r="CE222" s="16">
        <v>2.3716652613759757E-12</v>
      </c>
      <c r="CF222" s="16">
        <v>5.0532604238050452E-13</v>
      </c>
      <c r="CG222" s="16">
        <v>1.1388258859992678E-13</v>
      </c>
      <c r="CH222" s="16">
        <v>2.7043948303842933E-14</v>
      </c>
      <c r="CI222" s="16">
        <v>6.7440977456890531E-15</v>
      </c>
      <c r="CJ222" s="16">
        <v>1.760587635074506E-15</v>
      </c>
      <c r="CK222" s="16">
        <v>4.7962497194542564E-16</v>
      </c>
      <c r="CL222" s="16">
        <v>1.3552360824475907E-16</v>
      </c>
      <c r="CM222" s="16">
        <v>4.0454042013799394E-17</v>
      </c>
      <c r="CN222" s="16">
        <v>1.3384073346430416E-17</v>
      </c>
      <c r="CO222" s="16">
        <v>3.9762102340519246E-18</v>
      </c>
      <c r="CP222" s="16">
        <v>1.007033593211537E-18</v>
      </c>
      <c r="CQ222" s="16">
        <v>2.3750104295862688E-19</v>
      </c>
      <c r="CR222" s="16">
        <v>4.8349130980037567E-20</v>
      </c>
      <c r="CS222" s="16">
        <v>1.0089488219555286E-20</v>
      </c>
      <c r="CT222" s="16">
        <v>2.2216695985555983E-21</v>
      </c>
      <c r="CU222" s="16">
        <v>4.8065608150566255E-22</v>
      </c>
      <c r="CV222" s="16">
        <v>9.842196497545541E-23</v>
      </c>
      <c r="CW222" s="16">
        <v>2.0341515599091053E-23</v>
      </c>
      <c r="CX222" s="16">
        <v>4.3287654654126417E-24</v>
      </c>
      <c r="CY222" s="16">
        <v>9.4753076289387407E-25</v>
      </c>
      <c r="CZ222" s="16">
        <v>2.1313356657804671E-25</v>
      </c>
      <c r="DA222" s="16">
        <v>4.9219808061896138E-26</v>
      </c>
      <c r="DB222" s="16">
        <v>1.1659036557822836E-26</v>
      </c>
      <c r="DC222" s="16">
        <v>2.8289408356274288E-27</v>
      </c>
      <c r="DD222" s="16">
        <v>7.0597307099797878E-28</v>
      </c>
      <c r="DE222" s="16">
        <v>1.8085804422499996E-28</v>
      </c>
      <c r="DF222" s="16">
        <v>4.6332691011357193E-29</v>
      </c>
      <c r="DG222" s="16">
        <v>1.1869631044331846E-29</v>
      </c>
      <c r="DH222" s="16">
        <v>3.0407934020158562E-30</v>
      </c>
      <c r="DI222" s="16">
        <v>7.7899847735108911E-31</v>
      </c>
      <c r="DJ222" s="16">
        <v>1.995658843258883E-31</v>
      </c>
      <c r="DK222" s="16">
        <v>5.1125310320736254E-32</v>
      </c>
      <c r="DL222" s="16">
        <v>1.3097399715941899E-32</v>
      </c>
      <c r="DM222" s="16">
        <v>3.3552612385476652E-33</v>
      </c>
      <c r="DN222" s="16">
        <v>8.5931251528723945E-34</v>
      </c>
      <c r="DO222" s="16">
        <v>2.19203730886485E-34</v>
      </c>
      <c r="DP222" s="16">
        <v>5.2602353502494246E-35</v>
      </c>
    </row>
    <row r="223" spans="3:120" x14ac:dyDescent="0.25">
      <c r="C223" s="1"/>
      <c r="D223" s="1"/>
      <c r="E223" s="1"/>
      <c r="F223" s="1"/>
      <c r="G223" s="1"/>
      <c r="H223" s="1"/>
      <c r="I223" s="1"/>
      <c r="J223" s="93"/>
      <c r="O223" s="9">
        <f>O222-1</f>
        <v>49</v>
      </c>
      <c r="P223" s="16">
        <v>2.5712557895192147E-2</v>
      </c>
      <c r="Q223" s="16">
        <v>0.94863274314862467</v>
      </c>
      <c r="R223" s="16">
        <v>2.4981922282434066E-2</v>
      </c>
      <c r="S223" s="16">
        <v>3.2027401937070654E-4</v>
      </c>
      <c r="T223" s="16">
        <v>4.1059869742687175E-6</v>
      </c>
      <c r="U223" s="16">
        <v>5.263970229614691E-8</v>
      </c>
      <c r="V223" s="16">
        <v>6.7485315350287546E-10</v>
      </c>
      <c r="W223" s="16">
        <v>8.6517734509701374E-12</v>
      </c>
      <c r="X223" s="16">
        <v>1.1091773589318017E-13</v>
      </c>
      <c r="Y223" s="16">
        <v>1.4219910178403655E-15</v>
      </c>
      <c r="Z223" s="16">
        <v>1.8230253606827773E-17</v>
      </c>
      <c r="AA223" s="16">
        <v>2.3371607223792133E-19</v>
      </c>
      <c r="AB223" s="16">
        <v>2.9967672346005761E-21</v>
      </c>
      <c r="AC223" s="16">
        <v>3.750379743759365E-23</v>
      </c>
      <c r="AD223" s="16">
        <v>8.8508614522465458E-25</v>
      </c>
      <c r="AE223" s="16">
        <v>4.0347390650731597E-26</v>
      </c>
      <c r="AF223" s="16">
        <v>2.9073341143959215E-27</v>
      </c>
      <c r="AG223" s="16">
        <v>2.9459611918338602E-28</v>
      </c>
      <c r="AH223" s="16">
        <v>3.889525585829771E-29</v>
      </c>
      <c r="AI223" s="16">
        <v>6.3436465876216796E-30</v>
      </c>
      <c r="AJ223" s="16">
        <v>1.224693931604775E-30</v>
      </c>
      <c r="AK223" s="16">
        <v>2.7945863612543976E-31</v>
      </c>
      <c r="AL223" s="16">
        <v>7.7791239745234757E-32</v>
      </c>
      <c r="AM223" s="16">
        <v>1.9198103176493515E-32</v>
      </c>
      <c r="AN223" s="16">
        <v>4.0291627137942831E-33</v>
      </c>
      <c r="AO223" s="16">
        <v>7.6682642189479354E-34</v>
      </c>
      <c r="AP223" s="16">
        <v>1.2376968878520165E-34</v>
      </c>
      <c r="AQ223" s="16">
        <v>2.013641301687146E-35</v>
      </c>
      <c r="AR223" s="16">
        <v>3.2994154343876323E-36</v>
      </c>
      <c r="AS223" s="16">
        <v>5.4570253235003742E-37</v>
      </c>
      <c r="AT223" s="16">
        <v>9.1274530922885061E-38</v>
      </c>
      <c r="AU223" s="16">
        <v>1.5362317309523357E-38</v>
      </c>
      <c r="AV223" s="16">
        <v>2.5977418942497599E-39</v>
      </c>
      <c r="AW223" s="16">
        <v>4.4132382086552279E-40</v>
      </c>
      <c r="AX223" s="16">
        <v>7.5323566306413254E-41</v>
      </c>
      <c r="AY223" s="16">
        <v>1.2915362286100666E-41</v>
      </c>
      <c r="AZ223" s="16">
        <v>2.2247132632528394E-42</v>
      </c>
      <c r="BA223" s="16">
        <v>3.8494835555062051E-43</v>
      </c>
      <c r="BB223" s="16">
        <v>6.6948799834204286E-44</v>
      </c>
      <c r="BC223" s="16">
        <v>1.1693961742543476E-44</v>
      </c>
      <c r="BD223" s="16">
        <v>2.0425868958774878E-45</v>
      </c>
      <c r="BE223" s="16">
        <v>3.5677910694985423E-46</v>
      </c>
      <c r="BF223" s="16">
        <v>6.2318685884474024E-47</v>
      </c>
      <c r="BG223" s="16">
        <v>1.0885218710158782E-47</v>
      </c>
      <c r="BH223" s="16">
        <v>1.9013235706589191E-48</v>
      </c>
      <c r="BI223" s="16">
        <v>3.3210461023756952E-49</v>
      </c>
      <c r="BJ223" s="16">
        <v>5.8008784344188831E-50</v>
      </c>
      <c r="BK223" s="16">
        <v>1.0132397701092815E-50</v>
      </c>
      <c r="BL223" s="16">
        <v>1.769775049213596E-51</v>
      </c>
      <c r="BM223" s="16">
        <v>3.0883164025760065E-52</v>
      </c>
      <c r="BN223" s="16">
        <v>5.2301056091288516E-53</v>
      </c>
      <c r="BQ223" s="9">
        <f>BQ222-1</f>
        <v>49</v>
      </c>
      <c r="BR223" s="16">
        <v>0.14202482699220892</v>
      </c>
      <c r="BS223" s="16">
        <v>0.69235495776322475</v>
      </c>
      <c r="BT223" s="16">
        <v>0.13900405315464875</v>
      </c>
      <c r="BU223" s="16">
        <v>1.1252342628717433E-2</v>
      </c>
      <c r="BV223" s="16">
        <v>9.7367898044444315E-4</v>
      </c>
      <c r="BW223" s="16">
        <v>9.6145288784612836E-5</v>
      </c>
      <c r="BX223" s="16">
        <v>1.0694450904963659E-5</v>
      </c>
      <c r="BY223" s="16">
        <v>1.3251848899706957E-6</v>
      </c>
      <c r="BZ223" s="16">
        <v>1.811732577771268E-7</v>
      </c>
      <c r="CA223" s="16">
        <v>2.7099026029383174E-8</v>
      </c>
      <c r="CB223" s="16">
        <v>4.4018978841809657E-9</v>
      </c>
      <c r="CC223" s="16">
        <v>7.7145479081897115E-10</v>
      </c>
      <c r="CD223" s="16">
        <v>1.4502393704989602E-10</v>
      </c>
      <c r="CE223" s="16">
        <v>2.9091993698800362E-11</v>
      </c>
      <c r="CF223" s="16">
        <v>6.1985737532978302E-12</v>
      </c>
      <c r="CG223" s="16">
        <v>1.396938937339745E-12</v>
      </c>
      <c r="CH223" s="16">
        <v>3.3173415593633277E-13</v>
      </c>
      <c r="CI223" s="16">
        <v>8.2726366286551833E-14</v>
      </c>
      <c r="CJ223" s="16">
        <v>2.1596219845990196E-14</v>
      </c>
      <c r="CK223" s="16">
        <v>5.8833119870922794E-15</v>
      </c>
      <c r="CL223" s="16">
        <v>1.6623981559723988E-15</v>
      </c>
      <c r="CM223" s="16">
        <v>4.9622885426658328E-16</v>
      </c>
      <c r="CN223" s="16">
        <v>1.6417551996049136E-16</v>
      </c>
      <c r="CO223" s="16">
        <v>4.8774118741795846E-17</v>
      </c>
      <c r="CP223" s="16">
        <v>1.2352761338332048E-17</v>
      </c>
      <c r="CQ223" s="16">
        <v>2.913302715072975E-18</v>
      </c>
      <c r="CR223" s="16">
        <v>5.9307383580669026E-19</v>
      </c>
      <c r="CS223" s="16">
        <v>1.2376254460847845E-19</v>
      </c>
      <c r="CT223" s="16">
        <v>2.7252074318657261E-20</v>
      </c>
      <c r="CU223" s="16">
        <v>5.8959600758920386E-21</v>
      </c>
      <c r="CV223" s="16">
        <v>1.2072914468664497E-21</v>
      </c>
      <c r="CW223" s="16">
        <v>2.4951887320282048E-22</v>
      </c>
      <c r="CX223" s="16">
        <v>5.3098731804296281E-23</v>
      </c>
      <c r="CY223" s="16">
        <v>1.1622870829391537E-23</v>
      </c>
      <c r="CZ223" s="16">
        <v>2.6143994588401702E-24</v>
      </c>
      <c r="DA223" s="16">
        <v>6.0375398219649897E-25</v>
      </c>
      <c r="DB223" s="16">
        <v>1.4301538399962876E-25</v>
      </c>
      <c r="DC223" s="16">
        <v>3.4701157159338849E-26</v>
      </c>
      <c r="DD223" s="16">
        <v>8.6598072955203872E-27</v>
      </c>
      <c r="DE223" s="16">
        <v>2.2184922841592178E-27</v>
      </c>
      <c r="DF223" s="16">
        <v>5.683392074347148E-28</v>
      </c>
      <c r="DG223" s="16">
        <v>1.4559863787373057E-28</v>
      </c>
      <c r="DH223" s="16">
        <v>3.7299843250002035E-29</v>
      </c>
      <c r="DI223" s="16">
        <v>9.5555722654236314E-30</v>
      </c>
      <c r="DJ223" s="16">
        <v>2.4479717031972354E-30</v>
      </c>
      <c r="DK223" s="16">
        <v>6.2712779493897024E-31</v>
      </c>
      <c r="DL223" s="16">
        <v>1.6065904249311663E-31</v>
      </c>
      <c r="DM223" s="16">
        <v>4.1157257897780393E-32</v>
      </c>
      <c r="DN223" s="16">
        <v>1.0540743117151725E-32</v>
      </c>
      <c r="DO223" s="16">
        <v>2.6888590314821014E-33</v>
      </c>
      <c r="DP223" s="16">
        <v>6.4524592131892562E-34</v>
      </c>
    </row>
    <row r="224" spans="3:120" x14ac:dyDescent="0.25">
      <c r="C224" s="1"/>
      <c r="D224" s="1"/>
      <c r="E224" s="1"/>
      <c r="F224" s="1"/>
      <c r="G224" s="1"/>
      <c r="H224" s="1"/>
      <c r="I224" s="1"/>
      <c r="J224" s="93"/>
      <c r="O224" s="9">
        <f t="shared" ref="O224:O272" si="194">O223-1</f>
        <v>48</v>
      </c>
      <c r="P224" s="16">
        <v>3.3933920895730483E-4</v>
      </c>
      <c r="Q224" s="16">
        <v>2.5716908302304702E-2</v>
      </c>
      <c r="R224" s="16">
        <v>0.94863279892184971</v>
      </c>
      <c r="S224" s="16">
        <v>2.4981922997459705E-2</v>
      </c>
      <c r="T224" s="16">
        <v>3.202740285375006E-4</v>
      </c>
      <c r="U224" s="16">
        <v>4.1059870917891366E-6</v>
      </c>
      <c r="V224" s="16">
        <v>5.2639703802785853E-8</v>
      </c>
      <c r="W224" s="16">
        <v>6.74853172818335E-10</v>
      </c>
      <c r="X224" s="16">
        <v>8.6517736985987933E-12</v>
      </c>
      <c r="Y224" s="16">
        <v>1.1091773906783688E-13</v>
      </c>
      <c r="Z224" s="16">
        <v>1.4219910585466256E-15</v>
      </c>
      <c r="AA224" s="16">
        <v>1.823025461568397E-17</v>
      </c>
      <c r="AB224" s="16">
        <v>2.3375298578136645E-19</v>
      </c>
      <c r="AC224" s="16">
        <v>2.9253605445087346E-21</v>
      </c>
      <c r="AD224" s="16">
        <v>6.9038237848846024E-23</v>
      </c>
      <c r="AE224" s="16">
        <v>3.1471656938189773E-24</v>
      </c>
      <c r="AF224" s="16">
        <v>2.2677704896711853E-25</v>
      </c>
      <c r="AG224" s="16">
        <v>2.2979002727883912E-26</v>
      </c>
      <c r="AH224" s="16">
        <v>3.0338966886158861E-27</v>
      </c>
      <c r="AI224" s="16">
        <v>4.9481531747859799E-28</v>
      </c>
      <c r="AJ224" s="16">
        <v>9.5528227843525851E-29</v>
      </c>
      <c r="AK224" s="16">
        <v>2.1798253078343178E-29</v>
      </c>
      <c r="AL224" s="16">
        <v>6.067850164714702E-30</v>
      </c>
      <c r="AM224" s="16">
        <v>1.4974849854971226E-30</v>
      </c>
      <c r="AN224" s="16">
        <v>3.1428160441493167E-31</v>
      </c>
      <c r="AO224" s="16">
        <v>5.9813776533712277E-32</v>
      </c>
      <c r="AP224" s="16">
        <v>9.6542480739674595E-33</v>
      </c>
      <c r="AQ224" s="16">
        <v>1.5706747628825575E-33</v>
      </c>
      <c r="AR224" s="16">
        <v>2.5736006461110052E-34</v>
      </c>
      <c r="AS224" s="16">
        <v>4.2565733772204618E-35</v>
      </c>
      <c r="AT224" s="16">
        <v>7.1195700095345496E-36</v>
      </c>
      <c r="AU224" s="16">
        <v>1.1982871069065457E-36</v>
      </c>
      <c r="AV224" s="16">
        <v>2.0262832463568322E-37</v>
      </c>
      <c r="AW224" s="16">
        <v>3.4424015196330934E-38</v>
      </c>
      <c r="AX224" s="16">
        <v>5.8753674027577893E-39</v>
      </c>
      <c r="AY224" s="16">
        <v>1.0074204168968343E-39</v>
      </c>
      <c r="AZ224" s="16">
        <v>1.7353145142154191E-40</v>
      </c>
      <c r="BA224" s="16">
        <v>3.0026632179718805E-41</v>
      </c>
      <c r="BB224" s="16">
        <v>5.2221212495371357E-42</v>
      </c>
      <c r="BC224" s="16">
        <v>9.1214907897140789E-43</v>
      </c>
      <c r="BD224" s="16">
        <v>1.5932528229637232E-43</v>
      </c>
      <c r="BE224" s="16">
        <v>2.782938245954682E-44</v>
      </c>
      <c r="BF224" s="16">
        <v>4.8609644176814047E-45</v>
      </c>
      <c r="BG224" s="16">
        <v>8.4906573490414823E-46</v>
      </c>
      <c r="BH224" s="16">
        <v>1.4830650056718482E-46</v>
      </c>
      <c r="BI224" s="16">
        <v>2.5904729382539381E-47</v>
      </c>
      <c r="BJ224" s="16">
        <v>4.5247847031432298E-48</v>
      </c>
      <c r="BK224" s="16">
        <v>7.9034440459983916E-49</v>
      </c>
      <c r="BL224" s="16">
        <v>1.3804549019976906E-49</v>
      </c>
      <c r="BM224" s="16">
        <v>2.4089397795218784E-50</v>
      </c>
      <c r="BN224" s="16">
        <v>4.0795721068029146E-51</v>
      </c>
      <c r="BQ224" s="9">
        <f t="shared" ref="BQ224:BQ272" si="195">BQ223-1</f>
        <v>48</v>
      </c>
      <c r="BR224" s="16">
        <v>1.2008622097138214E-2</v>
      </c>
      <c r="BS224" s="16">
        <v>0.14309365180998757</v>
      </c>
      <c r="BT224" s="16">
        <v>0.69342556017588863</v>
      </c>
      <c r="BU224" s="16">
        <v>0.13708236693017317</v>
      </c>
      <c r="BV224" s="16">
        <v>1.1861904998239085E-2</v>
      </c>
      <c r="BW224" s="16">
        <v>1.1712959861480883E-3</v>
      </c>
      <c r="BX224" s="16">
        <v>1.3028581615791507E-4</v>
      </c>
      <c r="BY224" s="16">
        <v>1.6144147697179567E-5</v>
      </c>
      <c r="BZ224" s="16">
        <v>2.2071545295070491E-6</v>
      </c>
      <c r="CA224" s="16">
        <v>3.3013557729121857E-7</v>
      </c>
      <c r="CB224" s="16">
        <v>5.3626395930073758E-8</v>
      </c>
      <c r="CC224" s="16">
        <v>9.3982961765838215E-9</v>
      </c>
      <c r="CD224" s="16">
        <v>1.7667631717501453E-9</v>
      </c>
      <c r="CE224" s="16">
        <v>3.5441503041076501E-10</v>
      </c>
      <c r="CF224" s="16">
        <v>7.5514511931473799E-11</v>
      </c>
      <c r="CG224" s="16">
        <v>1.7018295861230825E-11</v>
      </c>
      <c r="CH224" s="16">
        <v>4.041372075826932E-12</v>
      </c>
      <c r="CI224" s="16">
        <v>1.0078191246284153E-12</v>
      </c>
      <c r="CJ224" s="16">
        <v>2.6309729723988638E-13</v>
      </c>
      <c r="CK224" s="16">
        <v>7.1673815772458089E-14</v>
      </c>
      <c r="CL224" s="16">
        <v>2.0252269373619889E-14</v>
      </c>
      <c r="CM224" s="16">
        <v>6.045339013078446E-15</v>
      </c>
      <c r="CN224" s="16">
        <v>2.0000785268250654E-15</v>
      </c>
      <c r="CO224" s="16">
        <v>5.9419374815293792E-16</v>
      </c>
      <c r="CP224" s="16">
        <v>1.5048828659557999E-16</v>
      </c>
      <c r="CQ224" s="16">
        <v>3.5491492300197003E-17</v>
      </c>
      <c r="CR224" s="16">
        <v>7.2251590499252971E-18</v>
      </c>
      <c r="CS224" s="16">
        <v>1.5077449302808113E-18</v>
      </c>
      <c r="CT224" s="16">
        <v>3.3200009763516557E-19</v>
      </c>
      <c r="CU224" s="16">
        <v>7.1827901904299549E-20</v>
      </c>
      <c r="CV224" s="16">
        <v>1.4707903462576147E-20</v>
      </c>
      <c r="CW224" s="16">
        <v>3.0397792585072661E-21</v>
      </c>
      <c r="CX224" s="16">
        <v>6.4687861691544146E-22</v>
      </c>
      <c r="CY224" s="16">
        <v>1.4159634987921299E-22</v>
      </c>
      <c r="CZ224" s="16">
        <v>3.1850084710726961E-23</v>
      </c>
      <c r="DA224" s="16">
        <v>7.3552706004338332E-24</v>
      </c>
      <c r="DB224" s="16">
        <v>1.7422938487548818E-24</v>
      </c>
      <c r="DC224" s="16">
        <v>4.2274901463432399E-25</v>
      </c>
      <c r="DD224" s="16">
        <v>1.0549864329579388E-25</v>
      </c>
      <c r="DE224" s="16">
        <v>2.7026920825600179E-26</v>
      </c>
      <c r="DF224" s="16">
        <v>6.9238278947829779E-27</v>
      </c>
      <c r="DG224" s="16">
        <v>1.7737645004340852E-27</v>
      </c>
      <c r="DH224" s="16">
        <v>4.5440767025572967E-28</v>
      </c>
      <c r="DI224" s="16">
        <v>1.1641135599386682E-28</v>
      </c>
      <c r="DJ224" s="16">
        <v>2.9822568182018984E-29</v>
      </c>
      <c r="DK224" s="16">
        <v>7.6400235341690039E-30</v>
      </c>
      <c r="DL224" s="16">
        <v>1.9572388204288075E-30</v>
      </c>
      <c r="DM224" s="16">
        <v>5.014008651482362E-31</v>
      </c>
      <c r="DN224" s="16">
        <v>1.284132614318365E-31</v>
      </c>
      <c r="DO224" s="16">
        <v>3.275719310541051E-32</v>
      </c>
      <c r="DP224" s="16">
        <v>7.8607487405065392E-33</v>
      </c>
    </row>
    <row r="225" spans="3:120" x14ac:dyDescent="0.25">
      <c r="C225" s="1"/>
      <c r="D225" s="1"/>
      <c r="E225" s="1"/>
      <c r="F225" s="1"/>
      <c r="G225" s="1"/>
      <c r="H225" s="1"/>
      <c r="I225" s="1"/>
      <c r="J225" s="93"/>
      <c r="O225" s="9">
        <f t="shared" si="194"/>
        <v>47</v>
      </c>
      <c r="P225" s="16">
        <v>4.4783992010884643E-6</v>
      </c>
      <c r="Q225" s="16">
        <v>3.3939662307044891E-4</v>
      </c>
      <c r="R225" s="16">
        <v>2.571690903836691E-2</v>
      </c>
      <c r="S225" s="16">
        <v>0.94863279893128638</v>
      </c>
      <c r="T225" s="16">
        <v>2.4981922997580681E-2</v>
      </c>
      <c r="U225" s="16">
        <v>3.2027402853905155E-4</v>
      </c>
      <c r="V225" s="16">
        <v>4.1059870918090207E-6</v>
      </c>
      <c r="W225" s="16">
        <v>5.2639703803040764E-8</v>
      </c>
      <c r="X225" s="16">
        <v>6.7485317282160309E-10</v>
      </c>
      <c r="Y225" s="16">
        <v>8.6517736986406984E-12</v>
      </c>
      <c r="Z225" s="16">
        <v>1.1091773906887543E-13</v>
      </c>
      <c r="AA225" s="16">
        <v>1.4219910965461919E-15</v>
      </c>
      <c r="AB225" s="16">
        <v>1.8233133413628997E-17</v>
      </c>
      <c r="AC225" s="16">
        <v>2.2818313491354766E-19</v>
      </c>
      <c r="AD225" s="16">
        <v>5.3851008453736907E-21</v>
      </c>
      <c r="AE225" s="16">
        <v>2.4548431661047873E-22</v>
      </c>
      <c r="AF225" s="16">
        <v>1.7688998389239647E-23</v>
      </c>
      <c r="AG225" s="16">
        <v>1.7924015860123863E-24</v>
      </c>
      <c r="AH225" s="16">
        <v>2.3664914012452497E-25</v>
      </c>
      <c r="AI225" s="16">
        <v>3.8596442601734051E-26</v>
      </c>
      <c r="AJ225" s="16">
        <v>7.4513654540766984E-27</v>
      </c>
      <c r="AK225" s="16">
        <v>1.7003010901996476E-27</v>
      </c>
      <c r="AL225" s="16">
        <v>4.7330270977002078E-28</v>
      </c>
      <c r="AM225" s="16">
        <v>1.168063947256405E-28</v>
      </c>
      <c r="AN225" s="16">
        <v>2.4514503648336348E-29</v>
      </c>
      <c r="AO225" s="16">
        <v>4.6655770571941235E-30</v>
      </c>
      <c r="AP225" s="16">
        <v>7.5304789178419742E-31</v>
      </c>
      <c r="AQ225" s="16">
        <v>1.2251532276829921E-31</v>
      </c>
      <c r="AR225" s="16">
        <v>2.0074526011759014E-32</v>
      </c>
      <c r="AS225" s="16">
        <v>3.3202001682388243E-33</v>
      </c>
      <c r="AT225" s="16">
        <v>5.5533865972916804E-34</v>
      </c>
      <c r="AU225" s="16">
        <v>9.3468447536725353E-35</v>
      </c>
      <c r="AV225" s="16">
        <v>1.5805356513897625E-35</v>
      </c>
      <c r="AW225" s="16">
        <v>2.6851321689407382E-36</v>
      </c>
      <c r="AX225" s="16">
        <v>4.5828872452892202E-37</v>
      </c>
      <c r="AY225" s="16">
        <v>7.858051867655742E-38</v>
      </c>
      <c r="AZ225" s="16">
        <v>1.3535750547327865E-38</v>
      </c>
      <c r="BA225" s="16">
        <v>2.342128758974855E-39</v>
      </c>
      <c r="BB225" s="16">
        <v>4.0733440527692135E-40</v>
      </c>
      <c r="BC225" s="16">
        <v>7.1149191076258994E-41</v>
      </c>
      <c r="BD225" s="16">
        <v>1.2427645014087474E-41</v>
      </c>
      <c r="BE225" s="16">
        <v>2.1707395159367948E-42</v>
      </c>
      <c r="BF225" s="16">
        <v>3.7916355357011921E-43</v>
      </c>
      <c r="BG225" s="16">
        <v>6.6228582149226867E-44</v>
      </c>
      <c r="BH225" s="16">
        <v>1.1568161159143925E-44</v>
      </c>
      <c r="BI225" s="16">
        <v>2.0206132781446889E-45</v>
      </c>
      <c r="BJ225" s="16">
        <v>3.529409598109815E-46</v>
      </c>
      <c r="BK225" s="16">
        <v>6.1648217769771767E-47</v>
      </c>
      <c r="BL225" s="16">
        <v>1.0767784768817468E-47</v>
      </c>
      <c r="BM225" s="16">
        <v>1.8790143038644215E-48</v>
      </c>
      <c r="BN225" s="16">
        <v>3.1821361444952515E-49</v>
      </c>
      <c r="BQ225" s="9">
        <f t="shared" si="195"/>
        <v>47</v>
      </c>
      <c r="BR225" s="16">
        <v>1.100270408309117E-3</v>
      </c>
      <c r="BS225" s="16">
        <v>1.3110722398445506E-2</v>
      </c>
      <c r="BT225" s="16">
        <v>0.15515735422966198</v>
      </c>
      <c r="BU225" s="16">
        <v>0.66993524966455309</v>
      </c>
      <c r="BV225" s="16">
        <v>0.14450154114147798</v>
      </c>
      <c r="BW225" s="16">
        <v>1.4268709381532897E-2</v>
      </c>
      <c r="BX225" s="16">
        <v>1.5871397744703587E-3</v>
      </c>
      <c r="BY225" s="16">
        <v>1.9666775471599253E-4</v>
      </c>
      <c r="BZ225" s="16">
        <v>2.6887521953557122E-5</v>
      </c>
      <c r="CA225" s="16">
        <v>4.0217064384931831E-6</v>
      </c>
      <c r="CB225" s="16">
        <v>6.532759163818209E-7</v>
      </c>
      <c r="CC225" s="16">
        <v>1.1448989701249749E-7</v>
      </c>
      <c r="CD225" s="16">
        <v>2.1522681322081182E-8</v>
      </c>
      <c r="CE225" s="16">
        <v>4.31747835660984E-9</v>
      </c>
      <c r="CF225" s="16">
        <v>9.199166031311483E-10</v>
      </c>
      <c r="CG225" s="16">
        <v>2.0731661397680703E-10</v>
      </c>
      <c r="CH225" s="16">
        <v>4.9231931411507586E-11</v>
      </c>
      <c r="CI225" s="16">
        <v>1.2277236811648754E-11</v>
      </c>
      <c r="CJ225" s="16">
        <v>3.2050471595384482E-12</v>
      </c>
      <c r="CK225" s="16">
        <v>8.7312930259920912E-13</v>
      </c>
      <c r="CL225" s="16">
        <v>2.4671282871805743E-13</v>
      </c>
      <c r="CM225" s="16">
        <v>7.364422529452212E-14</v>
      </c>
      <c r="CN225" s="16">
        <v>2.4364925328023059E-14</v>
      </c>
      <c r="CO225" s="16">
        <v>7.2384589454625595E-15</v>
      </c>
      <c r="CP225" s="16">
        <v>1.8332459533295802E-15</v>
      </c>
      <c r="CQ225" s="16">
        <v>4.3235680403364462E-16</v>
      </c>
      <c r="CR225" s="16">
        <v>8.8016774528331855E-17</v>
      </c>
      <c r="CS225" s="16">
        <v>1.8367325156133927E-17</v>
      </c>
      <c r="CT225" s="16">
        <v>4.0444199961578222E-18</v>
      </c>
      <c r="CU225" s="16">
        <v>8.750063774470455E-19</v>
      </c>
      <c r="CV225" s="16">
        <v>1.7917144991616768E-19</v>
      </c>
      <c r="CW225" s="16">
        <v>3.7030543378100473E-20</v>
      </c>
      <c r="CX225" s="16">
        <v>7.8802651926166592E-21</v>
      </c>
      <c r="CY225" s="16">
        <v>1.7249245193408354E-21</v>
      </c>
      <c r="CZ225" s="16">
        <v>3.8799723373858589E-22</v>
      </c>
      <c r="DA225" s="16">
        <v>8.9601791401387399E-23</v>
      </c>
      <c r="DB225" s="16">
        <v>2.1224596412108536E-23</v>
      </c>
      <c r="DC225" s="16">
        <v>5.1499218835228927E-24</v>
      </c>
      <c r="DD225" s="16">
        <v>1.2851828223915439E-24</v>
      </c>
      <c r="DE225" s="16">
        <v>3.2924152673518283E-25</v>
      </c>
      <c r="DF225" s="16">
        <v>8.4345963109890133E-26</v>
      </c>
      <c r="DG225" s="16">
        <v>2.1607971398592291E-26</v>
      </c>
      <c r="DH225" s="16">
        <v>5.5355871310897514E-27</v>
      </c>
      <c r="DI225" s="16">
        <v>1.4181213177799161E-27</v>
      </c>
      <c r="DJ225" s="16">
        <v>3.6329805910081771E-28</v>
      </c>
      <c r="DK225" s="16">
        <v>9.3070647185968178E-29</v>
      </c>
      <c r="DL225" s="16">
        <v>2.3843052694813916E-29</v>
      </c>
      <c r="DM225" s="16">
        <v>6.1080574961902215E-30</v>
      </c>
      <c r="DN225" s="16">
        <v>1.5643283420882676E-30</v>
      </c>
      <c r="DO225" s="16">
        <v>3.9904761401339029E-31</v>
      </c>
      <c r="DP225" s="16">
        <v>9.5759518196929669E-32</v>
      </c>
    </row>
    <row r="226" spans="3:120" x14ac:dyDescent="0.25">
      <c r="C226" s="1"/>
      <c r="D226" s="1"/>
      <c r="E226" s="1"/>
      <c r="F226" s="1"/>
      <c r="G226" s="1"/>
      <c r="H226" s="1"/>
      <c r="I226" s="1"/>
      <c r="J226" s="93"/>
      <c r="O226" s="9">
        <f t="shared" si="194"/>
        <v>46</v>
      </c>
      <c r="P226" s="16">
        <v>5.9103277413584174E-8</v>
      </c>
      <c r="Q226" s="16">
        <v>4.4791569187693219E-6</v>
      </c>
      <c r="R226" s="16">
        <v>3.3939663278456471E-4</v>
      </c>
      <c r="S226" s="16">
        <v>2.5716909038491446E-2</v>
      </c>
      <c r="T226" s="16">
        <v>0.94863279893128805</v>
      </c>
      <c r="U226" s="16">
        <v>2.4981922997580702E-2</v>
      </c>
      <c r="V226" s="16">
        <v>3.2027402853905182E-4</v>
      </c>
      <c r="W226" s="16">
        <v>4.1059870918090241E-6</v>
      </c>
      <c r="X226" s="16">
        <v>5.263970380304081E-8</v>
      </c>
      <c r="Y226" s="16">
        <v>6.7485317282160412E-10</v>
      </c>
      <c r="Z226" s="16">
        <v>8.6517736986798166E-12</v>
      </c>
      <c r="AA226" s="16">
        <v>1.1091774203236966E-13</v>
      </c>
      <c r="AB226" s="16">
        <v>1.4222156477116777E-15</v>
      </c>
      <c r="AC226" s="16">
        <v>1.7798675502224652E-17</v>
      </c>
      <c r="AD226" s="16">
        <v>4.2004709300657145E-19</v>
      </c>
      <c r="AE226" s="16">
        <v>1.9148197319187046E-20</v>
      </c>
      <c r="AF226" s="16">
        <v>1.3797721834645481E-21</v>
      </c>
      <c r="AG226" s="16">
        <v>1.3981039488827348E-22</v>
      </c>
      <c r="AH226" s="16">
        <v>1.8459038414704662E-23</v>
      </c>
      <c r="AI226" s="16">
        <v>3.0105886557688696E-24</v>
      </c>
      <c r="AJ226" s="16">
        <v>5.8121927291359985E-25</v>
      </c>
      <c r="AK226" s="16">
        <v>1.326263984058603E-25</v>
      </c>
      <c r="AL226" s="16">
        <v>3.6918422339634779E-26</v>
      </c>
      <c r="AM226" s="16">
        <v>9.1110989297877629E-27</v>
      </c>
      <c r="AN226" s="16">
        <v>1.912173288793464E-27</v>
      </c>
      <c r="AO226" s="16">
        <v>3.639230046650225E-28</v>
      </c>
      <c r="AP226" s="16">
        <v>5.8739025864376205E-29</v>
      </c>
      <c r="AQ226" s="16">
        <v>9.5564050990422547E-30</v>
      </c>
      <c r="AR226" s="16">
        <v>1.5658474254884698E-30</v>
      </c>
      <c r="AS226" s="16">
        <v>2.589813020988781E-31</v>
      </c>
      <c r="AT226" s="16">
        <v>4.3317367000434568E-32</v>
      </c>
      <c r="AU226" s="16">
        <v>7.2906990607924748E-33</v>
      </c>
      <c r="AV226" s="16">
        <v>1.2328448896734584E-33</v>
      </c>
      <c r="AW226" s="16">
        <v>2.0944491000032879E-34</v>
      </c>
      <c r="AX226" s="16">
        <v>3.574730576520981E-35</v>
      </c>
      <c r="AY226" s="16">
        <v>6.1294151000706156E-36</v>
      </c>
      <c r="AZ226" s="16">
        <v>1.0558117354388433E-36</v>
      </c>
      <c r="BA226" s="16">
        <v>1.8269005630593847E-37</v>
      </c>
      <c r="BB226" s="16">
        <v>3.1772781556193542E-38</v>
      </c>
      <c r="BC226" s="16">
        <v>5.5497588140854568E-39</v>
      </c>
      <c r="BD226" s="16">
        <v>9.6937760516958485E-40</v>
      </c>
      <c r="BE226" s="16">
        <v>1.6932140168314135E-40</v>
      </c>
      <c r="BF226" s="16">
        <v>2.9575406853892994E-41</v>
      </c>
      <c r="BG226" s="16">
        <v>5.1659428865903052E-42</v>
      </c>
      <c r="BH226" s="16">
        <v>9.0233639180674262E-43</v>
      </c>
      <c r="BI226" s="16">
        <v>1.5761129790249223E-43</v>
      </c>
      <c r="BJ226" s="16">
        <v>2.7529999609740691E-44</v>
      </c>
      <c r="BK226" s="16">
        <v>4.8086666167960581E-45</v>
      </c>
      <c r="BL226" s="16">
        <v>8.3990566196134992E-46</v>
      </c>
      <c r="BM226" s="16">
        <v>1.4656633528675289E-46</v>
      </c>
      <c r="BN226" s="16">
        <v>2.4821207168193987E-47</v>
      </c>
      <c r="BQ226" s="9">
        <f t="shared" si="195"/>
        <v>46</v>
      </c>
      <c r="BR226" s="16">
        <v>1.1516125730544709E-4</v>
      </c>
      <c r="BS226" s="16">
        <v>1.3722510977169581E-3</v>
      </c>
      <c r="BT226" s="16">
        <v>1.6239749663661339E-2</v>
      </c>
      <c r="BU226" s="16">
        <v>0.17478598126218653</v>
      </c>
      <c r="BV226" s="16">
        <v>0.62643910406059489</v>
      </c>
      <c r="BW226" s="16">
        <v>0.16060165669707127</v>
      </c>
      <c r="BX226" s="16">
        <v>1.7864073783691564E-2</v>
      </c>
      <c r="BY226" s="16">
        <v>2.213596645759733E-3</v>
      </c>
      <c r="BZ226" s="16">
        <v>3.0263287693061444E-4</v>
      </c>
      <c r="CA226" s="16">
        <v>4.5266372697114588E-5</v>
      </c>
      <c r="CB226" s="16">
        <v>7.3529561536242135E-6</v>
      </c>
      <c r="CC226" s="16">
        <v>1.2886426265771215E-6</v>
      </c>
      <c r="CD226" s="16">
        <v>2.4224883866252012E-7</v>
      </c>
      <c r="CE226" s="16">
        <v>4.8595437631009982E-8</v>
      </c>
      <c r="CF226" s="16">
        <v>1.0354134108107599E-8</v>
      </c>
      <c r="CG226" s="16">
        <v>2.3334550291279013E-9</v>
      </c>
      <c r="CH226" s="16">
        <v>5.5413068804371961E-10</v>
      </c>
      <c r="CI226" s="16">
        <v>1.3818660951669291E-10</v>
      </c>
      <c r="CJ226" s="16">
        <v>3.6074452835959218E-11</v>
      </c>
      <c r="CK226" s="16">
        <v>9.8275189968952106E-12</v>
      </c>
      <c r="CL226" s="16">
        <v>2.7768796715294894E-12</v>
      </c>
      <c r="CM226" s="16">
        <v>8.2890360103486746E-13</v>
      </c>
      <c r="CN226" s="16">
        <v>2.7423975556229011E-13</v>
      </c>
      <c r="CO226" s="16">
        <v>8.1472575233719824E-14</v>
      </c>
      <c r="CP226" s="16">
        <v>2.0634125299305971E-14</v>
      </c>
      <c r="CQ226" s="16">
        <v>4.8663980150806483E-15</v>
      </c>
      <c r="CR226" s="16">
        <v>9.9067402863201939E-16</v>
      </c>
      <c r="CS226" s="16">
        <v>2.0673368349534639E-16</v>
      </c>
      <c r="CT226" s="16">
        <v>4.5522025460997121E-17</v>
      </c>
      <c r="CU226" s="16">
        <v>9.8486464389256073E-18</v>
      </c>
      <c r="CV226" s="16">
        <v>2.0166667439870113E-18</v>
      </c>
      <c r="CW226" s="16">
        <v>4.1679779550438852E-19</v>
      </c>
      <c r="CX226" s="16">
        <v>8.8696434365988791E-20</v>
      </c>
      <c r="CY226" s="16">
        <v>1.9414911893998955E-20</v>
      </c>
      <c r="CZ226" s="16">
        <v>4.3671082552809952E-21</v>
      </c>
      <c r="DA226" s="16">
        <v>1.0085142080693402E-21</v>
      </c>
      <c r="DB226" s="16">
        <v>2.3889373981665233E-22</v>
      </c>
      <c r="DC226" s="16">
        <v>5.7965017314370719E-23</v>
      </c>
      <c r="DD226" s="16">
        <v>1.4465393114098584E-23</v>
      </c>
      <c r="DE226" s="16">
        <v>3.7057825787368344E-24</v>
      </c>
      <c r="DF226" s="16">
        <v>9.4935715970852215E-25</v>
      </c>
      <c r="DG226" s="16">
        <v>2.432088223037338E-25</v>
      </c>
      <c r="DH226" s="16">
        <v>6.2305877866894593E-26</v>
      </c>
      <c r="DI226" s="16">
        <v>1.5961684196025078E-26</v>
      </c>
      <c r="DJ226" s="16">
        <v>4.0891063519687214E-27</v>
      </c>
      <c r="DK226" s="16">
        <v>1.0475579625498903E-27</v>
      </c>
      <c r="DL226" s="16">
        <v>2.6836581088816797E-28</v>
      </c>
      <c r="DM226" s="16">
        <v>6.8749326015337849E-29</v>
      </c>
      <c r="DN226" s="16">
        <v>1.7607319389566858E-29</v>
      </c>
      <c r="DO226" s="16">
        <v>4.4914859640009669E-30</v>
      </c>
      <c r="DP226" s="16">
        <v>1.0778225875736533E-30</v>
      </c>
    </row>
    <row r="227" spans="3:120" x14ac:dyDescent="0.25">
      <c r="C227" s="1"/>
      <c r="D227" s="1"/>
      <c r="E227" s="1"/>
      <c r="F227" s="1"/>
      <c r="G227" s="1"/>
      <c r="H227" s="1"/>
      <c r="I227" s="1"/>
      <c r="J227" s="93"/>
      <c r="O227" s="9">
        <f t="shared" si="194"/>
        <v>45</v>
      </c>
      <c r="P227" s="16">
        <v>7.8001027692620086E-10</v>
      </c>
      <c r="Q227" s="16">
        <v>5.9113277325669292E-8</v>
      </c>
      <c r="R227" s="16">
        <v>4.479157046970508E-6</v>
      </c>
      <c r="S227" s="16">
        <v>3.3939663278620831E-4</v>
      </c>
      <c r="T227" s="16">
        <v>2.5716909038491467E-2</v>
      </c>
      <c r="U227" s="16">
        <v>0.94863279893128805</v>
      </c>
      <c r="V227" s="16">
        <v>2.4981922997580702E-2</v>
      </c>
      <c r="W227" s="16">
        <v>3.2027402853905182E-4</v>
      </c>
      <c r="X227" s="16">
        <v>4.1059870918090241E-6</v>
      </c>
      <c r="Y227" s="16">
        <v>5.2639703803040843E-8</v>
      </c>
      <c r="Z227" s="16">
        <v>6.7485317282465487E-10</v>
      </c>
      <c r="AA227" s="16">
        <v>8.6517739298374373E-12</v>
      </c>
      <c r="AB227" s="16">
        <v>1.1093525740803322E-13</v>
      </c>
      <c r="AC227" s="16">
        <v>1.3883271862029416E-15</v>
      </c>
      <c r="AD227" s="16">
        <v>3.2764392981581642E-17</v>
      </c>
      <c r="AE227" s="16">
        <v>1.4935922002557398E-18</v>
      </c>
      <c r="AF227" s="16">
        <v>1.0762459447226829E-19</v>
      </c>
      <c r="AG227" s="16">
        <v>1.0905450358533588E-20</v>
      </c>
      <c r="AH227" s="16">
        <v>1.4398366248710917E-21</v>
      </c>
      <c r="AI227" s="16">
        <v>2.3483107362430828E-22</v>
      </c>
      <c r="AJ227" s="16">
        <v>4.5336099173795284E-23</v>
      </c>
      <c r="AK227" s="16">
        <v>1.0345086323531441E-23</v>
      </c>
      <c r="AL227" s="16">
        <v>2.879700200131781E-24</v>
      </c>
      <c r="AM227" s="16">
        <v>7.1068132787902426E-25</v>
      </c>
      <c r="AN227" s="16">
        <v>1.4915279292727377E-25</v>
      </c>
      <c r="AO227" s="16">
        <v>2.8386617925472049E-26</v>
      </c>
      <c r="AP227" s="16">
        <v>4.5817446634384909E-27</v>
      </c>
      <c r="AQ227" s="16">
        <v>7.4541597208795018E-28</v>
      </c>
      <c r="AR227" s="16">
        <v>1.2213878217959595E-28</v>
      </c>
      <c r="AS227" s="16">
        <v>2.0200985313607701E-29</v>
      </c>
      <c r="AT227" s="16">
        <v>3.3788288479059438E-30</v>
      </c>
      <c r="AU227" s="16">
        <v>5.6868701894460142E-31</v>
      </c>
      <c r="AV227" s="16">
        <v>9.6164013804909072E-32</v>
      </c>
      <c r="AW227" s="16">
        <v>1.6337061852099081E-32</v>
      </c>
      <c r="AX227" s="16">
        <v>2.7883511006842505E-33</v>
      </c>
      <c r="AY227" s="16">
        <v>4.7810488021354399E-34</v>
      </c>
      <c r="AZ227" s="16">
        <v>8.2355124438256207E-35</v>
      </c>
      <c r="BA227" s="16">
        <v>1.4250137420999608E-35</v>
      </c>
      <c r="BB227" s="16">
        <v>2.4783314022572898E-36</v>
      </c>
      <c r="BC227" s="16">
        <v>4.3289069669825732E-37</v>
      </c>
      <c r="BD227" s="16">
        <v>7.5613114177233178E-38</v>
      </c>
      <c r="BE227" s="16">
        <v>1.3207359453983632E-38</v>
      </c>
      <c r="BF227" s="16">
        <v>2.3069324103998821E-39</v>
      </c>
      <c r="BG227" s="16">
        <v>4.029523967066308E-40</v>
      </c>
      <c r="BH227" s="16">
        <v>7.0383784663582995E-41</v>
      </c>
      <c r="BI227" s="16">
        <v>1.2293951294488785E-41</v>
      </c>
      <c r="BJ227" s="16">
        <v>2.1473871406657293E-42</v>
      </c>
      <c r="BK227" s="16">
        <v>3.7508423548988555E-43</v>
      </c>
      <c r="BL227" s="16">
        <v>6.5514080764098075E-44</v>
      </c>
      <c r="BM227" s="16">
        <v>1.143242528553888E-44</v>
      </c>
      <c r="BN227" s="16">
        <v>1.9360966888615895E-45</v>
      </c>
      <c r="BQ227" s="9">
        <f t="shared" si="195"/>
        <v>45</v>
      </c>
      <c r="BR227" s="16">
        <v>1.3590135328115129E-5</v>
      </c>
      <c r="BS227" s="16">
        <v>1.6193882003792521E-4</v>
      </c>
      <c r="BT227" s="16">
        <v>1.9164465618719039E-3</v>
      </c>
      <c r="BU227" s="16">
        <v>2.0626425886530818E-2</v>
      </c>
      <c r="BV227" s="16">
        <v>0.19193544812120003</v>
      </c>
      <c r="BW227" s="16">
        <v>0.58382342326308767</v>
      </c>
      <c r="BX227" s="16">
        <v>0.17617214588812341</v>
      </c>
      <c r="BY227" s="16">
        <v>2.1830075039785082E-2</v>
      </c>
      <c r="BZ227" s="16">
        <v>2.9845086843425027E-3</v>
      </c>
      <c r="CA227" s="16">
        <v>4.4640847945346383E-4</v>
      </c>
      <c r="CB227" s="16">
        <v>7.2513474803705808E-5</v>
      </c>
      <c r="CC227" s="16">
        <v>1.270835194457451E-5</v>
      </c>
      <c r="CD227" s="16">
        <v>2.3890126218042733E-6</v>
      </c>
      <c r="CE227" s="16">
        <v>4.7923909358475294E-7</v>
      </c>
      <c r="CF227" s="16">
        <v>1.0211052902748252E-7</v>
      </c>
      <c r="CG227" s="16">
        <v>2.3012095941418876E-8</v>
      </c>
      <c r="CH227" s="16">
        <v>5.4647329381412208E-9</v>
      </c>
      <c r="CI227" s="16">
        <v>1.3627704311087555E-9</v>
      </c>
      <c r="CJ227" s="16">
        <v>3.5575948939780561E-10</v>
      </c>
      <c r="CK227" s="16">
        <v>9.6917149548491808E-11</v>
      </c>
      <c r="CL227" s="16">
        <v>2.7385066616387638E-11</v>
      </c>
      <c r="CM227" s="16">
        <v>8.1744918822502107E-12</v>
      </c>
      <c r="CN227" s="16">
        <v>2.7045010455201573E-12</v>
      </c>
      <c r="CO227" s="16">
        <v>8.0346725969410708E-13</v>
      </c>
      <c r="CP227" s="16">
        <v>2.0348987451125241E-13</v>
      </c>
      <c r="CQ227" s="16">
        <v>4.7991504706229353E-14</v>
      </c>
      <c r="CR227" s="16">
        <v>9.76984150496881E-15</v>
      </c>
      <c r="CS227" s="16">
        <v>2.0387688211398023E-15</v>
      </c>
      <c r="CT227" s="16">
        <v>4.4892967907236223E-16</v>
      </c>
      <c r="CU227" s="16">
        <v>9.7125504420101232E-17</v>
      </c>
      <c r="CV227" s="16">
        <v>1.9887989275645995E-17</v>
      </c>
      <c r="CW227" s="16">
        <v>4.1103817037791945E-18</v>
      </c>
      <c r="CX227" s="16">
        <v>8.74707603880726E-19</v>
      </c>
      <c r="CY227" s="16">
        <v>1.914662205278821E-19</v>
      </c>
      <c r="CZ227" s="16">
        <v>4.3067602718980979E-20</v>
      </c>
      <c r="DA227" s="16">
        <v>9.9457780092935531E-21</v>
      </c>
      <c r="DB227" s="16">
        <v>2.355925266114839E-21</v>
      </c>
      <c r="DC227" s="16">
        <v>5.7164013149326977E-22</v>
      </c>
      <c r="DD227" s="16">
        <v>1.4265499442532037E-22</v>
      </c>
      <c r="DE227" s="16">
        <v>3.654573290482575E-23</v>
      </c>
      <c r="DF227" s="16">
        <v>9.3623822911429123E-24</v>
      </c>
      <c r="DG227" s="16">
        <v>2.3984798004634046E-24</v>
      </c>
      <c r="DH227" s="16">
        <v>6.1444888428947577E-25</v>
      </c>
      <c r="DI227" s="16">
        <v>1.5741113649952638E-25</v>
      </c>
      <c r="DJ227" s="16">
        <v>4.0326000077806411E-26</v>
      </c>
      <c r="DK227" s="16">
        <v>1.0330820194724234E-26</v>
      </c>
      <c r="DL227" s="16">
        <v>2.646573304591718E-27</v>
      </c>
      <c r="DM227" s="16">
        <v>6.7799296169170899E-28</v>
      </c>
      <c r="DN227" s="16">
        <v>1.7364008219834798E-28</v>
      </c>
      <c r="DO227" s="16">
        <v>4.4294192359796781E-29</v>
      </c>
      <c r="DP227" s="16">
        <v>1.0629284251663097E-29</v>
      </c>
    </row>
    <row r="228" spans="3:120" x14ac:dyDescent="0.25">
      <c r="C228" s="1"/>
      <c r="D228" s="1"/>
      <c r="E228" s="1"/>
      <c r="F228" s="1"/>
      <c r="G228" s="1"/>
      <c r="H228" s="1"/>
      <c r="I228" s="1"/>
      <c r="J228" s="93"/>
      <c r="O228" s="9">
        <f t="shared" si="194"/>
        <v>44</v>
      </c>
      <c r="P228" s="16">
        <v>1.0294116650300196E-11</v>
      </c>
      <c r="Q228" s="16">
        <v>7.8014224988161179E-10</v>
      </c>
      <c r="R228" s="16">
        <v>5.9113279017593087E-8</v>
      </c>
      <c r="S228" s="16">
        <v>4.4791570469921988E-6</v>
      </c>
      <c r="T228" s="16">
        <v>3.3939663278620858E-4</v>
      </c>
      <c r="U228" s="16">
        <v>2.5716909038491467E-2</v>
      </c>
      <c r="V228" s="16">
        <v>0.94863279893128805</v>
      </c>
      <c r="W228" s="16">
        <v>2.4981922997580702E-2</v>
      </c>
      <c r="X228" s="16">
        <v>3.2027402853905182E-4</v>
      </c>
      <c r="Y228" s="16">
        <v>4.1059870918090275E-6</v>
      </c>
      <c r="Z228" s="16">
        <v>5.2639703803278813E-8</v>
      </c>
      <c r="AA228" s="16">
        <v>6.7485319085534543E-10</v>
      </c>
      <c r="AB228" s="16">
        <v>8.6531401591508072E-12</v>
      </c>
      <c r="AC228" s="16">
        <v>1.0829189934437902E-13</v>
      </c>
      <c r="AD228" s="16">
        <v>2.5556787925079675E-15</v>
      </c>
      <c r="AE228" s="16">
        <v>1.1650275080617844E-16</v>
      </c>
      <c r="AF228" s="16">
        <v>8.3949027775264028E-18</v>
      </c>
      <c r="AG228" s="16">
        <v>8.5064381384145182E-19</v>
      </c>
      <c r="AH228" s="16">
        <v>1.1230972381902084E-19</v>
      </c>
      <c r="AI228" s="16">
        <v>1.831722611253305E-20</v>
      </c>
      <c r="AJ228" s="16">
        <v>3.5362934164121191E-21</v>
      </c>
      <c r="AK228" s="16">
        <v>8.0693445895902688E-22</v>
      </c>
      <c r="AL228" s="16">
        <v>2.2462154981460826E-22</v>
      </c>
      <c r="AM228" s="16">
        <v>5.5434361287048229E-23</v>
      </c>
      <c r="AN228" s="16">
        <v>1.1634173413249205E-23</v>
      </c>
      <c r="AO228" s="16">
        <v>2.2142048370600814E-24</v>
      </c>
      <c r="AP228" s="16">
        <v>3.5738393430999112E-25</v>
      </c>
      <c r="AQ228" s="16">
        <v>5.8143723051203711E-26</v>
      </c>
      <c r="AR228" s="16">
        <v>9.5270342879422711E-27</v>
      </c>
      <c r="AS228" s="16">
        <v>1.5757114677135674E-27</v>
      </c>
      <c r="AT228" s="16">
        <v>2.6355443956985836E-28</v>
      </c>
      <c r="AU228" s="16">
        <v>4.4358561890901092E-29</v>
      </c>
      <c r="AV228" s="16">
        <v>7.5009578484119901E-30</v>
      </c>
      <c r="AW228" s="16">
        <v>1.274318817100363E-30</v>
      </c>
      <c r="AX228" s="16">
        <v>2.1749616353615681E-31</v>
      </c>
      <c r="AY228" s="16">
        <v>3.7292999862478532E-32</v>
      </c>
      <c r="AZ228" s="16">
        <v>6.4238408170577932E-33</v>
      </c>
      <c r="BA228" s="16">
        <v>1.1115351356469668E-33</v>
      </c>
      <c r="BB228" s="16">
        <v>1.9331409585753708E-34</v>
      </c>
      <c r="BC228" s="16">
        <v>3.3766216076325708E-35</v>
      </c>
      <c r="BD228" s="16">
        <v>5.8979524646426073E-36</v>
      </c>
      <c r="BE228" s="16">
        <v>1.0301966674783234E-36</v>
      </c>
      <c r="BF228" s="16">
        <v>1.7994468081012674E-37</v>
      </c>
      <c r="BG228" s="16">
        <v>3.1430977379385623E-38</v>
      </c>
      <c r="BH228" s="16">
        <v>5.4900558024158849E-39</v>
      </c>
      <c r="BI228" s="16">
        <v>9.5894926596421711E-40</v>
      </c>
      <c r="BJ228" s="16">
        <v>1.6749987639901649E-40</v>
      </c>
      <c r="BK228" s="16">
        <v>2.9257213053952645E-41</v>
      </c>
      <c r="BL228" s="16">
        <v>5.1102105542923165E-42</v>
      </c>
      <c r="BM228" s="16">
        <v>8.9174876108976317E-43</v>
      </c>
      <c r="BN228" s="16">
        <v>1.5101885912398806E-43</v>
      </c>
      <c r="BQ228" s="9">
        <f t="shared" si="195"/>
        <v>44</v>
      </c>
      <c r="BR228" s="16">
        <v>1.787957858351256E-6</v>
      </c>
      <c r="BS228" s="16">
        <v>2.1305143684621106E-5</v>
      </c>
      <c r="BT228" s="16">
        <v>2.5213330166921563E-4</v>
      </c>
      <c r="BU228" s="16">
        <v>2.7136727753716539E-3</v>
      </c>
      <c r="BV228" s="16">
        <v>2.5251587602260137E-2</v>
      </c>
      <c r="BW228" s="16">
        <v>0.20837243099453229</v>
      </c>
      <c r="BX228" s="16">
        <v>0.54157183977088774</v>
      </c>
      <c r="BY228" s="16">
        <v>0.19102128075790617</v>
      </c>
      <c r="BZ228" s="16">
        <v>2.611556168621448E-2</v>
      </c>
      <c r="CA228" s="16">
        <v>3.9062403281243884E-3</v>
      </c>
      <c r="CB228" s="16">
        <v>6.3451989074547917E-4</v>
      </c>
      <c r="CC228" s="16">
        <v>1.1120280898488151E-4</v>
      </c>
      <c r="CD228" s="16">
        <v>2.0904749522489425E-5</v>
      </c>
      <c r="CE228" s="16">
        <v>4.1935204198326395E-6</v>
      </c>
      <c r="CF228" s="16">
        <v>8.9350512987925553E-7</v>
      </c>
      <c r="CG228" s="16">
        <v>2.0136440354155214E-7</v>
      </c>
      <c r="CH228" s="16">
        <v>4.7818446933470941E-8</v>
      </c>
      <c r="CI228" s="16">
        <v>1.1924748433295411E-8</v>
      </c>
      <c r="CJ228" s="16">
        <v>3.1130279297114414E-9</v>
      </c>
      <c r="CK228" s="16">
        <v>8.4806112669875168E-10</v>
      </c>
      <c r="CL228" s="16">
        <v>2.3962952436806868E-10</v>
      </c>
      <c r="CM228" s="16">
        <v>7.1529846143301014E-11</v>
      </c>
      <c r="CN228" s="16">
        <v>2.3665390640427356E-11</v>
      </c>
      <c r="CO228" s="16">
        <v>7.0306375362475401E-12</v>
      </c>
      <c r="CP228" s="16">
        <v>1.7806121316378086E-12</v>
      </c>
      <c r="CQ228" s="16">
        <v>4.199435264320222E-13</v>
      </c>
      <c r="CR228" s="16">
        <v>8.5489749058565991E-14</v>
      </c>
      <c r="CS228" s="16">
        <v>1.7839985921882827E-14</v>
      </c>
      <c r="CT228" s="16">
        <v>3.9283017630654323E-15</v>
      </c>
      <c r="CU228" s="16">
        <v>8.4988430936552887E-16</v>
      </c>
      <c r="CV228" s="16">
        <v>1.7402730756581046E-16</v>
      </c>
      <c r="CW228" s="16">
        <v>3.5967369604951032E-17</v>
      </c>
      <c r="CX228" s="16">
        <v>7.6540170602922727E-18</v>
      </c>
      <c r="CY228" s="16">
        <v>1.6754006846268639E-18</v>
      </c>
      <c r="CZ228" s="16">
        <v>3.7685755159151407E-19</v>
      </c>
      <c r="DA228" s="16">
        <v>8.7029258946962237E-20</v>
      </c>
      <c r="DB228" s="16">
        <v>2.061522284659989E-20</v>
      </c>
      <c r="DC228" s="16">
        <v>5.0020638889905216E-21</v>
      </c>
      <c r="DD228" s="16">
        <v>1.2482842909139604E-21</v>
      </c>
      <c r="DE228" s="16">
        <v>3.1978876357471727E-22</v>
      </c>
      <c r="DF228" s="16">
        <v>8.1924329299825704E-23</v>
      </c>
      <c r="DG228" s="16">
        <v>2.0987590859009586E-23</v>
      </c>
      <c r="DH228" s="16">
        <v>5.3766564074256012E-24</v>
      </c>
      <c r="DI228" s="16">
        <v>1.3774060256273471E-24</v>
      </c>
      <c r="DJ228" s="16">
        <v>3.5286750818158628E-25</v>
      </c>
      <c r="DK228" s="16">
        <v>9.0398521364647265E-26</v>
      </c>
      <c r="DL228" s="16">
        <v>2.3158501349236374E-26</v>
      </c>
      <c r="DM228" s="16">
        <v>5.9326907329069487E-27</v>
      </c>
      <c r="DN228" s="16">
        <v>1.5194153401665577E-27</v>
      </c>
      <c r="DO228" s="16">
        <v>3.8759066742945768E-28</v>
      </c>
      <c r="DP228" s="16">
        <v>9.3010192937592228E-29</v>
      </c>
    </row>
    <row r="229" spans="3:120" x14ac:dyDescent="0.25">
      <c r="C229" s="1"/>
      <c r="D229" s="1"/>
      <c r="E229" s="1"/>
      <c r="F229" s="1"/>
      <c r="G229" s="1"/>
      <c r="H229" s="1"/>
      <c r="I229" s="1"/>
      <c r="J229" s="93"/>
      <c r="O229" s="9">
        <f t="shared" si="194"/>
        <v>43</v>
      </c>
      <c r="P229" s="16">
        <v>1.3585569414236546E-13</v>
      </c>
      <c r="Q229" s="16">
        <v>1.0295858351708336E-11</v>
      </c>
      <c r="R229" s="16">
        <v>7.8014227221062647E-10</v>
      </c>
      <c r="S229" s="16">
        <v>5.9113279017879351E-8</v>
      </c>
      <c r="T229" s="16">
        <v>4.4791570469922022E-6</v>
      </c>
      <c r="U229" s="16">
        <v>3.3939663278620858E-4</v>
      </c>
      <c r="V229" s="16">
        <v>2.5716909038491467E-2</v>
      </c>
      <c r="W229" s="16">
        <v>0.94863279893128805</v>
      </c>
      <c r="X229" s="16">
        <v>2.4981922997580702E-2</v>
      </c>
      <c r="Y229" s="16">
        <v>3.2027402853905209E-4</v>
      </c>
      <c r="Z229" s="16">
        <v>4.1059870918275885E-6</v>
      </c>
      <c r="AA229" s="16">
        <v>5.2639705209703569E-8</v>
      </c>
      <c r="AB229" s="16">
        <v>6.7495975908274529E-10</v>
      </c>
      <c r="AC229" s="16">
        <v>8.4469537009404072E-12</v>
      </c>
      <c r="AD229" s="16">
        <v>1.9934732482749286E-13</v>
      </c>
      <c r="AE229" s="16">
        <v>9.0874141837929355E-15</v>
      </c>
      <c r="AF229" s="16">
        <v>6.5481680084081247E-16</v>
      </c>
      <c r="AG229" s="16">
        <v>6.6351675009965325E-17</v>
      </c>
      <c r="AH229" s="16">
        <v>8.7603508942787328E-18</v>
      </c>
      <c r="AI229" s="16">
        <v>1.4287750223143023E-18</v>
      </c>
      <c r="AJ229" s="16">
        <v>2.758369457200219E-19</v>
      </c>
      <c r="AK229" s="16">
        <v>6.2942270435614938E-20</v>
      </c>
      <c r="AL229" s="16">
        <v>1.7520865761931617E-20</v>
      </c>
      <c r="AM229" s="16">
        <v>4.3239751640500201E-21</v>
      </c>
      <c r="AN229" s="16">
        <v>9.0748546073523828E-22</v>
      </c>
      <c r="AO229" s="16">
        <v>1.7271177120614068E-22</v>
      </c>
      <c r="AP229" s="16">
        <v>2.7876559233450329E-23</v>
      </c>
      <c r="AQ229" s="16">
        <v>4.5353100239931477E-24</v>
      </c>
      <c r="AR229" s="16">
        <v>7.4312499849691846E-25</v>
      </c>
      <c r="AS229" s="16">
        <v>1.2290819437463511E-25</v>
      </c>
      <c r="AT229" s="16">
        <v>2.0557697872158007E-26</v>
      </c>
      <c r="AU229" s="16">
        <v>3.4600438333912176E-27</v>
      </c>
      <c r="AV229" s="16">
        <v>5.850875646455306E-28</v>
      </c>
      <c r="AW229" s="16">
        <v>9.9399051207449636E-29</v>
      </c>
      <c r="AX229" s="16">
        <v>1.6965073423263762E-29</v>
      </c>
      <c r="AY229" s="16">
        <v>2.9089178887311118E-30</v>
      </c>
      <c r="AZ229" s="16">
        <v>5.0107059062045046E-31</v>
      </c>
      <c r="BA229" s="16">
        <v>8.6701645133402056E-32</v>
      </c>
      <c r="BB229" s="16">
        <v>1.5078830709718541E-32</v>
      </c>
      <c r="BC229" s="16">
        <v>2.6338227104655319E-33</v>
      </c>
      <c r="BD229" s="16">
        <v>4.6005039805195176E-34</v>
      </c>
      <c r="BE229" s="16">
        <v>8.03571052473574E-35</v>
      </c>
      <c r="BF229" s="16">
        <v>1.403599342827979E-35</v>
      </c>
      <c r="BG229" s="16">
        <v>2.4516700908040395E-36</v>
      </c>
      <c r="BH229" s="16">
        <v>4.2823375949027828E-37</v>
      </c>
      <c r="BI229" s="16">
        <v>7.4799685850841772E-38</v>
      </c>
      <c r="BJ229" s="16">
        <v>1.3065277360740768E-38</v>
      </c>
      <c r="BK229" s="16">
        <v>2.2821127487973551E-39</v>
      </c>
      <c r="BL229" s="16">
        <v>3.9860517929317096E-40</v>
      </c>
      <c r="BM229" s="16">
        <v>6.9557931326348846E-41</v>
      </c>
      <c r="BN229" s="16">
        <v>1.1779729773992394E-41</v>
      </c>
      <c r="BQ229" s="9">
        <f t="shared" si="195"/>
        <v>43</v>
      </c>
      <c r="BR229" s="16">
        <v>2.5969356018095563E-7</v>
      </c>
      <c r="BS229" s="16">
        <v>3.0944849106947477E-6</v>
      </c>
      <c r="BT229" s="16">
        <v>3.6621329996578715E-5</v>
      </c>
      <c r="BU229" s="16">
        <v>3.9414986259925146E-4</v>
      </c>
      <c r="BV229" s="16">
        <v>3.6676897355395702E-3</v>
      </c>
      <c r="BW229" s="16">
        <v>3.0265242659818753E-2</v>
      </c>
      <c r="BX229" s="16">
        <v>0.22390699952736742</v>
      </c>
      <c r="BY229" s="16">
        <v>0.49992841481079475</v>
      </c>
      <c r="BZ229" s="16">
        <v>0.20506339862489872</v>
      </c>
      <c r="CA229" s="16">
        <v>3.0672398593427977E-2</v>
      </c>
      <c r="CB229" s="16">
        <v>4.9823475694207118E-3</v>
      </c>
      <c r="CC229" s="16">
        <v>8.7318152376222825E-4</v>
      </c>
      <c r="CD229" s="16">
        <v>1.6414730175023449E-4</v>
      </c>
      <c r="CE229" s="16">
        <v>3.2928165965801337E-5</v>
      </c>
      <c r="CF229" s="16">
        <v>7.0159394166329579E-6</v>
      </c>
      <c r="CG229" s="16">
        <v>1.5811442023896106E-6</v>
      </c>
      <c r="CH229" s="16">
        <v>3.7547778458535226E-7</v>
      </c>
      <c r="CI229" s="16">
        <v>9.3634954930695579E-8</v>
      </c>
      <c r="CJ229" s="16">
        <v>2.4443973097382519E-8</v>
      </c>
      <c r="CK229" s="16">
        <v>6.6591061288299262E-9</v>
      </c>
      <c r="CL229" s="16">
        <v>1.8816078041209842E-9</v>
      </c>
      <c r="CM229" s="16">
        <v>5.6166333045037394E-10</v>
      </c>
      <c r="CN229" s="16">
        <v>1.8582427951659128E-10</v>
      </c>
      <c r="CO229" s="16">
        <v>5.5205645009877146E-11</v>
      </c>
      <c r="CP229" s="16">
        <v>1.3981639749265617E-11</v>
      </c>
      <c r="CQ229" s="16">
        <v>3.297461023253912E-12</v>
      </c>
      <c r="CR229" s="16">
        <v>6.7127863073277115E-13</v>
      </c>
      <c r="CS229" s="16">
        <v>1.400823075726817E-13</v>
      </c>
      <c r="CT229" s="16">
        <v>3.0845628366614915E-14</v>
      </c>
      <c r="CU229" s="16">
        <v>6.6734220389549091E-15</v>
      </c>
      <c r="CV229" s="16">
        <v>1.3664891290400007E-15</v>
      </c>
      <c r="CW229" s="16">
        <v>2.8242130647653134E-16</v>
      </c>
      <c r="CX229" s="16">
        <v>6.0100516710119478E-17</v>
      </c>
      <c r="CY229" s="16">
        <v>1.3155503319288066E-17</v>
      </c>
      <c r="CZ229" s="16">
        <v>2.9591433358910791E-18</v>
      </c>
      <c r="DA229" s="16">
        <v>6.8336709866328552E-19</v>
      </c>
      <c r="DB229" s="16">
        <v>1.6187389385405973E-19</v>
      </c>
      <c r="DC229" s="16">
        <v>3.9276973382377142E-20</v>
      </c>
      <c r="DD229" s="16">
        <v>9.8017198412397254E-21</v>
      </c>
      <c r="DE229" s="16">
        <v>2.5110304533599827E-21</v>
      </c>
      <c r="DF229" s="16">
        <v>6.4328240755991896E-22</v>
      </c>
      <c r="DG229" s="16">
        <v>1.6479778463923241E-22</v>
      </c>
      <c r="DH229" s="16">
        <v>4.2218331330282413E-23</v>
      </c>
      <c r="DI229" s="16">
        <v>1.0815603520052062E-23</v>
      </c>
      <c r="DJ229" s="16">
        <v>2.7707698330000635E-24</v>
      </c>
      <c r="DK229" s="16">
        <v>7.0982306428758E-25</v>
      </c>
      <c r="DL229" s="16">
        <v>1.8184410700385318E-25</v>
      </c>
      <c r="DM229" s="16">
        <v>4.6584398195139344E-26</v>
      </c>
      <c r="DN229" s="16">
        <v>1.1930682453666372E-26</v>
      </c>
      <c r="DO229" s="16">
        <v>3.0434214087890959E-27</v>
      </c>
      <c r="DP229" s="16">
        <v>7.3033031032253068E-28</v>
      </c>
    </row>
    <row r="230" spans="3:120" x14ac:dyDescent="0.25">
      <c r="C230" s="1"/>
      <c r="D230" s="1"/>
      <c r="E230" s="1"/>
      <c r="F230" s="1"/>
      <c r="G230" s="1"/>
      <c r="H230" s="1"/>
      <c r="I230" s="1"/>
      <c r="J230" s="93"/>
      <c r="O230" s="9">
        <f t="shared" si="194"/>
        <v>42</v>
      </c>
      <c r="P230" s="16">
        <v>1.7929435091806272E-15</v>
      </c>
      <c r="Q230" s="16">
        <v>1.3587868009267377E-13</v>
      </c>
      <c r="R230" s="16">
        <v>1.0295858646393531E-11</v>
      </c>
      <c r="S230" s="16">
        <v>7.8014227221440441E-10</v>
      </c>
      <c r="T230" s="16">
        <v>5.9113279017879411E-8</v>
      </c>
      <c r="U230" s="16">
        <v>4.4791570469922022E-6</v>
      </c>
      <c r="V230" s="16">
        <v>3.3939663278620858E-4</v>
      </c>
      <c r="W230" s="16">
        <v>2.5716909038491467E-2</v>
      </c>
      <c r="X230" s="16">
        <v>0.94863279893128805</v>
      </c>
      <c r="Y230" s="16">
        <v>2.4981922997580723E-2</v>
      </c>
      <c r="Z230" s="16">
        <v>3.2027402854049983E-4</v>
      </c>
      <c r="AA230" s="16">
        <v>4.1059872015311293E-6</v>
      </c>
      <c r="AB230" s="16">
        <v>5.2648017714039422E-8</v>
      </c>
      <c r="AC230" s="16">
        <v>6.5887686205343459E-10</v>
      </c>
      <c r="AD230" s="16">
        <v>1.5549432906973604E-11</v>
      </c>
      <c r="AE230" s="16">
        <v>7.088338771089476E-13</v>
      </c>
      <c r="AF230" s="16">
        <v>5.1076832457342625E-14</v>
      </c>
      <c r="AG230" s="16">
        <v>5.1755443406405934E-15</v>
      </c>
      <c r="AH230" s="16">
        <v>6.8332238012228823E-16</v>
      </c>
      <c r="AI230" s="16">
        <v>1.1144689986615743E-16</v>
      </c>
      <c r="AJ230" s="16">
        <v>2.1515754397254243E-17</v>
      </c>
      <c r="AK230" s="16">
        <v>4.9096049420182831E-18</v>
      </c>
      <c r="AL230" s="16">
        <v>1.3666575504487193E-18</v>
      </c>
      <c r="AM230" s="16">
        <v>3.372774716841509E-19</v>
      </c>
      <c r="AN230" s="16">
        <v>7.078542086264568E-20</v>
      </c>
      <c r="AO230" s="16">
        <v>1.3471814085985071E-20</v>
      </c>
      <c r="AP230" s="16">
        <v>2.1744193851255053E-21</v>
      </c>
      <c r="AQ230" s="16">
        <v>3.5376195287011132E-22</v>
      </c>
      <c r="AR230" s="16">
        <v>5.796502318564884E-23</v>
      </c>
      <c r="AS230" s="16">
        <v>9.5870497574998498E-24</v>
      </c>
      <c r="AT230" s="16">
        <v>1.6035356584873978E-24</v>
      </c>
      <c r="AU230" s="16">
        <v>2.6988934759501954E-25</v>
      </c>
      <c r="AV230" s="16">
        <v>4.5637832556986203E-26</v>
      </c>
      <c r="AW230" s="16">
        <v>7.7532963088647941E-27</v>
      </c>
      <c r="AX230" s="16">
        <v>1.3233047957137142E-27</v>
      </c>
      <c r="AY230" s="16">
        <v>2.2690057958822221E-28</v>
      </c>
      <c r="AZ230" s="16">
        <v>3.9084364624670352E-29</v>
      </c>
      <c r="BA230" s="16">
        <v>6.762876878797918E-30</v>
      </c>
      <c r="BB230" s="16">
        <v>1.1761746320863855E-30</v>
      </c>
      <c r="BC230" s="16">
        <v>2.0544268432339122E-31</v>
      </c>
      <c r="BD230" s="16">
        <v>3.5884719318534589E-32</v>
      </c>
      <c r="BE230" s="16">
        <v>6.2679918966741774E-33</v>
      </c>
      <c r="BF230" s="16">
        <v>1.0948315372911339E-33</v>
      </c>
      <c r="BG230" s="16">
        <v>1.912344678815259E-34</v>
      </c>
      <c r="BH230" s="16">
        <v>3.3402966994703355E-35</v>
      </c>
      <c r="BI230" s="16">
        <v>5.8345036614203906E-36</v>
      </c>
      <c r="BJ230" s="16">
        <v>1.0191140207557046E-36</v>
      </c>
      <c r="BK230" s="16">
        <v>1.7800870467803542E-37</v>
      </c>
      <c r="BL230" s="16">
        <v>3.1091886972423216E-38</v>
      </c>
      <c r="BM230" s="16">
        <v>5.4256378270583761E-39</v>
      </c>
      <c r="BN230" s="16">
        <v>9.1883910627584466E-40</v>
      </c>
      <c r="BQ230" s="9">
        <f t="shared" si="195"/>
        <v>42</v>
      </c>
      <c r="BR230" s="16">
        <v>4.1288162977460415E-8</v>
      </c>
      <c r="BS230" s="16">
        <v>4.9198600548673262E-7</v>
      </c>
      <c r="BT230" s="16">
        <v>5.8223524691814249E-6</v>
      </c>
      <c r="BU230" s="16">
        <v>6.2665103259402816E-5</v>
      </c>
      <c r="BV230" s="16">
        <v>5.8311870131164535E-4</v>
      </c>
      <c r="BW230" s="16">
        <v>4.8118107765947674E-3</v>
      </c>
      <c r="BX230" s="16">
        <v>3.5598528826969539E-2</v>
      </c>
      <c r="BY230" s="16">
        <v>0.23847063747780012</v>
      </c>
      <c r="BZ230" s="16">
        <v>0.45909193808597676</v>
      </c>
      <c r="CA230" s="16">
        <v>0.21824396654662884</v>
      </c>
      <c r="CB230" s="16">
        <v>3.5451003055800019E-2</v>
      </c>
      <c r="CC230" s="16">
        <v>6.2129669670480201E-3</v>
      </c>
      <c r="CD230" s="16">
        <v>1.1679607684667163E-3</v>
      </c>
      <c r="CE230" s="16">
        <v>2.3429447584911008E-4</v>
      </c>
      <c r="CF230" s="16">
        <v>4.992066214426731E-5</v>
      </c>
      <c r="CG230" s="16">
        <v>1.1250348790317685E-5</v>
      </c>
      <c r="CH230" s="16">
        <v>2.6716450234057029E-6</v>
      </c>
      <c r="CI230" s="16">
        <v>6.6624277554440726E-7</v>
      </c>
      <c r="CJ230" s="16">
        <v>1.7392671886035336E-7</v>
      </c>
      <c r="CK230" s="16">
        <v>4.7381678703217013E-8</v>
      </c>
      <c r="CL230" s="16">
        <v>1.3388243811634728E-8</v>
      </c>
      <c r="CM230" s="16">
        <v>3.9964149764128354E-9</v>
      </c>
      <c r="CN230" s="16">
        <v>1.3221994269160248E-9</v>
      </c>
      <c r="CO230" s="16">
        <v>3.9280589374259843E-10</v>
      </c>
      <c r="CP230" s="16">
        <v>9.9483857071404633E-11</v>
      </c>
      <c r="CQ230" s="16">
        <v>2.3462494172269766E-11</v>
      </c>
      <c r="CR230" s="16">
        <v>4.7763630412816862E-12</v>
      </c>
      <c r="CS230" s="16">
        <v>9.9673060633143496E-13</v>
      </c>
      <c r="CT230" s="16">
        <v>2.1947655201623706E-13</v>
      </c>
      <c r="CU230" s="16">
        <v>4.7483541001363817E-14</v>
      </c>
      <c r="CV230" s="16">
        <v>9.7230090061635339E-15</v>
      </c>
      <c r="CW230" s="16">
        <v>2.0095182962289075E-15</v>
      </c>
      <c r="CX230" s="16">
        <v>4.2763447789599505E-16</v>
      </c>
      <c r="CY230" s="16">
        <v>9.3605631055340675E-17</v>
      </c>
      <c r="CZ230" s="16">
        <v>2.1055255174705115E-17</v>
      </c>
      <c r="DA230" s="16">
        <v>4.8623763728635345E-18</v>
      </c>
      <c r="DB230" s="16">
        <v>1.1517847411720687E-18</v>
      </c>
      <c r="DC230" s="16">
        <v>2.7946827956105859E-19</v>
      </c>
      <c r="DD230" s="16">
        <v>6.9742384529043627E-20</v>
      </c>
      <c r="DE230" s="16">
        <v>1.7866788102384767E-20</v>
      </c>
      <c r="DF230" s="16">
        <v>4.5771609223160995E-21</v>
      </c>
      <c r="DG230" s="16">
        <v>1.172589163126925E-21</v>
      </c>
      <c r="DH230" s="16">
        <v>3.003969859884014E-22</v>
      </c>
      <c r="DI230" s="16">
        <v>7.6956492516291291E-23</v>
      </c>
      <c r="DJ230" s="16">
        <v>1.9714917204787536E-23</v>
      </c>
      <c r="DK230" s="16">
        <v>5.0506190647117176E-24</v>
      </c>
      <c r="DL230" s="16">
        <v>1.293879221240752E-24</v>
      </c>
      <c r="DM230" s="16">
        <v>3.3146295391039981E-25</v>
      </c>
      <c r="DN230" s="16">
        <v>8.4890637240685787E-26</v>
      </c>
      <c r="DO230" s="16">
        <v>2.1654920729589698E-26</v>
      </c>
      <c r="DP230" s="16">
        <v>5.1965347062283937E-27</v>
      </c>
    </row>
    <row r="231" spans="3:120" x14ac:dyDescent="0.25">
      <c r="C231" s="1"/>
      <c r="D231" s="1"/>
      <c r="E231" s="1"/>
      <c r="F231" s="1"/>
      <c r="G231" s="1"/>
      <c r="H231" s="1"/>
      <c r="I231" s="1"/>
      <c r="J231" s="93"/>
      <c r="O231" s="9">
        <f t="shared" si="194"/>
        <v>41</v>
      </c>
      <c r="P231" s="16">
        <v>2.366221340523469E-17</v>
      </c>
      <c r="Q231" s="16">
        <v>1.7932468642270826E-15</v>
      </c>
      <c r="R231" s="16">
        <v>1.3587868398175571E-13</v>
      </c>
      <c r="S231" s="16">
        <v>1.0295858646443399E-11</v>
      </c>
      <c r="T231" s="16">
        <v>7.8014227221440565E-10</v>
      </c>
      <c r="U231" s="16">
        <v>5.911327901787945E-8</v>
      </c>
      <c r="V231" s="16">
        <v>4.4791570469922056E-6</v>
      </c>
      <c r="W231" s="16">
        <v>3.3939663278620885E-4</v>
      </c>
      <c r="X231" s="16">
        <v>2.5716909038491487E-2</v>
      </c>
      <c r="Y231" s="16">
        <v>0.94863279893128927</v>
      </c>
      <c r="Z231" s="16">
        <v>2.4981922997693654E-2</v>
      </c>
      <c r="AA231" s="16">
        <v>3.2027403709756407E-4</v>
      </c>
      <c r="AB231" s="16">
        <v>4.1066355911123342E-6</v>
      </c>
      <c r="AC231" s="16">
        <v>5.1393524188613681E-8</v>
      </c>
      <c r="AD231" s="16">
        <v>1.2128824098226769E-9</v>
      </c>
      <c r="AE231" s="16">
        <v>5.5290256961479236E-11</v>
      </c>
      <c r="AF231" s="16">
        <v>3.9840804489524149E-12</v>
      </c>
      <c r="AG231" s="16">
        <v>4.0370132657410481E-13</v>
      </c>
      <c r="AH231" s="16">
        <v>5.3300316484004577E-14</v>
      </c>
      <c r="AI231" s="16">
        <v>8.6930491475550681E-15</v>
      </c>
      <c r="AJ231" s="16">
        <v>1.6782657090208754E-15</v>
      </c>
      <c r="AK231" s="16">
        <v>3.8295759780936231E-16</v>
      </c>
      <c r="AL231" s="16">
        <v>1.0660163062584762E-16</v>
      </c>
      <c r="AM231" s="16">
        <v>2.6308220697341937E-17</v>
      </c>
      <c r="AN231" s="16">
        <v>5.5213841141238121E-18</v>
      </c>
      <c r="AO231" s="16">
        <v>1.0508245819025737E-18</v>
      </c>
      <c r="AP231" s="16">
        <v>1.6960843778510951E-19</v>
      </c>
      <c r="AQ231" s="16">
        <v>2.7594038475078215E-20</v>
      </c>
      <c r="AR231" s="16">
        <v>4.5213711282876991E-21</v>
      </c>
      <c r="AS231" s="16">
        <v>7.478063079555413E-22</v>
      </c>
      <c r="AT231" s="16">
        <v>1.2507852893017986E-22</v>
      </c>
      <c r="AU231" s="16">
        <v>2.1051831552629185E-23</v>
      </c>
      <c r="AV231" s="16">
        <v>3.5598291373041923E-24</v>
      </c>
      <c r="AW231" s="16">
        <v>6.0477039692860902E-25</v>
      </c>
      <c r="AX231" s="16">
        <v>1.0322004147401026E-25</v>
      </c>
      <c r="AY231" s="16">
        <v>1.769863398926284E-26</v>
      </c>
      <c r="AZ231" s="16">
        <v>3.0486474095848419E-27</v>
      </c>
      <c r="BA231" s="16">
        <v>5.2751598435540359E-28</v>
      </c>
      <c r="BB231" s="16">
        <v>9.1743636611818323E-29</v>
      </c>
      <c r="BC231" s="16">
        <v>1.6024881391709349E-29</v>
      </c>
      <c r="BD231" s="16">
        <v>2.7990695932939786E-30</v>
      </c>
      <c r="BE231" s="16">
        <v>4.8891410779216888E-31</v>
      </c>
      <c r="BF231" s="16">
        <v>8.5398735840970763E-32</v>
      </c>
      <c r="BG231" s="16">
        <v>1.4916616164264095E-32</v>
      </c>
      <c r="BH231" s="16">
        <v>2.6054886596921169E-33</v>
      </c>
      <c r="BI231" s="16">
        <v>4.5510128268466312E-34</v>
      </c>
      <c r="BJ231" s="16">
        <v>7.9492639813501271E-35</v>
      </c>
      <c r="BK231" s="16">
        <v>1.3884983972790449E-35</v>
      </c>
      <c r="BL231" s="16">
        <v>2.4252204580486307E-36</v>
      </c>
      <c r="BM231" s="16">
        <v>4.2320904703581475E-37</v>
      </c>
      <c r="BN231" s="16">
        <v>7.1671024668646024E-38</v>
      </c>
      <c r="BQ231" s="9">
        <f t="shared" si="195"/>
        <v>41</v>
      </c>
      <c r="BR231" s="16">
        <v>7.131620572849246E-9</v>
      </c>
      <c r="BS231" s="16">
        <v>8.4979743957087969E-8</v>
      </c>
      <c r="BT231" s="16">
        <v>1.0056831221641306E-6</v>
      </c>
      <c r="BU231" s="16">
        <v>1.0824016070863903E-5</v>
      </c>
      <c r="BV231" s="16">
        <v>1.0072090950032028E-4</v>
      </c>
      <c r="BW231" s="16">
        <v>8.3113430708347006E-4</v>
      </c>
      <c r="BX231" s="16">
        <v>6.1488616164438147E-3</v>
      </c>
      <c r="BY231" s="16">
        <v>4.1190549097221203E-2</v>
      </c>
      <c r="BZ231" s="16">
        <v>0.25202598839316226</v>
      </c>
      <c r="CA231" s="16">
        <v>0.41921511440035464</v>
      </c>
      <c r="CB231" s="16">
        <v>0.2305337469510069</v>
      </c>
      <c r="CC231" s="16">
        <v>4.0402201098286822E-2</v>
      </c>
      <c r="CD231" s="16">
        <v>7.5951129456789156E-3</v>
      </c>
      <c r="CE231" s="16">
        <v>1.5235897083758451E-3</v>
      </c>
      <c r="CF231" s="16">
        <v>3.246282559700488E-4</v>
      </c>
      <c r="CG231" s="16">
        <v>7.3159708825596575E-5</v>
      </c>
      <c r="CH231" s="16">
        <v>1.7373396651126947E-5</v>
      </c>
      <c r="CI231" s="16">
        <v>4.3324992295291992E-6</v>
      </c>
      <c r="CJ231" s="16">
        <v>1.1310252105042102E-6</v>
      </c>
      <c r="CK231" s="16">
        <v>3.0811754214932594E-7</v>
      </c>
      <c r="CL231" s="16">
        <v>8.7062191332970525E-8</v>
      </c>
      <c r="CM231" s="16">
        <v>2.5988221473830444E-8</v>
      </c>
      <c r="CN231" s="16">
        <v>8.5981089907005083E-9</v>
      </c>
      <c r="CO231" s="16">
        <v>2.554371010783146E-9</v>
      </c>
      <c r="CP231" s="16">
        <v>6.4693194423047826E-10</v>
      </c>
      <c r="CQ231" s="16">
        <v>1.5257386894909257E-10</v>
      </c>
      <c r="CR231" s="16">
        <v>3.1060132966387949E-11</v>
      </c>
      <c r="CS231" s="16">
        <v>6.4816231297224506E-12</v>
      </c>
      <c r="CT231" s="16">
        <v>1.4272304742562916E-12</v>
      </c>
      <c r="CU231" s="16">
        <v>3.087799408190578E-13</v>
      </c>
      <c r="CV231" s="16">
        <v>6.3227595966781663E-14</v>
      </c>
      <c r="CW231" s="16">
        <v>1.3067663605091162E-14</v>
      </c>
      <c r="CX231" s="16">
        <v>2.7808572400512725E-15</v>
      </c>
      <c r="CY231" s="16">
        <v>6.0870652457803201E-16</v>
      </c>
      <c r="CZ231" s="16">
        <v>1.369198739114438E-16</v>
      </c>
      <c r="DA231" s="16">
        <v>3.1619467651110177E-17</v>
      </c>
      <c r="DB231" s="16">
        <v>7.4899221228086244E-18</v>
      </c>
      <c r="DC231" s="16">
        <v>1.8173496964177342E-18</v>
      </c>
      <c r="DD231" s="16">
        <v>4.535266097117638E-19</v>
      </c>
      <c r="DE231" s="16">
        <v>1.1618564362591575E-19</v>
      </c>
      <c r="DF231" s="16">
        <v>2.9764744770645379E-20</v>
      </c>
      <c r="DG231" s="16">
        <v>7.6252108574843031E-21</v>
      </c>
      <c r="DH231" s="16">
        <v>1.9534466385532997E-21</v>
      </c>
      <c r="DI231" s="16">
        <v>5.0043911434785753E-22</v>
      </c>
      <c r="DJ231" s="16">
        <v>1.2820381208663594E-22</v>
      </c>
      <c r="DK231" s="16">
        <v>3.2843587967807549E-23</v>
      </c>
      <c r="DL231" s="16">
        <v>8.4139459892060892E-24</v>
      </c>
      <c r="DM231" s="16">
        <v>2.1554650123760497E-24</v>
      </c>
      <c r="DN231" s="16">
        <v>5.5203393408503774E-25</v>
      </c>
      <c r="DO231" s="16">
        <v>1.4081942922352913E-25</v>
      </c>
      <c r="DP231" s="16">
        <v>3.3792460402380195E-26</v>
      </c>
    </row>
    <row r="232" spans="3:120" x14ac:dyDescent="0.25">
      <c r="C232" s="1"/>
      <c r="D232" s="1"/>
      <c r="E232" s="1"/>
      <c r="F232" s="1"/>
      <c r="G232" s="1"/>
      <c r="H232" s="1"/>
      <c r="I232" s="1"/>
      <c r="J232" s="93"/>
      <c r="O232" s="9">
        <f t="shared" si="194"/>
        <v>40</v>
      </c>
      <c r="P232" s="16">
        <v>3.122799688726795E-19</v>
      </c>
      <c r="Q232" s="16">
        <v>2.3666216906740353E-17</v>
      </c>
      <c r="R232" s="16">
        <v>1.7932469155610026E-15</v>
      </c>
      <c r="S232" s="16">
        <v>1.3587868398302796E-13</v>
      </c>
      <c r="T232" s="16">
        <v>1.0295858646489953E-11</v>
      </c>
      <c r="U232" s="16">
        <v>7.8014227221793234E-10</v>
      </c>
      <c r="V232" s="16">
        <v>5.9113279018146676E-8</v>
      </c>
      <c r="W232" s="16">
        <v>4.479157047012453E-6</v>
      </c>
      <c r="X232" s="16">
        <v>3.393966327877431E-4</v>
      </c>
      <c r="Y232" s="16">
        <v>2.5716909038607742E-2</v>
      </c>
      <c r="Z232" s="16">
        <v>0.94863279894009811</v>
      </c>
      <c r="AA232" s="16">
        <v>2.498192366515932E-2</v>
      </c>
      <c r="AB232" s="16">
        <v>3.2032461259587711E-4</v>
      </c>
      <c r="AC232" s="16">
        <v>4.0087829466250275E-6</v>
      </c>
      <c r="AD232" s="16">
        <v>9.4606906171961649E-8</v>
      </c>
      <c r="AE232" s="16">
        <v>4.3127347797409829E-9</v>
      </c>
      <c r="AF232" s="16">
        <v>3.1076510151606024E-10</v>
      </c>
      <c r="AG232" s="16">
        <v>3.1489395192297804E-11</v>
      </c>
      <c r="AH232" s="16">
        <v>4.1575160128468726E-12</v>
      </c>
      <c r="AI232" s="16">
        <v>6.780727285600847E-13</v>
      </c>
      <c r="AJ232" s="16">
        <v>1.3090760091752964E-13</v>
      </c>
      <c r="AK232" s="16">
        <v>2.987134880543534E-14</v>
      </c>
      <c r="AL232" s="16">
        <v>8.3151098447145731E-15</v>
      </c>
      <c r="AM232" s="16">
        <v>2.0520862920491775E-15</v>
      </c>
      <c r="AN232" s="16">
        <v>4.306774214827965E-16</v>
      </c>
      <c r="AO232" s="16">
        <v>8.1966117917220102E-17</v>
      </c>
      <c r="AP232" s="16">
        <v>1.3229748761757363E-17</v>
      </c>
      <c r="AQ232" s="16">
        <v>2.1523822818890511E-18</v>
      </c>
      <c r="AR232" s="16">
        <v>3.5267469512157245E-19</v>
      </c>
      <c r="AS232" s="16">
        <v>5.833017334458188E-20</v>
      </c>
      <c r="AT232" s="16">
        <v>9.7563395715785313E-21</v>
      </c>
      <c r="AU232" s="16">
        <v>1.6420789322344196E-21</v>
      </c>
      <c r="AV232" s="16">
        <v>2.7767277227673758E-22</v>
      </c>
      <c r="AW232" s="16">
        <v>4.7173127200492413E-23</v>
      </c>
      <c r="AX232" s="16">
        <v>8.0513400967084398E-24</v>
      </c>
      <c r="AY232" s="16">
        <v>1.3805237767764141E-24</v>
      </c>
      <c r="AZ232" s="16">
        <v>2.3779972163348833E-25</v>
      </c>
      <c r="BA232" s="16">
        <v>4.1147150648691488E-26</v>
      </c>
      <c r="BB232" s="16">
        <v>7.1561608532832071E-27</v>
      </c>
      <c r="BC232" s="16">
        <v>1.2499682062863032E-27</v>
      </c>
      <c r="BD232" s="16">
        <v>2.1833222432524983E-28</v>
      </c>
      <c r="BE232" s="16">
        <v>3.8136138134614779E-29</v>
      </c>
      <c r="BF232" s="16">
        <v>6.6612477215264835E-30</v>
      </c>
      <c r="BG232" s="16">
        <v>1.1635216195954386E-30</v>
      </c>
      <c r="BH232" s="16">
        <v>2.0323257981426246E-31</v>
      </c>
      <c r="BI232" s="16">
        <v>3.5498679839855243E-32</v>
      </c>
      <c r="BJ232" s="16">
        <v>6.2005621116204989E-33</v>
      </c>
      <c r="BK232" s="16">
        <v>1.0830525410167563E-33</v>
      </c>
      <c r="BL232" s="16">
        <v>1.8917135120664591E-34</v>
      </c>
      <c r="BM232" s="16">
        <v>3.3011030813693018E-35</v>
      </c>
      <c r="BN232" s="16">
        <v>5.5904627284241521E-36</v>
      </c>
      <c r="BQ232" s="9">
        <f t="shared" si="195"/>
        <v>40</v>
      </c>
      <c r="BR232" s="16">
        <v>1.3294281252995635E-9</v>
      </c>
      <c r="BS232" s="16">
        <v>1.5841344971073312E-8</v>
      </c>
      <c r="BT232" s="16">
        <v>1.8747259673826377E-7</v>
      </c>
      <c r="BU232" s="16">
        <v>2.0177393407725717E-6</v>
      </c>
      <c r="BV232" s="16">
        <v>1.8775705819972021E-5</v>
      </c>
      <c r="BW232" s="16">
        <v>1.5493439568906893E-4</v>
      </c>
      <c r="BX232" s="16">
        <v>1.1462288953784676E-3</v>
      </c>
      <c r="BY232" s="16">
        <v>7.6784615652232581E-3</v>
      </c>
      <c r="BZ232" s="16">
        <v>4.6980967909574435E-2</v>
      </c>
      <c r="CA232" s="16">
        <v>0.26456041367611227</v>
      </c>
      <c r="CB232" s="16">
        <v>0.3804109676346949</v>
      </c>
      <c r="CC232" s="16">
        <v>0.24192397967882009</v>
      </c>
      <c r="CD232" s="16">
        <v>4.5478709079706116E-2</v>
      </c>
      <c r="CE232" s="16">
        <v>9.1230892285125258E-3</v>
      </c>
      <c r="CF232" s="16">
        <v>1.9438386391230308E-3</v>
      </c>
      <c r="CG232" s="16">
        <v>4.3807236809141365E-4</v>
      </c>
      <c r="CH232" s="16">
        <v>1.0403000688389569E-4</v>
      </c>
      <c r="CI232" s="16">
        <v>2.5942533502402917E-5</v>
      </c>
      <c r="CJ232" s="16">
        <v>6.7724557723132616E-6</v>
      </c>
      <c r="CK232" s="16">
        <v>1.8449742830665307E-6</v>
      </c>
      <c r="CL232" s="16">
        <v>5.2131891912503298E-7</v>
      </c>
      <c r="CM232" s="16">
        <v>1.5561463961898425E-7</v>
      </c>
      <c r="CN232" s="16">
        <v>5.148454015369751E-8</v>
      </c>
      <c r="CO232" s="16">
        <v>1.529529539743498E-8</v>
      </c>
      <c r="CP232" s="16">
        <v>3.8737580199864466E-9</v>
      </c>
      <c r="CQ232" s="16">
        <v>9.1359570933684573E-10</v>
      </c>
      <c r="CR232" s="16">
        <v>1.8598469321763047E-10</v>
      </c>
      <c r="CS232" s="16">
        <v>3.8811253340037334E-11</v>
      </c>
      <c r="CT232" s="16">
        <v>8.5461006297900132E-12</v>
      </c>
      <c r="CU232" s="16">
        <v>1.8489406541542258E-12</v>
      </c>
      <c r="CV232" s="16">
        <v>3.7859995807151552E-13</v>
      </c>
      <c r="CW232" s="16">
        <v>7.8247746372951521E-14</v>
      </c>
      <c r="CX232" s="16">
        <v>1.6651470270029187E-14</v>
      </c>
      <c r="CY232" s="16">
        <v>3.6448683705162115E-15</v>
      </c>
      <c r="CZ232" s="16">
        <v>8.1986129204191561E-16</v>
      </c>
      <c r="DA232" s="16">
        <v>1.8933392838853651E-16</v>
      </c>
      <c r="DB232" s="16">
        <v>4.4848837889456787E-17</v>
      </c>
      <c r="DC232" s="16">
        <v>1.0882092041369418E-17</v>
      </c>
      <c r="DD232" s="16">
        <v>2.7156679420707443E-18</v>
      </c>
      <c r="DE232" s="16">
        <v>6.9570697940807359E-19</v>
      </c>
      <c r="DF232" s="16">
        <v>1.7822804979167872E-19</v>
      </c>
      <c r="DG232" s="16">
        <v>4.565893209741418E-20</v>
      </c>
      <c r="DH232" s="16">
        <v>1.1697025707568864E-20</v>
      </c>
      <c r="DI232" s="16">
        <v>2.9965749102494191E-21</v>
      </c>
      <c r="DJ232" s="16">
        <v>7.6767046316468475E-22</v>
      </c>
      <c r="DK232" s="16">
        <v>1.9666382751706899E-22</v>
      </c>
      <c r="DL232" s="16">
        <v>5.0381792159281547E-23</v>
      </c>
      <c r="DM232" s="16">
        <v>1.2906689726728344E-23</v>
      </c>
      <c r="DN232" s="16">
        <v>3.3055190712683896E-24</v>
      </c>
      <c r="DO232" s="16">
        <v>8.4321140452173732E-25</v>
      </c>
      <c r="DP232" s="16">
        <v>2.0234557230668836E-25</v>
      </c>
    </row>
    <row r="233" spans="3:120" x14ac:dyDescent="0.25">
      <c r="C233" s="1"/>
      <c r="D233" s="1"/>
      <c r="E233" s="1"/>
      <c r="F233" s="1"/>
      <c r="G233" s="1"/>
      <c r="H233" s="1"/>
      <c r="I233" s="1"/>
      <c r="J233" s="93"/>
      <c r="O233" s="9">
        <f t="shared" si="194"/>
        <v>39</v>
      </c>
      <c r="P233" s="16">
        <v>4.121287383140945E-21</v>
      </c>
      <c r="Q233" s="16">
        <v>3.1233281307323396E-19</v>
      </c>
      <c r="R233" s="16">
        <v>2.3666218216420956E-17</v>
      </c>
      <c r="S233" s="16">
        <v>1.7932469634815605E-15</v>
      </c>
      <c r="T233" s="16">
        <v>1.3587868761342742E-13</v>
      </c>
      <c r="U233" s="16">
        <v>1.0295858921574147E-11</v>
      </c>
      <c r="V233" s="16">
        <v>7.8014229306173141E-10</v>
      </c>
      <c r="W233" s="16">
        <v>5.9113280597532065E-8</v>
      </c>
      <c r="X233" s="16">
        <v>4.4791571666863297E-6</v>
      </c>
      <c r="Y233" s="16">
        <v>3.3939664185572395E-4</v>
      </c>
      <c r="Z233" s="16">
        <v>2.5716909725710724E-2</v>
      </c>
      <c r="AA233" s="16">
        <v>0.94863285100356376</v>
      </c>
      <c r="AB233" s="16">
        <v>2.4985868640686019E-2</v>
      </c>
      <c r="AC233" s="16">
        <v>3.126919386608644E-4</v>
      </c>
      <c r="AD233" s="16">
        <v>7.3795007850257388E-6</v>
      </c>
      <c r="AE233" s="16">
        <v>3.3640070244827977E-7</v>
      </c>
      <c r="AF233" s="16">
        <v>2.4240210396775721E-8</v>
      </c>
      <c r="AG233" s="16">
        <v>2.4562267803068261E-9</v>
      </c>
      <c r="AH233" s="16">
        <v>3.2429337267191197E-10</v>
      </c>
      <c r="AI233" s="16">
        <v>5.2890834667170014E-11</v>
      </c>
      <c r="AJ233" s="16">
        <v>1.0211017174378824E-11</v>
      </c>
      <c r="AK233" s="16">
        <v>2.3300163897000748E-12</v>
      </c>
      <c r="AL233" s="16">
        <v>6.4859281536078726E-13</v>
      </c>
      <c r="AM233" s="16">
        <v>1.6006624691428133E-13</v>
      </c>
      <c r="AN233" s="16">
        <v>3.3593576817197166E-14</v>
      </c>
      <c r="AO233" s="16">
        <v>6.3934976418761817E-15</v>
      </c>
      <c r="AP233" s="16">
        <v>1.0319430718474943E-15</v>
      </c>
      <c r="AQ233" s="16">
        <v>1.6788950597332909E-16</v>
      </c>
      <c r="AR233" s="16">
        <v>2.7509230507737188E-17</v>
      </c>
      <c r="AS233" s="16">
        <v>4.5498534663487379E-18</v>
      </c>
      <c r="AT233" s="16">
        <v>7.6101120352225385E-19</v>
      </c>
      <c r="AU233" s="16">
        <v>1.2808497032417931E-19</v>
      </c>
      <c r="AV233" s="16">
        <v>2.1658952014263621E-20</v>
      </c>
      <c r="AW233" s="16">
        <v>3.679584750138698E-21</v>
      </c>
      <c r="AX233" s="16">
        <v>6.2801832306168096E-22</v>
      </c>
      <c r="AY233" s="16">
        <v>1.0768322003840673E-22</v>
      </c>
      <c r="AZ233" s="16">
        <v>1.8548785743860491E-23</v>
      </c>
      <c r="BA233" s="16">
        <v>3.2095482539263247E-24</v>
      </c>
      <c r="BB233" s="16">
        <v>5.5819280823522684E-25</v>
      </c>
      <c r="BC233" s="16">
        <v>9.7499661840550905E-26</v>
      </c>
      <c r="BD233" s="16">
        <v>1.7030287597356163E-26</v>
      </c>
      <c r="BE233" s="16">
        <v>2.9746841186277476E-27</v>
      </c>
      <c r="BF233" s="16">
        <v>5.1958873595238672E-28</v>
      </c>
      <c r="BG233" s="16">
        <v>9.0756679957299197E-29</v>
      </c>
      <c r="BH233" s="16">
        <v>1.5852489453107534E-29</v>
      </c>
      <c r="BI233" s="16">
        <v>2.7689578525000553E-30</v>
      </c>
      <c r="BJ233" s="16">
        <v>4.8365446902083769E-31</v>
      </c>
      <c r="BK233" s="16">
        <v>8.4479953948921696E-32</v>
      </c>
      <c r="BL233" s="16">
        <v>1.4755689528589069E-32</v>
      </c>
      <c r="BM233" s="16">
        <v>2.5749169660127082E-33</v>
      </c>
      <c r="BN233" s="16">
        <v>4.3606567176054348E-34</v>
      </c>
      <c r="BQ233" s="9">
        <f t="shared" si="195"/>
        <v>39</v>
      </c>
      <c r="BR233" s="16">
        <v>2.6588433369871476E-10</v>
      </c>
      <c r="BS233" s="16">
        <v>3.1682536064717449E-9</v>
      </c>
      <c r="BT233" s="16">
        <v>3.749433724315797E-8</v>
      </c>
      <c r="BU233" s="16">
        <v>4.0354590819124687E-7</v>
      </c>
      <c r="BV233" s="16">
        <v>3.7551229259133089E-6</v>
      </c>
      <c r="BW233" s="16">
        <v>3.0986728639819187E-5</v>
      </c>
      <c r="BX233" s="16">
        <v>2.2924466566798734E-4</v>
      </c>
      <c r="BY233" s="16">
        <v>1.535684854448631E-3</v>
      </c>
      <c r="BZ233" s="16">
        <v>9.3961479462029256E-3</v>
      </c>
      <c r="CA233" s="16">
        <v>5.2911825750248068E-2</v>
      </c>
      <c r="CB233" s="16">
        <v>0.27608085264274457</v>
      </c>
      <c r="CC233" s="16">
        <v>0.34275902924646312</v>
      </c>
      <c r="CD233" s="16">
        <v>0.25242205149039543</v>
      </c>
      <c r="CE233" s="16">
        <v>5.0636197587645801E-2</v>
      </c>
      <c r="CF233" s="16">
        <v>1.0788954809464537E-2</v>
      </c>
      <c r="CG233" s="16">
        <v>2.4314482115376009E-3</v>
      </c>
      <c r="CH233" s="16">
        <v>5.7740134417998731E-4</v>
      </c>
      <c r="CI233" s="16">
        <v>1.4398974069510184E-4</v>
      </c>
      <c r="CJ233" s="16">
        <v>3.7589395439505084E-5</v>
      </c>
      <c r="CK233" s="16">
        <v>1.0240224555680915E-5</v>
      </c>
      <c r="CL233" s="16">
        <v>2.8934944220968796E-6</v>
      </c>
      <c r="CM233" s="16">
        <v>8.63713314855075E-7</v>
      </c>
      <c r="CN233" s="16">
        <v>2.8575642335976224E-7</v>
      </c>
      <c r="CO233" s="16">
        <v>8.4894006899043008E-8</v>
      </c>
      <c r="CP233" s="16">
        <v>2.1500653078534341E-8</v>
      </c>
      <c r="CQ233" s="16">
        <v>5.070761854287879E-9</v>
      </c>
      <c r="CR233" s="16">
        <v>1.0322772734276012E-9</v>
      </c>
      <c r="CS233" s="16">
        <v>2.1541544136258921E-10</v>
      </c>
      <c r="CT233" s="16">
        <v>4.7433717818027735E-11</v>
      </c>
      <c r="CU233" s="16">
        <v>1.0262239242271369E-11</v>
      </c>
      <c r="CV233" s="16">
        <v>2.1013564378685132E-12</v>
      </c>
      <c r="CW233" s="16">
        <v>4.3430117221102546E-13</v>
      </c>
      <c r="CX233" s="16">
        <v>9.2421231185906354E-14</v>
      </c>
      <c r="CY233" s="16">
        <v>2.023023894292345E-14</v>
      </c>
      <c r="CZ233" s="16">
        <v>4.5505044769868804E-15</v>
      </c>
      <c r="DA233" s="16">
        <v>1.0508666492008272E-15</v>
      </c>
      <c r="DB233" s="16">
        <v>2.4892605564454191E-16</v>
      </c>
      <c r="DC233" s="16">
        <v>6.0399251719647186E-17</v>
      </c>
      <c r="DD233" s="16">
        <v>1.50728656766136E-17</v>
      </c>
      <c r="DE233" s="16">
        <v>3.8614065027790145E-18</v>
      </c>
      <c r="DF233" s="16">
        <v>9.8922530722454255E-19</v>
      </c>
      <c r="DG233" s="16">
        <v>2.5342234953702492E-19</v>
      </c>
      <c r="DH233" s="16">
        <v>6.4922406224541532E-20</v>
      </c>
      <c r="DI233" s="16">
        <v>1.6631993334818152E-20</v>
      </c>
      <c r="DJ233" s="16">
        <v>4.2608279149040429E-21</v>
      </c>
      <c r="DK233" s="16">
        <v>1.0915500417746822E-21</v>
      </c>
      <c r="DL233" s="16">
        <v>2.7963580303741438E-22</v>
      </c>
      <c r="DM233" s="16">
        <v>7.1636446255783484E-23</v>
      </c>
      <c r="DN233" s="16">
        <v>1.8346736793866475E-23</v>
      </c>
      <c r="DO233" s="16">
        <v>4.6801054136440328E-24</v>
      </c>
      <c r="DP233" s="16">
        <v>1.1230856263341958E-24</v>
      </c>
    </row>
    <row r="234" spans="3:120" x14ac:dyDescent="0.25">
      <c r="C234" s="1"/>
      <c r="D234" s="1"/>
      <c r="E234" s="1"/>
      <c r="F234" s="1"/>
      <c r="G234" s="1"/>
      <c r="H234" s="1"/>
      <c r="I234" s="1"/>
      <c r="J234" s="93"/>
      <c r="O234" s="9">
        <f t="shared" si="194"/>
        <v>38</v>
      </c>
      <c r="P234" s="16">
        <v>5.439891472748329E-23</v>
      </c>
      <c r="Q234" s="16">
        <v>4.122635595486395E-21</v>
      </c>
      <c r="R234" s="16">
        <v>3.1238214348835829E-19</v>
      </c>
      <c r="S234" s="16">
        <v>2.3669955424803631E-17</v>
      </c>
      <c r="T234" s="16">
        <v>1.7935301408492894E-15</v>
      </c>
      <c r="U234" s="16">
        <v>1.3590014465190128E-13</v>
      </c>
      <c r="V234" s="16">
        <v>1.0297484773610856E-11</v>
      </c>
      <c r="W234" s="16">
        <v>7.8026548782826419E-10</v>
      </c>
      <c r="X234" s="16">
        <v>5.9122615364877672E-8</v>
      </c>
      <c r="Y234" s="16">
        <v>4.4798644847311542E-6</v>
      </c>
      <c r="Z234" s="16">
        <v>3.3945023706576099E-4</v>
      </c>
      <c r="AA234" s="16">
        <v>2.5720970765238743E-2</v>
      </c>
      <c r="AB234" s="16">
        <v>0.94894056585413977</v>
      </c>
      <c r="AC234" s="16">
        <v>2.439050699559752E-2</v>
      </c>
      <c r="AD234" s="16">
        <v>5.7561370559155599E-4</v>
      </c>
      <c r="AE234" s="16">
        <v>2.6239831194649215E-5</v>
      </c>
      <c r="AF234" s="16">
        <v>1.890777945185674E-6</v>
      </c>
      <c r="AG234" s="16">
        <v>1.9158989747037442E-7</v>
      </c>
      <c r="AH234" s="16">
        <v>2.529543872686391E-8</v>
      </c>
      <c r="AI234" s="16">
        <v>4.1255757295097134E-9</v>
      </c>
      <c r="AJ234" s="16">
        <v>7.9647683560517618E-10</v>
      </c>
      <c r="AK234" s="16">
        <v>1.8174527074864195E-10</v>
      </c>
      <c r="AL234" s="16">
        <v>5.0591350925451596E-11</v>
      </c>
      <c r="AM234" s="16">
        <v>1.2485441523825395E-11</v>
      </c>
      <c r="AN234" s="16">
        <v>2.6203565524458446E-12</v>
      </c>
      <c r="AO234" s="16">
        <v>4.9870377096496081E-13</v>
      </c>
      <c r="AP234" s="16">
        <v>8.049332778051836E-14</v>
      </c>
      <c r="AQ234" s="16">
        <v>1.3095669135145512E-14</v>
      </c>
      <c r="AR234" s="16">
        <v>2.1457671151227687E-15</v>
      </c>
      <c r="AS234" s="16">
        <v>3.5489636629321777E-16</v>
      </c>
      <c r="AT234" s="16">
        <v>5.9360177824631322E-17</v>
      </c>
      <c r="AU234" s="16">
        <v>9.9908471516787276E-18</v>
      </c>
      <c r="AV234" s="16">
        <v>1.68943536850867E-18</v>
      </c>
      <c r="AW234" s="16">
        <v>2.8701391527233621E-19</v>
      </c>
      <c r="AX234" s="16">
        <v>4.898650527288591E-20</v>
      </c>
      <c r="AY234" s="16">
        <v>8.3994756721368122E-21</v>
      </c>
      <c r="AZ234" s="16">
        <v>1.4468370703222472E-21</v>
      </c>
      <c r="BA234" s="16">
        <v>2.5035026318667117E-22</v>
      </c>
      <c r="BB234" s="16">
        <v>4.3539995474330049E-23</v>
      </c>
      <c r="BC234" s="16">
        <v>7.6051406837498418E-24</v>
      </c>
      <c r="BD234" s="16">
        <v>1.3283916130337406E-24</v>
      </c>
      <c r="BE234" s="16">
        <v>2.3203045820689579E-25</v>
      </c>
      <c r="BF234" s="16">
        <v>4.0528811690361881E-26</v>
      </c>
      <c r="BG234" s="16">
        <v>7.0791765431359979E-27</v>
      </c>
      <c r="BH234" s="16">
        <v>1.2365213396914706E-27</v>
      </c>
      <c r="BI234" s="16">
        <v>2.1598345694854951E-28</v>
      </c>
      <c r="BJ234" s="16">
        <v>3.7725877298355731E-29</v>
      </c>
      <c r="BK234" s="16">
        <v>6.58958115966556E-30</v>
      </c>
      <c r="BL234" s="16">
        <v>1.1509690662740476E-30</v>
      </c>
      <c r="BM234" s="16">
        <v>2.0084793532439098E-31</v>
      </c>
      <c r="BN234" s="16">
        <v>3.4013869571325219E-32</v>
      </c>
      <c r="BQ234" s="9">
        <f t="shared" si="195"/>
        <v>38</v>
      </c>
      <c r="BR234" s="16">
        <v>5.6752491651404456E-11</v>
      </c>
      <c r="BS234" s="16">
        <v>6.7625754345709663E-10</v>
      </c>
      <c r="BT234" s="16">
        <v>8.0030930433775735E-9</v>
      </c>
      <c r="BU234" s="16">
        <v>8.6136085819684651E-8</v>
      </c>
      <c r="BV234" s="16">
        <v>8.0152365330549981E-7</v>
      </c>
      <c r="BW234" s="16">
        <v>6.6140566989117566E-6</v>
      </c>
      <c r="BX234" s="16">
        <v>4.8931826081915353E-5</v>
      </c>
      <c r="BY234" s="16">
        <v>3.2778893238607343E-4</v>
      </c>
      <c r="BZ234" s="16">
        <v>2.0055894247477438E-3</v>
      </c>
      <c r="CA234" s="16">
        <v>1.129392584880241E-2</v>
      </c>
      <c r="CB234" s="16">
        <v>5.8928918702199268E-2</v>
      </c>
      <c r="CC234" s="16">
        <v>0.28660929185661987</v>
      </c>
      <c r="CD234" s="16">
        <v>0.30631102266486065</v>
      </c>
      <c r="CE234" s="16">
        <v>0.26204771993580916</v>
      </c>
      <c r="CF234" s="16">
        <v>5.5833991156564428E-2</v>
      </c>
      <c r="CG234" s="16">
        <v>1.2583003667931067E-2</v>
      </c>
      <c r="CH234" s="16">
        <v>2.9881135025658571E-3</v>
      </c>
      <c r="CI234" s="16">
        <v>7.4516225626913401E-4</v>
      </c>
      <c r="CJ234" s="16">
        <v>1.9452912813285695E-4</v>
      </c>
      <c r="CK234" s="16">
        <v>5.2994253602912116E-5</v>
      </c>
      <c r="CL234" s="16">
        <v>1.4974142058061301E-5</v>
      </c>
      <c r="CM234" s="16">
        <v>4.4698084694098946E-6</v>
      </c>
      <c r="CN234" s="16">
        <v>1.4788199502702618E-6</v>
      </c>
      <c r="CO234" s="16">
        <v>4.3933553473487336E-7</v>
      </c>
      <c r="CP234" s="16">
        <v>1.1126817148164755E-7</v>
      </c>
      <c r="CQ234" s="16">
        <v>2.6241733099205109E-8</v>
      </c>
      <c r="CR234" s="16">
        <v>5.3421449226127256E-9</v>
      </c>
      <c r="CS234" s="16">
        <v>1.1147978706403686E-9</v>
      </c>
      <c r="CT234" s="16">
        <v>2.4547454576892193E-10</v>
      </c>
      <c r="CU234" s="16">
        <v>5.3108181952609875E-11</v>
      </c>
      <c r="CV234" s="16">
        <v>1.0874743554010984E-11</v>
      </c>
      <c r="CW234" s="16">
        <v>2.2475548592755151E-12</v>
      </c>
      <c r="CX234" s="16">
        <v>4.7828972276219929E-13</v>
      </c>
      <c r="CY234" s="16">
        <v>1.0469364291372285E-13</v>
      </c>
      <c r="CZ234" s="16">
        <v>2.3549345716334693E-14</v>
      </c>
      <c r="DA234" s="16">
        <v>5.4383469237201768E-15</v>
      </c>
      <c r="DB234" s="16">
        <v>1.2882188715169537E-15</v>
      </c>
      <c r="DC234" s="16">
        <v>3.1257256573357176E-16</v>
      </c>
      <c r="DD234" s="16">
        <v>7.8003686525209855E-17</v>
      </c>
      <c r="DE234" s="16">
        <v>1.9983190247393771E-17</v>
      </c>
      <c r="DF234" s="16">
        <v>5.1193464085114711E-18</v>
      </c>
      <c r="DG234" s="16">
        <v>1.3114876716800594E-18</v>
      </c>
      <c r="DH234" s="16">
        <v>3.3598037242903604E-19</v>
      </c>
      <c r="DI234" s="16">
        <v>8.6072338347143722E-20</v>
      </c>
      <c r="DJ234" s="16">
        <v>2.2050238630316616E-20</v>
      </c>
      <c r="DK234" s="16">
        <v>5.648887816819014E-21</v>
      </c>
      <c r="DL234" s="16">
        <v>1.4471450876922041E-21</v>
      </c>
      <c r="DM234" s="16">
        <v>3.707262452544862E-22</v>
      </c>
      <c r="DN234" s="16">
        <v>9.4946318525862475E-23</v>
      </c>
      <c r="DO234" s="16">
        <v>2.4220044377974284E-23</v>
      </c>
      <c r="DP234" s="16">
        <v>5.8120878283593676E-24</v>
      </c>
    </row>
    <row r="235" spans="3:120" x14ac:dyDescent="0.25">
      <c r="C235" s="1"/>
      <c r="D235" s="1"/>
      <c r="E235" s="1"/>
      <c r="F235" s="1"/>
      <c r="G235" s="1"/>
      <c r="H235" s="1"/>
      <c r="I235" s="1"/>
      <c r="J235" s="93"/>
      <c r="O235" s="9">
        <f t="shared" si="194"/>
        <v>37</v>
      </c>
      <c r="P235" s="16">
        <v>1.3878777168546695E-24</v>
      </c>
      <c r="Q235" s="16">
        <v>1.0518066594436555E-22</v>
      </c>
      <c r="R235" s="16">
        <v>7.9697953215186904E-21</v>
      </c>
      <c r="S235" s="16">
        <v>6.0389079189536403E-19</v>
      </c>
      <c r="T235" s="16">
        <v>4.5758275316002905E-17</v>
      </c>
      <c r="U235" s="16">
        <v>3.4672159072395898E-15</v>
      </c>
      <c r="V235" s="16">
        <v>2.6271938932127931E-13</v>
      </c>
      <c r="W235" s="16">
        <v>1.9906887650471445E-11</v>
      </c>
      <c r="X235" s="16">
        <v>1.5083933353844579E-9</v>
      </c>
      <c r="Y235" s="16">
        <v>1.1429463481090004E-7</v>
      </c>
      <c r="Z235" s="16">
        <v>8.6603826999987714E-6</v>
      </c>
      <c r="AA235" s="16">
        <v>6.5621827861411753E-4</v>
      </c>
      <c r="AB235" s="16">
        <v>4.9723256362254831E-2</v>
      </c>
      <c r="AC235" s="16">
        <v>0.90250133741854344</v>
      </c>
      <c r="AD235" s="16">
        <v>4.4898855317851538E-2</v>
      </c>
      <c r="AE235" s="16">
        <v>2.0467517936575788E-3</v>
      </c>
      <c r="AF235" s="16">
        <v>1.4748391946614825E-4</v>
      </c>
      <c r="AG235" s="16">
        <v>1.494434028120289E-5</v>
      </c>
      <c r="AH235" s="16">
        <v>1.9730875630069466E-6</v>
      </c>
      <c r="AI235" s="16">
        <v>3.218019758437345E-7</v>
      </c>
      <c r="AJ235" s="16">
        <v>6.2126557895465145E-8</v>
      </c>
      <c r="AK235" s="16">
        <v>1.4176442528693565E-8</v>
      </c>
      <c r="AL235" s="16">
        <v>3.9462120576196147E-9</v>
      </c>
      <c r="AM235" s="16">
        <v>9.7388583196021071E-10</v>
      </c>
      <c r="AN235" s="16">
        <v>2.0439230092435124E-10</v>
      </c>
      <c r="AO235" s="16">
        <v>3.8899748636129788E-11</v>
      </c>
      <c r="AP235" s="16">
        <v>6.278617487670381E-12</v>
      </c>
      <c r="AQ235" s="16">
        <v>1.0214846312338708E-12</v>
      </c>
      <c r="AR235" s="16">
        <v>1.6737351163084288E-13</v>
      </c>
      <c r="AS235" s="16">
        <v>2.7682524665834123E-14</v>
      </c>
      <c r="AT235" s="16">
        <v>4.6301955806473387E-15</v>
      </c>
      <c r="AU235" s="16">
        <v>7.7930319658561789E-16</v>
      </c>
      <c r="AV235" s="16">
        <v>1.3177885349616096E-16</v>
      </c>
      <c r="AW235" s="16">
        <v>2.2387577173443461E-17</v>
      </c>
      <c r="AX235" s="16">
        <v>3.8210313469067278E-18</v>
      </c>
      <c r="AY235" s="16">
        <v>6.5517349445582202E-19</v>
      </c>
      <c r="AZ235" s="16">
        <v>1.1285577055908051E-19</v>
      </c>
      <c r="BA235" s="16">
        <v>1.9527749489655817E-20</v>
      </c>
      <c r="BB235" s="16">
        <v>3.396194250331161E-21</v>
      </c>
      <c r="BC235" s="16">
        <v>5.932140043133117E-22</v>
      </c>
      <c r="BD235" s="16">
        <v>1.036168219409477E-22</v>
      </c>
      <c r="BE235" s="16">
        <v>1.8098773311277877E-23</v>
      </c>
      <c r="BF235" s="16">
        <v>3.1613167556875877E-24</v>
      </c>
      <c r="BG235" s="16">
        <v>5.521879001354589E-25</v>
      </c>
      <c r="BH235" s="16">
        <v>9.6450783205704333E-26</v>
      </c>
      <c r="BI235" s="16">
        <v>1.6847079717492741E-26</v>
      </c>
      <c r="BJ235" s="16">
        <v>2.9426830704406738E-27</v>
      </c>
      <c r="BK235" s="16">
        <v>5.1399862133061157E-28</v>
      </c>
      <c r="BL235" s="16">
        <v>8.9777559290136583E-29</v>
      </c>
      <c r="BM235" s="16">
        <v>1.5666483096943341E-29</v>
      </c>
      <c r="BN235" s="16">
        <v>2.653140107415829E-30</v>
      </c>
      <c r="BQ235" s="9">
        <f t="shared" si="195"/>
        <v>37</v>
      </c>
      <c r="BR235" s="16">
        <v>1.2867448306456707E-11</v>
      </c>
      <c r="BS235" s="16">
        <v>1.5332734703059061E-10</v>
      </c>
      <c r="BT235" s="16">
        <v>1.8145350632349859E-9</v>
      </c>
      <c r="BU235" s="16">
        <v>1.9529567766173704E-8</v>
      </c>
      <c r="BV235" s="16">
        <v>1.8172883472078563E-7</v>
      </c>
      <c r="BW235" s="16">
        <v>1.4995999328447917E-6</v>
      </c>
      <c r="BX235" s="16">
        <v>1.1094274882537152E-5</v>
      </c>
      <c r="BY235" s="16">
        <v>7.4319329780511131E-5</v>
      </c>
      <c r="BZ235" s="16">
        <v>4.5472573090593453E-4</v>
      </c>
      <c r="CA235" s="16">
        <v>2.5606630265514311E-3</v>
      </c>
      <c r="CB235" s="16">
        <v>1.336090791948822E-2</v>
      </c>
      <c r="CC235" s="16">
        <v>6.4982701900876877E-2</v>
      </c>
      <c r="CD235" s="16">
        <v>0.29617888249808183</v>
      </c>
      <c r="CE235" s="16">
        <v>0.27109593620588346</v>
      </c>
      <c r="CF235" s="16">
        <v>0.27082990563187914</v>
      </c>
      <c r="CG235" s="16">
        <v>6.1035466484840331E-2</v>
      </c>
      <c r="CH235" s="16">
        <v>1.4494226207973825E-2</v>
      </c>
      <c r="CI235" s="16">
        <v>3.6145047016235107E-3</v>
      </c>
      <c r="CJ235" s="16">
        <v>9.4358838269578455E-4</v>
      </c>
      <c r="CK235" s="16">
        <v>2.5705539591577516E-4</v>
      </c>
      <c r="CL235" s="16">
        <v>7.263398865990425E-5</v>
      </c>
      <c r="CM235" s="16">
        <v>2.1681376897602098E-5</v>
      </c>
      <c r="CN235" s="16">
        <v>7.1732050545189636E-6</v>
      </c>
      <c r="CO235" s="16">
        <v>2.1310531263890806E-6</v>
      </c>
      <c r="CP235" s="16">
        <v>5.3972047775888567E-7</v>
      </c>
      <c r="CQ235" s="16">
        <v>1.2728887818436207E-7</v>
      </c>
      <c r="CR235" s="16">
        <v>2.5912756285073921E-8</v>
      </c>
      <c r="CS235" s="16">
        <v>5.4074694617035957E-9</v>
      </c>
      <c r="CT235" s="16">
        <v>1.1907056380620072E-9</v>
      </c>
      <c r="CU235" s="16">
        <v>2.5760801992774874E-10</v>
      </c>
      <c r="CV235" s="16">
        <v>5.2749332610756968E-11</v>
      </c>
      <c r="CW235" s="16">
        <v>1.0902051919111166E-11</v>
      </c>
      <c r="CX235" s="16">
        <v>2.3200053909302979E-12</v>
      </c>
      <c r="CY235" s="16">
        <v>5.0782988719314578E-13</v>
      </c>
      <c r="CZ235" s="16">
        <v>1.142291092922805E-13</v>
      </c>
      <c r="DA235" s="16">
        <v>2.6379396379070957E-14</v>
      </c>
      <c r="DB235" s="16">
        <v>6.2486701770579667E-15</v>
      </c>
      <c r="DC235" s="16">
        <v>1.5161731541518996E-15</v>
      </c>
      <c r="DD235" s="16">
        <v>3.78366844693629E-16</v>
      </c>
      <c r="DE235" s="16">
        <v>9.6931016694643834E-17</v>
      </c>
      <c r="DF235" s="16">
        <v>2.4832043634965055E-17</v>
      </c>
      <c r="DG235" s="16">
        <v>6.3615384643109729E-18</v>
      </c>
      <c r="DH235" s="16">
        <v>1.6297157103450467E-18</v>
      </c>
      <c r="DI235" s="16">
        <v>4.1750487094332355E-19</v>
      </c>
      <c r="DJ235" s="16">
        <v>1.0695749889459493E-19</v>
      </c>
      <c r="DK235" s="16">
        <v>2.7400651872874316E-20</v>
      </c>
      <c r="DL235" s="16">
        <v>7.0195620878382736E-21</v>
      </c>
      <c r="DM235" s="16">
        <v>1.7982550044826742E-21</v>
      </c>
      <c r="DN235" s="16">
        <v>4.6054924525004914E-22</v>
      </c>
      <c r="DO235" s="16">
        <v>1.1748241881711687E-22</v>
      </c>
      <c r="DP235" s="16">
        <v>2.8192274373953554E-23</v>
      </c>
    </row>
    <row r="236" spans="3:120" x14ac:dyDescent="0.25">
      <c r="C236" s="1"/>
      <c r="D236" s="1"/>
      <c r="E236" s="1"/>
      <c r="F236" s="1"/>
      <c r="G236" s="1"/>
      <c r="H236" s="1"/>
      <c r="I236" s="1"/>
      <c r="J236" s="93"/>
      <c r="O236" s="9">
        <f t="shared" si="194"/>
        <v>36</v>
      </c>
      <c r="P236" s="16">
        <v>6.9232481471492855E-26</v>
      </c>
      <c r="Q236" s="16">
        <v>5.2468012258713208E-24</v>
      </c>
      <c r="R236" s="16">
        <v>3.9756291222767087E-22</v>
      </c>
      <c r="S236" s="16">
        <v>3.0124309622501798E-20</v>
      </c>
      <c r="T236" s="16">
        <v>2.2825922698450318E-18</v>
      </c>
      <c r="U236" s="16">
        <v>1.7295757265967131E-16</v>
      </c>
      <c r="V236" s="16">
        <v>1.3105416300369931E-14</v>
      </c>
      <c r="W236" s="16">
        <v>9.9302929478524931E-13</v>
      </c>
      <c r="X236" s="16">
        <v>7.5244246935814939E-11</v>
      </c>
      <c r="Y236" s="16">
        <v>5.7014397527540057E-9</v>
      </c>
      <c r="Z236" s="16">
        <v>4.320119687291491E-7</v>
      </c>
      <c r="AA236" s="16">
        <v>3.2734598490685452E-5</v>
      </c>
      <c r="AB236" s="16">
        <v>2.4803802114524271E-3</v>
      </c>
      <c r="AC236" s="16">
        <v>9.4903813925929698E-2</v>
      </c>
      <c r="AD236" s="16">
        <v>0.81326758237036112</v>
      </c>
      <c r="AE236" s="16">
        <v>8.2659316152367074E-2</v>
      </c>
      <c r="AF236" s="16">
        <v>5.9562277968044286E-3</v>
      </c>
      <c r="AG236" s="16">
        <v>6.0353627236110654E-4</v>
      </c>
      <c r="AH236" s="16">
        <v>7.9684341390239095E-5</v>
      </c>
      <c r="AI236" s="16">
        <v>1.299616853501769E-5</v>
      </c>
      <c r="AJ236" s="16">
        <v>2.5090188299591793E-6</v>
      </c>
      <c r="AK236" s="16">
        <v>5.7252425454143163E-7</v>
      </c>
      <c r="AL236" s="16">
        <v>1.5937017428583939E-7</v>
      </c>
      <c r="AM236" s="16">
        <v>3.9330971703439406E-8</v>
      </c>
      <c r="AN236" s="16">
        <v>8.2545073973157181E-9</v>
      </c>
      <c r="AO236" s="16">
        <v>1.5709900099881881E-9</v>
      </c>
      <c r="AP236" s="16">
        <v>2.5356578629677903E-10</v>
      </c>
      <c r="AQ236" s="16">
        <v>4.1253278164743907E-11</v>
      </c>
      <c r="AR236" s="16">
        <v>6.7594810744992177E-12</v>
      </c>
      <c r="AS236" s="16">
        <v>1.1179755969138781E-12</v>
      </c>
      <c r="AT236" s="16">
        <v>1.8699326490589198E-13</v>
      </c>
      <c r="AU236" s="16">
        <v>3.1472633616217443E-14</v>
      </c>
      <c r="AV236" s="16">
        <v>5.3219691547796871E-15</v>
      </c>
      <c r="AW236" s="16">
        <v>9.0413592170755163E-16</v>
      </c>
      <c r="AX236" s="16">
        <v>1.5431467514077519E-16</v>
      </c>
      <c r="AY236" s="16">
        <v>2.645958009207209E-17</v>
      </c>
      <c r="AZ236" s="16">
        <v>4.5577489401349005E-18</v>
      </c>
      <c r="BA236" s="16">
        <v>7.8864004116745987E-19</v>
      </c>
      <c r="BB236" s="16">
        <v>1.3715737058244411E-19</v>
      </c>
      <c r="BC236" s="16">
        <v>2.3957308394937298E-20</v>
      </c>
      <c r="BD236" s="16">
        <v>4.1846283804714366E-21</v>
      </c>
      <c r="BE236" s="16">
        <v>7.3092996900884954E-22</v>
      </c>
      <c r="BF236" s="16">
        <v>1.2767170009373067E-22</v>
      </c>
      <c r="BG236" s="16">
        <v>2.2300444223011019E-23</v>
      </c>
      <c r="BH236" s="16">
        <v>3.8952235473049941E-24</v>
      </c>
      <c r="BI236" s="16">
        <v>6.8037956186364047E-25</v>
      </c>
      <c r="BJ236" s="16">
        <v>1.1884204572802635E-25</v>
      </c>
      <c r="BK236" s="16">
        <v>2.0758146969312421E-26</v>
      </c>
      <c r="BL236" s="16">
        <v>3.625721340392681E-27</v>
      </c>
      <c r="BM236" s="16">
        <v>6.3270044922828818E-28</v>
      </c>
      <c r="BN236" s="16">
        <v>1.0714867704769685E-28</v>
      </c>
      <c r="BQ236" s="9">
        <f t="shared" si="195"/>
        <v>36</v>
      </c>
      <c r="BR236" s="16">
        <v>3.0858357067137856E-12</v>
      </c>
      <c r="BS236" s="16">
        <v>3.677053841710605E-11</v>
      </c>
      <c r="BT236" s="16">
        <v>4.3515675803453565E-10</v>
      </c>
      <c r="BU236" s="16">
        <v>4.6835266879840688E-9</v>
      </c>
      <c r="BV236" s="16">
        <v>4.3581704294820754E-8</v>
      </c>
      <c r="BW236" s="16">
        <v>3.596298899631894E-7</v>
      </c>
      <c r="BX236" s="16">
        <v>2.6605981821160553E-6</v>
      </c>
      <c r="BY236" s="16">
        <v>1.7823055206731251E-5</v>
      </c>
      <c r="BZ236" s="16">
        <v>1.0905106154473117E-4</v>
      </c>
      <c r="CA236" s="16">
        <v>6.1409109343219133E-4</v>
      </c>
      <c r="CB236" s="16">
        <v>3.204175820266037E-3</v>
      </c>
      <c r="CC236" s="16">
        <v>1.5583971046057556E-2</v>
      </c>
      <c r="CD236" s="16">
        <v>7.102879680725474E-2</v>
      </c>
      <c r="CE236" s="16">
        <v>0.30483069627990667</v>
      </c>
      <c r="CF236" s="16">
        <v>0.23712444946237643</v>
      </c>
      <c r="CG236" s="16">
        <v>0.27880402534043269</v>
      </c>
      <c r="CH236" s="16">
        <v>6.6208203913401598E-2</v>
      </c>
      <c r="CI236" s="16">
        <v>1.651070301354789E-2</v>
      </c>
      <c r="CJ236" s="16">
        <v>4.3102191973153009E-3</v>
      </c>
      <c r="CK236" s="16">
        <v>1.1742038399034319E-3</v>
      </c>
      <c r="CL236" s="16">
        <v>3.3178493720437759E-4</v>
      </c>
      <c r="CM236" s="16">
        <v>9.9038403441643492E-5</v>
      </c>
      <c r="CN236" s="16">
        <v>3.2766497234668544E-5</v>
      </c>
      <c r="CO236" s="16">
        <v>9.7344416954552223E-6</v>
      </c>
      <c r="CP236" s="16">
        <v>2.4653902136590252E-6</v>
      </c>
      <c r="CQ236" s="16">
        <v>5.8144311271353384E-7</v>
      </c>
      <c r="CR236" s="16">
        <v>1.1836692952512469E-7</v>
      </c>
      <c r="CS236" s="16">
        <v>2.4700790207000075E-8</v>
      </c>
      <c r="CT236" s="16">
        <v>5.4390265857915535E-9</v>
      </c>
      <c r="CU236" s="16">
        <v>1.1767281721959735E-9</v>
      </c>
      <c r="CV236" s="16">
        <v>2.4095377839953395E-10</v>
      </c>
      <c r="CW236" s="16">
        <v>4.9799504035469708E-11</v>
      </c>
      <c r="CX236" s="16">
        <v>1.0597557109906365E-11</v>
      </c>
      <c r="CY236" s="16">
        <v>2.3197171233678213E-12</v>
      </c>
      <c r="CZ236" s="16">
        <v>5.2178736914626761E-13</v>
      </c>
      <c r="DA236" s="16">
        <v>1.2049849571253029E-13</v>
      </c>
      <c r="DB236" s="16">
        <v>2.8543312580746519E-14</v>
      </c>
      <c r="DC236" s="16">
        <v>6.9257302816820737E-15</v>
      </c>
      <c r="DD236" s="16">
        <v>1.7283426412763341E-15</v>
      </c>
      <c r="DE236" s="16">
        <v>4.4277137853152403E-16</v>
      </c>
      <c r="DF236" s="16">
        <v>1.1343034012162573E-16</v>
      </c>
      <c r="DG236" s="16">
        <v>2.9058883848269058E-17</v>
      </c>
      <c r="DH236" s="16">
        <v>7.4443815435996697E-18</v>
      </c>
      <c r="DI236" s="16">
        <v>1.9071213070378968E-18</v>
      </c>
      <c r="DJ236" s="16">
        <v>4.8857136595432648E-19</v>
      </c>
      <c r="DK236" s="16">
        <v>1.2516349065680794E-19</v>
      </c>
      <c r="DL236" s="16">
        <v>3.2064671230168981E-20</v>
      </c>
      <c r="DM236" s="16">
        <v>8.2142525110850564E-21</v>
      </c>
      <c r="DN236" s="16">
        <v>2.103743787640321E-21</v>
      </c>
      <c r="DO236" s="16">
        <v>5.366481680135627E-22</v>
      </c>
      <c r="DP236" s="16">
        <v>1.2877954460973004E-22</v>
      </c>
    </row>
    <row r="237" spans="3:120" x14ac:dyDescent="0.25">
      <c r="C237" s="1"/>
      <c r="D237" s="1"/>
      <c r="E237" s="1"/>
      <c r="F237" s="1"/>
      <c r="G237" s="1"/>
      <c r="H237" s="1"/>
      <c r="I237" s="1"/>
      <c r="J237" s="93"/>
      <c r="O237" s="9">
        <f t="shared" si="194"/>
        <v>35</v>
      </c>
      <c r="P237" s="16">
        <v>5.5086330260490525E-27</v>
      </c>
      <c r="Q237" s="16">
        <v>4.1747315565816286E-25</v>
      </c>
      <c r="R237" s="16">
        <v>3.163295813875101E-23</v>
      </c>
      <c r="S237" s="16">
        <v>2.3969062403428309E-21</v>
      </c>
      <c r="T237" s="16">
        <v>1.8161942047173426E-19</v>
      </c>
      <c r="U237" s="16">
        <v>1.3761745594091583E-17</v>
      </c>
      <c r="V237" s="16">
        <v>1.0427609630324391E-15</v>
      </c>
      <c r="W237" s="16">
        <v>7.9012536497635806E-14</v>
      </c>
      <c r="X237" s="16">
        <v>5.9869722257679277E-12</v>
      </c>
      <c r="Y237" s="16">
        <v>4.5364745926349403E-10</v>
      </c>
      <c r="Z237" s="16">
        <v>3.4373972274412329E-8</v>
      </c>
      <c r="AA237" s="16">
        <v>2.6045995536718555E-6</v>
      </c>
      <c r="AB237" s="16">
        <v>1.9735684839769106E-4</v>
      </c>
      <c r="AC237" s="16">
        <v>7.5512284491153804E-3</v>
      </c>
      <c r="AD237" s="16">
        <v>0.14427658054438514</v>
      </c>
      <c r="AE237" s="16">
        <v>0.71026177554884307</v>
      </c>
      <c r="AF237" s="16">
        <v>0.12323727320171403</v>
      </c>
      <c r="AG237" s="16">
        <v>1.2487461363384116E-2</v>
      </c>
      <c r="AH237" s="16">
        <v>1.6487080892164856E-3</v>
      </c>
      <c r="AI237" s="16">
        <v>2.6889709845966185E-4</v>
      </c>
      <c r="AJ237" s="16">
        <v>5.1912829657357213E-5</v>
      </c>
      <c r="AK237" s="16">
        <v>1.1845807510818211E-5</v>
      </c>
      <c r="AL237" s="16">
        <v>3.2974470384101166E-6</v>
      </c>
      <c r="AM237" s="16">
        <v>8.1377708685119986E-7</v>
      </c>
      <c r="AN237" s="16">
        <v>1.707898048852896E-7</v>
      </c>
      <c r="AO237" s="16">
        <v>3.2504553496417395E-8</v>
      </c>
      <c r="AP237" s="16">
        <v>5.2464004310293238E-9</v>
      </c>
      <c r="AQ237" s="16">
        <v>8.5355054996090505E-10</v>
      </c>
      <c r="AR237" s="16">
        <v>1.3985697731822796E-10</v>
      </c>
      <c r="AS237" s="16">
        <v>2.3131463196159694E-11</v>
      </c>
      <c r="AT237" s="16">
        <v>3.8689823257685858E-12</v>
      </c>
      <c r="AU237" s="16">
        <v>6.5118421921675743E-13</v>
      </c>
      <c r="AV237" s="16">
        <v>1.1011415094811469E-13</v>
      </c>
      <c r="AW237" s="16">
        <v>1.8707015479618946E-14</v>
      </c>
      <c r="AX237" s="16">
        <v>3.1928462826019576E-15</v>
      </c>
      <c r="AY237" s="16">
        <v>5.4746168411469692E-16</v>
      </c>
      <c r="AZ237" s="16">
        <v>9.4302060042360448E-17</v>
      </c>
      <c r="BA237" s="16">
        <v>1.6317349088513458E-17</v>
      </c>
      <c r="BB237" s="16">
        <v>2.8378532397914614E-18</v>
      </c>
      <c r="BC237" s="16">
        <v>4.9568845594330926E-19</v>
      </c>
      <c r="BD237" s="16">
        <v>8.6582012737740442E-20</v>
      </c>
      <c r="BE237" s="16">
        <v>1.5123299402751449E-20</v>
      </c>
      <c r="BF237" s="16">
        <v>2.6415900669581139E-21</v>
      </c>
      <c r="BG237" s="16">
        <v>4.6140712393593384E-22</v>
      </c>
      <c r="BH237" s="16">
        <v>8.0594084856613344E-23</v>
      </c>
      <c r="BI237" s="16">
        <v>1.4077386696196755E-23</v>
      </c>
      <c r="BJ237" s="16">
        <v>2.4589001893267024E-24</v>
      </c>
      <c r="BK237" s="16">
        <v>4.2949623763398937E-25</v>
      </c>
      <c r="BL237" s="16">
        <v>7.5017952070097604E-26</v>
      </c>
      <c r="BM237" s="16">
        <v>1.3090882480724901E-26</v>
      </c>
      <c r="BN237" s="16">
        <v>2.2169586585680448E-27</v>
      </c>
      <c r="BQ237" s="9">
        <f t="shared" si="195"/>
        <v>35</v>
      </c>
      <c r="BR237" s="16">
        <v>7.7976505074518208E-13</v>
      </c>
      <c r="BS237" s="16">
        <v>9.2916096253473565E-12</v>
      </c>
      <c r="BT237" s="16">
        <v>1.0996049814727901E-10</v>
      </c>
      <c r="BU237" s="16">
        <v>1.1834882905712142E-9</v>
      </c>
      <c r="BV237" s="16">
        <v>1.1012734666033999E-8</v>
      </c>
      <c r="BW237" s="16">
        <v>9.0875485945837022E-8</v>
      </c>
      <c r="BX237" s="16">
        <v>6.7231106049376303E-7</v>
      </c>
      <c r="BY237" s="16">
        <v>4.5037380044160634E-6</v>
      </c>
      <c r="BZ237" s="16">
        <v>2.7556297425114436E-5</v>
      </c>
      <c r="CA237" s="16">
        <v>1.55175718393076E-4</v>
      </c>
      <c r="CB237" s="16">
        <v>8.0966861445354679E-4</v>
      </c>
      <c r="CC237" s="16">
        <v>3.9379400358554514E-3</v>
      </c>
      <c r="CD237" s="16">
        <v>1.7948386956012145E-2</v>
      </c>
      <c r="CE237" s="16">
        <v>7.7028184888858417E-2</v>
      </c>
      <c r="CF237" s="16">
        <v>0.31261107226620388</v>
      </c>
      <c r="CG237" s="16">
        <v>0.20439271637015777</v>
      </c>
      <c r="CH237" s="16">
        <v>0.28600978217543305</v>
      </c>
      <c r="CI237" s="16">
        <v>7.1323828367925932E-2</v>
      </c>
      <c r="CJ237" s="16">
        <v>1.861951813954868E-2</v>
      </c>
      <c r="CK237" s="16">
        <v>5.0723892906020885E-3</v>
      </c>
      <c r="CL237" s="16">
        <v>1.4332625265447772E-3</v>
      </c>
      <c r="CM237" s="16">
        <v>4.2783145473024211E-4</v>
      </c>
      <c r="CN237" s="16">
        <v>1.4154648793972995E-4</v>
      </c>
      <c r="CO237" s="16">
        <v>4.2051368023186105E-5</v>
      </c>
      <c r="CP237" s="16">
        <v>1.0650126061542857E-5</v>
      </c>
      <c r="CQ237" s="16">
        <v>2.5117494235626309E-6</v>
      </c>
      <c r="CR237" s="16">
        <v>5.1132786768443254E-7</v>
      </c>
      <c r="CS237" s="16">
        <v>1.0670381023937065E-7</v>
      </c>
      <c r="CT237" s="16">
        <v>2.3495801382610083E-8</v>
      </c>
      <c r="CU237" s="16">
        <v>5.083294037845687E-9</v>
      </c>
      <c r="CV237" s="16">
        <v>1.0408851713382419E-9</v>
      </c>
      <c r="CW237" s="16">
        <v>2.1512659247272305E-10</v>
      </c>
      <c r="CX237" s="16">
        <v>4.5779900698718503E-11</v>
      </c>
      <c r="CY237" s="16">
        <v>1.0020839562886217E-11</v>
      </c>
      <c r="CZ237" s="16">
        <v>2.2540453141821067E-12</v>
      </c>
      <c r="DA237" s="16">
        <v>5.2053592265220958E-13</v>
      </c>
      <c r="DB237" s="16">
        <v>1.2330294633067598E-13</v>
      </c>
      <c r="DC237" s="16">
        <v>2.9918144462286791E-14</v>
      </c>
      <c r="DD237" s="16">
        <v>7.4661880724406428E-15</v>
      </c>
      <c r="DE237" s="16">
        <v>1.9127077619105153E-15</v>
      </c>
      <c r="DF237" s="16">
        <v>4.9000252163168326E-16</v>
      </c>
      <c r="DG237" s="16">
        <v>1.2553013899267456E-16</v>
      </c>
      <c r="DH237" s="16">
        <v>3.2158642250749511E-17</v>
      </c>
      <c r="DI237" s="16">
        <v>8.2384858275490438E-18</v>
      </c>
      <c r="DJ237" s="16">
        <v>2.1105570260827729E-18</v>
      </c>
      <c r="DK237" s="16">
        <v>5.4068802026246187E-19</v>
      </c>
      <c r="DL237" s="16">
        <v>1.3851470198561276E-19</v>
      </c>
      <c r="DM237" s="16">
        <v>3.5484372518280824E-20</v>
      </c>
      <c r="DN237" s="16">
        <v>9.0878662596394124E-21</v>
      </c>
      <c r="DO237" s="16">
        <v>2.3182417973331574E-21</v>
      </c>
      <c r="DP237" s="16">
        <v>5.5630884581396906E-22</v>
      </c>
    </row>
    <row r="238" spans="3:120" x14ac:dyDescent="0.25">
      <c r="C238" s="1"/>
      <c r="D238" s="1"/>
      <c r="E238" s="1"/>
      <c r="F238" s="1"/>
      <c r="G238" s="1"/>
      <c r="H238" s="1"/>
      <c r="I238" s="1"/>
      <c r="J238" s="93"/>
      <c r="O238" s="9">
        <f t="shared" si="194"/>
        <v>34</v>
      </c>
      <c r="P238" s="16">
        <v>6.202382952706244E-28</v>
      </c>
      <c r="Q238" s="16">
        <v>4.7004917038806781E-26</v>
      </c>
      <c r="R238" s="16">
        <v>3.5616770871407896E-24</v>
      </c>
      <c r="S238" s="16">
        <v>2.6987694286472159E-22</v>
      </c>
      <c r="T238" s="16">
        <v>2.0449232905649012E-20</v>
      </c>
      <c r="U238" s="16">
        <v>1.5494881555668512E-18</v>
      </c>
      <c r="V238" s="16">
        <v>1.1740848937070499E-16</v>
      </c>
      <c r="W238" s="16">
        <v>8.8963270398592046E-15</v>
      </c>
      <c r="X238" s="16">
        <v>6.7409635559008975E-13</v>
      </c>
      <c r="Y238" s="16">
        <v>5.1077921774223846E-11</v>
      </c>
      <c r="Z238" s="16">
        <v>3.8702984686661098E-9</v>
      </c>
      <c r="AA238" s="16">
        <v>2.9326193619957346E-7</v>
      </c>
      <c r="AB238" s="16">
        <v>2.2221170775277006E-5</v>
      </c>
      <c r="AC238" s="16">
        <v>8.502220130349738E-4</v>
      </c>
      <c r="AD238" s="16">
        <v>1.6244658146797292E-2</v>
      </c>
      <c r="AE238" s="16">
        <v>0.1925649871967855</v>
      </c>
      <c r="AF238" s="16">
        <v>0.60215808121183068</v>
      </c>
      <c r="AG238" s="16">
        <v>0.16234444837495887</v>
      </c>
      <c r="AH238" s="16">
        <v>2.1434188862438811E-2</v>
      </c>
      <c r="AI238" s="16">
        <v>3.4958227175832107E-3</v>
      </c>
      <c r="AJ238" s="16">
        <v>6.7489775936515326E-4</v>
      </c>
      <c r="AK238" s="16">
        <v>1.5400256544846394E-4</v>
      </c>
      <c r="AL238" s="16">
        <v>4.2868778922993146E-5</v>
      </c>
      <c r="AM238" s="16">
        <v>1.0579587669629954E-5</v>
      </c>
      <c r="AN238" s="16">
        <v>2.2203693653435431E-6</v>
      </c>
      <c r="AO238" s="16">
        <v>4.2257858931386253E-7</v>
      </c>
      <c r="AP238" s="16">
        <v>6.8206335871199359E-8</v>
      </c>
      <c r="AQ238" s="16">
        <v>1.1096666420915637E-8</v>
      </c>
      <c r="AR238" s="16">
        <v>1.8182241508824797E-9</v>
      </c>
      <c r="AS238" s="16">
        <v>3.0072282295082334E-10</v>
      </c>
      <c r="AT238" s="16">
        <v>5.0299078665509371E-11</v>
      </c>
      <c r="AU238" s="16">
        <v>8.4657833792547237E-12</v>
      </c>
      <c r="AV238" s="16">
        <v>1.4315496619966403E-12</v>
      </c>
      <c r="AW238" s="16">
        <v>2.4320236278653277E-13</v>
      </c>
      <c r="AX238" s="16">
        <v>4.1508906687386293E-14</v>
      </c>
      <c r="AY238" s="16">
        <v>7.1173285368180383E-15</v>
      </c>
      <c r="AZ238" s="16">
        <v>1.2259830459287515E-15</v>
      </c>
      <c r="BA238" s="16">
        <v>2.1213527390634224E-16</v>
      </c>
      <c r="BB238" s="16">
        <v>3.6893785324047786E-17</v>
      </c>
      <c r="BC238" s="16">
        <v>6.4442456800637956E-18</v>
      </c>
      <c r="BD238" s="16">
        <v>1.125617824798051E-18</v>
      </c>
      <c r="BE238" s="16">
        <v>1.966119155610081E-19</v>
      </c>
      <c r="BF238" s="16">
        <v>3.4342246976679935E-20</v>
      </c>
      <c r="BG238" s="16">
        <v>5.9985679099915646E-21</v>
      </c>
      <c r="BH238" s="16">
        <v>1.0477711896428035E-21</v>
      </c>
      <c r="BI238" s="16">
        <v>1.8301442633138242E-22</v>
      </c>
      <c r="BJ238" s="16">
        <v>3.1967169565451605E-23</v>
      </c>
      <c r="BK238" s="16">
        <v>5.58370734841772E-24</v>
      </c>
      <c r="BL238" s="16">
        <v>9.7527813641528236E-25</v>
      </c>
      <c r="BM238" s="16">
        <v>1.7018928293194391E-25</v>
      </c>
      <c r="BN238" s="16">
        <v>2.8821785311036339E-26</v>
      </c>
      <c r="BQ238" s="9">
        <f t="shared" si="195"/>
        <v>34</v>
      </c>
      <c r="BR238" s="16">
        <v>2.0690019599963508E-13</v>
      </c>
      <c r="BS238" s="16">
        <v>2.4654039711055132E-12</v>
      </c>
      <c r="BT238" s="16">
        <v>2.9176543110194155E-11</v>
      </c>
      <c r="BU238" s="16">
        <v>3.1402274191239161E-10</v>
      </c>
      <c r="BV238" s="16">
        <v>2.922081412493324E-9</v>
      </c>
      <c r="BW238" s="16">
        <v>2.4112591139840763E-8</v>
      </c>
      <c r="BX238" s="16">
        <v>1.7838872113587289E-7</v>
      </c>
      <c r="BY238" s="16">
        <v>1.1950064637472421E-6</v>
      </c>
      <c r="BZ238" s="16">
        <v>7.3116938657764581E-6</v>
      </c>
      <c r="CA238" s="16">
        <v>4.1173795259520326E-5</v>
      </c>
      <c r="CB238" s="16">
        <v>2.1483470548609585E-4</v>
      </c>
      <c r="CC238" s="16">
        <v>1.0448795627281287E-3</v>
      </c>
      <c r="CD238" s="16">
        <v>4.7623637088214949E-3</v>
      </c>
      <c r="CE238" s="16">
        <v>2.043839556000953E-2</v>
      </c>
      <c r="CF238" s="16">
        <v>8.2947154481626123E-2</v>
      </c>
      <c r="CG238" s="16">
        <v>0.3195694508741847</v>
      </c>
      <c r="CH238" s="16">
        <v>0.17288540501919522</v>
      </c>
      <c r="CI238" s="16">
        <v>0.29248886764132476</v>
      </c>
      <c r="CJ238" s="16">
        <v>7.6355993519730159E-2</v>
      </c>
      <c r="CK238" s="16">
        <v>2.0801146458248234E-2</v>
      </c>
      <c r="CL238" s="16">
        <v>5.8776056055110026E-3</v>
      </c>
      <c r="CM238" s="16">
        <v>1.7544758967490083E-3</v>
      </c>
      <c r="CN238" s="16">
        <v>5.8046199879416196E-4</v>
      </c>
      <c r="CO238" s="16">
        <v>1.7244667451700316E-4</v>
      </c>
      <c r="CP238" s="16">
        <v>4.3674651000350058E-5</v>
      </c>
      <c r="CQ238" s="16">
        <v>1.0300326854397478E-5</v>
      </c>
      <c r="CR238" s="16">
        <v>2.096882801088232E-6</v>
      </c>
      <c r="CS238" s="16">
        <v>4.3757713717963009E-7</v>
      </c>
      <c r="CT238" s="16">
        <v>9.635293699146871E-8</v>
      </c>
      <c r="CU238" s="16">
        <v>2.084586527447248E-8</v>
      </c>
      <c r="CV238" s="16">
        <v>4.2685219242420464E-9</v>
      </c>
      <c r="CW238" s="16">
        <v>8.8220353382179593E-10</v>
      </c>
      <c r="CX238" s="16">
        <v>1.8773685628633408E-10</v>
      </c>
      <c r="CY238" s="16">
        <v>4.1094036644309339E-11</v>
      </c>
      <c r="CZ238" s="16">
        <v>9.243518984376837E-12</v>
      </c>
      <c r="DA238" s="16">
        <v>2.1346437238027417E-12</v>
      </c>
      <c r="DB238" s="16">
        <v>5.0564783150811138E-13</v>
      </c>
      <c r="DC238" s="16">
        <v>1.2269005178133434E-13</v>
      </c>
      <c r="DD238" s="16">
        <v>3.0617774520462585E-14</v>
      </c>
      <c r="DE238" s="16">
        <v>7.8437422697511865E-15</v>
      </c>
      <c r="DF238" s="16">
        <v>2.0094305924539434E-15</v>
      </c>
      <c r="DG238" s="16">
        <v>5.1478123158818855E-16</v>
      </c>
      <c r="DH238" s="16">
        <v>1.3187801429114048E-16</v>
      </c>
      <c r="DI238" s="16">
        <v>3.3784857682464789E-17</v>
      </c>
      <c r="DJ238" s="16">
        <v>8.6550939395311008E-18</v>
      </c>
      <c r="DK238" s="16">
        <v>2.2172846075788394E-18</v>
      </c>
      <c r="DL238" s="16">
        <v>5.6802907615186914E-19</v>
      </c>
      <c r="DM238" s="16">
        <v>1.4551636072163236E-19</v>
      </c>
      <c r="DN238" s="16">
        <v>3.7268045930538855E-20</v>
      </c>
      <c r="DO238" s="16">
        <v>9.5067796238162376E-21</v>
      </c>
      <c r="DP238" s="16">
        <v>2.2813433896399217E-21</v>
      </c>
    </row>
    <row r="239" spans="3:120" x14ac:dyDescent="0.25">
      <c r="C239" s="1"/>
      <c r="D239" s="1"/>
      <c r="E239" s="1"/>
      <c r="F239" s="1"/>
      <c r="G239" s="1"/>
      <c r="H239" s="1"/>
      <c r="I239" s="1"/>
      <c r="J239" s="93"/>
      <c r="K239" s="48"/>
      <c r="O239" s="9">
        <f t="shared" si="194"/>
        <v>33</v>
      </c>
      <c r="P239" s="16">
        <v>9.1360525475002851E-29</v>
      </c>
      <c r="Q239" s="16">
        <v>6.9237806715893922E-27</v>
      </c>
      <c r="R239" s="16">
        <v>5.2463173063424284E-25</v>
      </c>
      <c r="S239" s="16">
        <v>3.975262330899814E-23</v>
      </c>
      <c r="T239" s="16">
        <v>3.0121530354807448E-21</v>
      </c>
      <c r="U239" s="16">
        <v>2.2823816779664294E-19</v>
      </c>
      <c r="V239" s="16">
        <v>1.7294161560039878E-17</v>
      </c>
      <c r="W239" s="16">
        <v>1.3104207195145567E-15</v>
      </c>
      <c r="X239" s="16">
        <v>9.9293767793914874E-14</v>
      </c>
      <c r="Y239" s="16">
        <v>7.5237304904368682E-12</v>
      </c>
      <c r="Z239" s="16">
        <v>5.700913738132763E-10</v>
      </c>
      <c r="AA239" s="16">
        <v>4.3197211132085256E-8</v>
      </c>
      <c r="AB239" s="16">
        <v>3.2731578397836396E-6</v>
      </c>
      <c r="AC239" s="16">
        <v>1.2523691373715929E-4</v>
      </c>
      <c r="AD239" s="16">
        <v>2.3928230742437961E-3</v>
      </c>
      <c r="AE239" s="16">
        <v>2.8364643964315935E-2</v>
      </c>
      <c r="AF239" s="16">
        <v>0.2359963989802803</v>
      </c>
      <c r="AG239" s="16">
        <v>0.49533756230725301</v>
      </c>
      <c r="AH239" s="16">
        <v>0.19742804909204612</v>
      </c>
      <c r="AI239" s="16">
        <v>3.2199653718343664E-2</v>
      </c>
      <c r="AJ239" s="16">
        <v>6.2164119586326505E-3</v>
      </c>
      <c r="AK239" s="16">
        <v>1.4185013599903927E-3</v>
      </c>
      <c r="AL239" s="16">
        <v>3.9485979357754781E-4</v>
      </c>
      <c r="AM239" s="16">
        <v>9.7447464292598038E-5</v>
      </c>
      <c r="AN239" s="16">
        <v>2.0451587642381293E-5</v>
      </c>
      <c r="AO239" s="16">
        <v>3.8923267407849183E-6</v>
      </c>
      <c r="AP239" s="16">
        <v>6.2824135371715532E-7</v>
      </c>
      <c r="AQ239" s="16">
        <v>1.0221022204137286E-7</v>
      </c>
      <c r="AR239" s="16">
        <v>1.6747470558581527E-8</v>
      </c>
      <c r="AS239" s="16">
        <v>2.7699261508643117E-9</v>
      </c>
      <c r="AT239" s="16">
        <v>4.6329949949545114E-10</v>
      </c>
      <c r="AU239" s="16">
        <v>7.7977436297160517E-11</v>
      </c>
      <c r="AV239" s="16">
        <v>1.3185852693574565E-11</v>
      </c>
      <c r="AW239" s="16">
        <v>2.2401112693218096E-12</v>
      </c>
      <c r="AX239" s="16">
        <v>3.8233415408573678E-13</v>
      </c>
      <c r="AY239" s="16">
        <v>6.5556961207593428E-14</v>
      </c>
      <c r="AZ239" s="16">
        <v>1.1292400311065363E-14</v>
      </c>
      <c r="BA239" s="16">
        <v>1.9539555958811615E-15</v>
      </c>
      <c r="BB239" s="16">
        <v>3.398247587951294E-16</v>
      </c>
      <c r="BC239" s="16">
        <v>5.93572661251656E-17</v>
      </c>
      <c r="BD239" s="16">
        <v>1.0367946862805909E-17</v>
      </c>
      <c r="BE239" s="16">
        <v>1.8109715822035225E-18</v>
      </c>
      <c r="BF239" s="16">
        <v>3.1632280864729149E-19</v>
      </c>
      <c r="BG239" s="16">
        <v>5.5252175270841462E-20</v>
      </c>
      <c r="BH239" s="16">
        <v>9.6509097308800254E-21</v>
      </c>
      <c r="BI239" s="16">
        <v>1.6857265454827977E-21</v>
      </c>
      <c r="BJ239" s="16">
        <v>2.944462215391548E-22</v>
      </c>
      <c r="BK239" s="16">
        <v>5.1430938468160999E-23</v>
      </c>
      <c r="BL239" s="16">
        <v>8.9831838764850437E-24</v>
      </c>
      <c r="BM239" s="16">
        <v>1.5675955046056677E-24</v>
      </c>
      <c r="BN239" s="16">
        <v>2.6547441948126294E-25</v>
      </c>
      <c r="BQ239" s="9">
        <f t="shared" si="195"/>
        <v>33</v>
      </c>
      <c r="BR239" s="16">
        <v>5.7464264732412219E-14</v>
      </c>
      <c r="BS239" s="16">
        <v>6.8473896693745743E-13</v>
      </c>
      <c r="BT239" s="16">
        <v>8.103465485667264E-12</v>
      </c>
      <c r="BU239" s="16">
        <v>8.7216379308231582E-11</v>
      </c>
      <c r="BV239" s="16">
        <v>8.1157612754254507E-10</v>
      </c>
      <c r="BW239" s="16">
        <v>6.6970082553555003E-9</v>
      </c>
      <c r="BX239" s="16">
        <v>4.9545514672428536E-8</v>
      </c>
      <c r="BY239" s="16">
        <v>3.3189996489822759E-7</v>
      </c>
      <c r="BZ239" s="16">
        <v>2.0307429382332437E-6</v>
      </c>
      <c r="CA239" s="16">
        <v>1.1435570949557674E-5</v>
      </c>
      <c r="CB239" s="16">
        <v>5.9667987892020178E-5</v>
      </c>
      <c r="CC239" s="16">
        <v>2.902038614124958E-4</v>
      </c>
      <c r="CD239" s="16">
        <v>1.3226943918227783E-3</v>
      </c>
      <c r="CE239" s="16">
        <v>5.676540650392704E-3</v>
      </c>
      <c r="CF239" s="16">
        <v>2.3037664226963149E-2</v>
      </c>
      <c r="CG239" s="16">
        <v>8.8756917008711481E-2</v>
      </c>
      <c r="CH239" s="16">
        <v>0.32575608297115605</v>
      </c>
      <c r="CI239" s="16">
        <v>0.14257620283912714</v>
      </c>
      <c r="CJ239" s="16">
        <v>0.29827645012037407</v>
      </c>
      <c r="CK239" s="16">
        <v>8.1257434262800243E-2</v>
      </c>
      <c r="CL239" s="16">
        <v>2.2960232123316215E-2</v>
      </c>
      <c r="CM239" s="16">
        <v>6.8536707883819223E-3</v>
      </c>
      <c r="CN239" s="16">
        <v>2.2675121683193226E-3</v>
      </c>
      <c r="CO239" s="16">
        <v>6.7364432756289341E-4</v>
      </c>
      <c r="CP239" s="16">
        <v>1.7061031177944779E-4</v>
      </c>
      <c r="CQ239" s="16">
        <v>4.0237115484789721E-5</v>
      </c>
      <c r="CR239" s="16">
        <v>8.1912464155868726E-6</v>
      </c>
      <c r="CS239" s="16">
        <v>1.7093478732360452E-6</v>
      </c>
      <c r="CT239" s="16">
        <v>3.7639235218727232E-7</v>
      </c>
      <c r="CU239" s="16">
        <v>8.1432123493364803E-8</v>
      </c>
      <c r="CV239" s="16">
        <v>1.6674520337357862E-8</v>
      </c>
      <c r="CW239" s="16">
        <v>3.4462329179702164E-9</v>
      </c>
      <c r="CX239" s="16">
        <v>7.3337377288368289E-10</v>
      </c>
      <c r="CY239" s="16">
        <v>1.605294202375074E-10</v>
      </c>
      <c r="CZ239" s="16">
        <v>3.6108809566701208E-11</v>
      </c>
      <c r="DA239" s="16">
        <v>8.3387553858898199E-12</v>
      </c>
      <c r="DB239" s="16">
        <v>1.9752586960227592E-12</v>
      </c>
      <c r="DC239" s="16">
        <v>4.7927544942447904E-13</v>
      </c>
      <c r="DD239" s="16">
        <v>1.1960503260545995E-13</v>
      </c>
      <c r="DE239" s="16">
        <v>3.0640732862390987E-14</v>
      </c>
      <c r="DF239" s="16">
        <v>7.849623798367155E-15</v>
      </c>
      <c r="DG239" s="16">
        <v>2.0109373379712872E-15</v>
      </c>
      <c r="DH239" s="16">
        <v>5.1516723361763343E-16</v>
      </c>
      <c r="DI239" s="16">
        <v>1.3197690125980373E-16</v>
      </c>
      <c r="DJ239" s="16">
        <v>3.3810190618168302E-17</v>
      </c>
      <c r="DK239" s="16">
        <v>8.6615830816773847E-18</v>
      </c>
      <c r="DL239" s="16">
        <v>2.2189442974892992E-18</v>
      </c>
      <c r="DM239" s="16">
        <v>5.6844396241493257E-19</v>
      </c>
      <c r="DN239" s="16">
        <v>1.4558360032617207E-19</v>
      </c>
      <c r="DO239" s="16">
        <v>3.7137208849700695E-20</v>
      </c>
      <c r="DP239" s="16">
        <v>8.9118218020638465E-21</v>
      </c>
    </row>
    <row r="240" spans="3:120" x14ac:dyDescent="0.25">
      <c r="C240" s="1"/>
      <c r="D240" s="1"/>
      <c r="E240" s="1"/>
      <c r="F240" s="1"/>
      <c r="G240" s="1"/>
      <c r="H240" s="1"/>
      <c r="I240" s="1"/>
      <c r="J240" s="93"/>
      <c r="K240" s="48"/>
      <c r="O240" s="9">
        <f t="shared" si="194"/>
        <v>32</v>
      </c>
      <c r="P240" s="16">
        <v>1.666483540203446E-29</v>
      </c>
      <c r="Q240" s="16">
        <v>1.262948791635343E-27</v>
      </c>
      <c r="R240" s="16">
        <v>9.569670699952663E-26</v>
      </c>
      <c r="S240" s="16">
        <v>7.2511724379780538E-24</v>
      </c>
      <c r="T240" s="16">
        <v>5.4943898670722371E-22</v>
      </c>
      <c r="U240" s="16">
        <v>4.1632329488228099E-20</v>
      </c>
      <c r="V240" s="16">
        <v>3.1545829483337591E-18</v>
      </c>
      <c r="W240" s="16">
        <v>2.3903042900186394E-16</v>
      </c>
      <c r="X240" s="16">
        <v>1.8111917462494981E-14</v>
      </c>
      <c r="Y240" s="16">
        <v>1.3723840748563129E-12</v>
      </c>
      <c r="Z240" s="16">
        <v>1.0398888206173215E-10</v>
      </c>
      <c r="AA240" s="16">
        <v>7.8794907275363279E-9</v>
      </c>
      <c r="AB240" s="16">
        <v>5.9704819298349522E-7</v>
      </c>
      <c r="AC240" s="16">
        <v>2.2844139116292477E-5</v>
      </c>
      <c r="AD240" s="16">
        <v>4.3646862221007488E-4</v>
      </c>
      <c r="AE240" s="16">
        <v>5.1739207983426995E-3</v>
      </c>
      <c r="AF240" s="16">
        <v>4.3047488223513862E-2</v>
      </c>
      <c r="AG240" s="16">
        <v>0.27276062847458182</v>
      </c>
      <c r="AH240" s="16">
        <v>0.39370180506605912</v>
      </c>
      <c r="AI240" s="16">
        <v>0.22730668573255725</v>
      </c>
      <c r="AJ240" s="16">
        <v>4.3883453276394681E-2</v>
      </c>
      <c r="AK240" s="16">
        <v>1.0013612123501032E-2</v>
      </c>
      <c r="AL240" s="16">
        <v>2.7874296969852934E-3</v>
      </c>
      <c r="AM240" s="16">
        <v>6.8790988670705436E-4</v>
      </c>
      <c r="AN240" s="16">
        <v>1.4437368319617278E-4</v>
      </c>
      <c r="AO240" s="16">
        <v>2.7477062299337585E-5</v>
      </c>
      <c r="AP240" s="16">
        <v>4.4349377543842574E-6</v>
      </c>
      <c r="AQ240" s="16">
        <v>7.2153157370688432E-7</v>
      </c>
      <c r="AR240" s="16">
        <v>1.1822524740090796E-7</v>
      </c>
      <c r="AS240" s="16">
        <v>1.9553711309579062E-8</v>
      </c>
      <c r="AT240" s="16">
        <v>3.2705654120705471E-9</v>
      </c>
      <c r="AU240" s="16">
        <v>5.5046531747425632E-10</v>
      </c>
      <c r="AV240" s="16">
        <v>9.3082754881511894E-11</v>
      </c>
      <c r="AW240" s="16">
        <v>1.5813594542217488E-11</v>
      </c>
      <c r="AX240" s="16">
        <v>2.6990075783976513E-12</v>
      </c>
      <c r="AY240" s="16">
        <v>4.6278558487437098E-13</v>
      </c>
      <c r="AZ240" s="16">
        <v>7.9716325868786486E-14</v>
      </c>
      <c r="BA240" s="16">
        <v>1.3793538727259873E-14</v>
      </c>
      <c r="BB240" s="16">
        <v>2.3989214395675785E-15</v>
      </c>
      <c r="BC240" s="16">
        <v>4.1902014087096903E-16</v>
      </c>
      <c r="BD240" s="16">
        <v>7.3190341108950992E-17</v>
      </c>
      <c r="BE240" s="16">
        <v>1.2784173143825437E-17</v>
      </c>
      <c r="BF240" s="16">
        <v>2.2330143635758436E-18</v>
      </c>
      <c r="BG240" s="16">
        <v>3.9004111504387217E-19</v>
      </c>
      <c r="BH240" s="16">
        <v>6.8128568226828371E-20</v>
      </c>
      <c r="BI240" s="16">
        <v>1.1900032138755498E-20</v>
      </c>
      <c r="BJ240" s="16">
        <v>2.078581196244691E-21</v>
      </c>
      <c r="BK240" s="16">
        <v>3.6306589721655299E-22</v>
      </c>
      <c r="BL240" s="16">
        <v>6.3414897941175657E-23</v>
      </c>
      <c r="BM240" s="16">
        <v>1.1066110891688779E-23</v>
      </c>
      <c r="BN240" s="16">
        <v>1.8740608506818615E-24</v>
      </c>
      <c r="BQ240" s="9">
        <f t="shared" si="195"/>
        <v>32</v>
      </c>
      <c r="BR240" s="16">
        <v>1.6657883493029888E-14</v>
      </c>
      <c r="BS240" s="16">
        <v>1.9849382894736986E-13</v>
      </c>
      <c r="BT240" s="16">
        <v>2.3490526604423102E-12</v>
      </c>
      <c r="BU240" s="16">
        <v>2.5282500210621546E-11</v>
      </c>
      <c r="BV240" s="16">
        <v>2.3526169944540724E-10</v>
      </c>
      <c r="BW240" s="16">
        <v>1.9413453524386251E-9</v>
      </c>
      <c r="BX240" s="16">
        <v>1.4362376598025119E-8</v>
      </c>
      <c r="BY240" s="16">
        <v>9.6211984480451206E-8</v>
      </c>
      <c r="BZ240" s="16">
        <v>5.8867679638650693E-7</v>
      </c>
      <c r="CA240" s="16">
        <v>3.3149716513568001E-6</v>
      </c>
      <c r="CB240" s="16">
        <v>1.7296704224741704E-5</v>
      </c>
      <c r="CC240" s="16">
        <v>8.412501465297733E-5</v>
      </c>
      <c r="CD240" s="16">
        <v>3.8342592876578082E-4</v>
      </c>
      <c r="CE240" s="16">
        <v>1.6455296737548702E-3</v>
      </c>
      <c r="CF240" s="16">
        <v>6.6782152078566281E-3</v>
      </c>
      <c r="CG240" s="16">
        <v>2.5729075097652859E-2</v>
      </c>
      <c r="CH240" s="16">
        <v>9.4430980759048627E-2</v>
      </c>
      <c r="CI240" s="16">
        <v>0.33121282169764399</v>
      </c>
      <c r="CJ240" s="16">
        <v>0.11340383717001321</v>
      </c>
      <c r="CK240" s="16">
        <v>0.30331707069156949</v>
      </c>
      <c r="CL240" s="16">
        <v>8.5705762349316289E-2</v>
      </c>
      <c r="CM240" s="16">
        <v>2.5583324970526154E-2</v>
      </c>
      <c r="CN240" s="16">
        <v>8.4641504484097435E-3</v>
      </c>
      <c r="CO240" s="16">
        <v>2.5145739091827378E-3</v>
      </c>
      <c r="CP240" s="16">
        <v>6.3685274422217697E-4</v>
      </c>
      <c r="CQ240" s="16">
        <v>1.5019676799605882E-4</v>
      </c>
      <c r="CR240" s="16">
        <v>3.0576216079542856E-5</v>
      </c>
      <c r="CS240" s="16">
        <v>6.3806394381834407E-6</v>
      </c>
      <c r="CT240" s="16">
        <v>1.4049942227676078E-6</v>
      </c>
      <c r="CU240" s="16">
        <v>3.0396914918970216E-7</v>
      </c>
      <c r="CV240" s="16">
        <v>6.2242509990618719E-8</v>
      </c>
      <c r="CW240" s="16">
        <v>1.2864069399716773E-8</v>
      </c>
      <c r="CX240" s="16">
        <v>2.7375314828878192E-9</v>
      </c>
      <c r="CY240" s="16">
        <v>5.9922287662665772E-10</v>
      </c>
      <c r="CZ240" s="16">
        <v>1.3478666220877171E-10</v>
      </c>
      <c r="DA240" s="16">
        <v>3.1126836329602868E-11</v>
      </c>
      <c r="DB240" s="16">
        <v>7.3732291324629608E-12</v>
      </c>
      <c r="DC240" s="16">
        <v>1.7890353872565001E-12</v>
      </c>
      <c r="DD240" s="16">
        <v>4.4646066491009061E-13</v>
      </c>
      <c r="DE240" s="16">
        <v>1.1437547124125825E-13</v>
      </c>
      <c r="DF240" s="16">
        <v>2.9301010032525076E-14</v>
      </c>
      <c r="DG240" s="16">
        <v>7.5064100685860603E-15</v>
      </c>
      <c r="DH240" s="16">
        <v>1.9230119389668649E-15</v>
      </c>
      <c r="DI240" s="16">
        <v>4.9264227270095279E-16</v>
      </c>
      <c r="DJ240" s="16">
        <v>1.2620639663146786E-16</v>
      </c>
      <c r="DK240" s="16">
        <v>3.2331884851165914E-17</v>
      </c>
      <c r="DL240" s="16">
        <v>8.2828567065689038E-18</v>
      </c>
      <c r="DM240" s="16">
        <v>2.1218828664264077E-18</v>
      </c>
      <c r="DN240" s="16">
        <v>5.4343324512133054E-19</v>
      </c>
      <c r="DO240" s="16">
        <v>1.3862546244718288E-19</v>
      </c>
      <c r="DP240" s="16">
        <v>3.3265973852742673E-20</v>
      </c>
    </row>
    <row r="241" spans="3:120" x14ac:dyDescent="0.25">
      <c r="C241" s="1"/>
      <c r="D241" s="1"/>
      <c r="E241" s="1"/>
      <c r="F241" s="1"/>
      <c r="G241" s="1"/>
      <c r="H241" s="1"/>
      <c r="I241" s="1"/>
      <c r="J241" s="93"/>
      <c r="O241" s="9">
        <f t="shared" si="194"/>
        <v>31</v>
      </c>
      <c r="P241" s="16">
        <v>3.6158176988864024E-30</v>
      </c>
      <c r="Q241" s="16">
        <v>2.7402566442539081E-28</v>
      </c>
      <c r="R241" s="16">
        <v>2.076359223156755E-26</v>
      </c>
      <c r="S241" s="16">
        <v>1.5733079269248271E-24</v>
      </c>
      <c r="T241" s="16">
        <v>1.1921337142949852E-22</v>
      </c>
      <c r="U241" s="16">
        <v>9.0330873469670133E-21</v>
      </c>
      <c r="V241" s="16">
        <v>6.8445901696682524E-19</v>
      </c>
      <c r="W241" s="16">
        <v>5.186312585192624E-17</v>
      </c>
      <c r="X241" s="16">
        <v>3.9297952930074558E-15</v>
      </c>
      <c r="Y241" s="16">
        <v>2.9777015540936543E-13</v>
      </c>
      <c r="Z241" s="16">
        <v>2.2562769518882779E-11</v>
      </c>
      <c r="AA241" s="16">
        <v>1.7096359696033337E-9</v>
      </c>
      <c r="AB241" s="16">
        <v>1.295432790781909E-7</v>
      </c>
      <c r="AC241" s="16">
        <v>4.9565591582398454E-6</v>
      </c>
      <c r="AD241" s="16">
        <v>9.47018636021502E-5</v>
      </c>
      <c r="AE241" s="16">
        <v>1.1226006104446797E-3</v>
      </c>
      <c r="AF241" s="16">
        <v>9.3401384445827313E-3</v>
      </c>
      <c r="AG241" s="16">
        <v>5.9181665117278515E-2</v>
      </c>
      <c r="AH241" s="16">
        <v>0.30239552519748081</v>
      </c>
      <c r="AI241" s="16">
        <v>0.29898339512533967</v>
      </c>
      <c r="AJ241" s="16">
        <v>0.2507795885681276</v>
      </c>
      <c r="AK241" s="16">
        <v>5.7224519515268094E-2</v>
      </c>
      <c r="AL241" s="16">
        <v>1.5929249418221322E-2</v>
      </c>
      <c r="AM241" s="16">
        <v>3.93118010275502E-3</v>
      </c>
      <c r="AN241" s="16">
        <v>8.2504839908478528E-4</v>
      </c>
      <c r="AO241" s="16">
        <v>1.5702242790895525E-4</v>
      </c>
      <c r="AP241" s="16">
        <v>2.5344219343102566E-5</v>
      </c>
      <c r="AQ241" s="16">
        <v>4.1233170519526623E-6</v>
      </c>
      <c r="AR241" s="16">
        <v>6.7561863727604549E-7</v>
      </c>
      <c r="AS241" s="16">
        <v>1.1174306739970966E-7</v>
      </c>
      <c r="AT241" s="16">
        <v>1.8690212077393389E-8</v>
      </c>
      <c r="AU241" s="16">
        <v>3.1457293246216263E-9</v>
      </c>
      <c r="AV241" s="16">
        <v>5.319375124138187E-10</v>
      </c>
      <c r="AW241" s="16">
        <v>9.036952283820586E-11</v>
      </c>
      <c r="AX241" s="16">
        <v>1.5423945918515679E-11</v>
      </c>
      <c r="AY241" s="16">
        <v>2.6446683181262601E-12</v>
      </c>
      <c r="AZ241" s="16">
        <v>4.5555274051986534E-13</v>
      </c>
      <c r="BA241" s="16">
        <v>7.8825564276671626E-14</v>
      </c>
      <c r="BB241" s="16">
        <v>1.3709051742872392E-14</v>
      </c>
      <c r="BC241" s="16">
        <v>2.3945631139722746E-15</v>
      </c>
      <c r="BD241" s="16">
        <v>4.1825887117085149E-16</v>
      </c>
      <c r="BE241" s="16">
        <v>7.3057369961283154E-17</v>
      </c>
      <c r="BF241" s="16">
        <v>1.2760947043916792E-17</v>
      </c>
      <c r="BG241" s="16">
        <v>2.2289574555421608E-18</v>
      </c>
      <c r="BH241" s="16">
        <v>3.8933249400520504E-19</v>
      </c>
      <c r="BI241" s="16">
        <v>6.8004793171322136E-20</v>
      </c>
      <c r="BJ241" s="16">
        <v>1.1878411981768165E-20</v>
      </c>
      <c r="BK241" s="16">
        <v>2.0748029047217586E-21</v>
      </c>
      <c r="BL241" s="16">
        <v>3.623954093724956E-22</v>
      </c>
      <c r="BM241" s="16">
        <v>6.3239205879902101E-23</v>
      </c>
      <c r="BN241" s="16">
        <v>1.0709645071128371E-23</v>
      </c>
      <c r="BQ241" s="9">
        <f t="shared" si="195"/>
        <v>31</v>
      </c>
      <c r="BR241" s="16">
        <v>5.0251803019030647E-15</v>
      </c>
      <c r="BS241" s="16">
        <v>5.9879592728152206E-14</v>
      </c>
      <c r="BT241" s="16">
        <v>7.0863823500308251E-13</v>
      </c>
      <c r="BU241" s="16">
        <v>7.6269666608267657E-12</v>
      </c>
      <c r="BV241" s="16">
        <v>7.0971348691445564E-11</v>
      </c>
      <c r="BW241" s="16">
        <v>5.8564525489373572E-10</v>
      </c>
      <c r="BX241" s="16">
        <v>4.3326952069936585E-9</v>
      </c>
      <c r="BY241" s="16">
        <v>2.9024249654553596E-8</v>
      </c>
      <c r="BZ241" s="16">
        <v>1.7758600860827669E-7</v>
      </c>
      <c r="CA241" s="16">
        <v>1.0000268191775721E-6</v>
      </c>
      <c r="CB241" s="16">
        <v>5.2178932212117349E-6</v>
      </c>
      <c r="CC241" s="16">
        <v>2.5377975942041839E-5</v>
      </c>
      <c r="CD241" s="16">
        <v>1.1566802140733596E-4</v>
      </c>
      <c r="CE241" s="16">
        <v>4.9640659968656637E-4</v>
      </c>
      <c r="CF241" s="16">
        <v>2.0146158140938318E-3</v>
      </c>
      <c r="CG241" s="16">
        <v>7.7616848155415193E-3</v>
      </c>
      <c r="CH241" s="16">
        <v>2.848697462665745E-2</v>
      </c>
      <c r="CI241" s="16">
        <v>9.9916904091036832E-2</v>
      </c>
      <c r="CJ241" s="16">
        <v>0.33588030754034032</v>
      </c>
      <c r="CK241" s="16">
        <v>8.4982690216390974E-2</v>
      </c>
      <c r="CL241" s="16">
        <v>0.30657446476319417</v>
      </c>
      <c r="CM241" s="16">
        <v>9.1513031851171489E-2</v>
      </c>
      <c r="CN241" s="16">
        <v>3.0276755287704037E-2</v>
      </c>
      <c r="CO241" s="16">
        <v>8.9947761875469809E-3</v>
      </c>
      <c r="CP241" s="16">
        <v>2.2780590690871191E-3</v>
      </c>
      <c r="CQ241" s="16">
        <v>5.3726251882433348E-4</v>
      </c>
      <c r="CR241" s="16">
        <v>1.0937289188169039E-4</v>
      </c>
      <c r="CS241" s="16">
        <v>2.2823916000364719E-5</v>
      </c>
      <c r="CT241" s="16">
        <v>5.0257455278769303E-6</v>
      </c>
      <c r="CU241" s="16">
        <v>1.087315212687095E-6</v>
      </c>
      <c r="CV241" s="16">
        <v>2.2264505516114718E-7</v>
      </c>
      <c r="CW241" s="16">
        <v>4.6015519642900835E-8</v>
      </c>
      <c r="CX241" s="16">
        <v>9.7923083131576807E-9</v>
      </c>
      <c r="CY241" s="16">
        <v>2.1434548581101866E-9</v>
      </c>
      <c r="CZ241" s="16">
        <v>4.8213967989051186E-10</v>
      </c>
      <c r="DA241" s="16">
        <v>1.1134249233588054E-10</v>
      </c>
      <c r="DB241" s="16">
        <v>2.6374466697445519E-11</v>
      </c>
      <c r="DC241" s="16">
        <v>6.3994829665610079E-12</v>
      </c>
      <c r="DD241" s="16">
        <v>1.5970155988434857E-12</v>
      </c>
      <c r="DE241" s="16">
        <v>4.091276702599284E-13</v>
      </c>
      <c r="DF241" s="16">
        <v>1.0481140615878343E-13</v>
      </c>
      <c r="DG241" s="16">
        <v>2.6850862602334479E-14</v>
      </c>
      <c r="DH241" s="16">
        <v>6.8787248343833425E-15</v>
      </c>
      <c r="DI241" s="16">
        <v>1.7622098786946146E-15</v>
      </c>
      <c r="DJ241" s="16">
        <v>4.5144757407659069E-16</v>
      </c>
      <c r="DK241" s="16">
        <v>1.1565302053591136E-16</v>
      </c>
      <c r="DL241" s="16">
        <v>2.9628257096377746E-17</v>
      </c>
      <c r="DM241" s="16">
        <v>7.5900976344335338E-18</v>
      </c>
      <c r="DN241" s="16">
        <v>1.9438921221955231E-18</v>
      </c>
      <c r="DO241" s="16">
        <v>4.9587129018326023E-19</v>
      </c>
      <c r="DP241" s="16">
        <v>1.189943108745051E-19</v>
      </c>
    </row>
    <row r="242" spans="3:120" x14ac:dyDescent="0.25">
      <c r="C242" s="1"/>
      <c r="D242" s="1"/>
      <c r="E242" s="1"/>
      <c r="F242" s="1"/>
      <c r="G242" s="1"/>
      <c r="H242" s="1"/>
      <c r="I242" s="1"/>
      <c r="J242" s="93"/>
      <c r="O242" s="9">
        <f t="shared" si="194"/>
        <v>30</v>
      </c>
      <c r="P242" s="16">
        <v>9.0196077066429748E-31</v>
      </c>
      <c r="Q242" s="16">
        <v>6.8355326526290867E-29</v>
      </c>
      <c r="R242" s="16">
        <v>5.1794496322952653E-27</v>
      </c>
      <c r="S242" s="16">
        <v>3.9245950665555051E-25</v>
      </c>
      <c r="T242" s="16">
        <v>2.97376121592511E-23</v>
      </c>
      <c r="U242" s="16">
        <v>2.2532912617407512E-21</v>
      </c>
      <c r="V242" s="16">
        <v>1.7073736394997399E-19</v>
      </c>
      <c r="W242" s="16">
        <v>1.2937185681919103E-17</v>
      </c>
      <c r="X242" s="16">
        <v>9.8028205131181637E-16</v>
      </c>
      <c r="Y242" s="16">
        <v>7.4278357268004725E-14</v>
      </c>
      <c r="Z242" s="16">
        <v>5.6282519414184082E-12</v>
      </c>
      <c r="AA242" s="16">
        <v>4.2646635010767782E-10</v>
      </c>
      <c r="AB242" s="16">
        <v>3.2314393468379359E-8</v>
      </c>
      <c r="AC242" s="16">
        <v>1.2364068906422061E-6</v>
      </c>
      <c r="AD242" s="16">
        <v>2.3623250116909206E-5</v>
      </c>
      <c r="AE242" s="16">
        <v>2.8003118410995561E-4</v>
      </c>
      <c r="AF242" s="16">
        <v>2.3298847373255647E-3</v>
      </c>
      <c r="AG242" s="16">
        <v>1.4762785273941419E-2</v>
      </c>
      <c r="AH242" s="16">
        <v>7.5432149424058612E-2</v>
      </c>
      <c r="AI242" s="16">
        <v>0.32402962807229346</v>
      </c>
      <c r="AJ242" s="16">
        <v>0.20719750367619658</v>
      </c>
      <c r="AK242" s="16">
        <v>0.27546618726960148</v>
      </c>
      <c r="AL242" s="16">
        <v>7.6679885483934701E-2</v>
      </c>
      <c r="AM242" s="16">
        <v>1.8923832013777148E-2</v>
      </c>
      <c r="AN242" s="16">
        <v>3.9716006134072569E-3</v>
      </c>
      <c r="AO242" s="16">
        <v>7.5587125760584223E-4</v>
      </c>
      <c r="AP242" s="16">
        <v>1.2200146949082234E-4</v>
      </c>
      <c r="AQ242" s="16">
        <v>1.9848736814680999E-5</v>
      </c>
      <c r="AR242" s="16">
        <v>3.2522787720228913E-6</v>
      </c>
      <c r="AS242" s="16">
        <v>5.3790642527274194E-7</v>
      </c>
      <c r="AT242" s="16">
        <v>8.997054940489514E-8</v>
      </c>
      <c r="AU242" s="16">
        <v>1.5142845594439555E-8</v>
      </c>
      <c r="AV242" s="16">
        <v>2.5606295981430647E-9</v>
      </c>
      <c r="AW242" s="16">
        <v>4.3501890644921583E-10</v>
      </c>
      <c r="AX242" s="16">
        <v>7.4247466135428672E-11</v>
      </c>
      <c r="AY242" s="16">
        <v>1.2730848670430068E-11</v>
      </c>
      <c r="AZ242" s="16">
        <v>2.1929301913621747E-12</v>
      </c>
      <c r="BA242" s="16">
        <v>3.7944884176574295E-13</v>
      </c>
      <c r="BB242" s="16">
        <v>6.5992344657138892E-14</v>
      </c>
      <c r="BC242" s="16">
        <v>1.1526897504248558E-14</v>
      </c>
      <c r="BD242" s="16">
        <v>2.0134057482541381E-15</v>
      </c>
      <c r="BE242" s="16">
        <v>3.5168202941065968E-16</v>
      </c>
      <c r="BF242" s="16">
        <v>6.1428378218171945E-17</v>
      </c>
      <c r="BG242" s="16">
        <v>1.0729708472266491E-17</v>
      </c>
      <c r="BH242" s="16">
        <v>1.874160562853899E-18</v>
      </c>
      <c r="BI242" s="16">
        <v>3.2736004163326828E-19</v>
      </c>
      <c r="BJ242" s="16">
        <v>5.7180049516399979E-20</v>
      </c>
      <c r="BK242" s="16">
        <v>9.987642541010845E-21</v>
      </c>
      <c r="BL242" s="16">
        <v>1.7444913919672614E-21</v>
      </c>
      <c r="BM242" s="16">
        <v>3.0441955786183727E-22</v>
      </c>
      <c r="BN242" s="16">
        <v>5.1553863968526338E-23</v>
      </c>
      <c r="BQ242" s="9">
        <f t="shared" si="195"/>
        <v>30</v>
      </c>
      <c r="BR242" s="16">
        <v>1.5683268090562819E-15</v>
      </c>
      <c r="BS242" s="16">
        <v>1.8688040020249251E-14</v>
      </c>
      <c r="BT242" s="16">
        <v>2.211614857792815E-13</v>
      </c>
      <c r="BU242" s="16">
        <v>2.3803277827510331E-12</v>
      </c>
      <c r="BV242" s="16">
        <v>2.2149706506157249E-11</v>
      </c>
      <c r="BW242" s="16">
        <v>1.8277615899644648E-10</v>
      </c>
      <c r="BX242" s="16">
        <v>1.3522066155565554E-9</v>
      </c>
      <c r="BY242" s="16">
        <v>9.058283705510115E-9</v>
      </c>
      <c r="BZ242" s="16">
        <v>5.5423463732870546E-8</v>
      </c>
      <c r="CA242" s="16">
        <v>3.121020094935728E-7</v>
      </c>
      <c r="CB242" s="16">
        <v>1.6284712854024998E-6</v>
      </c>
      <c r="CC242" s="16">
        <v>7.920304872328006E-6</v>
      </c>
      <c r="CD242" s="16">
        <v>3.6099253763078247E-5</v>
      </c>
      <c r="CE242" s="16">
        <v>1.5492534231778286E-4</v>
      </c>
      <c r="CF242" s="16">
        <v>6.2874878141099791E-4</v>
      </c>
      <c r="CG242" s="16">
        <v>2.4223724619490562E-3</v>
      </c>
      <c r="CH242" s="16">
        <v>8.8906035866958971E-3</v>
      </c>
      <c r="CI242" s="16">
        <v>3.1183430235236384E-2</v>
      </c>
      <c r="CJ242" s="16">
        <v>0.10482610758266597</v>
      </c>
      <c r="CK242" s="16">
        <v>0.33861619647437607</v>
      </c>
      <c r="CL242" s="16">
        <v>5.3610106846207026E-2</v>
      </c>
      <c r="CM242" s="16">
        <v>0.31450452124579131</v>
      </c>
      <c r="CN242" s="16">
        <v>0.10405268226848112</v>
      </c>
      <c r="CO242" s="16">
        <v>3.0912512910490939E-2</v>
      </c>
      <c r="CP242" s="16">
        <v>7.829047540005702E-3</v>
      </c>
      <c r="CQ242" s="16">
        <v>1.8464199890235841E-3</v>
      </c>
      <c r="CR242" s="16">
        <v>3.7588383099863821E-4</v>
      </c>
      <c r="CS242" s="16">
        <v>7.8439372288778282E-5</v>
      </c>
      <c r="CT242" s="16">
        <v>1.7272072175673166E-5</v>
      </c>
      <c r="CU242" s="16">
        <v>3.7367962080587876E-6</v>
      </c>
      <c r="CV242" s="16">
        <v>7.6516835979249672E-7</v>
      </c>
      <c r="CW242" s="16">
        <v>1.5814238346624696E-7</v>
      </c>
      <c r="CX242" s="16">
        <v>3.3653406248515788E-8</v>
      </c>
      <c r="CY242" s="16">
        <v>7.3664507701837249E-9</v>
      </c>
      <c r="CZ242" s="16">
        <v>1.6569783136916516E-9</v>
      </c>
      <c r="DA242" s="16">
        <v>3.8265279313834722E-10</v>
      </c>
      <c r="DB242" s="16">
        <v>9.0641615232278912E-11</v>
      </c>
      <c r="DC242" s="16">
        <v>2.1993220920623469E-11</v>
      </c>
      <c r="DD242" s="16">
        <v>5.4884929083452889E-12</v>
      </c>
      <c r="DE242" s="16">
        <v>1.4060565961006088E-12</v>
      </c>
      <c r="DF242" s="16">
        <v>3.6020728904136281E-13</v>
      </c>
      <c r="DG242" s="16">
        <v>9.2278853808684359E-14</v>
      </c>
      <c r="DH242" s="16">
        <v>2.3640240270233973E-14</v>
      </c>
      <c r="DI242" s="16">
        <v>6.0562191310063031E-15</v>
      </c>
      <c r="DJ242" s="16">
        <v>1.551498188623444E-15</v>
      </c>
      <c r="DK242" s="16">
        <v>3.9746686475682372E-16</v>
      </c>
      <c r="DL242" s="16">
        <v>1.0182397659600891E-16</v>
      </c>
      <c r="DM242" s="16">
        <v>2.6085028267979671E-17</v>
      </c>
      <c r="DN242" s="16">
        <v>6.6806098418729443E-18</v>
      </c>
      <c r="DO242" s="16">
        <v>1.7041699915728753E-18</v>
      </c>
      <c r="DP242" s="16">
        <v>4.0894993877399349E-19</v>
      </c>
    </row>
    <row r="243" spans="3:120" x14ac:dyDescent="0.25">
      <c r="C243" s="1"/>
      <c r="D243" s="1"/>
      <c r="E243" s="1"/>
      <c r="F243" s="1"/>
      <c r="G243" s="1"/>
      <c r="H243" s="1"/>
      <c r="I243" s="1"/>
      <c r="J243" s="93"/>
      <c r="O243" s="9">
        <f t="shared" si="194"/>
        <v>29</v>
      </c>
      <c r="P243" s="16">
        <v>2.3855002069414807E-31</v>
      </c>
      <c r="Q243" s="16">
        <v>1.8078574022008057E-29</v>
      </c>
      <c r="R243" s="16">
        <v>1.3698576004124216E-27</v>
      </c>
      <c r="S243" s="16">
        <v>1.0379744494358034E-25</v>
      </c>
      <c r="T243" s="16">
        <v>7.8649850710904095E-24</v>
      </c>
      <c r="U243" s="16">
        <v>5.9594906408436349E-22</v>
      </c>
      <c r="V243" s="16">
        <v>4.5156511267705391E-20</v>
      </c>
      <c r="W243" s="16">
        <v>3.4216187804629971E-18</v>
      </c>
      <c r="X243" s="16">
        <v>2.5926438403114475E-16</v>
      </c>
      <c r="Y243" s="16">
        <v>1.9645093489331761E-14</v>
      </c>
      <c r="Z243" s="16">
        <v>1.4885565545255317E-12</v>
      </c>
      <c r="AA243" s="16">
        <v>1.1279155363776762E-10</v>
      </c>
      <c r="AB243" s="16">
        <v>8.5464905806527783E-9</v>
      </c>
      <c r="AC243" s="16">
        <v>3.2700412140082046E-7</v>
      </c>
      <c r="AD243" s="16">
        <v>6.2478624210022877E-6</v>
      </c>
      <c r="AE243" s="16">
        <v>7.4062472490058712E-5</v>
      </c>
      <c r="AF243" s="16">
        <v>6.1620645861864794E-4</v>
      </c>
      <c r="AG243" s="16">
        <v>3.9044522191450425E-3</v>
      </c>
      <c r="AH243" s="16">
        <v>1.995024771738171E-2</v>
      </c>
      <c r="AI243" s="16">
        <v>8.5699153440157924E-2</v>
      </c>
      <c r="AJ243" s="16">
        <v>0.3192788409985774</v>
      </c>
      <c r="AK243" s="16">
        <v>0.15073658466379897</v>
      </c>
      <c r="AL243" s="16">
        <v>0.32032370436751456</v>
      </c>
      <c r="AM243" s="16">
        <v>7.9052699847232608E-2</v>
      </c>
      <c r="AN243" s="16">
        <v>1.6591024004873424E-2</v>
      </c>
      <c r="AO243" s="16">
        <v>3.1575879349997576E-3</v>
      </c>
      <c r="AP243" s="16">
        <v>5.0965076954592238E-4</v>
      </c>
      <c r="AQ243" s="16">
        <v>8.2916411042718041E-5</v>
      </c>
      <c r="AR243" s="16">
        <v>1.3586118149700015E-5</v>
      </c>
      <c r="AS243" s="16">
        <v>2.2470583733794442E-6</v>
      </c>
      <c r="AT243" s="16">
        <v>3.7584432328598804E-7</v>
      </c>
      <c r="AU243" s="16">
        <v>6.325795043724255E-8</v>
      </c>
      <c r="AV243" s="16">
        <v>1.069681251104808E-8</v>
      </c>
      <c r="AW243" s="16">
        <v>1.8172545081971052E-9</v>
      </c>
      <c r="AX243" s="16">
        <v>3.1016247927737132E-10</v>
      </c>
      <c r="AY243" s="16">
        <v>5.3182038289673666E-11</v>
      </c>
      <c r="AZ243" s="16">
        <v>9.1607794910396046E-12</v>
      </c>
      <c r="BA243" s="16">
        <v>1.5851152860397923E-12</v>
      </c>
      <c r="BB243" s="16">
        <v>2.7567741092807619E-13</v>
      </c>
      <c r="BC243" s="16">
        <v>4.8152634620185266E-14</v>
      </c>
      <c r="BD243" s="16">
        <v>8.4108313882489489E-15</v>
      </c>
      <c r="BE243" s="16">
        <v>1.4691217874068108E-15</v>
      </c>
      <c r="BF243" s="16">
        <v>2.5661182903378394E-16</v>
      </c>
      <c r="BG243" s="16">
        <v>4.482244519444403E-17</v>
      </c>
      <c r="BH243" s="16">
        <v>7.8291464610839129E-18</v>
      </c>
      <c r="BI243" s="16">
        <v>1.3675187506616961E-18</v>
      </c>
      <c r="BJ243" s="16">
        <v>2.3886479695967443E-19</v>
      </c>
      <c r="BK243" s="16">
        <v>4.1722527836918257E-20</v>
      </c>
      <c r="BL243" s="16">
        <v>7.2874645206567286E-21</v>
      </c>
      <c r="BM243" s="16">
        <v>1.2716868294835248E-21</v>
      </c>
      <c r="BN243" s="16">
        <v>2.1536188501894861E-22</v>
      </c>
      <c r="BQ243" s="9">
        <f t="shared" si="195"/>
        <v>29</v>
      </c>
      <c r="BR243" s="16">
        <v>4.8746842013773679E-16</v>
      </c>
      <c r="BS243" s="16">
        <v>5.8086294843250238E-15</v>
      </c>
      <c r="BT243" s="16">
        <v>6.8741565498719955E-14</v>
      </c>
      <c r="BU243" s="16">
        <v>7.3985512264871776E-13</v>
      </c>
      <c r="BV243" s="16">
        <v>6.8845870482620464E-12</v>
      </c>
      <c r="BW243" s="16">
        <v>5.6810611761750554E-11</v>
      </c>
      <c r="BX243" s="16">
        <v>4.202937925812725E-10</v>
      </c>
      <c r="BY243" s="16">
        <v>2.8155019869496842E-9</v>
      </c>
      <c r="BZ243" s="16">
        <v>1.7226759211417652E-8</v>
      </c>
      <c r="CA243" s="16">
        <v>9.7007761782247934E-8</v>
      </c>
      <c r="CB243" s="16">
        <v>5.0616256774472965E-7</v>
      </c>
      <c r="CC243" s="16">
        <v>2.4617946213941157E-6</v>
      </c>
      <c r="CD243" s="16">
        <v>1.1220394944742344E-5</v>
      </c>
      <c r="CE243" s="16">
        <v>4.8154001718807226E-5</v>
      </c>
      <c r="CF243" s="16">
        <v>1.9542812975464939E-4</v>
      </c>
      <c r="CG243" s="16">
        <v>7.5292347882646585E-4</v>
      </c>
      <c r="CH243" s="16">
        <v>2.7633835368059533E-3</v>
      </c>
      <c r="CI243" s="16">
        <v>9.6924552864035771E-3</v>
      </c>
      <c r="CJ243" s="16">
        <v>3.2582123035478132E-2</v>
      </c>
      <c r="CK243" s="16">
        <v>0.10524891966090848</v>
      </c>
      <c r="CL243" s="16">
        <v>0.32748381986438457</v>
      </c>
      <c r="CM243" s="16">
        <v>4.0921954698191251E-2</v>
      </c>
      <c r="CN243" s="16">
        <v>0.34438526031188688</v>
      </c>
      <c r="CO243" s="16">
        <v>0.10231176720754979</v>
      </c>
      <c r="CP243" s="16">
        <v>2.5911956484717325E-2</v>
      </c>
      <c r="CQ243" s="16">
        <v>6.1111334633761226E-3</v>
      </c>
      <c r="CR243" s="16">
        <v>1.2440702936564951E-3</v>
      </c>
      <c r="CS243" s="16">
        <v>2.5961237188168668E-4</v>
      </c>
      <c r="CT243" s="16">
        <v>5.7165725502366028E-5</v>
      </c>
      <c r="CU243" s="16">
        <v>1.2367749747424E-5</v>
      </c>
      <c r="CV243" s="16">
        <v>2.5324931469775275E-6</v>
      </c>
      <c r="CW243" s="16">
        <v>5.2340703486951716E-7</v>
      </c>
      <c r="CX243" s="16">
        <v>1.1138335714760781E-7</v>
      </c>
      <c r="CY243" s="16">
        <v>2.4380890629216191E-8</v>
      </c>
      <c r="CZ243" s="16">
        <v>5.4841345311931897E-9</v>
      </c>
      <c r="DA243" s="16">
        <v>1.2664736641194509E-9</v>
      </c>
      <c r="DB243" s="16">
        <v>2.9999838136141802E-10</v>
      </c>
      <c r="DC243" s="16">
        <v>7.2791406686688081E-11</v>
      </c>
      <c r="DD243" s="16">
        <v>1.8165375632349166E-11</v>
      </c>
      <c r="DE243" s="16">
        <v>4.653653863645105E-12</v>
      </c>
      <c r="DF243" s="16">
        <v>1.1921853266854719E-12</v>
      </c>
      <c r="DG243" s="16">
        <v>3.0541718288614186E-13</v>
      </c>
      <c r="DH243" s="16">
        <v>7.8242579833679059E-14</v>
      </c>
      <c r="DI243" s="16">
        <v>2.0044390557428342E-14</v>
      </c>
      <c r="DJ243" s="16">
        <v>5.1350248346683497E-15</v>
      </c>
      <c r="DK243" s="16">
        <v>1.3155040956218721E-15</v>
      </c>
      <c r="DL243" s="16">
        <v>3.3700886821473262E-16</v>
      </c>
      <c r="DM243" s="16">
        <v>8.6334143959230362E-17</v>
      </c>
      <c r="DN243" s="16">
        <v>2.2110949081535397E-17</v>
      </c>
      <c r="DO243" s="16">
        <v>5.640325778908895E-18</v>
      </c>
      <c r="DP243" s="16">
        <v>1.3535098572069493E-18</v>
      </c>
    </row>
    <row r="244" spans="3:120" x14ac:dyDescent="0.25">
      <c r="C244" s="1"/>
      <c r="D244" s="1"/>
      <c r="E244" s="1"/>
      <c r="F244" s="1"/>
      <c r="G244" s="1"/>
      <c r="H244" s="1"/>
      <c r="I244" s="1"/>
      <c r="J244" s="93"/>
      <c r="O244" s="9">
        <f t="shared" si="194"/>
        <v>28</v>
      </c>
      <c r="P244" s="16">
        <v>5.60261575968273E-32</v>
      </c>
      <c r="Q244" s="16">
        <v>4.2459566104232922E-30</v>
      </c>
      <c r="R244" s="16">
        <v>3.21726477250315E-28</v>
      </c>
      <c r="S244" s="16">
        <v>2.4377998340285598E-26</v>
      </c>
      <c r="T244" s="16">
        <v>1.8471802761005371E-24</v>
      </c>
      <c r="U244" s="16">
        <v>1.39965345997102E-22</v>
      </c>
      <c r="V244" s="16">
        <v>1.0605514975205504E-20</v>
      </c>
      <c r="W244" s="16">
        <v>8.0360568602200315E-19</v>
      </c>
      <c r="X244" s="16">
        <v>6.0891158997621506E-17</v>
      </c>
      <c r="Y244" s="16">
        <v>4.61387134084079E-15</v>
      </c>
      <c r="Z244" s="16">
        <v>3.4960426275780891E-13</v>
      </c>
      <c r="AA244" s="16">
        <v>2.6490366009243396E-11</v>
      </c>
      <c r="AB244" s="16">
        <v>2.0072395163837385E-9</v>
      </c>
      <c r="AC244" s="16">
        <v>7.6800598830817214E-8</v>
      </c>
      <c r="AD244" s="16">
        <v>1.4673808185964082E-6</v>
      </c>
      <c r="AE244" s="16">
        <v>1.7394405348045758E-5</v>
      </c>
      <c r="AF244" s="16">
        <v>1.4472302313071276E-4</v>
      </c>
      <c r="AG244" s="16">
        <v>9.1700455410804516E-4</v>
      </c>
      <c r="AH244" s="16">
        <v>4.6855402462649678E-3</v>
      </c>
      <c r="AI244" s="16">
        <v>2.0127410857402436E-2</v>
      </c>
      <c r="AJ244" s="16">
        <v>7.4986229768780208E-2</v>
      </c>
      <c r="AK244" s="16">
        <v>0.27026344016741627</v>
      </c>
      <c r="AL244" s="16">
        <v>0.24307675560396219</v>
      </c>
      <c r="AM244" s="16">
        <v>0.306778962368286</v>
      </c>
      <c r="AN244" s="16">
        <v>6.4384608478625815E-2</v>
      </c>
      <c r="AO244" s="16">
        <v>1.2253617550795836E-2</v>
      </c>
      <c r="AP244" s="16">
        <v>1.9777962619067953E-3</v>
      </c>
      <c r="AQ244" s="16">
        <v>3.2177282486422007E-4</v>
      </c>
      <c r="AR244" s="16">
        <v>5.2723502633462754E-5</v>
      </c>
      <c r="AS244" s="16">
        <v>8.7201352705026759E-6</v>
      </c>
      <c r="AT244" s="16">
        <v>1.4585350245153254E-6</v>
      </c>
      <c r="AU244" s="16">
        <v>2.4548444814894062E-7</v>
      </c>
      <c r="AV244" s="16">
        <v>4.1511005305687956E-8</v>
      </c>
      <c r="AW244" s="16">
        <v>7.0522000318919412E-9</v>
      </c>
      <c r="AX244" s="16">
        <v>1.2036441986442535E-9</v>
      </c>
      <c r="AY244" s="16">
        <v>2.0638296420824501E-10</v>
      </c>
      <c r="AZ244" s="16">
        <v>3.5550138479478969E-11</v>
      </c>
      <c r="BA244" s="16">
        <v>6.1513398482926021E-12</v>
      </c>
      <c r="BB244" s="16">
        <v>1.069818364664637E-12</v>
      </c>
      <c r="BC244" s="16">
        <v>1.8686541146129841E-13</v>
      </c>
      <c r="BD244" s="16">
        <v>3.263982293998718E-14</v>
      </c>
      <c r="BE244" s="16">
        <v>5.7012051252425443E-15</v>
      </c>
      <c r="BF244" s="16">
        <v>9.9583076598955768E-16</v>
      </c>
      <c r="BG244" s="16">
        <v>1.7394198116109346E-16</v>
      </c>
      <c r="BH244" s="16">
        <v>3.0382484497077454E-17</v>
      </c>
      <c r="BI244" s="16">
        <v>5.3069153129228173E-18</v>
      </c>
      <c r="BJ244" s="16">
        <v>9.2696004942537728E-19</v>
      </c>
      <c r="BK244" s="16">
        <v>1.6191216520026023E-19</v>
      </c>
      <c r="BL244" s="16">
        <v>2.8280385214712343E-20</v>
      </c>
      <c r="BM244" s="16">
        <v>4.935021406736032E-21</v>
      </c>
      <c r="BN244" s="16">
        <v>8.3575255174670716E-22</v>
      </c>
      <c r="BQ244" s="9">
        <f t="shared" si="195"/>
        <v>28</v>
      </c>
      <c r="BR244" s="16">
        <v>1.3616728144890824E-16</v>
      </c>
      <c r="BS244" s="16">
        <v>1.622556976308386E-15</v>
      </c>
      <c r="BT244" s="16">
        <v>1.9201966137330377E-14</v>
      </c>
      <c r="BU244" s="16">
        <v>2.0666787130263476E-13</v>
      </c>
      <c r="BV244" s="16">
        <v>1.9231102232126618E-12</v>
      </c>
      <c r="BW244" s="16">
        <v>1.5869226069785543E-11</v>
      </c>
      <c r="BX244" s="16">
        <v>1.1740301685486103E-10</v>
      </c>
      <c r="BY244" s="16">
        <v>7.8646992428476107E-10</v>
      </c>
      <c r="BZ244" s="16">
        <v>4.8120470436441473E-9</v>
      </c>
      <c r="CA244" s="16">
        <v>2.7097720910002014E-8</v>
      </c>
      <c r="CB244" s="16">
        <v>1.4138922230392726E-7</v>
      </c>
      <c r="CC244" s="16">
        <v>6.8766686667838718E-7</v>
      </c>
      <c r="CD244" s="16">
        <v>3.1342557041478416E-6</v>
      </c>
      <c r="CE244" s="16">
        <v>1.3451126748032866E-5</v>
      </c>
      <c r="CF244" s="16">
        <v>5.4590033011402156E-5</v>
      </c>
      <c r="CG244" s="16">
        <v>2.1031832835834965E-4</v>
      </c>
      <c r="CH244" s="16">
        <v>7.7191138597494202E-4</v>
      </c>
      <c r="CI244" s="16">
        <v>2.7074477697278504E-3</v>
      </c>
      <c r="CJ244" s="16">
        <v>9.1013467422593596E-3</v>
      </c>
      <c r="CK244" s="16">
        <v>2.9399769654024001E-2</v>
      </c>
      <c r="CL244" s="16">
        <v>9.1477887853406673E-2</v>
      </c>
      <c r="CM244" s="16">
        <v>0.29076655413223912</v>
      </c>
      <c r="CN244" s="16">
        <v>0.12966976903761179</v>
      </c>
      <c r="CO244" s="16">
        <v>0.33560817999734044</v>
      </c>
      <c r="CP244" s="16">
        <v>8.4997696681018226E-2</v>
      </c>
      <c r="CQ244" s="16">
        <v>2.0046045878612882E-2</v>
      </c>
      <c r="CR244" s="16">
        <v>4.0808616490401461E-3</v>
      </c>
      <c r="CS244" s="16">
        <v>8.5159349711218973E-4</v>
      </c>
      <c r="CT244" s="16">
        <v>1.8751787421633835E-4</v>
      </c>
      <c r="CU244" s="16">
        <v>4.0569311787718254E-5</v>
      </c>
      <c r="CV244" s="16">
        <v>8.3072107843539183E-6</v>
      </c>
      <c r="CW244" s="16">
        <v>1.7169059548548282E-6</v>
      </c>
      <c r="CX244" s="16">
        <v>3.6536526339605621E-7</v>
      </c>
      <c r="CY244" s="16">
        <v>7.9975417824487171E-8</v>
      </c>
      <c r="CZ244" s="16">
        <v>1.7989332596910699E-8</v>
      </c>
      <c r="DA244" s="16">
        <v>4.1543503062307325E-9</v>
      </c>
      <c r="DB244" s="16">
        <v>9.8406970692442548E-10</v>
      </c>
      <c r="DC244" s="16">
        <v>2.3877401577873377E-10</v>
      </c>
      <c r="DD244" s="16">
        <v>5.9586974414912382E-11</v>
      </c>
      <c r="DE244" s="16">
        <v>1.5265148341610077E-11</v>
      </c>
      <c r="DF244" s="16">
        <v>3.9106659832860484E-12</v>
      </c>
      <c r="DG244" s="16">
        <v>1.0018447309232796E-12</v>
      </c>
      <c r="DH244" s="16">
        <v>2.5665522679330622E-13</v>
      </c>
      <c r="DI244" s="16">
        <v>6.5750613226021947E-14</v>
      </c>
      <c r="DJ244" s="16">
        <v>1.6844165495726272E-14</v>
      </c>
      <c r="DK244" s="16">
        <v>4.3151823818572953E-15</v>
      </c>
      <c r="DL244" s="16">
        <v>1.1054733584561118E-15</v>
      </c>
      <c r="DM244" s="16">
        <v>2.8319758046020349E-16</v>
      </c>
      <c r="DN244" s="16">
        <v>7.2529441938134948E-17</v>
      </c>
      <c r="DO244" s="16">
        <v>1.8501678945801771E-17</v>
      </c>
      <c r="DP244" s="16">
        <v>4.4398507833824661E-18</v>
      </c>
    </row>
    <row r="245" spans="3:120" x14ac:dyDescent="0.25">
      <c r="C245" s="1"/>
      <c r="D245" s="1"/>
      <c r="E245" s="1"/>
      <c r="F245" s="1"/>
      <c r="G245" s="1"/>
      <c r="H245" s="1"/>
      <c r="I245" s="1"/>
      <c r="J245" s="93"/>
      <c r="O245" s="9">
        <f t="shared" si="194"/>
        <v>27</v>
      </c>
      <c r="P245" s="16">
        <v>1.1525202488861689E-32</v>
      </c>
      <c r="Q245" s="16">
        <v>8.7344040343077964E-31</v>
      </c>
      <c r="R245" s="16">
        <v>6.6182707424290897E-29</v>
      </c>
      <c r="S245" s="16">
        <v>5.0148248460436314E-27</v>
      </c>
      <c r="T245" s="16">
        <v>3.7998548586340517E-25</v>
      </c>
      <c r="U245" s="16">
        <v>2.8792425239091126E-23</v>
      </c>
      <c r="V245" s="16">
        <v>2.1816721479900345E-21</v>
      </c>
      <c r="W245" s="16">
        <v>1.6531060936309284E-19</v>
      </c>
      <c r="X245" s="16">
        <v>1.252598727685729E-17</v>
      </c>
      <c r="Y245" s="16">
        <v>9.4912454720537869E-16</v>
      </c>
      <c r="Z245" s="16">
        <v>7.1917477337070273E-14</v>
      </c>
      <c r="AA245" s="16">
        <v>5.4493623221071691E-12</v>
      </c>
      <c r="AB245" s="16">
        <v>4.1291144819250363E-10</v>
      </c>
      <c r="AC245" s="16">
        <v>1.5798735639888456E-8</v>
      </c>
      <c r="AD245" s="16">
        <v>3.0185652181067873E-7</v>
      </c>
      <c r="AE245" s="16">
        <v>3.5782222520453312E-6</v>
      </c>
      <c r="AF245" s="16">
        <v>2.977113223406442E-5</v>
      </c>
      <c r="AG245" s="16">
        <v>1.8863801521705706E-4</v>
      </c>
      <c r="AH245" s="16">
        <v>9.6386763655147893E-4</v>
      </c>
      <c r="AI245" s="16">
        <v>4.1404318207467553E-3</v>
      </c>
      <c r="AJ245" s="16">
        <v>1.5425499784951176E-2</v>
      </c>
      <c r="AK245" s="16">
        <v>5.5596189474221916E-2</v>
      </c>
      <c r="AL245" s="16">
        <v>0.25571468635472167</v>
      </c>
      <c r="AM245" s="16">
        <v>0.32637266735050113</v>
      </c>
      <c r="AN245" s="16">
        <v>0.27836975594693136</v>
      </c>
      <c r="AO245" s="16">
        <v>5.297906763251431E-2</v>
      </c>
      <c r="AP245" s="16">
        <v>8.5510912584413779E-3</v>
      </c>
      <c r="AQ245" s="16">
        <v>1.3911993074795723E-3</v>
      </c>
      <c r="AR245" s="16">
        <v>2.2795243937247389E-4</v>
      </c>
      <c r="AS245" s="16">
        <v>3.7701897773905162E-5</v>
      </c>
      <c r="AT245" s="16">
        <v>6.3060419005136783E-6</v>
      </c>
      <c r="AU245" s="16">
        <v>1.0613630731741342E-6</v>
      </c>
      <c r="AV245" s="16">
        <v>1.7947470193737768E-7</v>
      </c>
      <c r="AW245" s="16">
        <v>3.0490504612114096E-8</v>
      </c>
      <c r="AX245" s="16">
        <v>5.2040099294037343E-9</v>
      </c>
      <c r="AY245" s="16">
        <v>8.9230604543204993E-10</v>
      </c>
      <c r="AZ245" s="16">
        <v>1.5370262561583246E-10</v>
      </c>
      <c r="BA245" s="16">
        <v>2.6595595015294758E-11</v>
      </c>
      <c r="BB245" s="16">
        <v>4.6254079059610122E-12</v>
      </c>
      <c r="BC245" s="16">
        <v>8.0792102666389909E-13</v>
      </c>
      <c r="BD245" s="16">
        <v>1.4111974524115652E-13</v>
      </c>
      <c r="BE245" s="16">
        <v>2.4649417256983436E-14</v>
      </c>
      <c r="BF245" s="16">
        <v>4.3055191891861211E-15</v>
      </c>
      <c r="BG245" s="16">
        <v>7.5204599342735283E-16</v>
      </c>
      <c r="BH245" s="16">
        <v>1.3136004076689522E-16</v>
      </c>
      <c r="BI245" s="16">
        <v>2.2944687486602976E-17</v>
      </c>
      <c r="BJ245" s="16">
        <v>4.0077535427859311E-18</v>
      </c>
      <c r="BK245" s="16">
        <v>7.000345420536081E-19</v>
      </c>
      <c r="BL245" s="16">
        <v>1.2227151979837129E-19</v>
      </c>
      <c r="BM245" s="16">
        <v>2.1336787425554474E-20</v>
      </c>
      <c r="BN245" s="16">
        <v>3.6134138167352487E-21</v>
      </c>
      <c r="BQ245" s="9">
        <f t="shared" si="195"/>
        <v>27</v>
      </c>
      <c r="BR245" s="16">
        <v>3.3833626164018833E-17</v>
      </c>
      <c r="BS245" s="16">
        <v>4.0315842089303069E-16</v>
      </c>
      <c r="BT245" s="16">
        <v>4.7711325142989679E-15</v>
      </c>
      <c r="BU245" s="16">
        <v>5.1350981112085381E-14</v>
      </c>
      <c r="BV245" s="16">
        <v>4.7783719901020096E-13</v>
      </c>
      <c r="BW245" s="16">
        <v>3.9430431205229216E-12</v>
      </c>
      <c r="BX245" s="16">
        <v>2.9171249807801895E-11</v>
      </c>
      <c r="BY245" s="16">
        <v>1.9541500075757118E-10</v>
      </c>
      <c r="BZ245" s="16">
        <v>1.1956543380020129E-9</v>
      </c>
      <c r="CA245" s="16">
        <v>6.7329989216970975E-9</v>
      </c>
      <c r="CB245" s="16">
        <v>3.5131127244009343E-8</v>
      </c>
      <c r="CC245" s="16">
        <v>1.7086530218574233E-7</v>
      </c>
      <c r="CD245" s="16">
        <v>7.7877177739184376E-7</v>
      </c>
      <c r="CE245" s="16">
        <v>3.3422154649429354E-6</v>
      </c>
      <c r="CF245" s="16">
        <v>1.3564042327467914E-5</v>
      </c>
      <c r="CG245" s="16">
        <v>5.2258013976637386E-5</v>
      </c>
      <c r="CH245" s="16">
        <v>1.9179762558911866E-4</v>
      </c>
      <c r="CI245" s="16">
        <v>6.7272236564368238E-4</v>
      </c>
      <c r="CJ245" s="16">
        <v>2.2614210990343801E-3</v>
      </c>
      <c r="CK245" s="16">
        <v>7.304991369426278E-3</v>
      </c>
      <c r="CL245" s="16">
        <v>2.2729606018223231E-2</v>
      </c>
      <c r="CM245" s="16">
        <v>7.2247068376710979E-2</v>
      </c>
      <c r="CN245" s="16">
        <v>0.28069022343486399</v>
      </c>
      <c r="CO245" s="16">
        <v>0.21486615947697363</v>
      </c>
      <c r="CP245" s="16">
        <v>0.30768268321730308</v>
      </c>
      <c r="CQ245" s="16">
        <v>7.2564568507962598E-2</v>
      </c>
      <c r="CR245" s="16">
        <v>1.4772288085962509E-2</v>
      </c>
      <c r="CS245" s="16">
        <v>3.0826785011034302E-3</v>
      </c>
      <c r="CT245" s="16">
        <v>6.7879489613243186E-4</v>
      </c>
      <c r="CU245" s="16">
        <v>1.4685662311496629E-4</v>
      </c>
      <c r="CV245" s="16">
        <v>3.0071225503602805E-5</v>
      </c>
      <c r="CW245" s="16">
        <v>6.215018190480819E-6</v>
      </c>
      <c r="CX245" s="16">
        <v>1.3225836579781138E-6</v>
      </c>
      <c r="CY245" s="16">
        <v>2.8950256428723218E-7</v>
      </c>
      <c r="CZ245" s="16">
        <v>6.5119483689986416E-8</v>
      </c>
      <c r="DA245" s="16">
        <v>1.5038309261986746E-8</v>
      </c>
      <c r="DB245" s="16">
        <v>3.5622283864427318E-9</v>
      </c>
      <c r="DC245" s="16">
        <v>8.6433671412390291E-10</v>
      </c>
      <c r="DD245" s="16">
        <v>2.1569855288649689E-10</v>
      </c>
      <c r="DE245" s="16">
        <v>5.5258224456165209E-11</v>
      </c>
      <c r="DF245" s="16">
        <v>1.4156197754624499E-11</v>
      </c>
      <c r="DG245" s="16">
        <v>3.6265720956463339E-12</v>
      </c>
      <c r="DH245" s="16">
        <v>9.2906480910729452E-13</v>
      </c>
      <c r="DI245" s="16">
        <v>2.3801027428409585E-13</v>
      </c>
      <c r="DJ245" s="16">
        <v>6.0974099753914511E-14</v>
      </c>
      <c r="DK245" s="16">
        <v>1.5620504386189918E-14</v>
      </c>
      <c r="DL245" s="16">
        <v>4.0016967804608676E-15</v>
      </c>
      <c r="DM245" s="16">
        <v>1.0251453255685993E-15</v>
      </c>
      <c r="DN245" s="16">
        <v>2.6254891813747928E-16</v>
      </c>
      <c r="DO245" s="16">
        <v>6.6974123351046765E-17</v>
      </c>
      <c r="DP245" s="16">
        <v>1.607179083031121E-17</v>
      </c>
    </row>
    <row r="246" spans="3:120" x14ac:dyDescent="0.25">
      <c r="C246" s="1"/>
      <c r="D246" s="1"/>
      <c r="E246" s="1"/>
      <c r="F246" s="1"/>
      <c r="G246" s="1"/>
      <c r="H246" s="1"/>
      <c r="I246" s="1"/>
      <c r="J246" s="93"/>
      <c r="O246" s="9">
        <f t="shared" si="194"/>
        <v>26</v>
      </c>
      <c r="P246" s="16">
        <v>2.1440730934075625E-33</v>
      </c>
      <c r="Q246" s="16">
        <v>1.6248912498507819E-31</v>
      </c>
      <c r="R246" s="16">
        <v>1.2312196889766068E-29</v>
      </c>
      <c r="S246" s="16">
        <v>9.3292512916324745E-28</v>
      </c>
      <c r="T246" s="16">
        <v>7.0690007998774349E-26</v>
      </c>
      <c r="U246" s="16">
        <v>5.3563539823916187E-24</v>
      </c>
      <c r="V246" s="16">
        <v>4.0586397988779404E-22</v>
      </c>
      <c r="W246" s="16">
        <v>3.0753301725740218E-20</v>
      </c>
      <c r="X246" s="16">
        <v>2.3302525326240695E-18</v>
      </c>
      <c r="Y246" s="16">
        <v>1.7656890678687578E-16</v>
      </c>
      <c r="Z246" s="16">
        <v>1.3379055878036038E-14</v>
      </c>
      <c r="AA246" s="16">
        <v>1.0137636316889488E-12</v>
      </c>
      <c r="AB246" s="16">
        <v>7.6815338115325156E-11</v>
      </c>
      <c r="AC246" s="16">
        <v>2.9390931767212316E-9</v>
      </c>
      <c r="AD246" s="16">
        <v>5.6155407864577272E-8</v>
      </c>
      <c r="AE246" s="16">
        <v>6.6566900323504395E-7</v>
      </c>
      <c r="AF246" s="16">
        <v>5.5384262137714991E-6</v>
      </c>
      <c r="AG246" s="16">
        <v>3.5092979339111389E-5</v>
      </c>
      <c r="AH246" s="16">
        <v>1.7931161444960242E-4</v>
      </c>
      <c r="AI246" s="16">
        <v>7.7025878465310986E-4</v>
      </c>
      <c r="AJ246" s="16">
        <v>2.869658825798602E-3</v>
      </c>
      <c r="AK246" s="16">
        <v>1.0342750512441646E-2</v>
      </c>
      <c r="AL246" s="16">
        <v>4.7571483375860743E-2</v>
      </c>
      <c r="AM246" s="16">
        <v>0.24674967321795896</v>
      </c>
      <c r="AN246" s="16">
        <v>0.37852683176163887</v>
      </c>
      <c r="AO246" s="16">
        <v>0.262359917673882</v>
      </c>
      <c r="AP246" s="16">
        <v>4.2346226516256656E-2</v>
      </c>
      <c r="AQ246" s="16">
        <v>6.8894178793417957E-3</v>
      </c>
      <c r="AR246" s="16">
        <v>1.1288530715972617E-3</v>
      </c>
      <c r="AS246" s="16">
        <v>1.8670518825892444E-4</v>
      </c>
      <c r="AT246" s="16">
        <v>3.1228421106668334E-5</v>
      </c>
      <c r="AU246" s="16">
        <v>5.2560216882557667E-6</v>
      </c>
      <c r="AV246" s="16">
        <v>8.8878438464509179E-7</v>
      </c>
      <c r="AW246" s="16">
        <v>1.5099333826252411E-7</v>
      </c>
      <c r="AX246" s="16">
        <v>2.5771001221140817E-8</v>
      </c>
      <c r="AY246" s="16">
        <v>4.4188271157075767E-9</v>
      </c>
      <c r="AZ246" s="16">
        <v>7.6115737790147174E-10</v>
      </c>
      <c r="BA246" s="16">
        <v>1.3170518905882623E-10</v>
      </c>
      <c r="BB246" s="16">
        <v>2.2905681274603859E-11</v>
      </c>
      <c r="BC246" s="16">
        <v>4.0009404376994171E-12</v>
      </c>
      <c r="BD246" s="16">
        <v>6.9884515523082859E-13</v>
      </c>
      <c r="BE246" s="16">
        <v>1.2206743854213101E-13</v>
      </c>
      <c r="BF246" s="16">
        <v>2.1321546612589589E-14</v>
      </c>
      <c r="BG246" s="16">
        <v>3.7242392842995602E-15</v>
      </c>
      <c r="BH246" s="16">
        <v>6.5051370326663546E-16</v>
      </c>
      <c r="BI246" s="16">
        <v>1.1362537298303938E-16</v>
      </c>
      <c r="BJ246" s="16">
        <v>1.9846968558148342E-17</v>
      </c>
      <c r="BK246" s="16">
        <v>3.4666711406854193E-18</v>
      </c>
      <c r="BL246" s="16">
        <v>6.0550604798627148E-19</v>
      </c>
      <c r="BM246" s="16">
        <v>1.0566282198892529E-19</v>
      </c>
      <c r="BN246" s="16">
        <v>1.7894141853461237E-20</v>
      </c>
      <c r="BQ246" s="9">
        <f t="shared" si="195"/>
        <v>26</v>
      </c>
      <c r="BR246" s="16">
        <v>7.7907592842394495E-18</v>
      </c>
      <c r="BS246" s="16">
        <v>9.2833981062661529E-17</v>
      </c>
      <c r="BT246" s="16">
        <v>1.098633198579273E-15</v>
      </c>
      <c r="BU246" s="16">
        <v>1.1824423752699625E-14</v>
      </c>
      <c r="BV246" s="16">
        <v>1.1003002091755405E-13</v>
      </c>
      <c r="BW246" s="16">
        <v>9.0795174157358278E-13</v>
      </c>
      <c r="BX246" s="16">
        <v>6.7171690131958842E-12</v>
      </c>
      <c r="BY246" s="16">
        <v>4.4997577973205007E-11</v>
      </c>
      <c r="BZ246" s="16">
        <v>2.7531944372065764E-10</v>
      </c>
      <c r="CA246" s="16">
        <v>1.5503858086535979E-9</v>
      </c>
      <c r="CB246" s="16">
        <v>8.0895306466775944E-9</v>
      </c>
      <c r="CC246" s="16">
        <v>3.9344598563118717E-8</v>
      </c>
      <c r="CD246" s="16">
        <v>1.7932524954926336E-7</v>
      </c>
      <c r="CE246" s="16">
        <v>7.6960110740728076E-7</v>
      </c>
      <c r="CF246" s="16">
        <v>3.123348002435494E-6</v>
      </c>
      <c r="CG246" s="16">
        <v>1.203328326649699E-5</v>
      </c>
      <c r="CH246" s="16">
        <v>4.4164616733946247E-5</v>
      </c>
      <c r="CI246" s="16">
        <v>1.5490559570666796E-4</v>
      </c>
      <c r="CJ246" s="16">
        <v>5.2073009666382002E-4</v>
      </c>
      <c r="CK246" s="16">
        <v>1.6820966530974629E-3</v>
      </c>
      <c r="CL246" s="16">
        <v>5.2338726051746236E-3</v>
      </c>
      <c r="CM246" s="16">
        <v>1.6636097945467332E-2</v>
      </c>
      <c r="CN246" s="16">
        <v>6.4633626724468721E-2</v>
      </c>
      <c r="CO246" s="16">
        <v>0.27974328749659844</v>
      </c>
      <c r="CP246" s="16">
        <v>0.25808648964005981</v>
      </c>
      <c r="CQ246" s="16">
        <v>0.29670991656671275</v>
      </c>
      <c r="CR246" s="16">
        <v>6.0402541565508241E-2</v>
      </c>
      <c r="CS246" s="16">
        <v>1.260479183809976E-2</v>
      </c>
      <c r="CT246" s="16">
        <v>2.7755305535271512E-3</v>
      </c>
      <c r="CU246" s="16">
        <v>6.0048336657482395E-4</v>
      </c>
      <c r="CV246" s="16">
        <v>1.2295850431817457E-4</v>
      </c>
      <c r="CW246" s="16">
        <v>2.5412643755413709E-5</v>
      </c>
      <c r="CX246" s="16">
        <v>5.4079242098452325E-6</v>
      </c>
      <c r="CY246" s="16">
        <v>1.1837496378978445E-6</v>
      </c>
      <c r="CZ246" s="16">
        <v>2.6626764231917259E-7</v>
      </c>
      <c r="DA246" s="16">
        <v>6.1490277943827216E-8</v>
      </c>
      <c r="DB246" s="16">
        <v>1.4565627675675058E-8</v>
      </c>
      <c r="DC246" s="16">
        <v>3.5341941612332263E-9</v>
      </c>
      <c r="DD246" s="16">
        <v>8.8197175214361513E-10</v>
      </c>
      <c r="DE246" s="16">
        <v>2.2594585077997603E-10</v>
      </c>
      <c r="DF246" s="16">
        <v>5.7883404270716761E-11</v>
      </c>
      <c r="DG246" s="16">
        <v>1.4828723246722223E-11</v>
      </c>
      <c r="DH246" s="16">
        <v>3.7988614507512087E-12</v>
      </c>
      <c r="DI246" s="16">
        <v>9.7320235036063467E-13</v>
      </c>
      <c r="DJ246" s="16">
        <v>2.4931754467373677E-13</v>
      </c>
      <c r="DK246" s="16">
        <v>6.3870820821428909E-14</v>
      </c>
      <c r="DL246" s="16">
        <v>1.6362573943033072E-14</v>
      </c>
      <c r="DM246" s="16">
        <v>4.1917259383253634E-15</v>
      </c>
      <c r="DN246" s="16">
        <v>1.0735386318283425E-15</v>
      </c>
      <c r="DO246" s="16">
        <v>2.7385109510349047E-16</v>
      </c>
      <c r="DP246" s="16">
        <v>6.5716090020104342E-17</v>
      </c>
    </row>
    <row r="247" spans="3:120" x14ac:dyDescent="0.25">
      <c r="C247" s="1"/>
      <c r="D247" s="1"/>
      <c r="E247" s="1"/>
      <c r="F247" s="1"/>
      <c r="G247" s="1"/>
      <c r="H247" s="1"/>
      <c r="I247" s="1"/>
      <c r="J247" s="93"/>
      <c r="O247" s="9">
        <f t="shared" si="194"/>
        <v>25</v>
      </c>
      <c r="P247" s="16">
        <v>3.5735747352874552E-34</v>
      </c>
      <c r="Q247" s="16">
        <v>2.7082427067949928E-32</v>
      </c>
      <c r="R247" s="16">
        <v>2.052101482754311E-30</v>
      </c>
      <c r="S247" s="16">
        <v>1.5549272465306E-28</v>
      </c>
      <c r="T247" s="16">
        <v>1.1782062253307186E-26</v>
      </c>
      <c r="U247" s="16">
        <v>8.9275553728020676E-25</v>
      </c>
      <c r="V247" s="16">
        <v>6.7646260239437447E-23</v>
      </c>
      <c r="W247" s="16">
        <v>5.1257218054593077E-21</v>
      </c>
      <c r="X247" s="16">
        <v>3.8838841842795593E-19</v>
      </c>
      <c r="Y247" s="16">
        <v>2.9429135894247373E-17</v>
      </c>
      <c r="Z247" s="16">
        <v>2.2299172642366815E-15</v>
      </c>
      <c r="AA247" s="16">
        <v>1.6896625926121079E-13</v>
      </c>
      <c r="AB247" s="16">
        <v>1.2802984768360659E-11</v>
      </c>
      <c r="AC247" s="16">
        <v>4.8986525474718201E-10</v>
      </c>
      <c r="AD247" s="16">
        <v>9.3595478349893103E-9</v>
      </c>
      <c r="AE247" s="16">
        <v>1.1094854645296142E-7</v>
      </c>
      <c r="AF247" s="16">
        <v>9.2310192463319026E-7</v>
      </c>
      <c r="AG247" s="16">
        <v>5.8490256110114198E-6</v>
      </c>
      <c r="AH247" s="16">
        <v>2.988626913471084E-5</v>
      </c>
      <c r="AI247" s="16">
        <v>1.2838076000920844E-4</v>
      </c>
      <c r="AJ247" s="16">
        <v>4.7829247567630413E-4</v>
      </c>
      <c r="AK247" s="16">
        <v>1.7238494358371708E-3</v>
      </c>
      <c r="AL247" s="16">
        <v>7.9288458791273182E-3</v>
      </c>
      <c r="AM247" s="16">
        <v>4.1126321712788655E-2</v>
      </c>
      <c r="AN247" s="16">
        <v>0.22976216030349803</v>
      </c>
      <c r="AO247" s="16">
        <v>0.44096554515684327</v>
      </c>
      <c r="AP247" s="16">
        <v>0.23257917565434366</v>
      </c>
      <c r="AQ247" s="16">
        <v>3.7838911821351476E-2</v>
      </c>
      <c r="AR247" s="16">
        <v>6.200026269782815E-3</v>
      </c>
      <c r="AS247" s="16">
        <v>1.0254452957922798E-3</v>
      </c>
      <c r="AT247" s="16">
        <v>1.7151659157132551E-4</v>
      </c>
      <c r="AU247" s="16">
        <v>2.8867771512216902E-5</v>
      </c>
      <c r="AV247" s="16">
        <v>4.8814913752905886E-6</v>
      </c>
      <c r="AW247" s="16">
        <v>8.2930426230336278E-7</v>
      </c>
      <c r="AX247" s="16">
        <v>1.4154267600441341E-7</v>
      </c>
      <c r="AY247" s="16">
        <v>2.4269628075025443E-8</v>
      </c>
      <c r="AZ247" s="16">
        <v>4.1805225650409414E-9</v>
      </c>
      <c r="BA247" s="16">
        <v>7.2336750687671669E-10</v>
      </c>
      <c r="BB247" s="16">
        <v>1.2580541188488954E-10</v>
      </c>
      <c r="BC247" s="16">
        <v>2.1974459246918449E-11</v>
      </c>
      <c r="BD247" s="16">
        <v>3.8382836792133125E-12</v>
      </c>
      <c r="BE247" s="16">
        <v>6.704338630849922E-13</v>
      </c>
      <c r="BF247" s="16">
        <v>1.1710483183024626E-13</v>
      </c>
      <c r="BG247" s="16">
        <v>2.045472699555388E-14</v>
      </c>
      <c r="BH247" s="16">
        <v>3.5728317090904448E-15</v>
      </c>
      <c r="BI247" s="16">
        <v>6.2406730790209571E-16</v>
      </c>
      <c r="BJ247" s="16">
        <v>1.0900597210756774E-16</v>
      </c>
      <c r="BK247" s="16">
        <v>1.9040079423742509E-17</v>
      </c>
      <c r="BL247" s="16">
        <v>3.3256351056522771E-18</v>
      </c>
      <c r="BM247" s="16">
        <v>5.8033440184006957E-19</v>
      </c>
      <c r="BN247" s="16">
        <v>9.828041607726708E-20</v>
      </c>
      <c r="BQ247" s="9">
        <f t="shared" si="195"/>
        <v>25</v>
      </c>
      <c r="BR247" s="16">
        <v>1.6568594406154348E-18</v>
      </c>
      <c r="BS247" s="16">
        <v>1.974298682860676E-17</v>
      </c>
      <c r="BT247" s="16">
        <v>2.3364613389121036E-16</v>
      </c>
      <c r="BU247" s="16">
        <v>2.5146981712207165E-15</v>
      </c>
      <c r="BV247" s="16">
        <v>2.3400065674877302E-14</v>
      </c>
      <c r="BW247" s="16">
        <v>1.9309394113776347E-13</v>
      </c>
      <c r="BX247" s="16">
        <v>1.4285391818275829E-12</v>
      </c>
      <c r="BY247" s="16">
        <v>9.5696271890413112E-12</v>
      </c>
      <c r="BZ247" s="16">
        <v>5.8552138870004051E-11</v>
      </c>
      <c r="CA247" s="16">
        <v>3.2972028398573197E-10</v>
      </c>
      <c r="CB247" s="16">
        <v>1.7203990950163349E-9</v>
      </c>
      <c r="CC247" s="16">
        <v>8.3674090275645774E-9</v>
      </c>
      <c r="CD247" s="16">
        <v>3.8137070061640462E-8</v>
      </c>
      <c r="CE247" s="16">
        <v>1.6367093550116363E-7</v>
      </c>
      <c r="CF247" s="16">
        <v>6.6424188392412896E-7</v>
      </c>
      <c r="CG247" s="16">
        <v>2.5591162881939328E-6</v>
      </c>
      <c r="CH247" s="16">
        <v>9.3924814651675773E-6</v>
      </c>
      <c r="CI247" s="16">
        <v>3.29437464676854E-5</v>
      </c>
      <c r="CJ247" s="16">
        <v>1.1074358033566999E-4</v>
      </c>
      <c r="CK247" s="16">
        <v>3.5773120668099683E-4</v>
      </c>
      <c r="CL247" s="16">
        <v>1.1130867891663569E-3</v>
      </c>
      <c r="CM247" s="16">
        <v>3.5379960964409922E-3</v>
      </c>
      <c r="CN247" s="16">
        <v>1.3745622308763751E-2</v>
      </c>
      <c r="CO247" s="16">
        <v>5.9492956967003026E-2</v>
      </c>
      <c r="CP247" s="16">
        <v>0.26755703794978136</v>
      </c>
      <c r="CQ247" s="16">
        <v>0.31486045489935</v>
      </c>
      <c r="CR247" s="16">
        <v>0.26767192077331176</v>
      </c>
      <c r="CS247" s="16">
        <v>5.5857729737957849E-2</v>
      </c>
      <c r="CT247" s="16">
        <v>1.2299674403963541E-2</v>
      </c>
      <c r="CU247" s="16">
        <v>2.6610227311244655E-3</v>
      </c>
      <c r="CV247" s="16">
        <v>5.4488665829673338E-4</v>
      </c>
      <c r="CW247" s="16">
        <v>1.1261531368779014E-4</v>
      </c>
      <c r="CX247" s="16">
        <v>2.3965042250347357E-5</v>
      </c>
      <c r="CY247" s="16">
        <v>5.245748458236455E-6</v>
      </c>
      <c r="CZ247" s="16">
        <v>1.1799564954076843E-6</v>
      </c>
      <c r="DA247" s="16">
        <v>2.7249218955892028E-7</v>
      </c>
      <c r="DB247" s="16">
        <v>6.454711070375214E-8</v>
      </c>
      <c r="DC247" s="16">
        <v>1.5661667787557458E-8</v>
      </c>
      <c r="DD247" s="16">
        <v>3.9084294608373438E-9</v>
      </c>
      <c r="DE247" s="16">
        <v>1.0012717727025558E-9</v>
      </c>
      <c r="DF247" s="16">
        <v>2.5650844485140504E-10</v>
      </c>
      <c r="DG247" s="16">
        <v>6.5713010267312221E-11</v>
      </c>
      <c r="DH247" s="16">
        <v>1.6834532370984172E-11</v>
      </c>
      <c r="DI247" s="16">
        <v>4.3127149234211304E-12</v>
      </c>
      <c r="DJ247" s="16">
        <v>1.1048426827028257E-12</v>
      </c>
      <c r="DK247" s="16">
        <v>2.8304148877739449E-13</v>
      </c>
      <c r="DL247" s="16">
        <v>7.2510220308809128E-14</v>
      </c>
      <c r="DM247" s="16">
        <v>1.8575498715563387E-14</v>
      </c>
      <c r="DN247" s="16">
        <v>4.7573519285475709E-15</v>
      </c>
      <c r="DO247" s="16">
        <v>1.2135623225841881E-15</v>
      </c>
      <c r="DP247" s="16">
        <v>2.9121873989881637E-16</v>
      </c>
    </row>
    <row r="248" spans="3:120" x14ac:dyDescent="0.25">
      <c r="C248" s="1"/>
      <c r="D248" s="1"/>
      <c r="E248" s="1"/>
      <c r="F248" s="1"/>
      <c r="G248" s="1"/>
      <c r="H248" s="1"/>
      <c r="I248" s="1"/>
      <c r="J248" s="93"/>
      <c r="O248" s="9">
        <f t="shared" si="194"/>
        <v>24</v>
      </c>
      <c r="P248" s="16">
        <v>6.0033973522121379E-35</v>
      </c>
      <c r="Q248" s="16">
        <v>4.5496899601885771E-33</v>
      </c>
      <c r="R248" s="16">
        <v>3.4474109318009979E-31</v>
      </c>
      <c r="S248" s="16">
        <v>2.6121871812353259E-29</v>
      </c>
      <c r="T248" s="16">
        <v>1.9793178140826897E-27</v>
      </c>
      <c r="U248" s="16">
        <v>1.4997772890426479E-25</v>
      </c>
      <c r="V248" s="16">
        <v>1.1364177600607115E-23</v>
      </c>
      <c r="W248" s="16">
        <v>8.6109139991429814E-22</v>
      </c>
      <c r="X248" s="16">
        <v>6.5246991473166841E-20</v>
      </c>
      <c r="Y248" s="16">
        <v>4.9439233706470758E-18</v>
      </c>
      <c r="Z248" s="16">
        <v>3.7461310848152117E-16</v>
      </c>
      <c r="AA248" s="16">
        <v>2.8385347127219022E-14</v>
      </c>
      <c r="AB248" s="16">
        <v>2.1508268485283563E-12</v>
      </c>
      <c r="AC248" s="16">
        <v>8.2294508751987697E-11</v>
      </c>
      <c r="AD248" s="16">
        <v>1.5723495058221545E-9</v>
      </c>
      <c r="AE248" s="16">
        <v>1.8638709397354077E-8</v>
      </c>
      <c r="AF248" s="16">
        <v>1.5507574517590297E-7</v>
      </c>
      <c r="AG248" s="16">
        <v>9.826022251453598E-7</v>
      </c>
      <c r="AH248" s="16">
        <v>5.0207190917021649E-6</v>
      </c>
      <c r="AI248" s="16">
        <v>2.1567219711504583E-5</v>
      </c>
      <c r="AJ248" s="16">
        <v>8.0350349293230639E-5</v>
      </c>
      <c r="AK248" s="16">
        <v>2.895966617551318E-4</v>
      </c>
      <c r="AL248" s="16">
        <v>1.331999912771438E-3</v>
      </c>
      <c r="AM248" s="16">
        <v>6.9089824381948937E-3</v>
      </c>
      <c r="AN248" s="16">
        <v>3.8598704294164052E-2</v>
      </c>
      <c r="AO248" s="16">
        <v>0.24207381625468252</v>
      </c>
      <c r="AP248" s="16">
        <v>0.43196272223064008</v>
      </c>
      <c r="AQ248" s="16">
        <v>0.23296974471383924</v>
      </c>
      <c r="AR248" s="16">
        <v>3.8172834993509326E-2</v>
      </c>
      <c r="AS248" s="16">
        <v>6.3135464863958183E-3</v>
      </c>
      <c r="AT248" s="16">
        <v>1.0560075496148971E-3</v>
      </c>
      <c r="AU248" s="16">
        <v>1.7773548540219109E-4</v>
      </c>
      <c r="AV248" s="16">
        <v>3.0054770203051734E-5</v>
      </c>
      <c r="AW248" s="16">
        <v>5.1059291343017442E-6</v>
      </c>
      <c r="AX248" s="16">
        <v>8.7146166492702515E-7</v>
      </c>
      <c r="AY248" s="16">
        <v>1.4942525524077184E-7</v>
      </c>
      <c r="AZ248" s="16">
        <v>2.5738987403926007E-8</v>
      </c>
      <c r="BA248" s="16">
        <v>4.4536889487467294E-9</v>
      </c>
      <c r="BB248" s="16">
        <v>7.7456917442070617E-10</v>
      </c>
      <c r="BC248" s="16">
        <v>1.3529416979931554E-10</v>
      </c>
      <c r="BD248" s="16">
        <v>2.3631862700159519E-11</v>
      </c>
      <c r="BE248" s="16">
        <v>4.1277827086530919E-12</v>
      </c>
      <c r="BF248" s="16">
        <v>7.2100072288165313E-13</v>
      </c>
      <c r="BG248" s="16">
        <v>1.2593735646638008E-13</v>
      </c>
      <c r="BH248" s="16">
        <v>2.199750603564217E-14</v>
      </c>
      <c r="BI248" s="16">
        <v>3.8423092633484551E-15</v>
      </c>
      <c r="BJ248" s="16">
        <v>6.7113699289455169E-16</v>
      </c>
      <c r="BK248" s="16">
        <v>1.1722753718772474E-16</v>
      </c>
      <c r="BL248" s="16">
        <v>2.0475545523960066E-17</v>
      </c>
      <c r="BM248" s="16">
        <v>3.5730508869721165E-18</v>
      </c>
      <c r="BN248" s="16">
        <v>6.0510100163533269E-19</v>
      </c>
      <c r="BQ248" s="9">
        <f t="shared" si="195"/>
        <v>24</v>
      </c>
      <c r="BR248" s="16">
        <v>3.6203089428154598E-19</v>
      </c>
      <c r="BS248" s="16">
        <v>4.3139273025443532E-18</v>
      </c>
      <c r="BT248" s="16">
        <v>5.1052682396909373E-17</v>
      </c>
      <c r="BU248" s="16">
        <v>5.4947233631178744E-16</v>
      </c>
      <c r="BV248" s="16">
        <v>5.1130147161886049E-15</v>
      </c>
      <c r="BW248" s="16">
        <v>4.2191854346127504E-14</v>
      </c>
      <c r="BX248" s="16">
        <v>3.1214193843816037E-13</v>
      </c>
      <c r="BY248" s="16">
        <v>2.0910045863050077E-12</v>
      </c>
      <c r="BZ248" s="16">
        <v>1.2793893481592518E-11</v>
      </c>
      <c r="CA248" s="16">
        <v>7.204529626833081E-11</v>
      </c>
      <c r="CB248" s="16">
        <v>3.7591458129880661E-10</v>
      </c>
      <c r="CC248" s="16">
        <v>1.8283147615367283E-9</v>
      </c>
      <c r="CD248" s="16">
        <v>8.3331133838155783E-9</v>
      </c>
      <c r="CE248" s="16">
        <v>3.5762801415051736E-8</v>
      </c>
      <c r="CF248" s="16">
        <v>1.4513970066584959E-7</v>
      </c>
      <c r="CG248" s="16">
        <v>5.5917788538609076E-7</v>
      </c>
      <c r="CH248" s="16">
        <v>2.0522974858352549E-6</v>
      </c>
      <c r="CI248" s="16">
        <v>7.1983499036288513E-6</v>
      </c>
      <c r="CJ248" s="16">
        <v>2.4197947298396402E-5</v>
      </c>
      <c r="CK248" s="16">
        <v>7.8165803020099209E-5</v>
      </c>
      <c r="CL248" s="16">
        <v>2.4321423762126032E-4</v>
      </c>
      <c r="CM248" s="16">
        <v>7.7306732204355166E-4</v>
      </c>
      <c r="CN248" s="16">
        <v>3.0034774314046E-3</v>
      </c>
      <c r="CO248" s="16">
        <v>1.299946627109015E-2</v>
      </c>
      <c r="CP248" s="16">
        <v>5.8462360382423938E-2</v>
      </c>
      <c r="CQ248" s="16">
        <v>0.2873026490200255</v>
      </c>
      <c r="CR248" s="16">
        <v>0.29196421535413697</v>
      </c>
      <c r="CS248" s="16">
        <v>0.26960686710759202</v>
      </c>
      <c r="CT248" s="16">
        <v>5.9366477979906622E-2</v>
      </c>
      <c r="CU248" s="16">
        <v>1.2843880429909939E-2</v>
      </c>
      <c r="CV248" s="16">
        <v>2.6299884646453615E-3</v>
      </c>
      <c r="CW248" s="16">
        <v>5.4355703416767353E-4</v>
      </c>
      <c r="CX248" s="16">
        <v>1.1567136708792145E-4</v>
      </c>
      <c r="CY248" s="16">
        <v>2.5319500346583866E-5</v>
      </c>
      <c r="CZ248" s="16">
        <v>5.695261435481143E-6</v>
      </c>
      <c r="DA248" s="16">
        <v>1.3152300654343511E-6</v>
      </c>
      <c r="DB248" s="16">
        <v>3.1154764755610645E-7</v>
      </c>
      <c r="DC248" s="16">
        <v>7.5593712914792601E-8</v>
      </c>
      <c r="DD248" s="16">
        <v>1.8864701934552624E-8</v>
      </c>
      <c r="DE248" s="16">
        <v>4.8328091211010686E-9</v>
      </c>
      <c r="DF248" s="16">
        <v>1.238081793289084E-9</v>
      </c>
      <c r="DG248" s="16">
        <v>3.1717506081060423E-10</v>
      </c>
      <c r="DH248" s="16">
        <v>8.125474402655736E-11</v>
      </c>
      <c r="DI248" s="16">
        <v>2.0816054728439797E-11</v>
      </c>
      <c r="DJ248" s="16">
        <v>5.3327117970538985E-12</v>
      </c>
      <c r="DK248" s="16">
        <v>1.3661480588045804E-12</v>
      </c>
      <c r="DL248" s="16">
        <v>3.4998295531253434E-13</v>
      </c>
      <c r="DM248" s="16">
        <v>8.9657815259558022E-14</v>
      </c>
      <c r="DN248" s="16">
        <v>2.2962171130137732E-14</v>
      </c>
      <c r="DO248" s="16">
        <v>5.8574656966303295E-15</v>
      </c>
      <c r="DP248" s="16">
        <v>1.4056169571422162E-15</v>
      </c>
    </row>
    <row r="249" spans="3:120" x14ac:dyDescent="0.25">
      <c r="C249" s="1"/>
      <c r="D249" s="1"/>
      <c r="E249" s="1"/>
      <c r="F249" s="1"/>
      <c r="G249" s="1"/>
      <c r="H249" s="1"/>
      <c r="I249" s="1"/>
      <c r="J249" s="93"/>
      <c r="O249" s="9">
        <f t="shared" si="194"/>
        <v>23</v>
      </c>
      <c r="P249" s="16">
        <v>1.0165194313953091E-35</v>
      </c>
      <c r="Q249" s="16">
        <v>7.703718378147451E-34</v>
      </c>
      <c r="R249" s="16">
        <v>5.8372951090585938E-32</v>
      </c>
      <c r="S249" s="16">
        <v>4.4230605978280052E-30</v>
      </c>
      <c r="T249" s="16">
        <v>3.3514606828091305E-28</v>
      </c>
      <c r="U249" s="16">
        <v>2.5394833419038334E-26</v>
      </c>
      <c r="V249" s="16">
        <v>1.9242283452365174E-24</v>
      </c>
      <c r="W249" s="16">
        <v>1.4580346574889565E-22</v>
      </c>
      <c r="X249" s="16">
        <v>1.1047883520173573E-20</v>
      </c>
      <c r="Y249" s="16">
        <v>8.3712502750468594E-19</v>
      </c>
      <c r="Z249" s="16">
        <v>6.3431001095829013E-17</v>
      </c>
      <c r="AA249" s="16">
        <v>4.8063213592028696E-15</v>
      </c>
      <c r="AB249" s="16">
        <v>3.6418666911830811E-13</v>
      </c>
      <c r="AC249" s="16">
        <v>1.3934437841716728E-11</v>
      </c>
      <c r="AD249" s="16">
        <v>2.6623655437767745E-10</v>
      </c>
      <c r="AE249" s="16">
        <v>3.1559813830346085E-9</v>
      </c>
      <c r="AF249" s="16">
        <v>2.6258050077482592E-8</v>
      </c>
      <c r="AG249" s="16">
        <v>1.6637816832571896E-7</v>
      </c>
      <c r="AH249" s="16">
        <v>8.5012838845525647E-7</v>
      </c>
      <c r="AI249" s="16">
        <v>3.6518485503608967E-6</v>
      </c>
      <c r="AJ249" s="16">
        <v>1.360524492783617E-5</v>
      </c>
      <c r="AK249" s="16">
        <v>4.903567374777094E-5</v>
      </c>
      <c r="AL249" s="16">
        <v>2.2553959275244359E-4</v>
      </c>
      <c r="AM249" s="16">
        <v>1.1698567473642511E-3</v>
      </c>
      <c r="AN249" s="16">
        <v>6.535688151183508E-3</v>
      </c>
      <c r="AO249" s="16">
        <v>4.0988914046182413E-2</v>
      </c>
      <c r="AP249" s="16">
        <v>0.24246569846735228</v>
      </c>
      <c r="AQ249" s="16">
        <v>0.42806782652573133</v>
      </c>
      <c r="AR249" s="16">
        <v>0.23399346369403451</v>
      </c>
      <c r="AS249" s="16">
        <v>3.8701045148893318E-2</v>
      </c>
      <c r="AT249" s="16">
        <v>6.4731598861718026E-3</v>
      </c>
      <c r="AU249" s="16">
        <v>1.0894905200955272E-3</v>
      </c>
      <c r="AV249" s="16">
        <v>1.8423100567553134E-4</v>
      </c>
      <c r="AW249" s="16">
        <v>3.1298541062373206E-5</v>
      </c>
      <c r="AX249" s="16">
        <v>5.3419226915558517E-6</v>
      </c>
      <c r="AY249" s="16">
        <v>9.1595326999156715E-7</v>
      </c>
      <c r="AZ249" s="16">
        <v>1.5777593714603185E-7</v>
      </c>
      <c r="BA249" s="16">
        <v>2.730041149708395E-8</v>
      </c>
      <c r="BB249" s="16">
        <v>4.7479869919053046E-9</v>
      </c>
      <c r="BC249" s="16">
        <v>8.2933194284190889E-10</v>
      </c>
      <c r="BD249" s="16">
        <v>1.4485959472730862E-10</v>
      </c>
      <c r="BE249" s="16">
        <v>2.5302657597695118E-11</v>
      </c>
      <c r="BF249" s="16">
        <v>4.4196208246431541E-12</v>
      </c>
      <c r="BG249" s="16">
        <v>7.7197615144511119E-13</v>
      </c>
      <c r="BH249" s="16">
        <v>1.3484124589608167E-13</v>
      </c>
      <c r="BI249" s="16">
        <v>2.3552750359449399E-14</v>
      </c>
      <c r="BJ249" s="16">
        <v>4.1139640167490099E-15</v>
      </c>
      <c r="BK249" s="16">
        <v>7.1858633165550988E-16</v>
      </c>
      <c r="BL249" s="16">
        <v>1.2551186777170095E-16</v>
      </c>
      <c r="BM249" s="16">
        <v>2.1902238938758628E-17</v>
      </c>
      <c r="BN249" s="16">
        <v>3.7091737954871893E-18</v>
      </c>
      <c r="BQ249" s="9">
        <f t="shared" si="195"/>
        <v>23</v>
      </c>
      <c r="BR249" s="16">
        <v>8.1019889764948126E-20</v>
      </c>
      <c r="BS249" s="16">
        <v>9.654256584918184E-19</v>
      </c>
      <c r="BT249" s="16">
        <v>1.1425220237656787E-17</v>
      </c>
      <c r="BU249" s="16">
        <v>1.2296792572141202E-16</v>
      </c>
      <c r="BV249" s="16">
        <v>1.1442556290513642E-15</v>
      </c>
      <c r="BW249" s="16">
        <v>9.4422311523600945E-15</v>
      </c>
      <c r="BX249" s="16">
        <v>6.9855103094073363E-14</v>
      </c>
      <c r="BY249" s="16">
        <v>4.6795166864594356E-13</v>
      </c>
      <c r="BZ249" s="16">
        <v>2.8631806177762199E-12</v>
      </c>
      <c r="CA249" s="16">
        <v>1.6123215045851209E-11</v>
      </c>
      <c r="CB249" s="16">
        <v>8.4126958276053473E-11</v>
      </c>
      <c r="CC249" s="16">
        <v>4.091635901109996E-10</v>
      </c>
      <c r="CD249" s="16">
        <v>1.8648903682526595E-9</v>
      </c>
      <c r="CE249" s="16">
        <v>8.003455710826385E-9</v>
      </c>
      <c r="CF249" s="16">
        <v>3.2481212885991288E-8</v>
      </c>
      <c r="CG249" s="16">
        <v>1.2513995724835906E-7</v>
      </c>
      <c r="CH249" s="16">
        <v>4.5928930015000729E-7</v>
      </c>
      <c r="CI249" s="16">
        <v>1.6109385273290547E-6</v>
      </c>
      <c r="CJ249" s="16">
        <v>5.4153251935715675E-6</v>
      </c>
      <c r="CK249" s="16">
        <v>1.7492940089118524E-5</v>
      </c>
      <c r="CL249" s="16">
        <v>5.4429583310688336E-5</v>
      </c>
      <c r="CM249" s="16">
        <v>1.7300686267990932E-4</v>
      </c>
      <c r="CN249" s="16">
        <v>6.7215647683003328E-4</v>
      </c>
      <c r="CO249" s="16">
        <v>2.9091863178610814E-3</v>
      </c>
      <c r="CP249" s="16">
        <v>1.3083452457786832E-2</v>
      </c>
      <c r="CQ249" s="16">
        <v>6.4296250183216941E-2</v>
      </c>
      <c r="CR249" s="16">
        <v>0.28913222590016269</v>
      </c>
      <c r="CS249" s="16">
        <v>0.27301091254484655</v>
      </c>
      <c r="CT249" s="16">
        <v>0.28031249766948657</v>
      </c>
      <c r="CU249" s="16">
        <v>6.0645339349504002E-2</v>
      </c>
      <c r="CV249" s="16">
        <v>1.2418096212751596E-2</v>
      </c>
      <c r="CW249" s="16">
        <v>2.5665297160618029E-3</v>
      </c>
      <c r="CX249" s="16">
        <v>5.4616899840737867E-4</v>
      </c>
      <c r="CY249" s="16">
        <v>1.1955185187668627E-4</v>
      </c>
      <c r="CZ249" s="16">
        <v>2.6891488465944793E-5</v>
      </c>
      <c r="DA249" s="16">
        <v>6.2101616467240711E-6</v>
      </c>
      <c r="DB249" s="16">
        <v>1.4710439662441041E-6</v>
      </c>
      <c r="DC249" s="16">
        <v>3.5693312448866555E-7</v>
      </c>
      <c r="DD249" s="16">
        <v>8.9074034657313513E-8</v>
      </c>
      <c r="DE249" s="16">
        <v>2.28192212439187E-8</v>
      </c>
      <c r="DF249" s="16">
        <v>5.8458883128192942E-9</v>
      </c>
      <c r="DG249" s="16">
        <v>1.4976150938983427E-9</v>
      </c>
      <c r="DH249" s="16">
        <v>3.8366298659806239E-10</v>
      </c>
      <c r="DI249" s="16">
        <v>9.8287796263214724E-11</v>
      </c>
      <c r="DJ249" s="16">
        <v>2.5179626854226689E-11</v>
      </c>
      <c r="DK249" s="16">
        <v>6.4505826786532041E-12</v>
      </c>
      <c r="DL249" s="16">
        <v>1.652525123329863E-12</v>
      </c>
      <c r="DM249" s="16">
        <v>4.2334002262189866E-13</v>
      </c>
      <c r="DN249" s="16">
        <v>1.0842117909675613E-13</v>
      </c>
      <c r="DO249" s="16">
        <v>2.7657373240021364E-14</v>
      </c>
      <c r="DP249" s="16">
        <v>6.6369441717003472E-15</v>
      </c>
    </row>
    <row r="250" spans="3:120" x14ac:dyDescent="0.25">
      <c r="C250" s="1"/>
      <c r="D250" s="1"/>
      <c r="E250" s="1"/>
      <c r="F250" s="1"/>
      <c r="G250" s="1"/>
      <c r="H250" s="1"/>
      <c r="I250" s="1"/>
      <c r="J250" s="93"/>
      <c r="O250" s="9">
        <f t="shared" si="194"/>
        <v>22</v>
      </c>
      <c r="P250" s="16">
        <v>1.7377618207038319E-36</v>
      </c>
      <c r="Q250" s="16">
        <v>1.3169672178940372E-34</v>
      </c>
      <c r="R250" s="16">
        <v>9.9789814768021446E-33</v>
      </c>
      <c r="S250" s="16">
        <v>7.5613171771980791E-31</v>
      </c>
      <c r="T250" s="16">
        <v>5.7293940856412632E-29</v>
      </c>
      <c r="U250" s="16">
        <v>4.3413013657952409E-27</v>
      </c>
      <c r="V250" s="16">
        <v>3.289509722483366E-25</v>
      </c>
      <c r="W250" s="16">
        <v>2.4925415912310019E-23</v>
      </c>
      <c r="X250" s="16">
        <v>1.8886594380776424E-21</v>
      </c>
      <c r="Y250" s="16">
        <v>1.4310832307027176E-19</v>
      </c>
      <c r="Z250" s="16">
        <v>1.0843665998794722E-17</v>
      </c>
      <c r="AA250" s="16">
        <v>8.2165096879569977E-16</v>
      </c>
      <c r="AB250" s="16">
        <v>6.2258493999902873E-14</v>
      </c>
      <c r="AC250" s="16">
        <v>2.3821221047460032E-12</v>
      </c>
      <c r="AD250" s="16">
        <v>4.5513711315701129E-11</v>
      </c>
      <c r="AE250" s="16">
        <v>5.3952180203398788E-10</v>
      </c>
      <c r="AF250" s="16">
        <v>4.4888701092653911E-9</v>
      </c>
      <c r="AG250" s="16">
        <v>2.8442705548501549E-8</v>
      </c>
      <c r="AH250" s="16">
        <v>1.4533127557888395E-7</v>
      </c>
      <c r="AI250" s="16">
        <v>6.2429136028408288E-7</v>
      </c>
      <c r="AJ250" s="16">
        <v>2.3258458684321873E-6</v>
      </c>
      <c r="AK250" s="16">
        <v>8.3827538421375951E-6</v>
      </c>
      <c r="AL250" s="16">
        <v>3.8556478237145463E-5</v>
      </c>
      <c r="AM250" s="16">
        <v>1.9998952587378402E-4</v>
      </c>
      <c r="AN250" s="16">
        <v>1.1172899396092674E-3</v>
      </c>
      <c r="AO250" s="16">
        <v>7.00714297254461E-3</v>
      </c>
      <c r="AP250" s="16">
        <v>4.1450032396183153E-2</v>
      </c>
      <c r="AQ250" s="16">
        <v>0.24413126494842635</v>
      </c>
      <c r="AR250" s="16">
        <v>0.42329015247692187</v>
      </c>
      <c r="AS250" s="16">
        <v>0.23540322700214339</v>
      </c>
      <c r="AT250" s="16">
        <v>3.9373684101894173E-2</v>
      </c>
      <c r="AU250" s="16">
        <v>6.626942069187622E-3</v>
      </c>
      <c r="AV250" s="16">
        <v>1.1206047041628906E-3</v>
      </c>
      <c r="AW250" s="16">
        <v>1.9037670786915256E-4</v>
      </c>
      <c r="AX250" s="16">
        <v>3.249281344083242E-5</v>
      </c>
      <c r="AY250" s="16">
        <v>5.5713832716826812E-6</v>
      </c>
      <c r="AZ250" s="16">
        <v>9.5968893358233545E-7</v>
      </c>
      <c r="BA250" s="16">
        <v>1.6605765917109224E-7</v>
      </c>
      <c r="BB250" s="16">
        <v>2.8880136320831872E-8</v>
      </c>
      <c r="BC250" s="16">
        <v>5.0444998281015448E-9</v>
      </c>
      <c r="BD250" s="16">
        <v>8.8112390582315449E-10</v>
      </c>
      <c r="BE250" s="16">
        <v>1.5390610840901433E-10</v>
      </c>
      <c r="BF250" s="16">
        <v>2.6882814152542943E-11</v>
      </c>
      <c r="BG250" s="16">
        <v>4.6956271211727498E-12</v>
      </c>
      <c r="BH250" s="16">
        <v>8.2018623256314933E-13</v>
      </c>
      <c r="BI250" s="16">
        <v>1.4326211134762666E-13</v>
      </c>
      <c r="BJ250" s="16">
        <v>2.5023624080113767E-14</v>
      </c>
      <c r="BK250" s="16">
        <v>4.3708778587385689E-15</v>
      </c>
      <c r="BL250" s="16">
        <v>7.63439296971276E-16</v>
      </c>
      <c r="BM250" s="16">
        <v>1.3322269992760693E-16</v>
      </c>
      <c r="BN250" s="16">
        <v>2.2561444467719776E-17</v>
      </c>
      <c r="BQ250" s="9">
        <f t="shared" si="195"/>
        <v>22</v>
      </c>
      <c r="BR250" s="16">
        <v>1.7712446672940441E-20</v>
      </c>
      <c r="BS250" s="16">
        <v>2.1105990815754959E-19</v>
      </c>
      <c r="BT250" s="16">
        <v>2.4977644967575247E-18</v>
      </c>
      <c r="BU250" s="16">
        <v>2.6883063321136652E-17</v>
      </c>
      <c r="BV250" s="16">
        <v>2.5015544786081185E-16</v>
      </c>
      <c r="BW250" s="16">
        <v>2.0642463998033096E-15</v>
      </c>
      <c r="BX250" s="16">
        <v>1.5271617771588606E-14</v>
      </c>
      <c r="BY250" s="16">
        <v>1.0230289130794004E-13</v>
      </c>
      <c r="BZ250" s="16">
        <v>6.2594424843686319E-13</v>
      </c>
      <c r="CA250" s="16">
        <v>3.5248330690711767E-12</v>
      </c>
      <c r="CB250" s="16">
        <v>1.8391709326491165E-11</v>
      </c>
      <c r="CC250" s="16">
        <v>8.9450729831594487E-11</v>
      </c>
      <c r="CD250" s="16">
        <v>4.0769953272444614E-10</v>
      </c>
      <c r="CE250" s="16">
        <v>1.7497034726722543E-9</v>
      </c>
      <c r="CF250" s="16">
        <v>7.1009940001726573E-9</v>
      </c>
      <c r="CG250" s="16">
        <v>2.735790959289299E-8</v>
      </c>
      <c r="CH250" s="16">
        <v>1.0040913731135028E-7</v>
      </c>
      <c r="CI250" s="16">
        <v>3.5218096249552901E-7</v>
      </c>
      <c r="CJ250" s="16">
        <v>1.1838902643047638E-6</v>
      </c>
      <c r="CK250" s="16">
        <v>3.824280301792044E-6</v>
      </c>
      <c r="CL250" s="16">
        <v>1.189931379341409E-5</v>
      </c>
      <c r="CM250" s="16">
        <v>3.7822500600295481E-5</v>
      </c>
      <c r="CN250" s="16">
        <v>1.469458399198442E-4</v>
      </c>
      <c r="CO250" s="16">
        <v>6.3600194552542355E-4</v>
      </c>
      <c r="CP250" s="16">
        <v>2.8602847353756729E-3</v>
      </c>
      <c r="CQ250" s="16">
        <v>1.4056349693195564E-2</v>
      </c>
      <c r="CR250" s="16">
        <v>6.3209653179518613E-2</v>
      </c>
      <c r="CS250" s="16">
        <v>0.27830373465006752</v>
      </c>
      <c r="CT250" s="16">
        <v>0.28957341417029908</v>
      </c>
      <c r="CU250" s="16">
        <v>0.2789979682271207</v>
      </c>
      <c r="CV250" s="16">
        <v>5.7129264173784083E-2</v>
      </c>
      <c r="CW250" s="16">
        <v>1.1807281216600667E-2</v>
      </c>
      <c r="CX250" s="16">
        <v>2.5126422326721869E-3</v>
      </c>
      <c r="CY250" s="16">
        <v>5.4999648990599562E-4</v>
      </c>
      <c r="CZ250" s="16">
        <v>1.2371388675662525E-4</v>
      </c>
      <c r="DA250" s="16">
        <v>2.8569754912455227E-5</v>
      </c>
      <c r="DB250" s="16">
        <v>6.7675155610820538E-6</v>
      </c>
      <c r="DC250" s="16">
        <v>1.6420654512523574E-6</v>
      </c>
      <c r="DD250" s="16">
        <v>4.0978375185538242E-7</v>
      </c>
      <c r="DE250" s="16">
        <v>1.0497948287316387E-7</v>
      </c>
      <c r="DF250" s="16">
        <v>2.6893920938585576E-8</v>
      </c>
      <c r="DG250" s="16">
        <v>6.8897556327603184E-9</v>
      </c>
      <c r="DH250" s="16">
        <v>1.7650357783954573E-9</v>
      </c>
      <c r="DI250" s="16">
        <v>4.52171523040251E-10</v>
      </c>
      <c r="DJ250" s="16">
        <v>1.1583849325271767E-10</v>
      </c>
      <c r="DK250" s="16">
        <v>2.9675808240654536E-11</v>
      </c>
      <c r="DL250" s="16">
        <v>7.6024168847704652E-12</v>
      </c>
      <c r="DM250" s="16">
        <v>1.9475693836924509E-12</v>
      </c>
      <c r="DN250" s="16">
        <v>4.9878999780106155E-13</v>
      </c>
      <c r="DO250" s="16">
        <v>1.2723732809862177E-13</v>
      </c>
      <c r="DP250" s="16">
        <v>3.0533161476263906E-14</v>
      </c>
    </row>
    <row r="251" spans="3:120" x14ac:dyDescent="0.25">
      <c r="C251" s="1"/>
      <c r="D251" s="1"/>
      <c r="E251" s="1"/>
      <c r="F251" s="1"/>
      <c r="G251" s="1"/>
      <c r="H251" s="1"/>
      <c r="I251" s="1"/>
      <c r="J251" s="93"/>
      <c r="O251" s="9">
        <f t="shared" si="194"/>
        <v>21</v>
      </c>
      <c r="P251" s="16">
        <v>2.9993442938837445E-37</v>
      </c>
      <c r="Q251" s="16">
        <v>2.2730607055359159E-35</v>
      </c>
      <c r="R251" s="16">
        <v>1.7223534775954289E-33</v>
      </c>
      <c r="S251" s="16">
        <v>1.3050691561682893E-31</v>
      </c>
      <c r="T251" s="16">
        <v>9.8888266812187895E-30</v>
      </c>
      <c r="U251" s="16">
        <v>7.4930046939653948E-28</v>
      </c>
      <c r="V251" s="16">
        <v>5.6776320542072253E-26</v>
      </c>
      <c r="W251" s="16">
        <v>4.3020800145664808E-24</v>
      </c>
      <c r="X251" s="16">
        <v>3.2597907499161833E-22</v>
      </c>
      <c r="Y251" s="16">
        <v>2.4700228022862365E-20</v>
      </c>
      <c r="Z251" s="16">
        <v>1.8715964035332093E-18</v>
      </c>
      <c r="AA251" s="16">
        <v>1.4181541540734799E-16</v>
      </c>
      <c r="AB251" s="16">
        <v>1.0745699237929647E-14</v>
      </c>
      <c r="AC251" s="16">
        <v>4.1114980528864756E-13</v>
      </c>
      <c r="AD251" s="16">
        <v>7.8555811677880063E-12</v>
      </c>
      <c r="AE251" s="16">
        <v>9.3120450632360267E-11</v>
      </c>
      <c r="AF251" s="16">
        <v>7.747705576105573E-10</v>
      </c>
      <c r="AG251" s="16">
        <v>4.9091576056701164E-9</v>
      </c>
      <c r="AH251" s="16">
        <v>2.5083905454535943E-8</v>
      </c>
      <c r="AI251" s="16">
        <v>1.0775151731844331E-7</v>
      </c>
      <c r="AJ251" s="16">
        <v>4.0143663250178458E-7</v>
      </c>
      <c r="AK251" s="16">
        <v>1.446847583132196E-6</v>
      </c>
      <c r="AL251" s="16">
        <v>6.6547757934972117E-6</v>
      </c>
      <c r="AM251" s="16">
        <v>3.4517816890642825E-5</v>
      </c>
      <c r="AN251" s="16">
        <v>1.9284214701088809E-4</v>
      </c>
      <c r="AO251" s="16">
        <v>1.2094197283386611E-3</v>
      </c>
      <c r="AP251" s="16">
        <v>7.1541978116675831E-3</v>
      </c>
      <c r="AQ251" s="16">
        <v>4.2136598224094504E-2</v>
      </c>
      <c r="AR251" s="16">
        <v>0.24565720955036094</v>
      </c>
      <c r="AS251" s="16">
        <v>0.41831556906925083</v>
      </c>
      <c r="AT251" s="16">
        <v>0.23722830771908859</v>
      </c>
      <c r="AU251" s="16">
        <v>3.9927639190618307E-2</v>
      </c>
      <c r="AV251" s="16">
        <v>6.7516963081903636E-3</v>
      </c>
      <c r="AW251" s="16">
        <v>1.1470286631054085E-3</v>
      </c>
      <c r="AX251" s="16">
        <v>1.9577073676044216E-4</v>
      </c>
      <c r="AY251" s="16">
        <v>3.3567847544450094E-5</v>
      </c>
      <c r="AZ251" s="16">
        <v>5.7821711847259377E-6</v>
      </c>
      <c r="BA251" s="16">
        <v>1.0005052452548191E-6</v>
      </c>
      <c r="BB251" s="16">
        <v>1.7400418635852106E-7</v>
      </c>
      <c r="BC251" s="16">
        <v>3.0393349893620767E-8</v>
      </c>
      <c r="BD251" s="16">
        <v>5.3088131790848794E-9</v>
      </c>
      <c r="BE251" s="16">
        <v>9.2729157756778482E-10</v>
      </c>
      <c r="BF251" s="16">
        <v>1.6197022589074229E-10</v>
      </c>
      <c r="BG251" s="16">
        <v>2.8291375344835421E-11</v>
      </c>
      <c r="BH251" s="16">
        <v>4.9416608174618435E-12</v>
      </c>
      <c r="BI251" s="16">
        <v>8.6316099218224141E-13</v>
      </c>
      <c r="BJ251" s="16">
        <v>1.5076851782936012E-13</v>
      </c>
      <c r="BK251" s="16">
        <v>2.6334745689329638E-14</v>
      </c>
      <c r="BL251" s="16">
        <v>4.5997578483653706E-15</v>
      </c>
      <c r="BM251" s="16">
        <v>8.0267306386180252E-16</v>
      </c>
      <c r="BN251" s="16">
        <v>1.3593376928926688E-16</v>
      </c>
      <c r="BQ251" s="9">
        <f t="shared" si="195"/>
        <v>21</v>
      </c>
      <c r="BR251" s="16">
        <v>3.7644082350619859E-21</v>
      </c>
      <c r="BS251" s="16">
        <v>4.485634712303746E-20</v>
      </c>
      <c r="BT251" s="16">
        <v>5.3084734223668711E-19</v>
      </c>
      <c r="BU251" s="16">
        <v>5.7134300426367717E-18</v>
      </c>
      <c r="BV251" s="16">
        <v>5.3165282321582856E-17</v>
      </c>
      <c r="BW251" s="16">
        <v>4.3871218302596185E-16</v>
      </c>
      <c r="BX251" s="16">
        <v>3.2456613568758565E-15</v>
      </c>
      <c r="BY251" s="16">
        <v>2.1742329200550178E-14</v>
      </c>
      <c r="BZ251" s="16">
        <v>1.3303129302318138E-13</v>
      </c>
      <c r="CA251" s="16">
        <v>7.491291789011542E-13</v>
      </c>
      <c r="CB251" s="16">
        <v>3.9087712343704215E-12</v>
      </c>
      <c r="CC251" s="16">
        <v>1.9010872423671712E-11</v>
      </c>
      <c r="CD251" s="16">
        <v>8.6647966074810248E-11</v>
      </c>
      <c r="CE251" s="16">
        <v>3.718626953726518E-10</v>
      </c>
      <c r="CF251" s="16">
        <v>1.5091670159952041E-9</v>
      </c>
      <c r="CG251" s="16">
        <v>5.8143486367076206E-9</v>
      </c>
      <c r="CH251" s="16">
        <v>2.1339851594176642E-8</v>
      </c>
      <c r="CI251" s="16">
        <v>7.484866094053499E-8</v>
      </c>
      <c r="CJ251" s="16">
        <v>2.5161099099691554E-7</v>
      </c>
      <c r="CK251" s="16">
        <v>8.1277039401024787E-7</v>
      </c>
      <c r="CL251" s="16">
        <v>2.52894903017249E-6</v>
      </c>
      <c r="CM251" s="16">
        <v>8.0383774957473348E-6</v>
      </c>
      <c r="CN251" s="16">
        <v>3.1230249559336078E-5</v>
      </c>
      <c r="CO251" s="16">
        <v>1.3516884513244346E-4</v>
      </c>
      <c r="CP251" s="16">
        <v>6.0789339899154681E-4</v>
      </c>
      <c r="CQ251" s="16">
        <v>2.9873816710377825E-3</v>
      </c>
      <c r="CR251" s="16">
        <v>1.3433883153359435E-2</v>
      </c>
      <c r="CS251" s="16">
        <v>5.9147609018110885E-2</v>
      </c>
      <c r="CT251" s="16">
        <v>0.2740717231028244</v>
      </c>
      <c r="CU251" s="16">
        <v>0.31059836426241788</v>
      </c>
      <c r="CV251" s="16">
        <v>0.2683658259357844</v>
      </c>
      <c r="CW251" s="16">
        <v>5.5464932405048809E-2</v>
      </c>
      <c r="CX251" s="16">
        <v>1.1803185596807248E-2</v>
      </c>
      <c r="CY251" s="16">
        <v>2.583619173291168E-3</v>
      </c>
      <c r="CZ251" s="16">
        <v>5.8114838129497864E-4</v>
      </c>
      <c r="DA251" s="16">
        <v>1.3420697754028377E-4</v>
      </c>
      <c r="DB251" s="16">
        <v>3.1790535539865687E-5</v>
      </c>
      <c r="DC251" s="16">
        <v>7.7136342895201387E-6</v>
      </c>
      <c r="DD251" s="16">
        <v>1.9249671182041753E-6</v>
      </c>
      <c r="DE251" s="16">
        <v>4.9314315587660503E-7</v>
      </c>
      <c r="DF251" s="16">
        <v>1.2633471496114919E-7</v>
      </c>
      <c r="DG251" s="16">
        <v>3.2364760646259426E-8</v>
      </c>
      <c r="DH251" s="16">
        <v>8.291289785116307E-9</v>
      </c>
      <c r="DI251" s="16">
        <v>2.1240844950532963E-9</v>
      </c>
      <c r="DJ251" s="16">
        <v>5.4415356764192046E-10</v>
      </c>
      <c r="DK251" s="16">
        <v>1.3940268449089848E-10</v>
      </c>
      <c r="DL251" s="16">
        <v>3.5712500692872816E-11</v>
      </c>
      <c r="DM251" s="16">
        <v>9.1487449345044026E-12</v>
      </c>
      <c r="DN251" s="16">
        <v>2.3430756839647133E-12</v>
      </c>
      <c r="DO251" s="16">
        <v>5.9769981530268447E-13</v>
      </c>
      <c r="DP251" s="16">
        <v>1.4343011793539587E-13</v>
      </c>
    </row>
    <row r="252" spans="3:120" x14ac:dyDescent="0.25">
      <c r="C252" s="1"/>
      <c r="D252" s="1"/>
      <c r="E252" s="1"/>
      <c r="F252" s="1"/>
      <c r="G252" s="1"/>
      <c r="H252" s="1"/>
      <c r="I252" s="1"/>
      <c r="J252" s="93"/>
      <c r="O252" s="9">
        <f t="shared" si="194"/>
        <v>20</v>
      </c>
      <c r="P252" s="16">
        <v>5.2067591408686068E-38</v>
      </c>
      <c r="Q252" s="16">
        <v>3.9459556645206921E-36</v>
      </c>
      <c r="R252" s="16">
        <v>2.9899467465486076E-34</v>
      </c>
      <c r="S252" s="16">
        <v>2.2655554322995317E-32</v>
      </c>
      <c r="T252" s="16">
        <v>1.7166665000712661E-30</v>
      </c>
      <c r="U252" s="16">
        <v>1.3007599948573262E-28</v>
      </c>
      <c r="V252" s="16">
        <v>9.8561751170130607E-27</v>
      </c>
      <c r="W252" s="16">
        <v>7.4682638089498365E-25</v>
      </c>
      <c r="X252" s="16">
        <v>5.6588852833788386E-23</v>
      </c>
      <c r="Y252" s="16">
        <v>4.2878751299687378E-21</v>
      </c>
      <c r="Z252" s="16">
        <v>3.2490273630757319E-19</v>
      </c>
      <c r="AA252" s="16">
        <v>2.4618671220707424E-17</v>
      </c>
      <c r="AB252" s="16">
        <v>1.8654166461052392E-15</v>
      </c>
      <c r="AC252" s="16">
        <v>7.1374200398348457E-14</v>
      </c>
      <c r="AD252" s="16">
        <v>1.3637020309946739E-12</v>
      </c>
      <c r="AE252" s="16">
        <v>1.6165391833160417E-11</v>
      </c>
      <c r="AF252" s="16">
        <v>1.3449751971258683E-10</v>
      </c>
      <c r="AG252" s="16">
        <v>8.5221297499626974E-10</v>
      </c>
      <c r="AH252" s="16">
        <v>4.3544802202408065E-9</v>
      </c>
      <c r="AI252" s="16">
        <v>1.8705294983451229E-8</v>
      </c>
      <c r="AJ252" s="16">
        <v>6.9688026813743133E-8</v>
      </c>
      <c r="AK252" s="16">
        <v>2.5116779338334973E-7</v>
      </c>
      <c r="AL252" s="16">
        <v>1.1552463238008576E-6</v>
      </c>
      <c r="AM252" s="16">
        <v>5.9921749892028091E-6</v>
      </c>
      <c r="AN252" s="16">
        <v>3.3476737356934722E-5</v>
      </c>
      <c r="AO252" s="16">
        <v>2.099511296024034E-4</v>
      </c>
      <c r="AP252" s="16">
        <v>1.2419442785359075E-3</v>
      </c>
      <c r="AQ252" s="16">
        <v>7.3147693786205868E-3</v>
      </c>
      <c r="AR252" s="16">
        <v>4.2645251628994692E-2</v>
      </c>
      <c r="AS252" s="16">
        <v>0.24621473329843141</v>
      </c>
      <c r="AT252" s="16">
        <v>0.41554211085240345</v>
      </c>
      <c r="AU252" s="16">
        <v>0.23824835747750508</v>
      </c>
      <c r="AV252" s="16">
        <v>4.0287394602364884E-2</v>
      </c>
      <c r="AW252" s="16">
        <v>6.8443238945290162E-3</v>
      </c>
      <c r="AX252" s="16">
        <v>1.1681646453641497E-3</v>
      </c>
      <c r="AY252" s="16">
        <v>2.0029945931287823E-4</v>
      </c>
      <c r="AZ252" s="16">
        <v>3.4502234926486802E-5</v>
      </c>
      <c r="BA252" s="16">
        <v>5.9700181669042403E-6</v>
      </c>
      <c r="BB252" s="16">
        <v>1.0382835658329678E-6</v>
      </c>
      <c r="BC252" s="16">
        <v>1.8135722114258353E-7</v>
      </c>
      <c r="BD252" s="16">
        <v>3.1677706113140163E-8</v>
      </c>
      <c r="BE252" s="16">
        <v>5.5331519653222952E-9</v>
      </c>
      <c r="BF252" s="16">
        <v>9.6647688320618257E-10</v>
      </c>
      <c r="BG252" s="16">
        <v>1.6881473193312139E-10</v>
      </c>
      <c r="BH252" s="16">
        <v>2.9486906735218799E-11</v>
      </c>
      <c r="BI252" s="16">
        <v>5.150484546413974E-12</v>
      </c>
      <c r="BJ252" s="16">
        <v>8.9963625349036659E-13</v>
      </c>
      <c r="BK252" s="16">
        <v>1.5713951619120086E-13</v>
      </c>
      <c r="BL252" s="16">
        <v>2.7446770567512272E-14</v>
      </c>
      <c r="BM252" s="16">
        <v>4.7895528744771132E-15</v>
      </c>
      <c r="BN252" s="16">
        <v>8.1111725900647786E-16</v>
      </c>
      <c r="BQ252" s="9">
        <f t="shared" si="195"/>
        <v>20</v>
      </c>
      <c r="BR252" s="16">
        <v>8.1386431505870414E-22</v>
      </c>
      <c r="BS252" s="16">
        <v>9.6979333663383114E-21</v>
      </c>
      <c r="BT252" s="16">
        <v>1.1476909028254762E-19</v>
      </c>
      <c r="BU252" s="16">
        <v>1.2352424439454639E-18</v>
      </c>
      <c r="BV252" s="16">
        <v>1.1494323511075085E-17</v>
      </c>
      <c r="BW252" s="16">
        <v>9.4849487104167344E-17</v>
      </c>
      <c r="BX252" s="16">
        <v>7.0171134270796658E-16</v>
      </c>
      <c r="BY252" s="16">
        <v>4.7006872681265539E-15</v>
      </c>
      <c r="BZ252" s="16">
        <v>2.8761339211102448E-14</v>
      </c>
      <c r="CA252" s="16">
        <v>1.6196158014908758E-13</v>
      </c>
      <c r="CB252" s="16">
        <v>8.4507556692497414E-13</v>
      </c>
      <c r="CC252" s="16">
        <v>4.110146853800306E-12</v>
      </c>
      <c r="CD252" s="16">
        <v>1.87332731088726E-11</v>
      </c>
      <c r="CE252" s="16">
        <v>8.0396641109877717E-11</v>
      </c>
      <c r="CF252" s="16">
        <v>3.2628161003953925E-10</v>
      </c>
      <c r="CG252" s="16">
        <v>1.2570610240014622E-9</v>
      </c>
      <c r="CH252" s="16">
        <v>4.6136716893201102E-9</v>
      </c>
      <c r="CI252" s="16">
        <v>1.6182265675132495E-8</v>
      </c>
      <c r="CJ252" s="16">
        <v>5.4398246433964275E-8</v>
      </c>
      <c r="CK252" s="16">
        <v>1.7572079825456312E-7</v>
      </c>
      <c r="CL252" s="16">
        <v>5.4675827958542763E-7</v>
      </c>
      <c r="CM252" s="16">
        <v>1.737895622962896E-6</v>
      </c>
      <c r="CN252" s="16">
        <v>6.7519737710654881E-6</v>
      </c>
      <c r="CO252" s="16">
        <v>2.9223477553884561E-5</v>
      </c>
      <c r="CP252" s="16">
        <v>1.3142643249764753E-4</v>
      </c>
      <c r="CQ252" s="16">
        <v>6.4587132576976111E-4</v>
      </c>
      <c r="CR252" s="16">
        <v>2.9044028778158026E-3</v>
      </c>
      <c r="CS252" s="16">
        <v>1.2787701358349668E-2</v>
      </c>
      <c r="CT252" s="16">
        <v>5.9254252267983906E-2</v>
      </c>
      <c r="CU252" s="16">
        <v>0.28335110685197162</v>
      </c>
      <c r="CV252" s="16">
        <v>0.2990866812368661</v>
      </c>
      <c r="CW252" s="16">
        <v>0.26849079875148951</v>
      </c>
      <c r="CX252" s="16">
        <v>5.7136042383608594E-2</v>
      </c>
      <c r="CY252" s="16">
        <v>1.2506604541421299E-2</v>
      </c>
      <c r="CZ252" s="16">
        <v>2.8131827863333118E-3</v>
      </c>
      <c r="DA252" s="16">
        <v>6.4965983073178698E-4</v>
      </c>
      <c r="DB252" s="16">
        <v>1.5388942003036131E-4</v>
      </c>
      <c r="DC252" s="16">
        <v>3.733962599189286E-5</v>
      </c>
      <c r="DD252" s="16">
        <v>9.3182473452351305E-6</v>
      </c>
      <c r="DE252" s="16">
        <v>2.3871731935634275E-6</v>
      </c>
      <c r="DF252" s="16">
        <v>6.1155232791508989E-7</v>
      </c>
      <c r="DG252" s="16">
        <v>1.5666908910762461E-7</v>
      </c>
      <c r="DH252" s="16">
        <v>4.0135900659338126E-8</v>
      </c>
      <c r="DI252" s="16">
        <v>1.0282120935941163E-8</v>
      </c>
      <c r="DJ252" s="16">
        <v>2.6341008576863038E-9</v>
      </c>
      <c r="DK252" s="16">
        <v>6.7481084865896686E-10</v>
      </c>
      <c r="DL252" s="16">
        <v>1.7287459698715389E-10</v>
      </c>
      <c r="DM252" s="16">
        <v>4.428661008906479E-11</v>
      </c>
      <c r="DN252" s="16">
        <v>1.1342198297993672E-11</v>
      </c>
      <c r="DO252" s="16">
        <v>2.8933038203725965E-12</v>
      </c>
      <c r="DP252" s="16">
        <v>6.9430656920785066E-13</v>
      </c>
    </row>
    <row r="253" spans="3:120" x14ac:dyDescent="0.25">
      <c r="C253" s="1"/>
      <c r="D253" s="1"/>
      <c r="E253" s="1"/>
      <c r="F253" s="1"/>
      <c r="G253" s="1"/>
      <c r="H253" s="1"/>
      <c r="I253" s="1"/>
      <c r="J253" s="93"/>
      <c r="O253" s="9">
        <f t="shared" si="194"/>
        <v>19</v>
      </c>
      <c r="P253" s="16">
        <v>9.0811609769995793E-39</v>
      </c>
      <c r="Q253" s="16">
        <v>6.8821809552031328E-37</v>
      </c>
      <c r="R253" s="16">
        <v>5.2147961876981437E-35</v>
      </c>
      <c r="S253" s="16">
        <v>3.9513780120037837E-33</v>
      </c>
      <c r="T253" s="16">
        <v>2.9940553056519855E-31</v>
      </c>
      <c r="U253" s="16">
        <v>2.2686685875333083E-29</v>
      </c>
      <c r="V253" s="16">
        <v>1.7190254135735134E-27</v>
      </c>
      <c r="W253" s="16">
        <v>1.3025474010395548E-25</v>
      </c>
      <c r="X253" s="16">
        <v>9.8697187287530686E-24</v>
      </c>
      <c r="Y253" s="16">
        <v>7.4785261332490226E-22</v>
      </c>
      <c r="Z253" s="16">
        <v>5.6666612963097579E-20</v>
      </c>
      <c r="AA253" s="16">
        <v>4.29376720425318E-18</v>
      </c>
      <c r="AB253" s="16">
        <v>3.2534919311881839E-16</v>
      </c>
      <c r="AC253" s="16">
        <v>1.2448446065701856E-14</v>
      </c>
      <c r="AD253" s="16">
        <v>2.3784464257084821E-13</v>
      </c>
      <c r="AE253" s="16">
        <v>2.819422245614272E-12</v>
      </c>
      <c r="AF253" s="16">
        <v>2.3457847664399905E-11</v>
      </c>
      <c r="AG253" s="16">
        <v>1.4863532195840708E-10</v>
      </c>
      <c r="AH253" s="16">
        <v>7.5946927409764029E-10</v>
      </c>
      <c r="AI253" s="16">
        <v>3.2624093081948431E-9</v>
      </c>
      <c r="AJ253" s="16">
        <v>1.2154358835186893E-8</v>
      </c>
      <c r="AK253" s="16">
        <v>4.3806427419484262E-8</v>
      </c>
      <c r="AL253" s="16">
        <v>2.0148767305515176E-7</v>
      </c>
      <c r="AM253" s="16">
        <v>1.0451012656257344E-6</v>
      </c>
      <c r="AN253" s="16">
        <v>5.8387114267848424E-6</v>
      </c>
      <c r="AO253" s="16">
        <v>3.6617787641781765E-5</v>
      </c>
      <c r="AP253" s="16">
        <v>2.1660875052435593E-4</v>
      </c>
      <c r="AQ253" s="16">
        <v>1.2757762830911215E-3</v>
      </c>
      <c r="AR253" s="16">
        <v>7.437801220875161E-3</v>
      </c>
      <c r="AS253" s="16">
        <v>4.2942559229253538E-2</v>
      </c>
      <c r="AT253" s="16">
        <v>0.24688612302945878</v>
      </c>
      <c r="AU253" s="16">
        <v>0.41325393719596443</v>
      </c>
      <c r="AV253" s="16">
        <v>0.23897885233704261</v>
      </c>
      <c r="AW253" s="16">
        <v>4.0599514698861389E-2</v>
      </c>
      <c r="AX253" s="16">
        <v>6.9293795005906317E-3</v>
      </c>
      <c r="AY253" s="16">
        <v>1.1881466990548942E-3</v>
      </c>
      <c r="AZ253" s="16">
        <v>2.0466214276638382E-4</v>
      </c>
      <c r="BA253" s="16">
        <v>3.5413262734898272E-5</v>
      </c>
      <c r="BB253" s="16">
        <v>6.1589441911592281E-6</v>
      </c>
      <c r="BC253" s="16">
        <v>1.0757841503393161E-6</v>
      </c>
      <c r="BD253" s="16">
        <v>1.8790745657064591E-7</v>
      </c>
      <c r="BE253" s="16">
        <v>3.2821837190771181E-8</v>
      </c>
      <c r="BF253" s="16">
        <v>5.7329975948689813E-9</v>
      </c>
      <c r="BG253" s="16">
        <v>1.0013839637223572E-9</v>
      </c>
      <c r="BH253" s="16">
        <v>1.7491195943801126E-10</v>
      </c>
      <c r="BI253" s="16">
        <v>3.0551910790712518E-11</v>
      </c>
      <c r="BJ253" s="16">
        <v>5.3365088882492366E-12</v>
      </c>
      <c r="BK253" s="16">
        <v>9.3212831474505262E-13</v>
      </c>
      <c r="BL253" s="16">
        <v>1.6281017413315613E-13</v>
      </c>
      <c r="BM253" s="16">
        <v>2.8410917619451503E-14</v>
      </c>
      <c r="BN253" s="16">
        <v>4.8114273355556561E-15</v>
      </c>
      <c r="BQ253" s="9">
        <f t="shared" si="195"/>
        <v>19</v>
      </c>
      <c r="BR253" s="16">
        <v>1.8117791278060493E-22</v>
      </c>
      <c r="BS253" s="16">
        <v>2.1588995771018962E-21</v>
      </c>
      <c r="BT253" s="16">
        <v>2.5549251692674272E-20</v>
      </c>
      <c r="BU253" s="16">
        <v>2.7498275035674706E-19</v>
      </c>
      <c r="BV253" s="16">
        <v>2.558801883839085E-18</v>
      </c>
      <c r="BW253" s="16">
        <v>2.1114861266038447E-17</v>
      </c>
      <c r="BX253" s="16">
        <v>1.5621104660072843E-16</v>
      </c>
      <c r="BY253" s="16">
        <v>1.0464406561579032E-15</v>
      </c>
      <c r="BZ253" s="16">
        <v>6.4026881516074921E-15</v>
      </c>
      <c r="CA253" s="16">
        <v>3.6054979311807977E-14</v>
      </c>
      <c r="CB253" s="16">
        <v>1.8812598675776742E-13</v>
      </c>
      <c r="CC253" s="16">
        <v>9.1497785861221415E-13</v>
      </c>
      <c r="CD253" s="16">
        <v>4.170296274962932E-12</v>
      </c>
      <c r="CE253" s="16">
        <v>1.7897449687062846E-11</v>
      </c>
      <c r="CF253" s="16">
        <v>7.2634983487874162E-11</v>
      </c>
      <c r="CG253" s="16">
        <v>2.7983988037368016E-10</v>
      </c>
      <c r="CH253" s="16">
        <v>1.0270697356545135E-9</v>
      </c>
      <c r="CI253" s="16">
        <v>3.6024052963549049E-9</v>
      </c>
      <c r="CJ253" s="16">
        <v>1.2109832763855407E-8</v>
      </c>
      <c r="CK253" s="16">
        <v>3.9117979337387626E-8</v>
      </c>
      <c r="CL253" s="16">
        <v>1.2171626407241722E-7</v>
      </c>
      <c r="CM253" s="16">
        <v>3.8688058411340366E-7</v>
      </c>
      <c r="CN253" s="16">
        <v>1.5030865616743468E-6</v>
      </c>
      <c r="CO253" s="16">
        <v>6.5055667995736602E-6</v>
      </c>
      <c r="CP253" s="16">
        <v>2.9257415865944828E-5</v>
      </c>
      <c r="CQ253" s="16">
        <v>1.4378025496715254E-4</v>
      </c>
      <c r="CR253" s="16">
        <v>6.4656189187837002E-4</v>
      </c>
      <c r="CS253" s="16">
        <v>2.8467264118840069E-3</v>
      </c>
      <c r="CT253" s="16">
        <v>1.3190849568720056E-2</v>
      </c>
      <c r="CU253" s="16">
        <v>6.3078035458295587E-2</v>
      </c>
      <c r="CV253" s="16">
        <v>0.28919539666830274</v>
      </c>
      <c r="CW253" s="16">
        <v>0.28107392139286869</v>
      </c>
      <c r="CX253" s="16">
        <v>0.27261825809154483</v>
      </c>
      <c r="CY253" s="16">
        <v>5.9673869636098865E-2</v>
      </c>
      <c r="CZ253" s="16">
        <v>1.3422788119523738E-2</v>
      </c>
      <c r="DA253" s="16">
        <v>3.0997794739972637E-3</v>
      </c>
      <c r="DB253" s="16">
        <v>7.3426621581040505E-4</v>
      </c>
      <c r="DC253" s="16">
        <v>1.7816186370339022E-4</v>
      </c>
      <c r="DD253" s="16">
        <v>4.4460978635316567E-5</v>
      </c>
      <c r="DE253" s="16">
        <v>1.139013082885125E-5</v>
      </c>
      <c r="DF253" s="16">
        <v>2.917953771608627E-6</v>
      </c>
      <c r="DG253" s="16">
        <v>7.4752909700239756E-7</v>
      </c>
      <c r="DH253" s="16">
        <v>1.9150397661814719E-7</v>
      </c>
      <c r="DI253" s="16">
        <v>4.9059994044093037E-8</v>
      </c>
      <c r="DJ253" s="16">
        <v>1.2568318656699554E-8</v>
      </c>
      <c r="DK253" s="16">
        <v>3.2197847528106258E-9</v>
      </c>
      <c r="DL253" s="16">
        <v>8.248518716521431E-10</v>
      </c>
      <c r="DM253" s="16">
        <v>2.1130862404155461E-10</v>
      </c>
      <c r="DN253" s="16">
        <v>5.4118035025383387E-11</v>
      </c>
      <c r="DO253" s="16">
        <v>1.3805076703490298E-11</v>
      </c>
      <c r="DP253" s="16">
        <v>3.3128064104989962E-12</v>
      </c>
    </row>
    <row r="254" spans="3:120" x14ac:dyDescent="0.25">
      <c r="C254" s="1"/>
      <c r="D254" s="1"/>
      <c r="E254" s="1"/>
      <c r="F254" s="1"/>
      <c r="G254" s="1"/>
      <c r="H254" s="1"/>
      <c r="I254" s="1"/>
      <c r="J254" s="93"/>
      <c r="O254" s="9">
        <f t="shared" si="194"/>
        <v>18</v>
      </c>
      <c r="P254" s="16">
        <v>1.5912482120657949E-39</v>
      </c>
      <c r="Q254" s="16">
        <v>1.2059315067552683E-37</v>
      </c>
      <c r="R254" s="16">
        <v>9.1376368406849547E-36</v>
      </c>
      <c r="S254" s="16">
        <v>6.9238098660756785E-34</v>
      </c>
      <c r="T254" s="16">
        <v>5.2463392775567223E-32</v>
      </c>
      <c r="U254" s="16">
        <v>3.975278979004466E-30</v>
      </c>
      <c r="V254" s="16">
        <v>3.0121656501548911E-28</v>
      </c>
      <c r="W254" s="16">
        <v>2.2823912364121014E-26</v>
      </c>
      <c r="X254" s="16">
        <v>1.7294233986709488E-24</v>
      </c>
      <c r="Y254" s="16">
        <v>1.3104262074596169E-22</v>
      </c>
      <c r="Z254" s="16">
        <v>9.9294183628871042E-21</v>
      </c>
      <c r="AA254" s="16">
        <v>7.5237619992637359E-19</v>
      </c>
      <c r="AB254" s="16">
        <v>5.7009376131378828E-17</v>
      </c>
      <c r="AC254" s="16">
        <v>2.1812814017079911E-15</v>
      </c>
      <c r="AD254" s="16">
        <v>4.1676374111070639E-14</v>
      </c>
      <c r="AE254" s="16">
        <v>4.9403381558318633E-13</v>
      </c>
      <c r="AF254" s="16">
        <v>4.1104059546383104E-12</v>
      </c>
      <c r="AG254" s="16">
        <v>2.6044653422087441E-11</v>
      </c>
      <c r="AH254" s="16">
        <v>1.3307815240668354E-10</v>
      </c>
      <c r="AI254" s="16">
        <v>5.7165631044755028E-10</v>
      </c>
      <c r="AJ254" s="16">
        <v>2.1297499091010919E-9</v>
      </c>
      <c r="AK254" s="16">
        <v>7.6759898304627926E-9</v>
      </c>
      <c r="AL254" s="16">
        <v>3.5305717001862868E-8</v>
      </c>
      <c r="AM254" s="16">
        <v>1.8312807410491583E-7</v>
      </c>
      <c r="AN254" s="16">
        <v>1.0230893541223407E-6</v>
      </c>
      <c r="AO254" s="16">
        <v>6.4163590164703765E-6</v>
      </c>
      <c r="AP254" s="16">
        <v>3.7955310765074554E-5</v>
      </c>
      <c r="AQ254" s="16">
        <v>2.2354814925166439E-4</v>
      </c>
      <c r="AR254" s="16">
        <v>1.3032901767069882E-3</v>
      </c>
      <c r="AS254" s="16">
        <v>7.5246183575149225E-3</v>
      </c>
      <c r="AT254" s="16">
        <v>4.3260669296524494E-2</v>
      </c>
      <c r="AU254" s="16">
        <v>0.247637698137253</v>
      </c>
      <c r="AV254" s="16">
        <v>0.41091996912666484</v>
      </c>
      <c r="AW254" s="16">
        <v>0.23969763627740068</v>
      </c>
      <c r="AX254" s="16">
        <v>4.0910732541520528E-2</v>
      </c>
      <c r="AY254" s="16">
        <v>7.0147625513918123E-3</v>
      </c>
      <c r="AZ254" s="16">
        <v>1.2083157205311603E-3</v>
      </c>
      <c r="BA254" s="16">
        <v>2.090782472004212E-4</v>
      </c>
      <c r="BB254" s="16">
        <v>3.6362118501546936E-5</v>
      </c>
      <c r="BC254" s="16">
        <v>6.3513793180453379E-6</v>
      </c>
      <c r="BD254" s="16">
        <v>1.109396836710103E-6</v>
      </c>
      <c r="BE254" s="16">
        <v>1.9377859196750872E-7</v>
      </c>
      <c r="BF254" s="16">
        <v>3.3847349715060927E-8</v>
      </c>
      <c r="BG254" s="16">
        <v>5.9121240953423264E-9</v>
      </c>
      <c r="BH254" s="16">
        <v>1.0326720293313186E-9</v>
      </c>
      <c r="BI254" s="16">
        <v>1.8037705264731112E-10</v>
      </c>
      <c r="BJ254" s="16">
        <v>3.1506498931686861E-11</v>
      </c>
      <c r="BK254" s="16">
        <v>5.5032419822962106E-12</v>
      </c>
      <c r="BL254" s="16">
        <v>9.6122365479220858E-13</v>
      </c>
      <c r="BM254" s="16">
        <v>1.6773672908079042E-13</v>
      </c>
      <c r="BN254" s="16">
        <v>2.840644199832041E-14</v>
      </c>
      <c r="BQ254" s="9">
        <f t="shared" si="195"/>
        <v>18</v>
      </c>
      <c r="BR254" s="16">
        <v>4.1487036266843062E-23</v>
      </c>
      <c r="BS254" s="16">
        <v>4.9435576156657539E-22</v>
      </c>
      <c r="BT254" s="16">
        <v>5.8503970781925673E-21</v>
      </c>
      <c r="BU254" s="16">
        <v>6.2966943164983093E-20</v>
      </c>
      <c r="BV254" s="16">
        <v>5.8592741756026324E-19</v>
      </c>
      <c r="BW254" s="16">
        <v>4.8349878948780542E-18</v>
      </c>
      <c r="BX254" s="16">
        <v>3.5769996773578533E-17</v>
      </c>
      <c r="BY254" s="16">
        <v>2.396192824325848E-16</v>
      </c>
      <c r="BZ254" s="16">
        <v>1.4661199672428387E-15</v>
      </c>
      <c r="CA254" s="16">
        <v>8.256051807598594E-15</v>
      </c>
      <c r="CB254" s="16">
        <v>4.3078041443198677E-14</v>
      </c>
      <c r="CC254" s="16">
        <v>2.0951626509557024E-13</v>
      </c>
      <c r="CD254" s="16">
        <v>9.54935566634857E-13</v>
      </c>
      <c r="CE254" s="16">
        <v>4.0982486929867147E-12</v>
      </c>
      <c r="CF254" s="16">
        <v>1.6632326468249099E-11</v>
      </c>
      <c r="CG254" s="16">
        <v>6.4079153401168376E-11</v>
      </c>
      <c r="CH254" s="16">
        <v>2.3518363092787057E-10</v>
      </c>
      <c r="CI254" s="16">
        <v>8.248970135709741E-10</v>
      </c>
      <c r="CJ254" s="16">
        <v>2.772970851407531E-9</v>
      </c>
      <c r="CK254" s="16">
        <v>8.9574330697861291E-9</v>
      </c>
      <c r="CL254" s="16">
        <v>2.7871206729000274E-8</v>
      </c>
      <c r="CM254" s="16">
        <v>8.858987598276611E-8</v>
      </c>
      <c r="CN254" s="16">
        <v>3.4418437512248212E-7</v>
      </c>
      <c r="CO254" s="16">
        <v>1.4896776412095579E-6</v>
      </c>
      <c r="CP254" s="16">
        <v>6.6995112951455744E-6</v>
      </c>
      <c r="CQ254" s="16">
        <v>3.2923531134291513E-5</v>
      </c>
      <c r="CR254" s="16">
        <v>1.4805301731011053E-4</v>
      </c>
      <c r="CS254" s="16">
        <v>6.5185783453983247E-4</v>
      </c>
      <c r="CT254" s="16">
        <v>3.0205075555244116E-3</v>
      </c>
      <c r="CU254" s="16">
        <v>1.4443928095520382E-2</v>
      </c>
      <c r="CV254" s="16">
        <v>6.6221426914828158E-2</v>
      </c>
      <c r="CW254" s="16">
        <v>0.29334679609479569</v>
      </c>
      <c r="CX254" s="16">
        <v>0.26425868230694621</v>
      </c>
      <c r="CY254" s="16">
        <v>0.27673571213618825</v>
      </c>
      <c r="CZ254" s="16">
        <v>6.2247761905866013E-2</v>
      </c>
      <c r="DA254" s="16">
        <v>1.4375130780572776E-2</v>
      </c>
      <c r="DB254" s="16">
        <v>3.4051367100704157E-3</v>
      </c>
      <c r="DC254" s="16">
        <v>8.262200947940975E-4</v>
      </c>
      <c r="DD254" s="16">
        <v>2.061864038639969E-4</v>
      </c>
      <c r="DE254" s="16">
        <v>5.2821377019259225E-5</v>
      </c>
      <c r="DF254" s="16">
        <v>1.3531919747971279E-5</v>
      </c>
      <c r="DG254" s="16">
        <v>3.4666429085795101E-6</v>
      </c>
      <c r="DH254" s="16">
        <v>8.8809372795016019E-7</v>
      </c>
      <c r="DI254" s="16">
        <v>2.2751419460447124E-7</v>
      </c>
      <c r="DJ254" s="16">
        <v>5.8285186381012978E-8</v>
      </c>
      <c r="DK254" s="16">
        <v>1.4931651523990895E-8</v>
      </c>
      <c r="DL254" s="16">
        <v>3.8252248681127483E-9</v>
      </c>
      <c r="DM254" s="16">
        <v>9.7993716364060095E-10</v>
      </c>
      <c r="DN254" s="16">
        <v>2.5097070214298455E-10</v>
      </c>
      <c r="DO254" s="16">
        <v>6.4020613309179783E-11</v>
      </c>
      <c r="DP254" s="16">
        <v>1.5363036564737559E-11</v>
      </c>
    </row>
    <row r="255" spans="3:120" x14ac:dyDescent="0.25">
      <c r="C255" s="1"/>
      <c r="D255" s="1"/>
      <c r="E255" s="1"/>
      <c r="F255" s="1"/>
      <c r="G255" s="1"/>
      <c r="H255" s="1"/>
      <c r="I255" s="1"/>
      <c r="J255" s="93"/>
      <c r="O255" s="9">
        <f t="shared" si="194"/>
        <v>17</v>
      </c>
      <c r="P255" s="16">
        <v>2.8012197017384983E-40</v>
      </c>
      <c r="Q255" s="16">
        <v>2.1229114792120023E-38</v>
      </c>
      <c r="R255" s="16">
        <v>1.6085817505634911E-36</v>
      </c>
      <c r="S255" s="16">
        <v>1.2188615491208255E-34</v>
      </c>
      <c r="T255" s="16">
        <v>9.2356106576343202E-33</v>
      </c>
      <c r="U255" s="16">
        <v>6.9980470120608537E-31</v>
      </c>
      <c r="V255" s="16">
        <v>5.3025905701787223E-29</v>
      </c>
      <c r="W255" s="16">
        <v>4.0179019527146594E-27</v>
      </c>
      <c r="X255" s="16">
        <v>3.0444621148798532E-25</v>
      </c>
      <c r="Y255" s="16">
        <v>2.3068630539071172E-23</v>
      </c>
      <c r="Z255" s="16">
        <v>1.7479662904892746E-21</v>
      </c>
      <c r="AA255" s="16">
        <v>1.3244766079685357E-19</v>
      </c>
      <c r="AB255" s="16">
        <v>1.0035881667745484E-17</v>
      </c>
      <c r="AC255" s="16">
        <v>3.8399090670887407E-16</v>
      </c>
      <c r="AD255" s="16">
        <v>7.3366731457561078E-15</v>
      </c>
      <c r="AE255" s="16">
        <v>8.6969289080303708E-14</v>
      </c>
      <c r="AF255" s="16">
        <v>7.2359233807578908E-13</v>
      </c>
      <c r="AG255" s="16">
        <v>4.5848784455938622E-12</v>
      </c>
      <c r="AH255" s="16">
        <v>2.3426963786410636E-11</v>
      </c>
      <c r="AI255" s="16">
        <v>1.0063388648650403E-10</v>
      </c>
      <c r="AJ255" s="16">
        <v>3.7491934695748628E-10</v>
      </c>
      <c r="AK255" s="16">
        <v>1.3512746647816916E-9</v>
      </c>
      <c r="AL255" s="16">
        <v>6.2151881334232006E-9</v>
      </c>
      <c r="AM255" s="16">
        <v>3.2237709066026414E-8</v>
      </c>
      <c r="AN255" s="16">
        <v>1.8010377222582026E-7</v>
      </c>
      <c r="AO255" s="16">
        <v>1.1295303368812898E-6</v>
      </c>
      <c r="AP255" s="16">
        <v>6.6816203465017938E-6</v>
      </c>
      <c r="AQ255" s="16">
        <v>3.9353224419839802E-5</v>
      </c>
      <c r="AR255" s="16">
        <v>2.294300846587792E-4</v>
      </c>
      <c r="AS255" s="16">
        <v>1.3246273605404335E-3</v>
      </c>
      <c r="AT255" s="16">
        <v>7.6155711110899591E-3</v>
      </c>
      <c r="AU255" s="16">
        <v>4.3593927940046698E-2</v>
      </c>
      <c r="AV255" s="16">
        <v>0.24837714098436753</v>
      </c>
      <c r="AW255" s="16">
        <v>0.40858843769344555</v>
      </c>
      <c r="AX255" s="16">
        <v>0.24041282062900327</v>
      </c>
      <c r="AY255" s="16">
        <v>4.1222406597369851E-2</v>
      </c>
      <c r="AZ255" s="16">
        <v>7.100693938648938E-3</v>
      </c>
      <c r="BA255" s="16">
        <v>1.2286529235477988E-3</v>
      </c>
      <c r="BB255" s="16">
        <v>2.136827900632369E-4</v>
      </c>
      <c r="BC255" s="16">
        <v>3.7324020419000858E-5</v>
      </c>
      <c r="BD255" s="16">
        <v>6.5193949396941471E-6</v>
      </c>
      <c r="BE255" s="16">
        <v>1.1387441626752645E-6</v>
      </c>
      <c r="BF255" s="16">
        <v>1.989046959145857E-7</v>
      </c>
      <c r="BG255" s="16">
        <v>3.4742727430446445E-8</v>
      </c>
      <c r="BH255" s="16">
        <v>6.0685199196629157E-9</v>
      </c>
      <c r="BI255" s="16">
        <v>1.0599897217600532E-9</v>
      </c>
      <c r="BJ255" s="16">
        <v>1.8514863474087264E-10</v>
      </c>
      <c r="BK255" s="16">
        <v>3.2339922689602507E-11</v>
      </c>
      <c r="BL255" s="16">
        <v>5.6486519734003588E-12</v>
      </c>
      <c r="BM255" s="16">
        <v>9.8570858198319104E-13</v>
      </c>
      <c r="BN255" s="16">
        <v>1.669310819091133E-13</v>
      </c>
      <c r="BQ255" s="9">
        <f t="shared" si="195"/>
        <v>17</v>
      </c>
      <c r="BR255" s="16">
        <v>9.7622831374960992E-24</v>
      </c>
      <c r="BS255" s="16">
        <v>1.1632648049440091E-22</v>
      </c>
      <c r="BT255" s="16">
        <v>1.3766525132512618E-21</v>
      </c>
      <c r="BU255" s="16">
        <v>1.4816703789720124E-20</v>
      </c>
      <c r="BV255" s="16">
        <v>1.3787413763312565E-19</v>
      </c>
      <c r="BW255" s="16">
        <v>1.1377173460300666E-18</v>
      </c>
      <c r="BX255" s="16">
        <v>8.4170108967286735E-18</v>
      </c>
      <c r="BY255" s="16">
        <v>5.6384632184007807E-17</v>
      </c>
      <c r="BZ255" s="16">
        <v>3.4499158102551575E-16</v>
      </c>
      <c r="CA255" s="16">
        <v>1.9427253088220421E-15</v>
      </c>
      <c r="CB255" s="16">
        <v>1.0136661362657937E-14</v>
      </c>
      <c r="CC255" s="16">
        <v>4.9301113933952479E-14</v>
      </c>
      <c r="CD255" s="16">
        <v>2.2470516620164752E-13</v>
      </c>
      <c r="CE255" s="16">
        <v>9.6435580144790266E-13</v>
      </c>
      <c r="CF255" s="16">
        <v>3.9137401663007175E-12</v>
      </c>
      <c r="CG255" s="16">
        <v>1.5078417139505482E-11</v>
      </c>
      <c r="CH255" s="16">
        <v>5.5340882382027167E-11</v>
      </c>
      <c r="CI255" s="16">
        <v>1.9410589259640058E-10</v>
      </c>
      <c r="CJ255" s="16">
        <v>6.5250567452799794E-10</v>
      </c>
      <c r="CK255" s="16">
        <v>2.1077668033450281E-9</v>
      </c>
      <c r="CL255" s="16">
        <v>6.5583525832536307E-9</v>
      </c>
      <c r="CM255" s="16">
        <v>2.0846016738742513E-8</v>
      </c>
      <c r="CN255" s="16">
        <v>8.0989765087973087E-8</v>
      </c>
      <c r="CO255" s="16">
        <v>3.5053491947574231E-7</v>
      </c>
      <c r="CP255" s="16">
        <v>1.5764569376659666E-6</v>
      </c>
      <c r="CQ255" s="16">
        <v>7.7472112192308066E-6</v>
      </c>
      <c r="CR255" s="16">
        <v>3.4838243567112552E-5</v>
      </c>
      <c r="CS255" s="16">
        <v>1.5338817420560872E-4</v>
      </c>
      <c r="CT255" s="16">
        <v>7.1075334922253615E-4</v>
      </c>
      <c r="CU255" s="16">
        <v>3.3987897997620588E-3</v>
      </c>
      <c r="CV255" s="16">
        <v>1.5582513900329532E-2</v>
      </c>
      <c r="CW255" s="16">
        <v>6.9027212802941579E-2</v>
      </c>
      <c r="CX255" s="16">
        <v>0.29749175468535594</v>
      </c>
      <c r="CY255" s="16">
        <v>0.24777652673979886</v>
      </c>
      <c r="CZ255" s="16">
        <v>0.28066958018776972</v>
      </c>
      <c r="DA255" s="16">
        <v>6.4816176482442089E-2</v>
      </c>
      <c r="DB255" s="16">
        <v>1.5353456279162436E-2</v>
      </c>
      <c r="DC255" s="16">
        <v>3.7253523668728992E-3</v>
      </c>
      <c r="DD255" s="16">
        <v>9.2967601791768941E-4</v>
      </c>
      <c r="DE255" s="16">
        <v>2.3816685546630556E-4</v>
      </c>
      <c r="DF255" s="16">
        <v>6.1014213499614664E-5</v>
      </c>
      <c r="DG255" s="16">
        <v>1.5630782216448326E-5</v>
      </c>
      <c r="DH255" s="16">
        <v>4.0043350340548299E-6</v>
      </c>
      <c r="DI255" s="16">
        <v>1.0258411151064675E-6</v>
      </c>
      <c r="DJ255" s="16">
        <v>2.628026822468491E-7</v>
      </c>
      <c r="DK255" s="16">
        <v>6.7325478642689388E-8</v>
      </c>
      <c r="DL255" s="16">
        <v>1.7247596138164885E-8</v>
      </c>
      <c r="DM255" s="16">
        <v>4.4184488551624956E-9</v>
      </c>
      <c r="DN255" s="16">
        <v>1.1316044055756366E-9</v>
      </c>
      <c r="DO255" s="16">
        <v>2.8866320829372228E-10</v>
      </c>
      <c r="DP255" s="16">
        <v>6.9270555133451401E-11</v>
      </c>
    </row>
    <row r="256" spans="3:120" x14ac:dyDescent="0.25">
      <c r="C256" s="1"/>
      <c r="D256" s="1"/>
      <c r="E256" s="1"/>
      <c r="F256" s="1"/>
      <c r="G256" s="1"/>
      <c r="H256" s="1"/>
      <c r="I256" s="1"/>
      <c r="J256" s="93"/>
      <c r="O256" s="9">
        <f t="shared" si="194"/>
        <v>16</v>
      </c>
      <c r="P256" s="16">
        <v>4.9540364299827997E-41</v>
      </c>
      <c r="Q256" s="16">
        <v>3.7544291149736903E-39</v>
      </c>
      <c r="R256" s="16">
        <v>2.844822413590524E-37</v>
      </c>
      <c r="S256" s="16">
        <v>2.1555911925445715E-35</v>
      </c>
      <c r="T256" s="16">
        <v>1.6333439188172988E-33</v>
      </c>
      <c r="U256" s="16">
        <v>1.237624446771015E-31</v>
      </c>
      <c r="V256" s="16">
        <v>9.3777817004661937E-30</v>
      </c>
      <c r="W256" s="16">
        <v>7.1057734719965313E-28</v>
      </c>
      <c r="X256" s="16">
        <v>5.3842175311907241E-26</v>
      </c>
      <c r="Y256" s="16">
        <v>4.0797526880681978E-24</v>
      </c>
      <c r="Z256" s="16">
        <v>3.0913279226515135E-22</v>
      </c>
      <c r="AA256" s="16">
        <v>2.3423744172811437E-20</v>
      </c>
      <c r="AB256" s="16">
        <v>1.7748741149489813E-18</v>
      </c>
      <c r="AC256" s="16">
        <v>6.7909880093920411E-17</v>
      </c>
      <c r="AD256" s="16">
        <v>1.2975114381922651E-15</v>
      </c>
      <c r="AE256" s="16">
        <v>1.5380765247586098E-14</v>
      </c>
      <c r="AF256" s="16">
        <v>1.2796935567242883E-13</v>
      </c>
      <c r="AG256" s="16">
        <v>8.1084874679477348E-13</v>
      </c>
      <c r="AH256" s="16">
        <v>4.143124938388015E-12</v>
      </c>
      <c r="AI256" s="16">
        <v>1.7797388024776764E-11</v>
      </c>
      <c r="AJ256" s="16">
        <v>6.6305549042798297E-11</v>
      </c>
      <c r="AK256" s="16">
        <v>2.3897675402206723E-10</v>
      </c>
      <c r="AL256" s="16">
        <v>1.0991736354369571E-9</v>
      </c>
      <c r="AM256" s="16">
        <v>5.7013302110207253E-9</v>
      </c>
      <c r="AN256" s="16">
        <v>3.1851862537961373E-8</v>
      </c>
      <c r="AO256" s="16">
        <v>1.9976064120239548E-7</v>
      </c>
      <c r="AP256" s="16">
        <v>1.1816634942036496E-6</v>
      </c>
      <c r="AQ256" s="16">
        <v>6.9597292669396963E-6</v>
      </c>
      <c r="AR256" s="16">
        <v>4.0575360684070173E-5</v>
      </c>
      <c r="AS256" s="16">
        <v>2.3426410274769209E-4</v>
      </c>
      <c r="AT256" s="16">
        <v>1.3468353337672706E-3</v>
      </c>
      <c r="AU256" s="16">
        <v>7.7097097027770877E-3</v>
      </c>
      <c r="AV256" s="16">
        <v>4.3926201291811372E-2</v>
      </c>
      <c r="AW256" s="16">
        <v>0.24911285719056825</v>
      </c>
      <c r="AX256" s="16">
        <v>0.40626077338783434</v>
      </c>
      <c r="AY256" s="16">
        <v>0.24112463399770823</v>
      </c>
      <c r="AZ256" s="16">
        <v>4.153450437305891E-2</v>
      </c>
      <c r="BA256" s="16">
        <v>7.1868314092942741E-3</v>
      </c>
      <c r="BB256" s="16">
        <v>1.2499072421670444E-3</v>
      </c>
      <c r="BC256" s="16">
        <v>2.183215757089929E-4</v>
      </c>
      <c r="BD256" s="16">
        <v>3.8134278138447188E-5</v>
      </c>
      <c r="BE256" s="16">
        <v>6.6609228355827985E-6</v>
      </c>
      <c r="BF256" s="16">
        <v>1.1634648716965015E-6</v>
      </c>
      <c r="BG256" s="16">
        <v>2.03222667651894E-7</v>
      </c>
      <c r="BH256" s="16">
        <v>3.5496948512217248E-8</v>
      </c>
      <c r="BI256" s="16">
        <v>6.2002598780109306E-9</v>
      </c>
      <c r="BJ256" s="16">
        <v>1.083000738484704E-9</v>
      </c>
      <c r="BK256" s="16">
        <v>1.8916780134185867E-10</v>
      </c>
      <c r="BL256" s="16">
        <v>3.3040990376177999E-11</v>
      </c>
      <c r="BM256" s="16">
        <v>5.7657628624298152E-12</v>
      </c>
      <c r="BN256" s="16">
        <v>9.7643974116602356E-13</v>
      </c>
      <c r="BQ256" s="9">
        <f t="shared" si="195"/>
        <v>16</v>
      </c>
      <c r="BR256" s="16">
        <v>2.3584172693202939E-24</v>
      </c>
      <c r="BS256" s="16">
        <v>2.8102686288979292E-23</v>
      </c>
      <c r="BT256" s="16">
        <v>3.32578047099923E-22</v>
      </c>
      <c r="BU256" s="16">
        <v>3.5794874620940439E-21</v>
      </c>
      <c r="BV256" s="16">
        <v>3.3308268425208486E-20</v>
      </c>
      <c r="BW256" s="16">
        <v>2.748549902406099E-19</v>
      </c>
      <c r="BX256" s="16">
        <v>2.0334202128041822E-18</v>
      </c>
      <c r="BY256" s="16">
        <v>1.3621658826538005E-17</v>
      </c>
      <c r="BZ256" s="16">
        <v>8.3344653192406256E-17</v>
      </c>
      <c r="CA256" s="16">
        <v>4.6933251713150662E-16</v>
      </c>
      <c r="CB256" s="16">
        <v>2.4488612831891259E-15</v>
      </c>
      <c r="CC256" s="16">
        <v>1.1910389901719586E-14</v>
      </c>
      <c r="CD256" s="16">
        <v>5.4285307751417825E-14</v>
      </c>
      <c r="CE256" s="16">
        <v>2.329735107936328E-13</v>
      </c>
      <c r="CF256" s="16">
        <v>9.4549935356653965E-13</v>
      </c>
      <c r="CG256" s="16">
        <v>3.6427133770825902E-12</v>
      </c>
      <c r="CH256" s="16">
        <v>1.3369504947863253E-11</v>
      </c>
      <c r="CI256" s="16">
        <v>4.6892994469488079E-11</v>
      </c>
      <c r="CJ256" s="16">
        <v>1.5763532254310555E-10</v>
      </c>
      <c r="CK256" s="16">
        <v>5.0920400061085954E-10</v>
      </c>
      <c r="CL256" s="16">
        <v>1.5843969871379795E-9</v>
      </c>
      <c r="CM256" s="16">
        <v>5.0360766206787278E-9</v>
      </c>
      <c r="CN256" s="16">
        <v>1.9565880023293465E-8</v>
      </c>
      <c r="CO256" s="16">
        <v>8.4683838395966595E-8</v>
      </c>
      <c r="CP256" s="16">
        <v>3.8084771910076019E-7</v>
      </c>
      <c r="CQ256" s="16">
        <v>1.8716069254668416E-6</v>
      </c>
      <c r="CR256" s="16">
        <v>8.4163831456479012E-6</v>
      </c>
      <c r="CS256" s="16">
        <v>3.7056220748869039E-5</v>
      </c>
      <c r="CT256" s="16">
        <v>1.7170706374980277E-4</v>
      </c>
      <c r="CU256" s="16">
        <v>8.2109527511660006E-4</v>
      </c>
      <c r="CV256" s="16">
        <v>3.7644953915346715E-3</v>
      </c>
      <c r="CW256" s="16">
        <v>1.6675911611518695E-2</v>
      </c>
      <c r="CX256" s="16">
        <v>7.1869426633972208E-2</v>
      </c>
      <c r="CY256" s="16">
        <v>0.30144359341644977</v>
      </c>
      <c r="CZ256" s="16">
        <v>0.23158746737164165</v>
      </c>
      <c r="DA256" s="16">
        <v>0.28441554152509008</v>
      </c>
      <c r="DB256" s="16">
        <v>6.7371477598692997E-2</v>
      </c>
      <c r="DC256" s="16">
        <v>1.6346970282687848E-2</v>
      </c>
      <c r="DD256" s="16">
        <v>4.0794493354691418E-3</v>
      </c>
      <c r="DE256" s="16">
        <v>1.0450840954669186E-3</v>
      </c>
      <c r="DF256" s="16">
        <v>2.6773240130758392E-4</v>
      </c>
      <c r="DG256" s="16">
        <v>6.8588393049629629E-5</v>
      </c>
      <c r="DH256" s="16">
        <v>1.7571155519596362E-5</v>
      </c>
      <c r="DI256" s="16">
        <v>4.5014249853313069E-6</v>
      </c>
      <c r="DJ256" s="16">
        <v>1.1531869240347942E-6</v>
      </c>
      <c r="DK256" s="16">
        <v>2.9542644299272198E-7</v>
      </c>
      <c r="DL256" s="16">
        <v>7.5683026396520837E-8</v>
      </c>
      <c r="DM256" s="16">
        <v>1.9388300761344253E-8</v>
      </c>
      <c r="DN256" s="16">
        <v>4.9655178270374593E-9</v>
      </c>
      <c r="DO256" s="16">
        <v>1.2666637737798197E-9</v>
      </c>
      <c r="DP256" s="16">
        <v>3.0396150342748342E-10</v>
      </c>
    </row>
    <row r="257" spans="3:120" x14ac:dyDescent="0.25">
      <c r="C257" s="1"/>
      <c r="D257" s="1"/>
      <c r="E257" s="1"/>
      <c r="F257" s="1"/>
      <c r="G257" s="1"/>
      <c r="H257" s="1"/>
      <c r="I257" s="1"/>
      <c r="J257" s="93"/>
      <c r="O257" s="9">
        <f t="shared" si="194"/>
        <v>15</v>
      </c>
      <c r="P257" s="16">
        <v>8.8016509498457614E-42</v>
      </c>
      <c r="Q257" s="16">
        <v>6.6703535698568706E-40</v>
      </c>
      <c r="R257" s="16">
        <v>5.0542894168439694E-38</v>
      </c>
      <c r="S257" s="16">
        <v>3.8297581246097051E-36</v>
      </c>
      <c r="T257" s="16">
        <v>2.9019009564556209E-34</v>
      </c>
      <c r="U257" s="16">
        <v>2.1988409938907652E-32</v>
      </c>
      <c r="V257" s="16">
        <v>1.666115346100534E-30</v>
      </c>
      <c r="W257" s="16">
        <v>1.2624561549581544E-28</v>
      </c>
      <c r="X257" s="16">
        <v>9.5659375980296493E-27</v>
      </c>
      <c r="Y257" s="16">
        <v>7.2483437757432736E-25</v>
      </c>
      <c r="Z257" s="16">
        <v>5.4922465208405602E-23</v>
      </c>
      <c r="AA257" s="16">
        <v>4.1616088832089127E-21</v>
      </c>
      <c r="AB257" s="16">
        <v>3.1533523542844823E-19</v>
      </c>
      <c r="AC257" s="16">
        <v>1.2065294009851307E-17</v>
      </c>
      <c r="AD257" s="16">
        <v>2.3052399682172582E-16</v>
      </c>
      <c r="AE257" s="16">
        <v>2.7326429460923622E-15</v>
      </c>
      <c r="AF257" s="16">
        <v>2.2735836056605142E-14</v>
      </c>
      <c r="AG257" s="16">
        <v>1.4406045945108727E-13</v>
      </c>
      <c r="AH257" s="16">
        <v>7.3609348789990915E-13</v>
      </c>
      <c r="AI257" s="16">
        <v>3.1619952623883683E-12</v>
      </c>
      <c r="AJ257" s="16">
        <v>1.1780258521728645E-11</v>
      </c>
      <c r="AK257" s="16">
        <v>4.245810469416931E-11</v>
      </c>
      <c r="AL257" s="16">
        <v>1.952860623679891E-10</v>
      </c>
      <c r="AM257" s="16">
        <v>1.0129339817428256E-9</v>
      </c>
      <c r="AN257" s="16">
        <v>5.6590011019070698E-9</v>
      </c>
      <c r="AO257" s="16">
        <v>3.5490724830761227E-8</v>
      </c>
      <c r="AP257" s="16">
        <v>2.099417265728852E-7</v>
      </c>
      <c r="AQ257" s="16">
        <v>1.2365090281187499E-6</v>
      </c>
      <c r="AR257" s="16">
        <v>7.2088723398128199E-6</v>
      </c>
      <c r="AS257" s="16">
        <v>4.1620825595566885E-5</v>
      </c>
      <c r="AT257" s="16">
        <v>2.3928718858411157E-4</v>
      </c>
      <c r="AU257" s="16">
        <v>1.3697552427711687E-3</v>
      </c>
      <c r="AV257" s="16">
        <v>7.8042036385374339E-3</v>
      </c>
      <c r="AW257" s="16">
        <v>4.4258948174867765E-2</v>
      </c>
      <c r="AX257" s="16">
        <v>0.24984508383727894</v>
      </c>
      <c r="AY257" s="16">
        <v>0.40393697102412646</v>
      </c>
      <c r="AZ257" s="16">
        <v>0.24183272067944284</v>
      </c>
      <c r="BA257" s="16">
        <v>4.1844991748630538E-2</v>
      </c>
      <c r="BB257" s="16">
        <v>7.2775268065136721E-3</v>
      </c>
      <c r="BC257" s="16">
        <v>1.2711672243036405E-3</v>
      </c>
      <c r="BD257" s="16">
        <v>2.2203506151259502E-4</v>
      </c>
      <c r="BE257" s="16">
        <v>3.8782913528870018E-5</v>
      </c>
      <c r="BF257" s="16">
        <v>6.7742201233495109E-6</v>
      </c>
      <c r="BG257" s="16">
        <v>1.1832545341234381E-6</v>
      </c>
      <c r="BH257" s="16">
        <v>2.0667933237926788E-7</v>
      </c>
      <c r="BI257" s="16">
        <v>3.6100724875666669E-8</v>
      </c>
      <c r="BJ257" s="16">
        <v>6.3057214486826711E-9</v>
      </c>
      <c r="BK257" s="16">
        <v>1.1014207284756605E-9</v>
      </c>
      <c r="BL257" s="16">
        <v>1.9237963031520681E-10</v>
      </c>
      <c r="BM257" s="16">
        <v>3.357088620319087E-11</v>
      </c>
      <c r="BN257" s="16">
        <v>5.6852749960555195E-12</v>
      </c>
      <c r="BQ257" s="9">
        <f t="shared" si="195"/>
        <v>15</v>
      </c>
      <c r="BR257" s="16">
        <v>5.8443602948135654E-25</v>
      </c>
      <c r="BS257" s="16">
        <v>6.9640867229677093E-24</v>
      </c>
      <c r="BT257" s="16">
        <v>8.2415692875146314E-23</v>
      </c>
      <c r="BU257" s="16">
        <v>8.8702769740464907E-22</v>
      </c>
      <c r="BV257" s="16">
        <v>8.2540746290152577E-21</v>
      </c>
      <c r="BW257" s="16">
        <v>6.811142424582687E-20</v>
      </c>
      <c r="BX257" s="16">
        <v>5.0389897110146007E-19</v>
      </c>
      <c r="BY257" s="16">
        <v>3.3755639017288647E-18</v>
      </c>
      <c r="BZ257" s="16">
        <v>2.0653519978807185E-17</v>
      </c>
      <c r="CA257" s="16">
        <v>1.1630462360796798E-16</v>
      </c>
      <c r="CB257" s="16">
        <v>6.068488319330155E-16</v>
      </c>
      <c r="CC257" s="16">
        <v>2.9514967831549109E-15</v>
      </c>
      <c r="CD257" s="16">
        <v>1.3452364911895252E-14</v>
      </c>
      <c r="CE257" s="16">
        <v>5.7732834385920201E-14</v>
      </c>
      <c r="CF257" s="16">
        <v>2.3430285016309887E-13</v>
      </c>
      <c r="CG257" s="16">
        <v>9.0269562148107086E-13</v>
      </c>
      <c r="CH257" s="16">
        <v>3.3130780076557314E-12</v>
      </c>
      <c r="CI257" s="16">
        <v>1.1620486270496714E-11</v>
      </c>
      <c r="CJ257" s="16">
        <v>3.9063385097946296E-11</v>
      </c>
      <c r="CK257" s="16">
        <v>1.261851192256584E-10</v>
      </c>
      <c r="CL257" s="16">
        <v>3.9262716412860049E-10</v>
      </c>
      <c r="CM257" s="16">
        <v>1.2479829853016742E-9</v>
      </c>
      <c r="CN257" s="16">
        <v>4.8485929029080769E-9</v>
      </c>
      <c r="CO257" s="16">
        <v>2.098538155957595E-8</v>
      </c>
      <c r="CP257" s="16">
        <v>9.4377331646841324E-8</v>
      </c>
      <c r="CQ257" s="16">
        <v>4.6380025048955737E-7</v>
      </c>
      <c r="CR257" s="16">
        <v>2.0856519379430677E-6</v>
      </c>
      <c r="CS257" s="16">
        <v>9.1828493641819871E-6</v>
      </c>
      <c r="CT257" s="16">
        <v>4.2550483274216656E-5</v>
      </c>
      <c r="CU257" s="16">
        <v>2.0347445240398473E-4</v>
      </c>
      <c r="CV257" s="16">
        <v>9.3287424928985025E-4</v>
      </c>
      <c r="CW257" s="16">
        <v>4.1324339407618378E-3</v>
      </c>
      <c r="CX257" s="16">
        <v>1.7809860404883249E-2</v>
      </c>
      <c r="CY257" s="16">
        <v>7.4700308185784492E-2</v>
      </c>
      <c r="CZ257" s="16">
        <v>0.3051979387842283</v>
      </c>
      <c r="DA257" s="16">
        <v>0.21568594625783494</v>
      </c>
      <c r="DB257" s="16">
        <v>0.2879679431587267</v>
      </c>
      <c r="DC257" s="16">
        <v>6.9872349204253933E-2</v>
      </c>
      <c r="DD257" s="16">
        <v>1.7436913605381181E-2</v>
      </c>
      <c r="DE257" s="16">
        <v>4.4670345393366491E-3</v>
      </c>
      <c r="DF257" s="16">
        <v>1.1443766957396735E-3</v>
      </c>
      <c r="DG257" s="16">
        <v>2.9316944165474758E-4</v>
      </c>
      <c r="DH257" s="16">
        <v>7.5104921166200384E-5</v>
      </c>
      <c r="DI257" s="16">
        <v>1.92405768807764E-5</v>
      </c>
      <c r="DJ257" s="16">
        <v>4.9291017271421829E-6</v>
      </c>
      <c r="DK257" s="16">
        <v>1.2627501752308815E-6</v>
      </c>
      <c r="DL257" s="16">
        <v>3.2349424742105605E-7</v>
      </c>
      <c r="DM257" s="16">
        <v>8.2872000000418476E-8</v>
      </c>
      <c r="DN257" s="16">
        <v>2.1224262942359861E-8</v>
      </c>
      <c r="DO257" s="16">
        <v>5.4141392561074197E-9</v>
      </c>
      <c r="DP257" s="16">
        <v>1.2992318420391117E-9</v>
      </c>
    </row>
    <row r="258" spans="3:120" x14ac:dyDescent="0.25">
      <c r="C258" s="1"/>
      <c r="D258" s="1"/>
      <c r="E258" s="1"/>
      <c r="F258" s="1"/>
      <c r="G258" s="1"/>
      <c r="H258" s="1"/>
      <c r="I258" s="1"/>
      <c r="J258" s="93"/>
      <c r="O258" s="9">
        <f t="shared" si="194"/>
        <v>14</v>
      </c>
      <c r="P258" s="16">
        <v>1.5709110253498886E-42</v>
      </c>
      <c r="Q258" s="16">
        <v>1.1905189180506839E-40</v>
      </c>
      <c r="R258" s="16">
        <v>9.0208519009363674E-39</v>
      </c>
      <c r="S258" s="16">
        <v>6.8353190744040203E-37</v>
      </c>
      <c r="T258" s="16">
        <v>5.1792876506303709E-35</v>
      </c>
      <c r="U258" s="16">
        <v>3.9244723290859883E-33</v>
      </c>
      <c r="V258" s="16">
        <v>2.9736682147567327E-31</v>
      </c>
      <c r="W258" s="16">
        <v>2.2532207924916016E-29</v>
      </c>
      <c r="X258" s="16">
        <v>1.7073202432342701E-27</v>
      </c>
      <c r="Y258" s="16">
        <v>1.2936781085417714E-25</v>
      </c>
      <c r="Z258" s="16">
        <v>9.8025139405002164E-24</v>
      </c>
      <c r="AA258" s="16">
        <v>7.4276034292651436E-22</v>
      </c>
      <c r="AB258" s="16">
        <v>5.6280759239212143E-20</v>
      </c>
      <c r="AC258" s="16">
        <v>2.1534032072125658E-18</v>
      </c>
      <c r="AD258" s="16">
        <v>4.1143722953625857E-17</v>
      </c>
      <c r="AE258" s="16">
        <v>4.8771974221907984E-16</v>
      </c>
      <c r="AF258" s="16">
        <v>4.0578722941170976E-15</v>
      </c>
      <c r="AG258" s="16">
        <v>2.5711785818165093E-14</v>
      </c>
      <c r="AH258" s="16">
        <v>1.3137732709685399E-13</v>
      </c>
      <c r="AI258" s="16">
        <v>5.6435017113204733E-13</v>
      </c>
      <c r="AJ258" s="16">
        <v>2.1025303205848905E-12</v>
      </c>
      <c r="AK258" s="16">
        <v>7.5778856898090513E-12</v>
      </c>
      <c r="AL258" s="16">
        <v>3.4854486984219249E-11</v>
      </c>
      <c r="AM258" s="16">
        <v>1.8078757825533312E-10</v>
      </c>
      <c r="AN258" s="16">
        <v>1.0100136070050322E-9</v>
      </c>
      <c r="AO258" s="16">
        <v>6.3343537765808453E-9</v>
      </c>
      <c r="AP258" s="16">
        <v>3.7470217216477604E-8</v>
      </c>
      <c r="AQ258" s="16">
        <v>2.2069105856219607E-7</v>
      </c>
      <c r="AR258" s="16">
        <v>1.286633280901722E-6</v>
      </c>
      <c r="AS258" s="16">
        <v>7.4284488427011093E-6</v>
      </c>
      <c r="AT258" s="16">
        <v>4.2707769816564481E-5</v>
      </c>
      <c r="AU258" s="16">
        <v>2.4447272735096919E-4</v>
      </c>
      <c r="AV258" s="16">
        <v>1.392887494597705E-3</v>
      </c>
      <c r="AW258" s="16">
        <v>7.8992986718596798E-3</v>
      </c>
      <c r="AX258" s="16">
        <v>4.4592133801480346E-2</v>
      </c>
      <c r="AY258" s="16">
        <v>0.25057345255400926</v>
      </c>
      <c r="AZ258" s="16">
        <v>0.40161494194318104</v>
      </c>
      <c r="BA258" s="16">
        <v>0.24252535188616148</v>
      </c>
      <c r="BB258" s="16">
        <v>4.2179115728191392E-2</v>
      </c>
      <c r="BC258" s="16">
        <v>7.3674355161149011E-3</v>
      </c>
      <c r="BD258" s="16">
        <v>1.2868715985867041E-3</v>
      </c>
      <c r="BE258" s="16">
        <v>2.2477814805800745E-4</v>
      </c>
      <c r="BF258" s="16">
        <v>3.9262049065248634E-5</v>
      </c>
      <c r="BG258" s="16">
        <v>6.8579108339428593E-6</v>
      </c>
      <c r="BH258" s="16">
        <v>1.1978728091043133E-6</v>
      </c>
      <c r="BI258" s="16">
        <v>2.0923270952976348E-7</v>
      </c>
      <c r="BJ258" s="16">
        <v>3.6546722781655947E-8</v>
      </c>
      <c r="BK258" s="16">
        <v>6.3836181723470901E-9</v>
      </c>
      <c r="BL258" s="16">
        <v>1.1149945450629021E-9</v>
      </c>
      <c r="BM258" s="16">
        <v>1.9457026156124421E-10</v>
      </c>
      <c r="BN258" s="16">
        <v>3.2950737026566268E-11</v>
      </c>
      <c r="BQ258" s="9">
        <f t="shared" si="195"/>
        <v>14</v>
      </c>
      <c r="BR258" s="16">
        <v>1.4842980632301154E-25</v>
      </c>
      <c r="BS258" s="16">
        <v>1.7686761105814524E-24</v>
      </c>
      <c r="BT258" s="16">
        <v>2.0931196425878454E-23</v>
      </c>
      <c r="BU258" s="16">
        <v>2.2527931661872142E-22</v>
      </c>
      <c r="BV258" s="16">
        <v>2.0962956367485555E-21</v>
      </c>
      <c r="BW258" s="16">
        <v>1.7298326932657142E-20</v>
      </c>
      <c r="BX258" s="16">
        <v>1.2797572858971112E-19</v>
      </c>
      <c r="BY258" s="16">
        <v>8.572953597833369E-19</v>
      </c>
      <c r="BZ258" s="16">
        <v>5.2453952455040955E-18</v>
      </c>
      <c r="CA258" s="16">
        <v>2.9538002254791053E-17</v>
      </c>
      <c r="CB258" s="16">
        <v>1.5412200830790261E-16</v>
      </c>
      <c r="CC258" s="16">
        <v>7.4959460708719015E-16</v>
      </c>
      <c r="CD258" s="16">
        <v>3.4165106491313323E-15</v>
      </c>
      <c r="CE258" s="16">
        <v>1.4662466025554974E-14</v>
      </c>
      <c r="CF258" s="16">
        <v>5.9506130553759359E-14</v>
      </c>
      <c r="CG258" s="16">
        <v>2.2925851505761764E-13</v>
      </c>
      <c r="CH258" s="16">
        <v>8.4142575440766204E-13</v>
      </c>
      <c r="CI258" s="16">
        <v>2.9512665877901072E-12</v>
      </c>
      <c r="CJ258" s="16">
        <v>9.9209672092852081E-12</v>
      </c>
      <c r="CK258" s="16">
        <v>3.2047361666137766E-11</v>
      </c>
      <c r="CL258" s="16">
        <v>9.9715915838519443E-11</v>
      </c>
      <c r="CM258" s="16">
        <v>3.1695149419026408E-10</v>
      </c>
      <c r="CN258" s="16">
        <v>1.2314020170119091E-9</v>
      </c>
      <c r="CO258" s="16">
        <v>5.329678465009349E-9</v>
      </c>
      <c r="CP258" s="16">
        <v>2.3969105857581543E-8</v>
      </c>
      <c r="CQ258" s="16">
        <v>1.1779181617844673E-7</v>
      </c>
      <c r="CR258" s="16">
        <v>5.2969512074884581E-7</v>
      </c>
      <c r="CS258" s="16">
        <v>2.3321774905433024E-6</v>
      </c>
      <c r="CT258" s="16">
        <v>1.0806589040972175E-5</v>
      </c>
      <c r="CU258" s="16">
        <v>5.1676611362933963E-5</v>
      </c>
      <c r="CV258" s="16">
        <v>2.3692301152051799E-4</v>
      </c>
      <c r="CW258" s="16">
        <v>1.0495184049728154E-3</v>
      </c>
      <c r="CX258" s="16">
        <v>4.5231881629245446E-3</v>
      </c>
      <c r="CY258" s="16">
        <v>1.8971712415000865E-2</v>
      </c>
      <c r="CZ258" s="16">
        <v>7.7511427528049778E-2</v>
      </c>
      <c r="DA258" s="16">
        <v>0.30874898269497192</v>
      </c>
      <c r="DB258" s="16">
        <v>0.20002850262506155</v>
      </c>
      <c r="DC258" s="16">
        <v>0.29117411358617495</v>
      </c>
      <c r="DD258" s="16">
        <v>7.2663620452831049E-2</v>
      </c>
      <c r="DE258" s="16">
        <v>1.8615158029794545E-2</v>
      </c>
      <c r="DF258" s="16">
        <v>4.7688803050919713E-3</v>
      </c>
      <c r="DG258" s="16">
        <v>1.2217043405086756E-3</v>
      </c>
      <c r="DH258" s="16">
        <v>3.1297944173310486E-4</v>
      </c>
      <c r="DI258" s="16">
        <v>8.0179899229803486E-5</v>
      </c>
      <c r="DJ258" s="16">
        <v>2.0540698037519686E-5</v>
      </c>
      <c r="DK258" s="16">
        <v>5.2621697587241572E-6</v>
      </c>
      <c r="DL258" s="16">
        <v>1.3480747651363942E-6</v>
      </c>
      <c r="DM258" s="16">
        <v>3.4534664164070011E-7</v>
      </c>
      <c r="DN258" s="16">
        <v>8.8446374268825762E-8</v>
      </c>
      <c r="DO258" s="16">
        <v>2.2561960728138983E-8</v>
      </c>
      <c r="DP258" s="16">
        <v>5.414197236202843E-9</v>
      </c>
    </row>
    <row r="259" spans="3:120" x14ac:dyDescent="0.25">
      <c r="C259" s="1"/>
      <c r="D259" s="1"/>
      <c r="E259" s="1"/>
      <c r="F259" s="1"/>
      <c r="G259" s="1"/>
      <c r="H259" s="1"/>
      <c r="I259" s="1"/>
      <c r="J259" s="93"/>
      <c r="O259" s="9">
        <f t="shared" si="194"/>
        <v>13</v>
      </c>
      <c r="P259" s="16">
        <v>2.81637730417697E-43</v>
      </c>
      <c r="Q259" s="16">
        <v>2.1343987067914721E-41</v>
      </c>
      <c r="R259" s="16">
        <v>1.6172859027760757E-39</v>
      </c>
      <c r="S259" s="16">
        <v>1.2254568971321391E-37</v>
      </c>
      <c r="T259" s="16">
        <v>9.2855852149809143E-36</v>
      </c>
      <c r="U259" s="16">
        <v>7.0359139506621798E-34</v>
      </c>
      <c r="V259" s="16">
        <v>5.3312832713284656E-32</v>
      </c>
      <c r="W259" s="16">
        <v>4.0396431108245408E-30</v>
      </c>
      <c r="X259" s="16">
        <v>3.060935919611306E-28</v>
      </c>
      <c r="Y259" s="16">
        <v>2.3193456567638022E-26</v>
      </c>
      <c r="Z259" s="16">
        <v>1.757424662530084E-24</v>
      </c>
      <c r="AA259" s="16">
        <v>1.331643446703171E-22</v>
      </c>
      <c r="AB259" s="16">
        <v>1.0090186549417142E-20</v>
      </c>
      <c r="AC259" s="16">
        <v>3.8606870928189937E-19</v>
      </c>
      <c r="AD259" s="16">
        <v>7.3763724148621212E-18</v>
      </c>
      <c r="AE259" s="16">
        <v>8.7439886194631325E-17</v>
      </c>
      <c r="AF259" s="16">
        <v>7.2750774855975424E-16</v>
      </c>
      <c r="AG259" s="16">
        <v>4.609687554520198E-15</v>
      </c>
      <c r="AH259" s="16">
        <v>2.3553728782099663E-14</v>
      </c>
      <c r="AI259" s="16">
        <v>1.0117842372585517E-13</v>
      </c>
      <c r="AJ259" s="16">
        <v>3.7694806266448562E-13</v>
      </c>
      <c r="AK259" s="16">
        <v>1.3585865097402389E-12</v>
      </c>
      <c r="AL259" s="16">
        <v>6.2488189660024061E-12</v>
      </c>
      <c r="AM259" s="16">
        <v>3.2412149641768008E-11</v>
      </c>
      <c r="AN259" s="16">
        <v>1.8107832676553517E-10</v>
      </c>
      <c r="AO259" s="16">
        <v>1.1356423072412064E-9</v>
      </c>
      <c r="AP259" s="16">
        <v>6.7177750775263635E-9</v>
      </c>
      <c r="AQ259" s="16">
        <v>3.9566167563877273E-8</v>
      </c>
      <c r="AR259" s="16">
        <v>2.3067154744319576E-7</v>
      </c>
      <c r="AS259" s="16">
        <v>1.3317950150081401E-6</v>
      </c>
      <c r="AT259" s="16">
        <v>7.656779517261088E-6</v>
      </c>
      <c r="AU259" s="16">
        <v>4.3829817837592587E-5</v>
      </c>
      <c r="AV259" s="16">
        <v>2.4972112766113866E-4</v>
      </c>
      <c r="AW259" s="16">
        <v>1.4162104116231357E-3</v>
      </c>
      <c r="AX259" s="16">
        <v>7.9946140523992886E-3</v>
      </c>
      <c r="AY259" s="16">
        <v>4.4923574500038539E-2</v>
      </c>
      <c r="AZ259" s="16">
        <v>0.25128581109836412</v>
      </c>
      <c r="BA259" s="16">
        <v>0.39922705696787564</v>
      </c>
      <c r="BB259" s="16">
        <v>0.24334841494660356</v>
      </c>
      <c r="BC259" s="16">
        <v>4.2505721708849815E-2</v>
      </c>
      <c r="BD259" s="16">
        <v>7.4244838553258197E-3</v>
      </c>
      <c r="BE259" s="16">
        <v>1.2968362446723718E-3</v>
      </c>
      <c r="BF259" s="16">
        <v>2.2651867500385166E-4</v>
      </c>
      <c r="BG259" s="16">
        <v>3.956606729357564E-5</v>
      </c>
      <c r="BH259" s="16">
        <v>6.911013765239725E-6</v>
      </c>
      <c r="BI259" s="16">
        <v>1.2071483088257315E-6</v>
      </c>
      <c r="BJ259" s="16">
        <v>2.1085285708027932E-7</v>
      </c>
      <c r="BK259" s="16">
        <v>3.6829680685475313E-8</v>
      </c>
      <c r="BL259" s="16">
        <v>6.4328554672334071E-9</v>
      </c>
      <c r="BM259" s="16">
        <v>1.1225547034175605E-9</v>
      </c>
      <c r="BN259" s="16">
        <v>1.9010615771107563E-10</v>
      </c>
      <c r="BQ259" s="9">
        <f t="shared" si="195"/>
        <v>13</v>
      </c>
      <c r="BR259" s="16">
        <v>3.8582597337425308E-26</v>
      </c>
      <c r="BS259" s="16">
        <v>4.5974673069628763E-25</v>
      </c>
      <c r="BT259" s="16">
        <v>5.4408204355719264E-24</v>
      </c>
      <c r="BU259" s="16">
        <v>5.8558731408941749E-23</v>
      </c>
      <c r="BV259" s="16">
        <v>5.4490760620450905E-22</v>
      </c>
      <c r="BW259" s="16">
        <v>4.4964983731194068E-21</v>
      </c>
      <c r="BX259" s="16">
        <v>3.3265798342384255E-20</v>
      </c>
      <c r="BY259" s="16">
        <v>2.2284393199154685E-19</v>
      </c>
      <c r="BZ259" s="16">
        <v>1.3634793283534317E-18</v>
      </c>
      <c r="CA259" s="16">
        <v>7.6780592482109862E-18</v>
      </c>
      <c r="CB259" s="16">
        <v>4.006221886754044E-17</v>
      </c>
      <c r="CC259" s="16">
        <v>1.9484837720944221E-16</v>
      </c>
      <c r="CD259" s="16">
        <v>8.8808210385722014E-16</v>
      </c>
      <c r="CE259" s="16">
        <v>3.8113370666708317E-15</v>
      </c>
      <c r="CF259" s="16">
        <v>1.5467924745974814E-14</v>
      </c>
      <c r="CG259" s="16">
        <v>5.9593077642335997E-14</v>
      </c>
      <c r="CH259" s="16">
        <v>2.1871881312707131E-13</v>
      </c>
      <c r="CI259" s="16">
        <v>7.6714733524818768E-13</v>
      </c>
      <c r="CJ259" s="16">
        <v>2.5788397392411633E-12</v>
      </c>
      <c r="CK259" s="16">
        <v>8.3303379659516513E-12</v>
      </c>
      <c r="CL259" s="16">
        <v>2.5919989550870473E-11</v>
      </c>
      <c r="CM259" s="16">
        <v>8.2387844994057563E-11</v>
      </c>
      <c r="CN259" s="16">
        <v>3.2008859514019406E-10</v>
      </c>
      <c r="CO259" s="16">
        <v>1.3853877684506745E-9</v>
      </c>
      <c r="CP259" s="16">
        <v>6.2304895677669428E-9</v>
      </c>
      <c r="CQ259" s="16">
        <v>3.0618609064050562E-8</v>
      </c>
      <c r="CR259" s="16">
        <v>1.3768806994854365E-7</v>
      </c>
      <c r="CS259" s="16">
        <v>6.0622234351786786E-7</v>
      </c>
      <c r="CT259" s="16">
        <v>2.8090468072935975E-6</v>
      </c>
      <c r="CU259" s="16">
        <v>1.3432732531091303E-5</v>
      </c>
      <c r="CV259" s="16">
        <v>6.1585374123399037E-5</v>
      </c>
      <c r="CW259" s="16">
        <v>2.7281007110635329E-4</v>
      </c>
      <c r="CX259" s="16">
        <v>1.1757500187782057E-3</v>
      </c>
      <c r="CY259" s="16">
        <v>4.931475416174079E-3</v>
      </c>
      <c r="CZ259" s="16">
        <v>2.0148191737552164E-2</v>
      </c>
      <c r="DA259" s="16">
        <v>8.0255697779031535E-2</v>
      </c>
      <c r="DB259" s="16">
        <v>0.31193341591686852</v>
      </c>
      <c r="DC259" s="16">
        <v>0.18397534852141273</v>
      </c>
      <c r="DD259" s="16">
        <v>0.29546560403628247</v>
      </c>
      <c r="DE259" s="16">
        <v>7.5693158106186931E-2</v>
      </c>
      <c r="DF259" s="16">
        <v>1.9391272980065672E-2</v>
      </c>
      <c r="DG259" s="16">
        <v>4.967707481028494E-3</v>
      </c>
      <c r="DH259" s="16">
        <v>1.2726404110656637E-3</v>
      </c>
      <c r="DI259" s="16">
        <v>3.2602837857329941E-4</v>
      </c>
      <c r="DJ259" s="16">
        <v>8.3522809834700131E-5</v>
      </c>
      <c r="DK259" s="16">
        <v>2.139709192321583E-5</v>
      </c>
      <c r="DL259" s="16">
        <v>5.4815562765091451E-6</v>
      </c>
      <c r="DM259" s="16">
        <v>1.4042522714720517E-6</v>
      </c>
      <c r="DN259" s="16">
        <v>3.5964160931289722E-7</v>
      </c>
      <c r="DO259" s="16">
        <v>9.1741690177821864E-8</v>
      </c>
      <c r="DP259" s="16">
        <v>2.2015267706137501E-8</v>
      </c>
    </row>
    <row r="260" spans="3:120" x14ac:dyDescent="0.25">
      <c r="C260" s="1"/>
      <c r="D260" s="1"/>
      <c r="E260" s="1"/>
      <c r="F260" s="1"/>
      <c r="G260" s="1"/>
      <c r="H260" s="1"/>
      <c r="I260" s="1"/>
      <c r="O260" s="9">
        <f t="shared" si="194"/>
        <v>12</v>
      </c>
      <c r="P260" s="16">
        <v>5.0641039519672782E-44</v>
      </c>
      <c r="Q260" s="16">
        <v>3.8378440665978882E-42</v>
      </c>
      <c r="R260" s="16">
        <v>2.9080279547639253E-40</v>
      </c>
      <c r="S260" s="16">
        <v>2.2034835696653776E-38</v>
      </c>
      <c r="T260" s="16">
        <v>1.6696331387763173E-36</v>
      </c>
      <c r="U260" s="16">
        <v>1.2651216721000515E-34</v>
      </c>
      <c r="V260" s="16">
        <v>9.5861348702641925E-33</v>
      </c>
      <c r="W260" s="16">
        <v>7.2636477405651235E-31</v>
      </c>
      <c r="X260" s="16">
        <v>5.5038427075210504E-29</v>
      </c>
      <c r="Y260" s="16">
        <v>4.170395596135537E-27</v>
      </c>
      <c r="Z260" s="16">
        <v>3.1600102605585159E-25</v>
      </c>
      <c r="AA260" s="16">
        <v>2.39441669660505E-23</v>
      </c>
      <c r="AB260" s="16">
        <v>1.8143078168257971E-21</v>
      </c>
      <c r="AC260" s="16">
        <v>6.9418684545773573E-20</v>
      </c>
      <c r="AD260" s="16">
        <v>1.3263392174722074E-18</v>
      </c>
      <c r="AE260" s="16">
        <v>1.5722491179753429E-17</v>
      </c>
      <c r="AF260" s="16">
        <v>1.3081254628434433E-16</v>
      </c>
      <c r="AG260" s="16">
        <v>8.2886397811680669E-16</v>
      </c>
      <c r="AH260" s="16">
        <v>4.2351758350024434E-15</v>
      </c>
      <c r="AI260" s="16">
        <v>1.8192805867453018E-14</v>
      </c>
      <c r="AJ260" s="16">
        <v>6.7778708875211231E-14</v>
      </c>
      <c r="AK260" s="16">
        <v>2.4428627879017522E-13</v>
      </c>
      <c r="AL260" s="16">
        <v>1.1235947958367879E-12</v>
      </c>
      <c r="AM260" s="16">
        <v>5.8280009162550162E-12</v>
      </c>
      <c r="AN260" s="16">
        <v>3.2559539122438118E-11</v>
      </c>
      <c r="AO260" s="16">
        <v>2.0419887234540999E-10</v>
      </c>
      <c r="AP260" s="16">
        <v>1.207917393314958E-9</v>
      </c>
      <c r="AQ260" s="16">
        <v>7.114358762487745E-9</v>
      </c>
      <c r="AR260" s="16">
        <v>4.1476853732666404E-8</v>
      </c>
      <c r="AS260" s="16">
        <v>2.3946892302783781E-7</v>
      </c>
      <c r="AT260" s="16">
        <v>1.3767589788199602E-6</v>
      </c>
      <c r="AU260" s="16">
        <v>7.8810020729882803E-6</v>
      </c>
      <c r="AV260" s="16">
        <v>4.4902142465178521E-5</v>
      </c>
      <c r="AW260" s="16">
        <v>2.5464758332207027E-4</v>
      </c>
      <c r="AX260" s="16">
        <v>1.4375047177508579E-3</v>
      </c>
      <c r="AY260" s="16">
        <v>8.0776695233532713E-3</v>
      </c>
      <c r="AZ260" s="16">
        <v>4.5183486856296841E-2</v>
      </c>
      <c r="BA260" s="16">
        <v>0.25159382084146054</v>
      </c>
      <c r="BB260" s="16">
        <v>0.39761214259529759</v>
      </c>
      <c r="BC260" s="16">
        <v>0.24412122348567691</v>
      </c>
      <c r="BD260" s="16">
        <v>4.2640708348081813E-2</v>
      </c>
      <c r="BE260" s="16">
        <v>7.4480620015934485E-3</v>
      </c>
      <c r="BF260" s="16">
        <v>1.3009546447197832E-3</v>
      </c>
      <c r="BG260" s="16">
        <v>2.2723803685500759E-4</v>
      </c>
      <c r="BH260" s="16">
        <v>3.9691718386831017E-5</v>
      </c>
      <c r="BI260" s="16">
        <v>6.9329612633738195E-6</v>
      </c>
      <c r="BJ260" s="16">
        <v>1.2109818484783283E-6</v>
      </c>
      <c r="BK260" s="16">
        <v>2.115222691925992E-7</v>
      </c>
      <c r="BL260" s="16">
        <v>3.6945533072564769E-8</v>
      </c>
      <c r="BM260" s="16">
        <v>6.4471185668832017E-9</v>
      </c>
      <c r="BN260" s="16">
        <v>1.0918282515110514E-9</v>
      </c>
      <c r="BQ260" s="9">
        <f t="shared" si="195"/>
        <v>12</v>
      </c>
      <c r="BR260" s="16">
        <v>1.0174991581933432E-26</v>
      </c>
      <c r="BS260" s="16">
        <v>1.21244276888496E-25</v>
      </c>
      <c r="BT260" s="16">
        <v>1.4348516157841967E-24</v>
      </c>
      <c r="BU260" s="16">
        <v>1.5443091970294093E-23</v>
      </c>
      <c r="BV260" s="16">
        <v>1.4370287872465891E-22</v>
      </c>
      <c r="BW260" s="16">
        <v>1.1858152704065838E-21</v>
      </c>
      <c r="BX260" s="16">
        <v>8.7728468651261165E-21</v>
      </c>
      <c r="BY260" s="16">
        <v>5.8768338281350283E-20</v>
      </c>
      <c r="BZ260" s="16">
        <v>3.5957638016969794E-19</v>
      </c>
      <c r="CA260" s="16">
        <v>2.0248555983127676E-18</v>
      </c>
      <c r="CB260" s="16">
        <v>1.0565196950475725E-17</v>
      </c>
      <c r="CC260" s="16">
        <v>5.1385358547034661E-17</v>
      </c>
      <c r="CD260" s="16">
        <v>2.342047595133716E-16</v>
      </c>
      <c r="CE260" s="16">
        <v>1.0051247257962456E-15</v>
      </c>
      <c r="CF260" s="16">
        <v>4.0791967089164407E-15</v>
      </c>
      <c r="CG260" s="16">
        <v>1.5715869464394584E-14</v>
      </c>
      <c r="CH260" s="16">
        <v>5.768046310919853E-14</v>
      </c>
      <c r="CI260" s="16">
        <v>2.0231187677666763E-13</v>
      </c>
      <c r="CJ260" s="16">
        <v>6.8009088160795301E-13</v>
      </c>
      <c r="CK260" s="16">
        <v>2.1968743559936491E-12</v>
      </c>
      <c r="CL260" s="16">
        <v>6.8356122626323221E-12</v>
      </c>
      <c r="CM260" s="16">
        <v>2.1727299018695697E-11</v>
      </c>
      <c r="CN260" s="16">
        <v>8.4413673152718637E-11</v>
      </c>
      <c r="CO260" s="16">
        <v>3.6535406775286395E-10</v>
      </c>
      <c r="CP260" s="16">
        <v>1.6431029344377256E-9</v>
      </c>
      <c r="CQ260" s="16">
        <v>8.0747308625338664E-9</v>
      </c>
      <c r="CR260" s="16">
        <v>3.6311058594806949E-8</v>
      </c>
      <c r="CS260" s="16">
        <v>1.5987278378718618E-7</v>
      </c>
      <c r="CT260" s="16">
        <v>7.4080102403434186E-7</v>
      </c>
      <c r="CU260" s="16">
        <v>3.5424763976073499E-6</v>
      </c>
      <c r="CV260" s="16">
        <v>1.6241277324996764E-5</v>
      </c>
      <c r="CW260" s="16">
        <v>7.1945394258909228E-5</v>
      </c>
      <c r="CX260" s="16">
        <v>3.1006846011172784E-4</v>
      </c>
      <c r="CY260" s="16">
        <v>1.3005272923243632E-3</v>
      </c>
      <c r="CZ260" s="16">
        <v>5.3134753870475041E-3</v>
      </c>
      <c r="DA260" s="16">
        <v>2.1165009762360722E-2</v>
      </c>
      <c r="DB260" s="16">
        <v>8.2262991610447103E-2</v>
      </c>
      <c r="DC260" s="16">
        <v>0.31223764172912449</v>
      </c>
      <c r="DD260" s="16">
        <v>0.17323622207370304</v>
      </c>
      <c r="DE260" s="16">
        <v>0.30056275126503429</v>
      </c>
      <c r="DF260" s="16">
        <v>7.6998958733411227E-2</v>
      </c>
      <c r="DG260" s="16">
        <v>1.9725796430414427E-2</v>
      </c>
      <c r="DH260" s="16">
        <v>5.0534065811384732E-3</v>
      </c>
      <c r="DI260" s="16">
        <v>1.2945950321824322E-3</v>
      </c>
      <c r="DJ260" s="16">
        <v>3.3165276948923892E-4</v>
      </c>
      <c r="DK260" s="16">
        <v>8.4963674107646026E-5</v>
      </c>
      <c r="DL260" s="16">
        <v>2.1766189664994828E-5</v>
      </c>
      <c r="DM260" s="16">
        <v>5.5760115807523064E-6</v>
      </c>
      <c r="DN260" s="16">
        <v>1.4280666082504701E-6</v>
      </c>
      <c r="DO260" s="16">
        <v>3.6428833854267055E-7</v>
      </c>
      <c r="DP260" s="16">
        <v>8.741832943884127E-8</v>
      </c>
    </row>
    <row r="261" spans="3:120" x14ac:dyDescent="0.25">
      <c r="C261" s="1"/>
      <c r="D261" s="1"/>
      <c r="E261" s="1"/>
      <c r="F261" s="1"/>
      <c r="G261" s="1"/>
      <c r="H261" s="1"/>
      <c r="I261" s="1"/>
      <c r="O261" s="9">
        <f t="shared" si="194"/>
        <v>11</v>
      </c>
      <c r="P261" s="16">
        <v>9.1057220203757069E-45</v>
      </c>
      <c r="Q261" s="16">
        <v>6.900794604426092E-43</v>
      </c>
      <c r="R261" s="16">
        <v>5.2289002032186362E-41</v>
      </c>
      <c r="S261" s="16">
        <v>3.962064967889059E-39</v>
      </c>
      <c r="T261" s="16">
        <v>3.0021530722722326E-37</v>
      </c>
      <c r="U261" s="16">
        <v>2.2748044624204056E-35</v>
      </c>
      <c r="V261" s="16">
        <v>1.7236747153372829E-33</v>
      </c>
      <c r="W261" s="16">
        <v>1.3060702901610472E-31</v>
      </c>
      <c r="X261" s="16">
        <v>9.8964125171817758E-30</v>
      </c>
      <c r="Y261" s="16">
        <v>7.4987526665318742E-28</v>
      </c>
      <c r="Z261" s="16">
        <v>5.6819874329401965E-26</v>
      </c>
      <c r="AA261" s="16">
        <v>4.3053801910527485E-24</v>
      </c>
      <c r="AB261" s="16">
        <v>3.2622913739739872E-22</v>
      </c>
      <c r="AC261" s="16">
        <v>1.2482114318534224E-20</v>
      </c>
      <c r="AD261" s="16">
        <v>2.3848792073734665E-19</v>
      </c>
      <c r="AE261" s="16">
        <v>2.8270476970566078E-18</v>
      </c>
      <c r="AF261" s="16">
        <v>2.3521292108943406E-17</v>
      </c>
      <c r="AG261" s="16">
        <v>1.4903732326628951E-16</v>
      </c>
      <c r="AH261" s="16">
        <v>7.6152334601985287E-16</v>
      </c>
      <c r="AI261" s="16">
        <v>3.2712328690514547E-15</v>
      </c>
      <c r="AJ261" s="16">
        <v>1.2187231695310846E-14</v>
      </c>
      <c r="AK261" s="16">
        <v>4.3924906936225358E-14</v>
      </c>
      <c r="AL261" s="16">
        <v>2.0203261961982514E-13</v>
      </c>
      <c r="AM261" s="16">
        <v>1.0479278620909321E-12</v>
      </c>
      <c r="AN261" s="16">
        <v>5.8545028927633823E-12</v>
      </c>
      <c r="AO261" s="16">
        <v>3.6716824656199354E-11</v>
      </c>
      <c r="AP261" s="16">
        <v>2.1719459378060384E-10</v>
      </c>
      <c r="AQ261" s="16">
        <v>1.2792267666478603E-9</v>
      </c>
      <c r="AR261" s="16">
        <v>7.4579176089528106E-9</v>
      </c>
      <c r="AS261" s="16">
        <v>4.3058702315207283E-8</v>
      </c>
      <c r="AT261" s="16">
        <v>2.4755385491881165E-7</v>
      </c>
      <c r="AU261" s="16">
        <v>1.4170762448657506E-6</v>
      </c>
      <c r="AV261" s="16">
        <v>8.073815847488456E-6</v>
      </c>
      <c r="AW261" s="16">
        <v>4.5787964245687657E-5</v>
      </c>
      <c r="AX261" s="16">
        <v>2.5847649430128702E-4</v>
      </c>
      <c r="AY261" s="16">
        <v>1.452438850974655E-3</v>
      </c>
      <c r="AZ261" s="16">
        <v>8.124404141919497E-3</v>
      </c>
      <c r="BA261" s="16">
        <v>4.5238869824869479E-2</v>
      </c>
      <c r="BB261" s="16">
        <v>0.25130344446880154</v>
      </c>
      <c r="BC261" s="16">
        <v>0.39775110063799435</v>
      </c>
      <c r="BD261" s="16">
        <v>0.24414549531787016</v>
      </c>
      <c r="BE261" s="16">
        <v>4.2644947914403986E-2</v>
      </c>
      <c r="BF261" s="16">
        <v>7.4488025275847329E-3</v>
      </c>
      <c r="BG261" s="16">
        <v>1.3010839925580641E-3</v>
      </c>
      <c r="BH261" s="16">
        <v>2.2726063006423298E-4</v>
      </c>
      <c r="BI261" s="16">
        <v>3.9695664711961836E-5</v>
      </c>
      <c r="BJ261" s="16">
        <v>6.9336503700692267E-6</v>
      </c>
      <c r="BK261" s="16">
        <v>1.2111011093255E-6</v>
      </c>
      <c r="BL261" s="16">
        <v>2.1153695192284124E-7</v>
      </c>
      <c r="BM261" s="16">
        <v>3.6913902626468543E-8</v>
      </c>
      <c r="BN261" s="16">
        <v>6.251419350054046E-9</v>
      </c>
      <c r="BQ261" s="9">
        <f t="shared" si="195"/>
        <v>11</v>
      </c>
      <c r="BR261" s="16">
        <v>2.6833458822636172E-27</v>
      </c>
      <c r="BS261" s="16">
        <v>3.1974506172019368E-26</v>
      </c>
      <c r="BT261" s="16">
        <v>3.7839865948490672E-25</v>
      </c>
      <c r="BU261" s="16">
        <v>4.0726478163859863E-24</v>
      </c>
      <c r="BV261" s="16">
        <v>3.7897282252293477E-23</v>
      </c>
      <c r="BW261" s="16">
        <v>3.1272286540469021E-22</v>
      </c>
      <c r="BX261" s="16">
        <v>2.3135726768623344E-21</v>
      </c>
      <c r="BY261" s="16">
        <v>1.5498369434991856E-20</v>
      </c>
      <c r="BZ261" s="16">
        <v>9.4827380575018951E-20</v>
      </c>
      <c r="CA261" s="16">
        <v>5.3399434173080221E-19</v>
      </c>
      <c r="CB261" s="16">
        <v>2.7862507309294626E-18</v>
      </c>
      <c r="CC261" s="16">
        <v>1.3551332122048248E-17</v>
      </c>
      <c r="CD261" s="16">
        <v>6.1764412479968762E-17</v>
      </c>
      <c r="CE261" s="16">
        <v>2.6507120643869914E-16</v>
      </c>
      <c r="CF261" s="16">
        <v>1.0757645943658177E-15</v>
      </c>
      <c r="CG261" s="16">
        <v>4.1445846194461849E-15</v>
      </c>
      <c r="CH261" s="16">
        <v>1.5211475304406689E-14</v>
      </c>
      <c r="CI261" s="16">
        <v>5.3353630527381697E-14</v>
      </c>
      <c r="CJ261" s="16">
        <v>1.7935337361536826E-13</v>
      </c>
      <c r="CK261" s="16">
        <v>5.7935907951738493E-13</v>
      </c>
      <c r="CL261" s="16">
        <v>1.8026857191954313E-12</v>
      </c>
      <c r="CM261" s="16">
        <v>5.7299171095185335E-12</v>
      </c>
      <c r="CN261" s="16">
        <v>2.2261549843764409E-11</v>
      </c>
      <c r="CO261" s="16">
        <v>9.635107069903067E-11</v>
      </c>
      <c r="CP261" s="16">
        <v>4.3331863793256768E-10</v>
      </c>
      <c r="CQ261" s="16">
        <v>2.1294657234743402E-9</v>
      </c>
      <c r="CR261" s="16">
        <v>9.5759420316388831E-9</v>
      </c>
      <c r="CS261" s="16">
        <v>4.2161605010374956E-8</v>
      </c>
      <c r="CT261" s="16">
        <v>1.9536383508648557E-7</v>
      </c>
      <c r="CU261" s="16">
        <v>9.3422086671932989E-7</v>
      </c>
      <c r="CV261" s="16">
        <v>4.283145030813907E-6</v>
      </c>
      <c r="CW261" s="16">
        <v>1.8973418884715457E-5</v>
      </c>
      <c r="CX261" s="16">
        <v>8.1771165996633323E-5</v>
      </c>
      <c r="CY261" s="16">
        <v>3.4297468715614531E-4</v>
      </c>
      <c r="CZ261" s="16">
        <v>1.4012682158537711E-3</v>
      </c>
      <c r="DA261" s="16">
        <v>5.5816303469715693E-3</v>
      </c>
      <c r="DB261" s="16">
        <v>2.1694372719926625E-2</v>
      </c>
      <c r="DC261" s="16">
        <v>8.2343221955014492E-2</v>
      </c>
      <c r="DD261" s="16">
        <v>0.30940552236071517</v>
      </c>
      <c r="DE261" s="16">
        <v>0.17458044028924968</v>
      </c>
      <c r="DF261" s="16">
        <v>0.3009071166345334</v>
      </c>
      <c r="DG261" s="16">
        <v>7.7087179162335873E-2</v>
      </c>
      <c r="DH261" s="16">
        <v>1.9748396972185743E-2</v>
      </c>
      <c r="DI261" s="16">
        <v>5.0591964456575527E-3</v>
      </c>
      <c r="DJ261" s="16">
        <v>1.2960782877127514E-3</v>
      </c>
      <c r="DK261" s="16">
        <v>3.3203272635054884E-4</v>
      </c>
      <c r="DL261" s="16">
        <v>8.5060908354491629E-5</v>
      </c>
      <c r="DM261" s="16">
        <v>2.179070463659256E-5</v>
      </c>
      <c r="DN261" s="16">
        <v>5.5807950200792206E-6</v>
      </c>
      <c r="DO261" s="16">
        <v>1.4236160511466111E-6</v>
      </c>
      <c r="DP261" s="16">
        <v>3.416253659159595E-7</v>
      </c>
    </row>
    <row r="262" spans="3:120" x14ac:dyDescent="0.25">
      <c r="C262" s="1"/>
      <c r="D262" s="1"/>
      <c r="E262" s="1"/>
      <c r="F262" s="1"/>
      <c r="G262" s="1"/>
      <c r="H262" s="1"/>
      <c r="I262" s="1"/>
      <c r="O262" s="9">
        <f t="shared" si="194"/>
        <v>10</v>
      </c>
      <c r="P262" s="16">
        <v>1.637292091528748E-45</v>
      </c>
      <c r="Q262" s="16">
        <v>1.2408259779738924E-43</v>
      </c>
      <c r="R262" s="16">
        <v>9.4020407508219715E-42</v>
      </c>
      <c r="S262" s="16">
        <v>7.1241551450087E-40</v>
      </c>
      <c r="T262" s="16">
        <v>5.398145772285775E-38</v>
      </c>
      <c r="U262" s="16">
        <v>4.0903064553924961E-36</v>
      </c>
      <c r="V262" s="16">
        <v>3.0993247690569799E-34</v>
      </c>
      <c r="W262" s="16">
        <v>2.3484338224648631E-32</v>
      </c>
      <c r="X262" s="16">
        <v>1.7794654737570469E-30</v>
      </c>
      <c r="Y262" s="16">
        <v>1.3483443058957086E-28</v>
      </c>
      <c r="Z262" s="16">
        <v>1.0216733024906098E-26</v>
      </c>
      <c r="AA262" s="16">
        <v>7.7414673125990543E-25</v>
      </c>
      <c r="AB262" s="16">
        <v>5.8658982285181569E-23</v>
      </c>
      <c r="AC262" s="16">
        <v>2.2443983040073736E-21</v>
      </c>
      <c r="AD262" s="16">
        <v>4.2882309132063908E-20</v>
      </c>
      <c r="AE262" s="16">
        <v>5.0832902941774205E-19</v>
      </c>
      <c r="AF262" s="16">
        <v>4.2293434245340158E-18</v>
      </c>
      <c r="AG262" s="16">
        <v>2.6798273676757928E-17</v>
      </c>
      <c r="AH262" s="16">
        <v>1.3692886178194251E-16</v>
      </c>
      <c r="AI262" s="16">
        <v>5.881975854371462E-16</v>
      </c>
      <c r="AJ262" s="16">
        <v>2.1913757116360578E-15</v>
      </c>
      <c r="AK262" s="16">
        <v>7.8980999625168271E-15</v>
      </c>
      <c r="AL262" s="16">
        <v>3.6327312605653993E-14</v>
      </c>
      <c r="AM262" s="16">
        <v>1.8842701295457712E-13</v>
      </c>
      <c r="AN262" s="16">
        <v>1.0526931598289842E-12</v>
      </c>
      <c r="AO262" s="16">
        <v>6.6020208503095209E-12</v>
      </c>
      <c r="AP262" s="16">
        <v>3.9053574216743886E-11</v>
      </c>
      <c r="AQ262" s="16">
        <v>2.3001667123350357E-10</v>
      </c>
      <c r="AR262" s="16">
        <v>1.3410017891044299E-9</v>
      </c>
      <c r="AS262" s="16">
        <v>7.7423484501749191E-9</v>
      </c>
      <c r="AT262" s="16">
        <v>4.451244700629482E-8</v>
      </c>
      <c r="AU262" s="16">
        <v>2.5480326805717904E-7</v>
      </c>
      <c r="AV262" s="16">
        <v>1.4517459248121097E-6</v>
      </c>
      <c r="AW262" s="16">
        <v>8.2330947045067225E-6</v>
      </c>
      <c r="AX262" s="16">
        <v>4.6476437455325619E-5</v>
      </c>
      <c r="AY262" s="16">
        <v>2.6116178802829126E-4</v>
      </c>
      <c r="AZ262" s="16">
        <v>1.4608421627831931E-3</v>
      </c>
      <c r="BA262" s="16">
        <v>8.1343625061487644E-3</v>
      </c>
      <c r="BB262" s="16">
        <v>4.5186657497559513E-2</v>
      </c>
      <c r="BC262" s="16">
        <v>0.25132843039565639</v>
      </c>
      <c r="BD262" s="16">
        <v>0.39775546493538971</v>
      </c>
      <c r="BE262" s="16">
        <v>0.24414625763066572</v>
      </c>
      <c r="BF262" s="16">
        <v>4.264508106774817E-2</v>
      </c>
      <c r="BG262" s="16">
        <v>7.4488257855023308E-3</v>
      </c>
      <c r="BH262" s="16">
        <v>1.3010880549869023E-3</v>
      </c>
      <c r="BI262" s="16">
        <v>2.2726133944494023E-4</v>
      </c>
      <c r="BJ262" s="16">
        <v>3.969578748154842E-5</v>
      </c>
      <c r="BK262" s="16">
        <v>6.9336654847758923E-6</v>
      </c>
      <c r="BL262" s="16">
        <v>1.2110685482890584E-6</v>
      </c>
      <c r="BM262" s="16">
        <v>2.1133549509509483E-7</v>
      </c>
      <c r="BN262" s="16">
        <v>3.5789952006955222E-8</v>
      </c>
      <c r="BQ262" s="9">
        <f t="shared" si="195"/>
        <v>10</v>
      </c>
      <c r="BR262" s="16">
        <v>7.0765121188356568E-28</v>
      </c>
      <c r="BS262" s="16">
        <v>8.4323076617020155E-27</v>
      </c>
      <c r="BT262" s="16">
        <v>9.9791186715639479E-26</v>
      </c>
      <c r="BU262" s="16">
        <v>1.0740375222926128E-24</v>
      </c>
      <c r="BV262" s="16">
        <v>9.9942604828512995E-24</v>
      </c>
      <c r="BW262" s="16">
        <v>8.2471185004538829E-23</v>
      </c>
      <c r="BX262" s="16">
        <v>6.1013472746242628E-22</v>
      </c>
      <c r="BY262" s="16">
        <v>4.0872255736332019E-21</v>
      </c>
      <c r="BZ262" s="16">
        <v>2.5007849799463074E-20</v>
      </c>
      <c r="CA262" s="16">
        <v>1.4082483572561121E-19</v>
      </c>
      <c r="CB262" s="16">
        <v>7.3478924926756882E-19</v>
      </c>
      <c r="CC262" s="16">
        <v>3.573753447958235E-18</v>
      </c>
      <c r="CD262" s="16">
        <v>1.6288493269401191E-17</v>
      </c>
      <c r="CE262" s="16">
        <v>6.9904503072688935E-17</v>
      </c>
      <c r="CF262" s="16">
        <v>2.8370033246038872E-16</v>
      </c>
      <c r="CG262" s="16">
        <v>1.0930086755088492E-15</v>
      </c>
      <c r="CH262" s="16">
        <v>4.0115659352195311E-15</v>
      </c>
      <c r="CI262" s="16">
        <v>1.4070404248161874E-14</v>
      </c>
      <c r="CJ262" s="16">
        <v>4.7299020612003406E-14</v>
      </c>
      <c r="CK262" s="16">
        <v>1.5278841145531712E-13</v>
      </c>
      <c r="CL262" s="16">
        <v>4.7540376448142121E-13</v>
      </c>
      <c r="CM262" s="16">
        <v>1.5110921083057074E-12</v>
      </c>
      <c r="CN262" s="16">
        <v>5.8708095849563096E-12</v>
      </c>
      <c r="CO262" s="16">
        <v>2.5409676925037475E-11</v>
      </c>
      <c r="CP262" s="16">
        <v>1.1427466779125899E-10</v>
      </c>
      <c r="CQ262" s="16">
        <v>5.6158209414655244E-10</v>
      </c>
      <c r="CR262" s="16">
        <v>2.5253647054622606E-9</v>
      </c>
      <c r="CS262" s="16">
        <v>1.111884646618096E-8</v>
      </c>
      <c r="CT262" s="16">
        <v>5.1521294951565511E-8</v>
      </c>
      <c r="CU262" s="16">
        <v>2.4637246091553275E-7</v>
      </c>
      <c r="CV262" s="16">
        <v>1.129549787734284E-6</v>
      </c>
      <c r="CW262" s="16">
        <v>5.003664624858963E-6</v>
      </c>
      <c r="CX262" s="16">
        <v>2.1564668609115588E-5</v>
      </c>
      <c r="CY262" s="16">
        <v>9.0449186821450956E-5</v>
      </c>
      <c r="CZ262" s="16">
        <v>3.6954205481938888E-4</v>
      </c>
      <c r="DA262" s="16">
        <v>1.4719859655172389E-3</v>
      </c>
      <c r="DB262" s="16">
        <v>5.7212337953835308E-3</v>
      </c>
      <c r="DC262" s="16">
        <v>2.1715531043544709E-2</v>
      </c>
      <c r="DD262" s="16">
        <v>8.1596336241724049E-2</v>
      </c>
      <c r="DE262" s="16">
        <v>0.30976001920566482</v>
      </c>
      <c r="DF262" s="16">
        <v>0.17467125622628593</v>
      </c>
      <c r="DG262" s="16">
        <v>0.30093038210040685</v>
      </c>
      <c r="DH262" s="16">
        <v>7.7093139368809849E-2</v>
      </c>
      <c r="DI262" s="16">
        <v>1.9749923866154536E-2</v>
      </c>
      <c r="DJ262" s="16">
        <v>5.0595875811214582E-3</v>
      </c>
      <c r="DK262" s="16">
        <v>1.2961783826606788E-3</v>
      </c>
      <c r="DL262" s="16">
        <v>3.320579625701433E-4</v>
      </c>
      <c r="DM262" s="16">
        <v>8.5065832526024491E-5</v>
      </c>
      <c r="DN262" s="16">
        <v>2.1786123140915797E-5</v>
      </c>
      <c r="DO262" s="16">
        <v>5.5574652865899536E-6</v>
      </c>
      <c r="DP262" s="16">
        <v>1.3336258119367125E-6</v>
      </c>
    </row>
    <row r="263" spans="3:120" x14ac:dyDescent="0.25">
      <c r="C263" s="1"/>
      <c r="D263" s="1"/>
      <c r="E263" s="1"/>
      <c r="F263" s="1"/>
      <c r="G263" s="1"/>
      <c r="H263" s="1"/>
      <c r="I263" s="1"/>
      <c r="O263" s="9">
        <f t="shared" si="194"/>
        <v>9</v>
      </c>
      <c r="P263" s="16">
        <v>2.9440009117167968E-46</v>
      </c>
      <c r="Q263" s="16">
        <v>2.2311185825286728E-44</v>
      </c>
      <c r="R263" s="16">
        <v>1.6905729091120063E-42</v>
      </c>
      <c r="S263" s="16">
        <v>1.2809882458135151E-40</v>
      </c>
      <c r="T263" s="16">
        <v>9.7063597615932528E-39</v>
      </c>
      <c r="U263" s="16">
        <v>7.3547450672854946E-37</v>
      </c>
      <c r="V263" s="16">
        <v>5.572869369503085E-35</v>
      </c>
      <c r="W263" s="16">
        <v>4.2226987781927648E-33</v>
      </c>
      <c r="X263" s="16">
        <v>3.1996416547873651E-31</v>
      </c>
      <c r="Y263" s="16">
        <v>2.424446368734824E-29</v>
      </c>
      <c r="Z263" s="16">
        <v>1.8370620303923057E-27</v>
      </c>
      <c r="AA263" s="16">
        <v>1.3919866188956812E-25</v>
      </c>
      <c r="AB263" s="16">
        <v>1.0547421454085846E-23</v>
      </c>
      <c r="AC263" s="16">
        <v>4.0356334019080713E-22</v>
      </c>
      <c r="AD263" s="16">
        <v>7.7106313427216006E-21</v>
      </c>
      <c r="AE263" s="16">
        <v>9.1402208182697419E-20</v>
      </c>
      <c r="AF263" s="16">
        <v>7.6047462527995489E-19</v>
      </c>
      <c r="AG263" s="16">
        <v>4.8185746785808819E-18</v>
      </c>
      <c r="AH263" s="16">
        <v>2.4621061569410508E-17</v>
      </c>
      <c r="AI263" s="16">
        <v>1.0576330495676693E-16</v>
      </c>
      <c r="AJ263" s="16">
        <v>3.9402939318829093E-16</v>
      </c>
      <c r="AK263" s="16">
        <v>1.4201506017640029E-15</v>
      </c>
      <c r="AL263" s="16">
        <v>6.5319830215150495E-15</v>
      </c>
      <c r="AM263" s="16">
        <v>3.3880900103315976E-14</v>
      </c>
      <c r="AN263" s="16">
        <v>1.8928385706675541E-13</v>
      </c>
      <c r="AO263" s="16">
        <v>1.1871037246834015E-12</v>
      </c>
      <c r="AP263" s="16">
        <v>7.0221897909823769E-12</v>
      </c>
      <c r="AQ263" s="16">
        <v>4.135910100128932E-11</v>
      </c>
      <c r="AR263" s="16">
        <v>2.4112438520674178E-10</v>
      </c>
      <c r="AS263" s="16">
        <v>1.3921450554898671E-9</v>
      </c>
      <c r="AT263" s="16">
        <v>8.0037450401974704E-9</v>
      </c>
      <c r="AU263" s="16">
        <v>4.5815957784804554E-8</v>
      </c>
      <c r="AV263" s="16">
        <v>2.6103719356742234E-7</v>
      </c>
      <c r="AW263" s="16">
        <v>1.4803857199167902E-6</v>
      </c>
      <c r="AX263" s="16">
        <v>8.3568884837201858E-6</v>
      </c>
      <c r="AY263" s="16">
        <v>4.6959277824581045E-5</v>
      </c>
      <c r="AZ263" s="16">
        <v>2.6267278034015624E-4</v>
      </c>
      <c r="BA263" s="16">
        <v>1.4626327677413333E-3</v>
      </c>
      <c r="BB263" s="16">
        <v>8.1249742522141837E-3</v>
      </c>
      <c r="BC263" s="16">
        <v>4.5191150195705472E-2</v>
      </c>
      <c r="BD263" s="16">
        <v>0.25132921513623957</v>
      </c>
      <c r="BE263" s="16">
        <v>0.39775560200620047</v>
      </c>
      <c r="BF263" s="16">
        <v>0.2441462815728479</v>
      </c>
      <c r="BG263" s="16">
        <v>4.2645085249696568E-2</v>
      </c>
      <c r="BH263" s="16">
        <v>7.4488265157535254E-3</v>
      </c>
      <c r="BI263" s="16">
        <v>1.3010881813684584E-3</v>
      </c>
      <c r="BJ263" s="16">
        <v>2.2726135500433239E-4</v>
      </c>
      <c r="BK263" s="16">
        <v>3.9695753962542991E-5</v>
      </c>
      <c r="BL263" s="16">
        <v>6.9334581009441976E-6</v>
      </c>
      <c r="BM263" s="16">
        <v>1.2099115302385035E-6</v>
      </c>
      <c r="BN263" s="16">
        <v>2.0490015451693456E-7</v>
      </c>
      <c r="BQ263" s="9">
        <f t="shared" si="195"/>
        <v>9</v>
      </c>
      <c r="BR263" s="16">
        <v>1.8662157606643566E-28</v>
      </c>
      <c r="BS263" s="16">
        <v>2.2237657751129995E-27</v>
      </c>
      <c r="BT263" s="16">
        <v>2.6316903341185525E-26</v>
      </c>
      <c r="BU263" s="16">
        <v>2.8324486950460614E-25</v>
      </c>
      <c r="BV263" s="16">
        <v>2.6356835282790268E-24</v>
      </c>
      <c r="BW263" s="16">
        <v>2.1749277422485348E-23</v>
      </c>
      <c r="BX263" s="16">
        <v>1.6090455656654482E-22</v>
      </c>
      <c r="BY263" s="16">
        <v>1.0778819642804091E-21</v>
      </c>
      <c r="BZ263" s="16">
        <v>6.595063027146186E-21</v>
      </c>
      <c r="CA263" s="16">
        <v>3.7138285572150799E-20</v>
      </c>
      <c r="CB263" s="16">
        <v>1.9377841155672208E-19</v>
      </c>
      <c r="CC263" s="16">
        <v>9.4246924152877767E-19</v>
      </c>
      <c r="CD263" s="16">
        <v>4.2955968062177704E-18</v>
      </c>
      <c r="CE263" s="16">
        <v>1.8435195642274537E-17</v>
      </c>
      <c r="CF263" s="16">
        <v>7.4817370881632642E-17</v>
      </c>
      <c r="CG263" s="16">
        <v>2.8824793662801034E-16</v>
      </c>
      <c r="CH263" s="16">
        <v>1.0579290259850118E-15</v>
      </c>
      <c r="CI263" s="16">
        <v>3.7106430012245726E-15</v>
      </c>
      <c r="CJ263" s="16">
        <v>1.2473684245542231E-14</v>
      </c>
      <c r="CK263" s="16">
        <v>4.0293316356490402E-14</v>
      </c>
      <c r="CL263" s="16">
        <v>1.2537334537913175E-13</v>
      </c>
      <c r="CM263" s="16">
        <v>3.9850478045950675E-13</v>
      </c>
      <c r="CN263" s="16">
        <v>1.5482482318008843E-12</v>
      </c>
      <c r="CO263" s="16">
        <v>6.7010327622665983E-12</v>
      </c>
      <c r="CP263" s="16">
        <v>3.0136482845707362E-11</v>
      </c>
      <c r="CQ263" s="16">
        <v>1.4810026993575335E-10</v>
      </c>
      <c r="CR263" s="16">
        <v>6.6598846092764269E-10</v>
      </c>
      <c r="CS263" s="16">
        <v>2.9322590235326619E-9</v>
      </c>
      <c r="CT263" s="16">
        <v>1.3587181231912968E-8</v>
      </c>
      <c r="CU263" s="16">
        <v>6.4973275228401879E-8</v>
      </c>
      <c r="CV263" s="16">
        <v>2.9788454833758397E-7</v>
      </c>
      <c r="CW263" s="16">
        <v>1.319565009877624E-6</v>
      </c>
      <c r="CX263" s="16">
        <v>5.6870282642089317E-6</v>
      </c>
      <c r="CY263" s="16">
        <v>2.3853233789591805E-5</v>
      </c>
      <c r="CZ263" s="16">
        <v>9.7455525455343497E-5</v>
      </c>
      <c r="DA263" s="16">
        <v>3.8819171962034316E-4</v>
      </c>
      <c r="DB263" s="16">
        <v>1.5088021471723367E-3</v>
      </c>
      <c r="DC263" s="16">
        <v>5.7268136624525718E-3</v>
      </c>
      <c r="DD263" s="16">
        <v>2.1518562555903408E-2</v>
      </c>
      <c r="DE263" s="16">
        <v>8.1689824048576692E-2</v>
      </c>
      <c r="DF263" s="16">
        <v>0.30978396915818301</v>
      </c>
      <c r="DG263" s="16">
        <v>0.1746773917862969</v>
      </c>
      <c r="DH263" s="16">
        <v>0.30093195391668826</v>
      </c>
      <c r="DI263" s="16">
        <v>7.7093542011758803E-2</v>
      </c>
      <c r="DJ263" s="16">
        <v>1.9750026905967423E-2</v>
      </c>
      <c r="DK263" s="16">
        <v>5.059613559808683E-3</v>
      </c>
      <c r="DL263" s="16">
        <v>1.2961834517048595E-3</v>
      </c>
      <c r="DM263" s="16">
        <v>3.3205324628358702E-4</v>
      </c>
      <c r="DN263" s="16">
        <v>8.5041816415091227E-5</v>
      </c>
      <c r="DO263" s="16">
        <v>2.1693485324510025E-5</v>
      </c>
      <c r="DP263" s="16">
        <v>5.2057890580885345E-6</v>
      </c>
    </row>
    <row r="264" spans="3:120" x14ac:dyDescent="0.25">
      <c r="C264" s="1"/>
      <c r="D264" s="1"/>
      <c r="E264" s="1"/>
      <c r="F264" s="1"/>
      <c r="G264" s="1"/>
      <c r="H264" s="1"/>
      <c r="I264" s="1"/>
      <c r="O264" s="9">
        <f t="shared" si="194"/>
        <v>8</v>
      </c>
      <c r="P264" s="16">
        <v>5.2935828695639364E-47</v>
      </c>
      <c r="Q264" s="16">
        <v>4.0117552482523473E-45</v>
      </c>
      <c r="R264" s="16">
        <v>3.0398046942877681E-43</v>
      </c>
      <c r="S264" s="16">
        <v>2.3033340129629329E-41</v>
      </c>
      <c r="T264" s="16">
        <v>1.745292250260603E-39</v>
      </c>
      <c r="U264" s="16">
        <v>1.3224504225947598E-37</v>
      </c>
      <c r="V264" s="16">
        <v>1.0020528767946577E-35</v>
      </c>
      <c r="W264" s="16">
        <v>7.5927985710216687E-34</v>
      </c>
      <c r="X264" s="16">
        <v>5.7532483040735362E-32</v>
      </c>
      <c r="Y264" s="16">
        <v>4.3593762877698955E-30</v>
      </c>
      <c r="Z264" s="16">
        <v>3.3032055308502334E-28</v>
      </c>
      <c r="AA264" s="16">
        <v>2.502919238619189E-26</v>
      </c>
      <c r="AB264" s="16">
        <v>1.8965228341203381E-24</v>
      </c>
      <c r="AC264" s="16">
        <v>7.2564379172432979E-23</v>
      </c>
      <c r="AD264" s="16">
        <v>1.3864420295152512E-21</v>
      </c>
      <c r="AE264" s="16">
        <v>1.6434952908832123E-20</v>
      </c>
      <c r="AF264" s="16">
        <v>1.3674029220230338E-19</v>
      </c>
      <c r="AG264" s="16">
        <v>8.664237933056745E-19</v>
      </c>
      <c r="AH264" s="16">
        <v>4.4270920309704074E-18</v>
      </c>
      <c r="AI264" s="16">
        <v>1.9017209441729456E-17</v>
      </c>
      <c r="AJ264" s="16">
        <v>7.0850088312977361E-17</v>
      </c>
      <c r="AK264" s="16">
        <v>2.5535606554261895E-16</v>
      </c>
      <c r="AL264" s="16">
        <v>1.1745102825668145E-15</v>
      </c>
      <c r="AM264" s="16">
        <v>6.0920956810346768E-15</v>
      </c>
      <c r="AN264" s="16">
        <v>3.4034968510565239E-14</v>
      </c>
      <c r="AO264" s="16">
        <v>2.1345210581864462E-13</v>
      </c>
      <c r="AP264" s="16">
        <v>1.262653942681488E-12</v>
      </c>
      <c r="AQ264" s="16">
        <v>7.4367445909966143E-12</v>
      </c>
      <c r="AR264" s="16">
        <v>4.3356369554254092E-11</v>
      </c>
      <c r="AS264" s="16">
        <v>2.5032041221046378E-10</v>
      </c>
      <c r="AT264" s="16">
        <v>1.4391465528602513E-9</v>
      </c>
      <c r="AU264" s="16">
        <v>8.2381281988419622E-9</v>
      </c>
      <c r="AV264" s="16">
        <v>4.6936874601093177E-8</v>
      </c>
      <c r="AW264" s="16">
        <v>2.6618689063953822E-7</v>
      </c>
      <c r="AX264" s="16">
        <v>1.5026449735193854E-6</v>
      </c>
      <c r="AY264" s="16">
        <v>8.4437075977104435E-6</v>
      </c>
      <c r="AZ264" s="16">
        <v>4.7230968060350306E-5</v>
      </c>
      <c r="BA264" s="16">
        <v>2.629947474867909E-4</v>
      </c>
      <c r="BB264" s="16">
        <v>1.4609446738278221E-3</v>
      </c>
      <c r="BC264" s="16">
        <v>8.1257820804265402E-3</v>
      </c>
      <c r="BD264" s="16">
        <v>4.5191291299237553E-2</v>
      </c>
      <c r="BE264" s="16">
        <v>0.25132923978281785</v>
      </c>
      <c r="BF264" s="16">
        <v>0.39775560631118478</v>
      </c>
      <c r="BG264" s="16">
        <v>0.24414628232458357</v>
      </c>
      <c r="BH264" s="16">
        <v>4.2645085379796353E-2</v>
      </c>
      <c r="BI264" s="16">
        <v>7.4488265317706878E-3</v>
      </c>
      <c r="BJ264" s="16">
        <v>1.3010881468632997E-3</v>
      </c>
      <c r="BK264" s="16">
        <v>2.2726114151911997E-4</v>
      </c>
      <c r="BL264" s="16">
        <v>3.9694562904193929E-5</v>
      </c>
      <c r="BM264" s="16">
        <v>6.9268334280438679E-6</v>
      </c>
      <c r="BN264" s="16">
        <v>1.1730686122476035E-6</v>
      </c>
      <c r="BQ264" s="9">
        <f t="shared" si="195"/>
        <v>8</v>
      </c>
      <c r="BR264" s="16">
        <v>4.921578889115626E-29</v>
      </c>
      <c r="BS264" s="16">
        <v>5.8645087689313384E-28</v>
      </c>
      <c r="BT264" s="16">
        <v>6.9402862541878297E-27</v>
      </c>
      <c r="BU264" s="16">
        <v>7.4697256318740118E-26</v>
      </c>
      <c r="BV264" s="16">
        <v>6.9508170944553732E-25</v>
      </c>
      <c r="BW264" s="16">
        <v>5.7357132477499497E-24</v>
      </c>
      <c r="BX264" s="16">
        <v>4.2433703832750128E-23</v>
      </c>
      <c r="BY264" s="16">
        <v>2.8425872464352429E-22</v>
      </c>
      <c r="BZ264" s="16">
        <v>1.7392481432712185E-21</v>
      </c>
      <c r="CA264" s="16">
        <v>9.7940980942512823E-21</v>
      </c>
      <c r="CB264" s="16">
        <v>5.1103187508416262E-20</v>
      </c>
      <c r="CC264" s="16">
        <v>2.4854771996446997E-19</v>
      </c>
      <c r="CD264" s="16">
        <v>1.1328335663668295E-18</v>
      </c>
      <c r="CE264" s="16">
        <v>4.8617245445100927E-18</v>
      </c>
      <c r="CF264" s="16">
        <v>1.9730815741213882E-17</v>
      </c>
      <c r="CG264" s="16">
        <v>7.6016663755670613E-17</v>
      </c>
      <c r="CH264" s="16">
        <v>2.7899674143877973E-16</v>
      </c>
      <c r="CI264" s="16">
        <v>9.7856971550654543E-16</v>
      </c>
      <c r="CJ264" s="16">
        <v>3.2895564567786328E-15</v>
      </c>
      <c r="CK264" s="16">
        <v>1.0626141914157081E-14</v>
      </c>
      <c r="CL264" s="16">
        <v>3.3063422937553476E-14</v>
      </c>
      <c r="CM264" s="16">
        <v>1.0509356721020136E-13</v>
      </c>
      <c r="CN264" s="16">
        <v>4.083035827555779E-13</v>
      </c>
      <c r="CO264" s="16">
        <v>1.7671944516374139E-12</v>
      </c>
      <c r="CP264" s="16">
        <v>7.9475846733192431E-12</v>
      </c>
      <c r="CQ264" s="16">
        <v>3.9056961009087822E-11</v>
      </c>
      <c r="CR264" s="16">
        <v>1.7563428724496764E-10</v>
      </c>
      <c r="CS264" s="16">
        <v>7.7329451459030217E-10</v>
      </c>
      <c r="CT264" s="16">
        <v>3.5832075649048017E-9</v>
      </c>
      <c r="CU264" s="16">
        <v>1.7134733639103242E-8</v>
      </c>
      <c r="CV264" s="16">
        <v>7.8558028251250609E-8</v>
      </c>
      <c r="CW264" s="16">
        <v>3.479953085980497E-7</v>
      </c>
      <c r="CX264" s="16">
        <v>1.4997814741941022E-6</v>
      </c>
      <c r="CY264" s="16">
        <v>6.2905680216848426E-6</v>
      </c>
      <c r="CZ264" s="16">
        <v>2.5700943418136345E-5</v>
      </c>
      <c r="DA264" s="16">
        <v>1.0237380974281591E-4</v>
      </c>
      <c r="DB264" s="16">
        <v>3.9790087255142567E-4</v>
      </c>
      <c r="DC264" s="16">
        <v>1.5102736680881917E-3</v>
      </c>
      <c r="DD264" s="16">
        <v>5.6748691888416393E-3</v>
      </c>
      <c r="DE264" s="16">
        <v>2.1543217133152992E-2</v>
      </c>
      <c r="DF264" s="16">
        <v>8.1696140121151173E-2</v>
      </c>
      <c r="DG264" s="16">
        <v>0.30978558721842342</v>
      </c>
      <c r="DH264" s="16">
        <v>0.17467780627528939</v>
      </c>
      <c r="DI264" s="16">
        <v>0.3009320599880061</v>
      </c>
      <c r="DJ264" s="16">
        <v>7.7093568754757605E-2</v>
      </c>
      <c r="DK264" s="16">
        <v>1.9750032124146513E-2</v>
      </c>
      <c r="DL264" s="16">
        <v>5.0596087047656028E-3</v>
      </c>
      <c r="DM264" s="16">
        <v>1.2961587290227668E-3</v>
      </c>
      <c r="DN264" s="16">
        <v>3.3195788299637081E-4</v>
      </c>
      <c r="DO264" s="16">
        <v>8.4679793620439013E-5</v>
      </c>
      <c r="DP264" s="16">
        <v>2.0320623287416967E-5</v>
      </c>
    </row>
    <row r="265" spans="3:120" x14ac:dyDescent="0.25">
      <c r="C265" s="1"/>
      <c r="D265" s="1"/>
      <c r="E265" s="1"/>
      <c r="F265" s="1"/>
      <c r="G265" s="1"/>
      <c r="H265" s="1"/>
      <c r="I265" s="1"/>
      <c r="O265" s="9">
        <f t="shared" si="194"/>
        <v>7</v>
      </c>
      <c r="P265" s="16">
        <v>9.5183461001629956E-48</v>
      </c>
      <c r="Q265" s="16">
        <v>7.2135028132952791E-46</v>
      </c>
      <c r="R265" s="16">
        <v>5.4658468319236106E-44</v>
      </c>
      <c r="S265" s="16">
        <v>4.1416051963052609E-42</v>
      </c>
      <c r="T265" s="16">
        <v>3.1381950737801825E-40</v>
      </c>
      <c r="U265" s="16">
        <v>2.3778867985494759E-38</v>
      </c>
      <c r="V265" s="16">
        <v>1.8017827106919797E-36</v>
      </c>
      <c r="W265" s="16">
        <v>1.3652546195760347E-34</v>
      </c>
      <c r="X265" s="16">
        <v>1.0344866588035244E-32</v>
      </c>
      <c r="Y265" s="16">
        <v>7.8385572324582733E-31</v>
      </c>
      <c r="Z265" s="16">
        <v>5.9394656241954961E-29</v>
      </c>
      <c r="AA265" s="16">
        <v>4.5004776841996208E-27</v>
      </c>
      <c r="AB265" s="16">
        <v>3.4101214936692619E-25</v>
      </c>
      <c r="AC265" s="16">
        <v>1.3047738979924056E-23</v>
      </c>
      <c r="AD265" s="16">
        <v>2.4929495598555992E-22</v>
      </c>
      <c r="AE265" s="16">
        <v>2.955154831438976E-21</v>
      </c>
      <c r="AF265" s="16">
        <v>2.4587155034491006E-20</v>
      </c>
      <c r="AG265" s="16">
        <v>1.5579092152341884E-19</v>
      </c>
      <c r="AH265" s="16">
        <v>7.9603163313699201E-19</v>
      </c>
      <c r="AI265" s="16">
        <v>3.4194681709135036E-18</v>
      </c>
      <c r="AJ265" s="16">
        <v>1.2739493806121981E-17</v>
      </c>
      <c r="AK265" s="16">
        <v>4.5915355828004122E-17</v>
      </c>
      <c r="AL265" s="16">
        <v>2.1118768975826179E-16</v>
      </c>
      <c r="AM265" s="16">
        <v>1.0954145159566179E-15</v>
      </c>
      <c r="AN265" s="16">
        <v>6.1197985896156402E-15</v>
      </c>
      <c r="AO265" s="16">
        <v>3.8380640655916254E-14</v>
      </c>
      <c r="AP265" s="16">
        <v>2.2703672592487048E-13</v>
      </c>
      <c r="AQ265" s="16">
        <v>1.3371946868464132E-12</v>
      </c>
      <c r="AR265" s="16">
        <v>7.7958717419295847E-12</v>
      </c>
      <c r="AS265" s="16">
        <v>4.5009899307591901E-11</v>
      </c>
      <c r="AT265" s="16">
        <v>2.5877171126837951E-10</v>
      </c>
      <c r="AU265" s="16">
        <v>1.4812907882284566E-9</v>
      </c>
      <c r="AV265" s="16">
        <v>8.4396792932412745E-9</v>
      </c>
      <c r="AW265" s="16">
        <v>4.786283722884411E-8</v>
      </c>
      <c r="AX265" s="16">
        <v>2.70189307998988E-7</v>
      </c>
      <c r="AY265" s="16">
        <v>1.5182558441784515E-6</v>
      </c>
      <c r="AZ265" s="16">
        <v>8.4925599867144656E-6</v>
      </c>
      <c r="BA265" s="16">
        <v>4.7288860697678221E-5</v>
      </c>
      <c r="BB265" s="16">
        <v>2.6269121276320832E-4</v>
      </c>
      <c r="BC265" s="16">
        <v>1.4610899287267336E-3</v>
      </c>
      <c r="BD265" s="16">
        <v>8.1258074521247895E-3</v>
      </c>
      <c r="BE265" s="16">
        <v>4.5191295730877587E-2</v>
      </c>
      <c r="BF265" s="16">
        <v>0.25132924055667011</v>
      </c>
      <c r="BG265" s="16">
        <v>0.3977556064451121</v>
      </c>
      <c r="BH265" s="16">
        <v>0.24414628234107194</v>
      </c>
      <c r="BI265" s="16">
        <v>4.2645085344276037E-2</v>
      </c>
      <c r="BJ265" s="16">
        <v>7.4488263120045875E-3</v>
      </c>
      <c r="BK265" s="16">
        <v>1.3010869207631618E-3</v>
      </c>
      <c r="BL265" s="16">
        <v>2.2725432194360516E-4</v>
      </c>
      <c r="BM265" s="16">
        <v>3.9656636041206799E-5</v>
      </c>
      <c r="BN265" s="16">
        <v>6.7159049644425986E-6</v>
      </c>
      <c r="BQ265" s="9">
        <f t="shared" si="195"/>
        <v>7</v>
      </c>
      <c r="BR265" s="16">
        <v>1.2979173825016304E-29</v>
      </c>
      <c r="BS265" s="16">
        <v>1.5465865817700997E-28</v>
      </c>
      <c r="BT265" s="16">
        <v>1.8302903136977196E-27</v>
      </c>
      <c r="BU265" s="16">
        <v>1.9699139155461951E-26</v>
      </c>
      <c r="BV265" s="16">
        <v>1.8330675038928869E-25</v>
      </c>
      <c r="BW265" s="16">
        <v>1.5126206636174157E-24</v>
      </c>
      <c r="BX265" s="16">
        <v>1.1190604285599318E-23</v>
      </c>
      <c r="BY265" s="16">
        <v>7.4964629878943468E-23</v>
      </c>
      <c r="BZ265" s="16">
        <v>4.5867402483942303E-22</v>
      </c>
      <c r="CA265" s="16">
        <v>2.5828967591209493E-21</v>
      </c>
      <c r="CB265" s="16">
        <v>1.3476918050648638E-20</v>
      </c>
      <c r="CC265" s="16">
        <v>6.554693389888975E-20</v>
      </c>
      <c r="CD265" s="16">
        <v>2.9875054538301423E-19</v>
      </c>
      <c r="CE265" s="16">
        <v>1.2821326117944958E-18</v>
      </c>
      <c r="CF265" s="16">
        <v>5.203405106051251E-18</v>
      </c>
      <c r="CG265" s="16">
        <v>2.0047092908835949E-17</v>
      </c>
      <c r="CH265" s="16">
        <v>7.3576941167303872E-17</v>
      </c>
      <c r="CI265" s="16">
        <v>2.5806812658322526E-16</v>
      </c>
      <c r="CJ265" s="16">
        <v>8.6752089160165297E-16</v>
      </c>
      <c r="CK265" s="16">
        <v>2.8023231182609218E-15</v>
      </c>
      <c r="CL265" s="16">
        <v>8.7194764774694187E-15</v>
      </c>
      <c r="CM265" s="16">
        <v>2.7715245603984286E-14</v>
      </c>
      <c r="CN265" s="16">
        <v>1.0767770452042574E-13</v>
      </c>
      <c r="CO265" s="16">
        <v>4.6604401731997708E-13</v>
      </c>
      <c r="CP265" s="16">
        <v>2.095934765816215E-12</v>
      </c>
      <c r="CQ265" s="16">
        <v>1.0300090630162112E-11</v>
      </c>
      <c r="CR265" s="16">
        <v>4.6318224194815358E-11</v>
      </c>
      <c r="CS265" s="16">
        <v>2.0393300907958559E-10</v>
      </c>
      <c r="CT265" s="16">
        <v>9.4496247817679125E-10</v>
      </c>
      <c r="CU265" s="16">
        <v>4.5187670736948806E-9</v>
      </c>
      <c r="CV265" s="16">
        <v>2.0717300829586864E-8</v>
      </c>
      <c r="CW265" s="16">
        <v>9.1773223641161562E-8</v>
      </c>
      <c r="CX265" s="16">
        <v>3.9552194309339517E-7</v>
      </c>
      <c r="CY265" s="16">
        <v>1.6589468065238675E-6</v>
      </c>
      <c r="CZ265" s="16">
        <v>6.777845476146413E-6</v>
      </c>
      <c r="DA265" s="16">
        <v>2.6997991939532201E-5</v>
      </c>
      <c r="DB265" s="16">
        <v>1.049343047490726E-4</v>
      </c>
      <c r="DC265" s="16">
        <v>3.9828894147796504E-4</v>
      </c>
      <c r="DD265" s="16">
        <v>1.4965748857363179E-3</v>
      </c>
      <c r="DE265" s="16">
        <v>5.6813710847883354E-3</v>
      </c>
      <c r="DF265" s="16">
        <v>2.1544882797882921E-2</v>
      </c>
      <c r="DG265" s="16">
        <v>8.1696566804706258E-2</v>
      </c>
      <c r="DH265" s="16">
        <v>0.30978569641043535</v>
      </c>
      <c r="DI265" s="16">
        <v>0.17467783380508634</v>
      </c>
      <c r="DJ265" s="16">
        <v>0.30093206535970773</v>
      </c>
      <c r="DK265" s="16">
        <v>7.7093563756875705E-2</v>
      </c>
      <c r="DL265" s="16">
        <v>1.9750006674105432E-2</v>
      </c>
      <c r="DM265" s="16">
        <v>5.0595105358222743E-3</v>
      </c>
      <c r="DN265" s="16">
        <v>1.295786055258588E-3</v>
      </c>
      <c r="DO265" s="16">
        <v>3.3054463037631679E-4</v>
      </c>
      <c r="DP265" s="16">
        <v>7.9320846525237365E-5</v>
      </c>
    </row>
    <row r="266" spans="3:120" x14ac:dyDescent="0.25">
      <c r="C266" s="1"/>
      <c r="D266" s="1"/>
      <c r="E266" s="1"/>
      <c r="F266" s="1"/>
      <c r="G266" s="1"/>
      <c r="H266" s="1"/>
      <c r="I266" s="1"/>
      <c r="O266" s="9">
        <f t="shared" si="194"/>
        <v>6</v>
      </c>
      <c r="P266" s="16">
        <v>1.7114856744915575E-48</v>
      </c>
      <c r="Q266" s="16">
        <v>1.2970537736222899E-46</v>
      </c>
      <c r="R266" s="16">
        <v>9.8280924578295488E-45</v>
      </c>
      <c r="S266" s="16">
        <v>7.4469848945237072E-43</v>
      </c>
      <c r="T266" s="16">
        <v>5.6427617319386855E-41</v>
      </c>
      <c r="U266" s="16">
        <v>4.2756579225568699E-39</v>
      </c>
      <c r="V266" s="16">
        <v>3.2397700876238182E-37</v>
      </c>
      <c r="W266" s="16">
        <v>2.454852659116683E-35</v>
      </c>
      <c r="X266" s="16">
        <v>1.8601016167762048E-33</v>
      </c>
      <c r="Y266" s="16">
        <v>1.409444274337197E-31</v>
      </c>
      <c r="Z266" s="16">
        <v>1.0679702358975548E-29</v>
      </c>
      <c r="AA266" s="16">
        <v>8.0922704468002995E-28</v>
      </c>
      <c r="AB266" s="16">
        <v>6.1317103026866715E-26</v>
      </c>
      <c r="AC266" s="16">
        <v>2.3461027907214576E-24</v>
      </c>
      <c r="AD266" s="16">
        <v>4.4825512899240218E-23</v>
      </c>
      <c r="AE266" s="16">
        <v>5.3136386371007364E-22</v>
      </c>
      <c r="AF266" s="16">
        <v>4.4209953257860339E-21</v>
      </c>
      <c r="AG266" s="16">
        <v>2.8012632404552286E-20</v>
      </c>
      <c r="AH266" s="16">
        <v>1.4313376738136791E-19</v>
      </c>
      <c r="AI266" s="16">
        <v>6.1485164831294491E-19</v>
      </c>
      <c r="AJ266" s="16">
        <v>2.2906774895565442E-18</v>
      </c>
      <c r="AK266" s="16">
        <v>8.2560008757683027E-18</v>
      </c>
      <c r="AL266" s="16">
        <v>3.797347793899225E-17</v>
      </c>
      <c r="AM266" s="16">
        <v>1.9696554758160669E-16</v>
      </c>
      <c r="AN266" s="16">
        <v>1.1003957522327797E-15</v>
      </c>
      <c r="AO266" s="16">
        <v>6.9011901825343446E-15</v>
      </c>
      <c r="AP266" s="16">
        <v>4.0823279581862219E-14</v>
      </c>
      <c r="AQ266" s="16">
        <v>2.4043983339759729E-13</v>
      </c>
      <c r="AR266" s="16">
        <v>1.4017690327795016E-12</v>
      </c>
      <c r="AS266" s="16">
        <v>8.0931915129595714E-12</v>
      </c>
      <c r="AT266" s="16">
        <v>4.6529520164423622E-11</v>
      </c>
      <c r="AU266" s="16">
        <v>2.6634963019109973E-10</v>
      </c>
      <c r="AV266" s="16">
        <v>1.5175315181529404E-9</v>
      </c>
      <c r="AW266" s="16">
        <v>8.6061758414400489E-9</v>
      </c>
      <c r="AX266" s="16">
        <v>4.8582508470997529E-8</v>
      </c>
      <c r="AY266" s="16">
        <v>2.7299628529792673E-7</v>
      </c>
      <c r="AZ266" s="16">
        <v>1.5270399504356244E-6</v>
      </c>
      <c r="BA266" s="16">
        <v>8.5029696120964906E-6</v>
      </c>
      <c r="BB266" s="16">
        <v>4.7234282377202677E-5</v>
      </c>
      <c r="BC266" s="16">
        <v>2.6271733091496577E-4</v>
      </c>
      <c r="BD266" s="16">
        <v>1.4610944907487832E-3</v>
      </c>
      <c r="BE266" s="16">
        <v>8.1258082487443879E-3</v>
      </c>
      <c r="BF266" s="16">
        <v>4.5191295868745249E-2</v>
      </c>
      <c r="BG266" s="16">
        <v>0.25132924057364364</v>
      </c>
      <c r="BH266" s="16">
        <v>0.39775560640854685</v>
      </c>
      <c r="BI266" s="16">
        <v>0.24414628211484021</v>
      </c>
      <c r="BJ266" s="16">
        <v>4.2645084082103157E-2</v>
      </c>
      <c r="BK266" s="16">
        <v>7.4488192917922819E-3</v>
      </c>
      <c r="BL266" s="16">
        <v>1.3010478780647416E-3</v>
      </c>
      <c r="BM266" s="16">
        <v>2.2703718781375514E-4</v>
      </c>
      <c r="BN266" s="16">
        <v>3.8449054911443377E-5</v>
      </c>
      <c r="BQ266" s="9">
        <f t="shared" si="195"/>
        <v>6</v>
      </c>
      <c r="BR266" s="16">
        <v>3.4228640043048627E-30</v>
      </c>
      <c r="BS266" s="16">
        <v>4.0786537045050508E-29</v>
      </c>
      <c r="BT266" s="16">
        <v>4.8268363739060326E-28</v>
      </c>
      <c r="BU266" s="16">
        <v>5.1950513368626128E-27</v>
      </c>
      <c r="BV266" s="16">
        <v>4.8341603719357246E-26</v>
      </c>
      <c r="BW266" s="16">
        <v>3.9890788824205311E-25</v>
      </c>
      <c r="BX266" s="16">
        <v>2.9511829575600521E-24</v>
      </c>
      <c r="BY266" s="16">
        <v>1.9769650724155398E-23</v>
      </c>
      <c r="BZ266" s="16">
        <v>1.209613824807931E-22</v>
      </c>
      <c r="CA266" s="16">
        <v>6.8116079365472848E-22</v>
      </c>
      <c r="CB266" s="16">
        <v>3.5541289689502814E-21</v>
      </c>
      <c r="CC266" s="16">
        <v>1.7286018637228478E-20</v>
      </c>
      <c r="CD266" s="16">
        <v>7.8786408275619264E-20</v>
      </c>
      <c r="CE266" s="16">
        <v>3.3812364521986411E-19</v>
      </c>
      <c r="CF266" s="16">
        <v>1.3722405044757601E-18</v>
      </c>
      <c r="CG266" s="16">
        <v>5.2868136010593588E-18</v>
      </c>
      <c r="CH266" s="16">
        <v>1.9403689854512337E-17</v>
      </c>
      <c r="CI266" s="16">
        <v>6.805765243990812E-17</v>
      </c>
      <c r="CJ266" s="16">
        <v>2.2878236110240463E-16</v>
      </c>
      <c r="CK266" s="16">
        <v>7.3902785025029254E-16</v>
      </c>
      <c r="CL266" s="16">
        <v>2.2994978396535603E-15</v>
      </c>
      <c r="CM266" s="16">
        <v>7.3090566339053714E-15</v>
      </c>
      <c r="CN266" s="16">
        <v>2.8396733400608201E-14</v>
      </c>
      <c r="CO266" s="16">
        <v>1.2290499478723003E-13</v>
      </c>
      <c r="CP266" s="16">
        <v>5.5273931623105069E-13</v>
      </c>
      <c r="CQ266" s="16">
        <v>2.7163369513633419E-12</v>
      </c>
      <c r="CR266" s="16">
        <v>1.2215028820569548E-11</v>
      </c>
      <c r="CS266" s="16">
        <v>5.3781154754448581E-11</v>
      </c>
      <c r="CT266" s="16">
        <v>2.4920523413715775E-10</v>
      </c>
      <c r="CU266" s="16">
        <v>1.1916879586416043E-9</v>
      </c>
      <c r="CV266" s="16">
        <v>5.4635606419932555E-9</v>
      </c>
      <c r="CW266" s="16">
        <v>2.420240825767331E-8</v>
      </c>
      <c r="CX266" s="16">
        <v>1.0430693356750676E-7</v>
      </c>
      <c r="CY266" s="16">
        <v>4.3749697674612314E-7</v>
      </c>
      <c r="CZ266" s="16">
        <v>1.7874514680068986E-6</v>
      </c>
      <c r="DA266" s="16">
        <v>7.1199027029150303E-6</v>
      </c>
      <c r="DB266" s="16">
        <v>2.7673244798530626E-5</v>
      </c>
      <c r="DC266" s="16">
        <v>1.0503664558910395E-4</v>
      </c>
      <c r="DD266" s="16">
        <v>3.9467630029425772E-4</v>
      </c>
      <c r="DE266" s="16">
        <v>1.4982895555138336E-3</v>
      </c>
      <c r="DF266" s="16">
        <v>5.6818103216787633E-3</v>
      </c>
      <c r="DG266" s="16">
        <v>2.1544995202401895E-2</v>
      </c>
      <c r="DH266" s="16">
        <v>8.1696595144449505E-2</v>
      </c>
      <c r="DI266" s="16">
        <v>0.30978570194017635</v>
      </c>
      <c r="DJ266" s="16">
        <v>0.17467782866016318</v>
      </c>
      <c r="DK266" s="16">
        <v>0.30093203916090833</v>
      </c>
      <c r="DL266" s="16">
        <v>7.7093462699731843E-2</v>
      </c>
      <c r="DM266" s="16">
        <v>1.9749623036012579E-2</v>
      </c>
      <c r="DN266" s="16">
        <v>5.0580557042994223E-3</v>
      </c>
      <c r="DO266" s="16">
        <v>1.2902694441072875E-3</v>
      </c>
      <c r="DP266" s="16">
        <v>3.0962615981908388E-4</v>
      </c>
    </row>
    <row r="267" spans="3:120" x14ac:dyDescent="0.25">
      <c r="C267" s="1"/>
      <c r="D267" s="1"/>
      <c r="E267" s="1"/>
      <c r="F267" s="1"/>
      <c r="G267" s="1"/>
      <c r="H267" s="1"/>
      <c r="I267" s="1"/>
      <c r="O267" s="9">
        <f t="shared" si="194"/>
        <v>5</v>
      </c>
      <c r="P267" s="16">
        <v>3.0774077560617771E-49</v>
      </c>
      <c r="Q267" s="16">
        <v>2.3322212989952322E-47</v>
      </c>
      <c r="R267" s="16">
        <v>1.7671809006524114E-45</v>
      </c>
      <c r="S267" s="16">
        <v>1.3390359858250279E-43</v>
      </c>
      <c r="T267" s="16">
        <v>1.0146201617863649E-41</v>
      </c>
      <c r="U267" s="16">
        <v>7.688023948580474E-40</v>
      </c>
      <c r="V267" s="16">
        <v>5.825402890662445E-38</v>
      </c>
      <c r="W267" s="16">
        <v>4.4140495744428884E-36</v>
      </c>
      <c r="X267" s="16">
        <v>3.3446328110404423E-34</v>
      </c>
      <c r="Y267" s="16">
        <v>2.5343096972580296E-32</v>
      </c>
      <c r="Z267" s="16">
        <v>1.9203081487495521E-30</v>
      </c>
      <c r="AA267" s="16">
        <v>1.4550642291838587E-28</v>
      </c>
      <c r="AB267" s="16">
        <v>1.1025375861832815E-26</v>
      </c>
      <c r="AC267" s="16">
        <v>4.2185073660223678E-25</v>
      </c>
      <c r="AD267" s="16">
        <v>8.0600371432585748E-24</v>
      </c>
      <c r="AE267" s="16">
        <v>9.5544081954300917E-23</v>
      </c>
      <c r="AF267" s="16">
        <v>7.949353890518887E-22</v>
      </c>
      <c r="AG267" s="16">
        <v>5.0369274785245602E-21</v>
      </c>
      <c r="AH267" s="16">
        <v>2.5736760316420432E-20</v>
      </c>
      <c r="AI267" s="16">
        <v>1.1055594911174108E-19</v>
      </c>
      <c r="AJ267" s="16">
        <v>4.1188476059500914E-19</v>
      </c>
      <c r="AK267" s="16">
        <v>1.4845044576075727E-18</v>
      </c>
      <c r="AL267" s="16">
        <v>6.8279785963625943E-18</v>
      </c>
      <c r="AM267" s="16">
        <v>3.5416206681640063E-17</v>
      </c>
      <c r="AN267" s="16">
        <v>1.9786121923951257E-16</v>
      </c>
      <c r="AO267" s="16">
        <v>1.2408971053817221E-15</v>
      </c>
      <c r="AP267" s="16">
        <v>7.3403989928471277E-15</v>
      </c>
      <c r="AQ267" s="16">
        <v>4.3233280838519654E-14</v>
      </c>
      <c r="AR267" s="16">
        <v>2.5205089110455966E-13</v>
      </c>
      <c r="AS267" s="16">
        <v>1.4552298453023363E-12</v>
      </c>
      <c r="AT267" s="16">
        <v>8.3664332324819853E-12</v>
      </c>
      <c r="AU267" s="16">
        <v>4.7892099243996321E-11</v>
      </c>
      <c r="AV267" s="16">
        <v>2.7286604460884141E-10</v>
      </c>
      <c r="AW267" s="16">
        <v>1.5474691187436955E-9</v>
      </c>
      <c r="AX267" s="16">
        <v>8.7355793043374551E-9</v>
      </c>
      <c r="AY267" s="16">
        <v>4.9087228615072916E-8</v>
      </c>
      <c r="AZ267" s="16">
        <v>2.7457574768674837E-7</v>
      </c>
      <c r="BA267" s="16">
        <v>1.5289116948990519E-6</v>
      </c>
      <c r="BB267" s="16">
        <v>8.4931559233061318E-6</v>
      </c>
      <c r="BC267" s="16">
        <v>4.7238978617203275E-5</v>
      </c>
      <c r="BD267" s="16">
        <v>2.6271815097168188E-4</v>
      </c>
      <c r="BE267" s="16">
        <v>1.4610946326726092E-3</v>
      </c>
      <c r="BF267" s="16">
        <v>8.12580826621726E-3</v>
      </c>
      <c r="BG267" s="16">
        <v>4.5191295831104109E-2</v>
      </c>
      <c r="BH267" s="16">
        <v>0.25132924034075599</v>
      </c>
      <c r="BI267" s="16">
        <v>0.39775560510924002</v>
      </c>
      <c r="BJ267" s="16">
        <v>0.24414627488808827</v>
      </c>
      <c r="BK267" s="16">
        <v>4.2645043890740621E-2</v>
      </c>
      <c r="BL267" s="16">
        <v>7.4485957694210448E-3</v>
      </c>
      <c r="BM267" s="16">
        <v>1.2998047690345152E-3</v>
      </c>
      <c r="BN267" s="16">
        <v>2.201236961222448E-4</v>
      </c>
      <c r="BQ267" s="9">
        <f t="shared" si="195"/>
        <v>5</v>
      </c>
      <c r="BR267" s="16">
        <v>9.0267664038194676E-31</v>
      </c>
      <c r="BS267" s="16">
        <v>1.0756212980222408E-29</v>
      </c>
      <c r="BT267" s="16">
        <v>1.2729318010271749E-28</v>
      </c>
      <c r="BU267" s="16">
        <v>1.3700373375842754E-27</v>
      </c>
      <c r="BV267" s="16">
        <v>1.274863283530509E-26</v>
      </c>
      <c r="BW267" s="16">
        <v>1.0519986535466284E-25</v>
      </c>
      <c r="BX267" s="16">
        <v>7.7828506009363956E-25</v>
      </c>
      <c r="BY267" s="16">
        <v>5.2136461965071037E-24</v>
      </c>
      <c r="BZ267" s="16">
        <v>3.1899898510835758E-23</v>
      </c>
      <c r="CA267" s="16">
        <v>1.7963551458744627E-22</v>
      </c>
      <c r="CB267" s="16">
        <v>9.3729379640595477E-22</v>
      </c>
      <c r="CC267" s="16">
        <v>4.5586635079304064E-21</v>
      </c>
      <c r="CD267" s="16">
        <v>2.077752731062409E-20</v>
      </c>
      <c r="CE267" s="16">
        <v>8.9169863516897047E-20</v>
      </c>
      <c r="CF267" s="16">
        <v>3.6188684295325024E-19</v>
      </c>
      <c r="CG267" s="16">
        <v>1.3942368536196144E-18</v>
      </c>
      <c r="CH267" s="16">
        <v>5.1171351087439937E-18</v>
      </c>
      <c r="CI267" s="16">
        <v>1.7948143127940284E-17</v>
      </c>
      <c r="CJ267" s="16">
        <v>6.0334413765442229E-17</v>
      </c>
      <c r="CK267" s="16">
        <v>1.9489619691977983E-16</v>
      </c>
      <c r="CL267" s="16">
        <v>6.0642286163091882E-16</v>
      </c>
      <c r="CM267" s="16">
        <v>1.9275421630416159E-15</v>
      </c>
      <c r="CN267" s="16">
        <v>7.4887777813096469E-15</v>
      </c>
      <c r="CO267" s="16">
        <v>3.2412467349321002E-14</v>
      </c>
      <c r="CP267" s="16">
        <v>1.4576824213727075E-13</v>
      </c>
      <c r="CQ267" s="16">
        <v>7.163515437125771E-13</v>
      </c>
      <c r="CR267" s="16">
        <v>3.2213436362218692E-12</v>
      </c>
      <c r="CS267" s="16">
        <v>1.4183149557958103E-11</v>
      </c>
      <c r="CT267" s="16">
        <v>6.5720327548394866E-11</v>
      </c>
      <c r="CU267" s="16">
        <v>3.1427158120723702E-10</v>
      </c>
      <c r="CV267" s="16">
        <v>1.4408485287860834E-9</v>
      </c>
      <c r="CW267" s="16">
        <v>6.3826516471914726E-9</v>
      </c>
      <c r="CX267" s="16">
        <v>2.7507792375870811E-8</v>
      </c>
      <c r="CY267" s="16">
        <v>1.1537656788285158E-7</v>
      </c>
      <c r="CZ267" s="16">
        <v>4.7138615029898749E-7</v>
      </c>
      <c r="DA267" s="16">
        <v>1.877658546652926E-6</v>
      </c>
      <c r="DB267" s="16">
        <v>7.2979795901292065E-6</v>
      </c>
      <c r="DC267" s="16">
        <v>2.7700231805329071E-5</v>
      </c>
      <c r="DD267" s="16">
        <v>1.0408391228513022E-4</v>
      </c>
      <c r="DE267" s="16">
        <v>3.9512845984813121E-4</v>
      </c>
      <c r="DF267" s="16">
        <v>1.4984052670541472E-3</v>
      </c>
      <c r="DG267" s="16">
        <v>5.6818394951975212E-3</v>
      </c>
      <c r="DH267" s="16">
        <v>2.154500089483178E-2</v>
      </c>
      <c r="DI267" s="16">
        <v>8.1696589848159015E-2</v>
      </c>
      <c r="DJ267" s="16">
        <v>0.3097856749705894</v>
      </c>
      <c r="DK267" s="16">
        <v>0.17467772462984588</v>
      </c>
      <c r="DL267" s="16">
        <v>0.3009316442359084</v>
      </c>
      <c r="DM267" s="16">
        <v>7.7091965066025128E-2</v>
      </c>
      <c r="DN267" s="16">
        <v>1.9743944122215893E-2</v>
      </c>
      <c r="DO267" s="16">
        <v>5.0365217973781327E-3</v>
      </c>
      <c r="DP267" s="16">
        <v>1.2086149215493878E-3</v>
      </c>
    </row>
    <row r="268" spans="3:120" x14ac:dyDescent="0.25">
      <c r="C268" s="1"/>
      <c r="D268" s="1"/>
      <c r="E268" s="1"/>
      <c r="F268" s="1"/>
      <c r="G268" s="1"/>
      <c r="H268" s="1"/>
      <c r="I268" s="1"/>
      <c r="O268" s="9">
        <f t="shared" si="194"/>
        <v>4</v>
      </c>
      <c r="P268" s="16">
        <v>5.5334604120248896E-50</v>
      </c>
      <c r="Q268" s="16">
        <v>4.1935470542215395E-48</v>
      </c>
      <c r="R268" s="16">
        <v>3.1775527748589679E-46</v>
      </c>
      <c r="S268" s="16">
        <v>2.4077090867287632E-44</v>
      </c>
      <c r="T268" s="16">
        <v>1.8243797843909884E-42</v>
      </c>
      <c r="U268" s="16">
        <v>1.3823769723843945E-40</v>
      </c>
      <c r="V268" s="16">
        <v>1.0474606823252871E-38</v>
      </c>
      <c r="W268" s="16">
        <v>7.9368645668691569E-37</v>
      </c>
      <c r="X268" s="16">
        <v>6.0139554845134037E-35</v>
      </c>
      <c r="Y268" s="16">
        <v>4.5569204646232057E-33</v>
      </c>
      <c r="Z268" s="16">
        <v>3.4528895623479876E-31</v>
      </c>
      <c r="AA268" s="16">
        <v>2.6163384729510524E-29</v>
      </c>
      <c r="AB268" s="16">
        <v>1.9824633488680262E-27</v>
      </c>
      <c r="AC268" s="16">
        <v>7.5852618041076938E-26</v>
      </c>
      <c r="AD268" s="16">
        <v>1.4492683448860524E-24</v>
      </c>
      <c r="AE268" s="16">
        <v>1.7179699182079163E-23</v>
      </c>
      <c r="AF268" s="16">
        <v>1.4293664844288931E-22</v>
      </c>
      <c r="AG268" s="16">
        <v>9.0568559677395242E-22</v>
      </c>
      <c r="AH268" s="16">
        <v>4.6277047318206228E-21</v>
      </c>
      <c r="AI268" s="16">
        <v>1.9878970101334112E-20</v>
      </c>
      <c r="AJ268" s="16">
        <v>7.4060644468690945E-20</v>
      </c>
      <c r="AK268" s="16">
        <v>2.6692746944129967E-19</v>
      </c>
      <c r="AL268" s="16">
        <v>1.2277329574770604E-18</v>
      </c>
      <c r="AM268" s="16">
        <v>6.3681576557712628E-18</v>
      </c>
      <c r="AN268" s="16">
        <v>3.5577255616523564E-17</v>
      </c>
      <c r="AO268" s="16">
        <v>2.2312464100672784E-16</v>
      </c>
      <c r="AP268" s="16">
        <v>1.3198708281468174E-15</v>
      </c>
      <c r="AQ268" s="16">
        <v>7.7737390350913384E-15</v>
      </c>
      <c r="AR268" s="16">
        <v>4.5321053896592556E-14</v>
      </c>
      <c r="AS268" s="16">
        <v>2.6166362658689334E-13</v>
      </c>
      <c r="AT268" s="16">
        <v>1.5043611621046149E-12</v>
      </c>
      <c r="AU268" s="16">
        <v>8.6114371647180883E-12</v>
      </c>
      <c r="AV268" s="16">
        <v>4.9063808741454649E-11</v>
      </c>
      <c r="AW268" s="16">
        <v>2.7824909099330255E-10</v>
      </c>
      <c r="AX268" s="16">
        <v>1.5707369997180474E-9</v>
      </c>
      <c r="AY268" s="16">
        <v>8.8263323487922203E-9</v>
      </c>
      <c r="AZ268" s="16">
        <v>4.9371228981079391E-8</v>
      </c>
      <c r="BA268" s="16">
        <v>2.7491229657627308E-7</v>
      </c>
      <c r="BB268" s="16">
        <v>1.5271470601254233E-6</v>
      </c>
      <c r="BC268" s="16">
        <v>8.4940001066773592E-6</v>
      </c>
      <c r="BD268" s="16">
        <v>4.7239124716529672E-5</v>
      </c>
      <c r="BE268" s="16">
        <v>2.6271816895861593E-4</v>
      </c>
      <c r="BF268" s="16">
        <v>1.4610945939240428E-3</v>
      </c>
      <c r="BG268" s="16">
        <v>8.1258080264778598E-3</v>
      </c>
      <c r="BH268" s="16">
        <v>4.5191294493570656E-2</v>
      </c>
      <c r="BI268" s="16">
        <v>0.25132923290138776</v>
      </c>
      <c r="BJ268" s="16">
        <v>0.3977555637354187</v>
      </c>
      <c r="BK268" s="16">
        <v>0.24414604478952895</v>
      </c>
      <c r="BL268" s="16">
        <v>4.2643764208553696E-2</v>
      </c>
      <c r="BM268" s="16">
        <v>7.4414788778596501E-3</v>
      </c>
      <c r="BN268" s="16">
        <v>1.2602245154299662E-3</v>
      </c>
      <c r="BQ268" s="9">
        <f t="shared" si="195"/>
        <v>4</v>
      </c>
      <c r="BR268" s="16">
        <v>2.3805331409623137E-31</v>
      </c>
      <c r="BS268" s="16">
        <v>2.8366217009708003E-30</v>
      </c>
      <c r="BT268" s="16">
        <v>3.3569677146490166E-29</v>
      </c>
      <c r="BU268" s="16">
        <v>3.6130538230114677E-28</v>
      </c>
      <c r="BV268" s="16">
        <v>3.3620614081209444E-27</v>
      </c>
      <c r="BW268" s="16">
        <v>2.7743242119967085E-26</v>
      </c>
      <c r="BX268" s="16">
        <v>2.0524884502215693E-25</v>
      </c>
      <c r="BY268" s="16">
        <v>1.3749394856153293E-24</v>
      </c>
      <c r="BZ268" s="16">
        <v>8.4126211093982832E-24</v>
      </c>
      <c r="CA268" s="16">
        <v>4.7373364573641123E-23</v>
      </c>
      <c r="CB268" s="16">
        <v>2.4718252864266582E-22</v>
      </c>
      <c r="CC268" s="16">
        <v>1.2022078642172523E-21</v>
      </c>
      <c r="CD268" s="16">
        <v>5.4794363936638142E-21</v>
      </c>
      <c r="CE268" s="16">
        <v>2.3515820148756909E-20</v>
      </c>
      <c r="CF268" s="16">
        <v>9.543656990657467E-20</v>
      </c>
      <c r="CG268" s="16">
        <v>3.6768726340233472E-19</v>
      </c>
      <c r="CH268" s="16">
        <v>1.3494876424399935E-18</v>
      </c>
      <c r="CI268" s="16">
        <v>4.7332729820856184E-18</v>
      </c>
      <c r="CJ268" s="16">
        <v>1.5911353532799425E-17</v>
      </c>
      <c r="CK268" s="16">
        <v>5.139790209024801E-17</v>
      </c>
      <c r="CL268" s="16">
        <v>1.5992545447268644E-16</v>
      </c>
      <c r="CM268" s="16">
        <v>5.0833020313688397E-16</v>
      </c>
      <c r="CN268" s="16">
        <v>1.9749357517622968E-15</v>
      </c>
      <c r="CO268" s="16">
        <v>8.547795440100182E-15</v>
      </c>
      <c r="CP268" s="16">
        <v>3.8441908850190772E-14</v>
      </c>
      <c r="CQ268" s="16">
        <v>1.889157771564517E-13</v>
      </c>
      <c r="CR268" s="16">
        <v>8.4953071137516687E-13</v>
      </c>
      <c r="CS268" s="16">
        <v>3.7403712531719033E-12</v>
      </c>
      <c r="CT268" s="16">
        <v>1.7331723317627289E-11</v>
      </c>
      <c r="CU268" s="16">
        <v>8.2879503119733004E-11</v>
      </c>
      <c r="CV268" s="16">
        <v>3.7997966496958909E-10</v>
      </c>
      <c r="CW268" s="16">
        <v>1.6832288655357212E-9</v>
      </c>
      <c r="CX268" s="16">
        <v>7.2543376504972175E-9</v>
      </c>
      <c r="CY268" s="16">
        <v>3.0427035690144949E-8</v>
      </c>
      <c r="CZ268" s="16">
        <v>1.2431365815587853E-7</v>
      </c>
      <c r="DA268" s="16">
        <v>4.9517492729479715E-7</v>
      </c>
      <c r="DB268" s="16">
        <v>1.9246185731601651E-6</v>
      </c>
      <c r="DC268" s="16">
        <v>7.3050876554225055E-6</v>
      </c>
      <c r="DD268" s="16">
        <v>2.7448943680532892E-5</v>
      </c>
      <c r="DE268" s="16">
        <v>1.0420302814171344E-4</v>
      </c>
      <c r="DF268" s="16">
        <v>3.9515849167267561E-4</v>
      </c>
      <c r="DG268" s="16">
        <v>1.4984111269593892E-3</v>
      </c>
      <c r="DH268" s="16">
        <v>5.681834043086368E-3</v>
      </c>
      <c r="DI268" s="16">
        <v>2.1544973131780339E-2</v>
      </c>
      <c r="DJ268" s="16">
        <v>8.1696482757195377E-2</v>
      </c>
      <c r="DK268" s="16">
        <v>0.30978526842661352</v>
      </c>
      <c r="DL268" s="16">
        <v>0.17467618293468445</v>
      </c>
      <c r="DM268" s="16">
        <v>0.30092579824440641</v>
      </c>
      <c r="DN268" s="16">
        <v>7.7069797616161811E-2</v>
      </c>
      <c r="DO268" s="16">
        <v>1.9659887265207475E-2</v>
      </c>
      <c r="DP268" s="16">
        <v>4.7177862145018311E-3</v>
      </c>
    </row>
    <row r="269" spans="3:120" x14ac:dyDescent="0.25">
      <c r="C269" s="1"/>
      <c r="D269" s="1"/>
      <c r="E269" s="1"/>
      <c r="F269" s="1"/>
      <c r="G269" s="1"/>
      <c r="H269" s="1"/>
      <c r="I269" s="1"/>
      <c r="O269" s="9">
        <f t="shared" si="194"/>
        <v>3</v>
      </c>
      <c r="P269" s="16">
        <v>9.9496584812501973E-51</v>
      </c>
      <c r="Q269" s="16">
        <v>7.5403739988606311E-49</v>
      </c>
      <c r="R269" s="16">
        <v>5.7135250931390263E-47</v>
      </c>
      <c r="S269" s="16">
        <v>4.3292770439081703E-45</v>
      </c>
      <c r="T269" s="16">
        <v>3.280398601088889E-43</v>
      </c>
      <c r="U269" s="16">
        <v>2.4856378727639997E-41</v>
      </c>
      <c r="V269" s="16">
        <v>1.8834283225422358E-39</v>
      </c>
      <c r="W269" s="16">
        <v>1.4271194871237227E-37</v>
      </c>
      <c r="X269" s="16">
        <v>1.0813631748827041E-35</v>
      </c>
      <c r="Y269" s="16">
        <v>8.1937520056512729E-34</v>
      </c>
      <c r="Z269" s="16">
        <v>6.2086053501310211E-32</v>
      </c>
      <c r="AA269" s="16">
        <v>4.7044114060432408E-30</v>
      </c>
      <c r="AB269" s="16">
        <v>3.5646470389429251E-28</v>
      </c>
      <c r="AC269" s="16">
        <v>1.363898154538813E-26</v>
      </c>
      <c r="AD269" s="16">
        <v>2.605914564413817E-25</v>
      </c>
      <c r="AE269" s="16">
        <v>3.0890641107839939E-24</v>
      </c>
      <c r="AF269" s="16">
        <v>2.5701292330034908E-23</v>
      </c>
      <c r="AG269" s="16">
        <v>1.6285039935779641E-22</v>
      </c>
      <c r="AH269" s="16">
        <v>8.3210284713741247E-22</v>
      </c>
      <c r="AI269" s="16">
        <v>3.5744172496009597E-21</v>
      </c>
      <c r="AJ269" s="16">
        <v>1.3316768613062444E-20</v>
      </c>
      <c r="AK269" s="16">
        <v>4.799595483567242E-20</v>
      </c>
      <c r="AL269" s="16">
        <v>2.2075740537559791E-19</v>
      </c>
      <c r="AM269" s="16">
        <v>1.1450519044464775E-18</v>
      </c>
      <c r="AN269" s="16">
        <v>6.3971098865242502E-18</v>
      </c>
      <c r="AO269" s="16">
        <v>4.0119813127137063E-17</v>
      </c>
      <c r="AP269" s="16">
        <v>2.3732462151328798E-16</v>
      </c>
      <c r="AQ269" s="16">
        <v>1.3977880523630342E-15</v>
      </c>
      <c r="AR269" s="16">
        <v>8.149132273568004E-15</v>
      </c>
      <c r="AS269" s="16">
        <v>4.7049468644382463E-14</v>
      </c>
      <c r="AT269" s="16">
        <v>2.7049763946752987E-13</v>
      </c>
      <c r="AU269" s="16">
        <v>1.5484136949004897E-12</v>
      </c>
      <c r="AV269" s="16">
        <v>8.8221131880875524E-12</v>
      </c>
      <c r="AW269" s="16">
        <v>5.0031684008896396E-11</v>
      </c>
      <c r="AX269" s="16">
        <v>2.8243261083238153E-10</v>
      </c>
      <c r="AY269" s="16">
        <v>1.5870537778069574E-9</v>
      </c>
      <c r="AZ269" s="16">
        <v>8.8773901064484992E-9</v>
      </c>
      <c r="BA269" s="16">
        <v>4.9431698423033379E-8</v>
      </c>
      <c r="BB269" s="16">
        <v>2.7459474844843024E-7</v>
      </c>
      <c r="BC269" s="16">
        <v>1.5272974577984979E-6</v>
      </c>
      <c r="BD269" s="16">
        <v>8.4940186227999171E-6</v>
      </c>
      <c r="BE269" s="16">
        <v>4.7239084827952632E-5</v>
      </c>
      <c r="BF269" s="16">
        <v>2.6271792216591301E-4</v>
      </c>
      <c r="BG269" s="16">
        <v>1.4610932170394044E-3</v>
      </c>
      <c r="BH269" s="16">
        <v>8.1258003682381473E-3</v>
      </c>
      <c r="BI269" s="16">
        <v>4.5191251902502089E-2</v>
      </c>
      <c r="BJ269" s="16">
        <v>0.25132899603316439</v>
      </c>
      <c r="BK269" s="16">
        <v>0.3977542464040667</v>
      </c>
      <c r="BL269" s="16">
        <v>0.24413871851392807</v>
      </c>
      <c r="BM269" s="16">
        <v>4.2603019475581497E-2</v>
      </c>
      <c r="BN269" s="16">
        <v>7.2148789851716241E-3</v>
      </c>
      <c r="BQ269" s="9">
        <f t="shared" si="195"/>
        <v>3</v>
      </c>
      <c r="BR269" s="16">
        <v>6.2778132626897559E-32</v>
      </c>
      <c r="BS269" s="16">
        <v>7.4805853483683891E-31</v>
      </c>
      <c r="BT269" s="16">
        <v>8.8528137158912769E-30</v>
      </c>
      <c r="BU269" s="16">
        <v>9.5281501520051287E-29</v>
      </c>
      <c r="BV269" s="16">
        <v>8.8662465288540159E-28</v>
      </c>
      <c r="BW269" s="16">
        <v>7.3162977794266986E-27</v>
      </c>
      <c r="BX269" s="16">
        <v>5.412711544570131E-26</v>
      </c>
      <c r="BY269" s="16">
        <v>3.6259160562253193E-25</v>
      </c>
      <c r="BZ269" s="16">
        <v>2.2185309444259665E-24</v>
      </c>
      <c r="CA269" s="16">
        <v>1.249304751533175E-23</v>
      </c>
      <c r="CB269" s="16">
        <v>6.5185639717278929E-23</v>
      </c>
      <c r="CC269" s="16">
        <v>3.1703975654134665E-22</v>
      </c>
      <c r="CD269" s="16">
        <v>1.4450073335379869E-21</v>
      </c>
      <c r="CE269" s="16">
        <v>6.2014649186196803E-21</v>
      </c>
      <c r="CF269" s="16">
        <v>2.5168016105119929E-20</v>
      </c>
      <c r="CG269" s="16">
        <v>9.6964496691534219E-20</v>
      </c>
      <c r="CH269" s="16">
        <v>3.5587958318114585E-19</v>
      </c>
      <c r="CI269" s="16">
        <v>1.2482331538075656E-18</v>
      </c>
      <c r="CJ269" s="16">
        <v>4.1960561067918812E-18</v>
      </c>
      <c r="CK269" s="16">
        <v>1.3554376784947964E-17</v>
      </c>
      <c r="CL269" s="16">
        <v>4.2174675993986156E-17</v>
      </c>
      <c r="CM269" s="16">
        <v>1.3405409217653183E-16</v>
      </c>
      <c r="CN269" s="16">
        <v>5.2081937621593429E-16</v>
      </c>
      <c r="CO269" s="16">
        <v>2.2541783879105194E-15</v>
      </c>
      <c r="CP269" s="16">
        <v>1.0137692312289418E-14</v>
      </c>
      <c r="CQ269" s="16">
        <v>4.9819847115620987E-14</v>
      </c>
      <c r="CR269" s="16">
        <v>2.2403364503370779E-13</v>
      </c>
      <c r="CS269" s="16">
        <v>9.8639047936353896E-13</v>
      </c>
      <c r="CT269" s="16">
        <v>4.5706283452406E-12</v>
      </c>
      <c r="CU269" s="16">
        <v>2.1856534359352308E-11</v>
      </c>
      <c r="CV269" s="16">
        <v>1.0020618235687316E-10</v>
      </c>
      <c r="CW269" s="16">
        <v>4.4389201369953403E-10</v>
      </c>
      <c r="CX269" s="16">
        <v>1.913074694516174E-9</v>
      </c>
      <c r="CY269" s="16">
        <v>8.0240533060888186E-9</v>
      </c>
      <c r="CZ269" s="16">
        <v>3.278332565405816E-8</v>
      </c>
      <c r="DA269" s="16">
        <v>1.3058485397376477E-7</v>
      </c>
      <c r="DB269" s="16">
        <v>5.0755000198483676E-7</v>
      </c>
      <c r="DC269" s="16">
        <v>1.926458211364537E-6</v>
      </c>
      <c r="DD269" s="16">
        <v>7.2386869865132247E-6</v>
      </c>
      <c r="DE269" s="16">
        <v>2.7479859062833292E-5</v>
      </c>
      <c r="DF269" s="16">
        <v>1.0420906044955896E-4</v>
      </c>
      <c r="DG269" s="16">
        <v>3.9515287915651307E-4</v>
      </c>
      <c r="DH269" s="16">
        <v>1.4983825470991181E-3</v>
      </c>
      <c r="DI269" s="16">
        <v>5.6817238014300036E-3</v>
      </c>
      <c r="DJ269" s="16">
        <v>2.1544554626989985E-2</v>
      </c>
      <c r="DK269" s="16">
        <v>8.1694895704259737E-2</v>
      </c>
      <c r="DL269" s="16">
        <v>0.30977925044186078</v>
      </c>
      <c r="DM269" s="16">
        <v>0.17465336330259268</v>
      </c>
      <c r="DN269" s="16">
        <v>0.30083926837454988</v>
      </c>
      <c r="DO269" s="16">
        <v>7.6741684604487173E-2</v>
      </c>
      <c r="DP269" s="16">
        <v>1.8415714028300972E-2</v>
      </c>
    </row>
    <row r="270" spans="3:120" x14ac:dyDescent="0.25">
      <c r="C270" s="1"/>
      <c r="D270" s="1"/>
      <c r="E270" s="1"/>
      <c r="F270" s="1"/>
      <c r="G270" s="1"/>
      <c r="H270" s="1"/>
      <c r="I270" s="1"/>
      <c r="O270" s="9">
        <f t="shared" si="194"/>
        <v>2</v>
      </c>
      <c r="P270" s="16">
        <v>1.7889858999652655E-51</v>
      </c>
      <c r="Q270" s="16">
        <v>1.3557875167119678E-49</v>
      </c>
      <c r="R270" s="16">
        <v>1.0273132339150504E-47</v>
      </c>
      <c r="S270" s="16">
        <v>7.7842024459334459E-46</v>
      </c>
      <c r="T270" s="16">
        <v>5.8982796793206146E-44</v>
      </c>
      <c r="U270" s="16">
        <v>4.46927009120388E-42</v>
      </c>
      <c r="V270" s="16">
        <v>3.3864747407892101E-40</v>
      </c>
      <c r="W270" s="16">
        <v>2.5660143459609478E-38</v>
      </c>
      <c r="X270" s="16">
        <v>1.9443315328384534E-36</v>
      </c>
      <c r="Y270" s="16">
        <v>1.4732673320944348E-34</v>
      </c>
      <c r="Z270" s="16">
        <v>1.1163305203655265E-32</v>
      </c>
      <c r="AA270" s="16">
        <v>8.4587080942597569E-31</v>
      </c>
      <c r="AB270" s="16">
        <v>6.4093690281322406E-29</v>
      </c>
      <c r="AC270" s="16">
        <v>2.4523400195661714E-27</v>
      </c>
      <c r="AD270" s="16">
        <v>4.6855320924187755E-26</v>
      </c>
      <c r="AE270" s="16">
        <v>5.5542530918979991E-25</v>
      </c>
      <c r="AF270" s="16">
        <v>4.6211887248154553E-24</v>
      </c>
      <c r="AG270" s="16">
        <v>2.92811123923324E-23</v>
      </c>
      <c r="AH270" s="16">
        <v>1.496152117839059E-22</v>
      </c>
      <c r="AI270" s="16">
        <v>6.426936233217574E-22</v>
      </c>
      <c r="AJ270" s="16">
        <v>2.3944049262357434E-21</v>
      </c>
      <c r="AK270" s="16">
        <v>8.6298526344593334E-21</v>
      </c>
      <c r="AL270" s="16">
        <v>3.9693009189621649E-20</v>
      </c>
      <c r="AM270" s="16">
        <v>2.058846256525708E-19</v>
      </c>
      <c r="AN270" s="16">
        <v>1.150224342783902E-18</v>
      </c>
      <c r="AO270" s="16">
        <v>7.2136928246275887E-18</v>
      </c>
      <c r="AP270" s="16">
        <v>4.2671856767943795E-17</v>
      </c>
      <c r="AQ270" s="16">
        <v>2.5132753265146941E-16</v>
      </c>
      <c r="AR270" s="16">
        <v>1.4652445369695947E-15</v>
      </c>
      <c r="AS270" s="16">
        <v>8.4596708685303398E-15</v>
      </c>
      <c r="AT270" s="16">
        <v>4.863648977431974E-14</v>
      </c>
      <c r="AU270" s="16">
        <v>2.7841058793226302E-13</v>
      </c>
      <c r="AV270" s="16">
        <v>1.5862490286604417E-12</v>
      </c>
      <c r="AW270" s="16">
        <v>8.9958843725243821E-12</v>
      </c>
      <c r="AX270" s="16">
        <v>5.0782442374446174E-11</v>
      </c>
      <c r="AY270" s="16">
        <v>2.8535821971514548E-10</v>
      </c>
      <c r="AZ270" s="16">
        <v>1.596188025835834E-9</v>
      </c>
      <c r="BA270" s="16">
        <v>8.8880047146131015E-9</v>
      </c>
      <c r="BB270" s="16">
        <v>4.9373165330698317E-8</v>
      </c>
      <c r="BC270" s="16">
        <v>2.7461380932855767E-7</v>
      </c>
      <c r="BD270" s="16">
        <v>1.5272563956709866E-6</v>
      </c>
      <c r="BE270" s="16">
        <v>8.4937645692791156E-6</v>
      </c>
      <c r="BF270" s="16">
        <v>4.7237667434383554E-5</v>
      </c>
      <c r="BG270" s="16">
        <v>2.6271003861530983E-4</v>
      </c>
      <c r="BH270" s="16">
        <v>1.4610493729111402E-3</v>
      </c>
      <c r="BI270" s="16">
        <v>8.1255565311821824E-3</v>
      </c>
      <c r="BJ270" s="16">
        <v>4.5189895814319536E-2</v>
      </c>
      <c r="BK270" s="16">
        <v>0.25132145421329571</v>
      </c>
      <c r="BL270" s="16">
        <v>0.39771230293191107</v>
      </c>
      <c r="BM270" s="16">
        <v>0.24390545189033971</v>
      </c>
      <c r="BN270" s="16">
        <v>4.1305718253632807E-2</v>
      </c>
      <c r="BQ270" s="9">
        <f t="shared" si="195"/>
        <v>2</v>
      </c>
      <c r="BR270" s="16">
        <v>1.6551070702479205E-32</v>
      </c>
      <c r="BS270" s="16">
        <v>1.9722105742235409E-31</v>
      </c>
      <c r="BT270" s="16">
        <v>2.3339901904762219E-30</v>
      </c>
      <c r="BU270" s="16">
        <v>2.5120385113543053E-29</v>
      </c>
      <c r="BV270" s="16">
        <v>2.3375316694558662E-28</v>
      </c>
      <c r="BW270" s="16">
        <v>1.928897161490278E-27</v>
      </c>
      <c r="BX270" s="16">
        <v>1.4270282934144187E-26</v>
      </c>
      <c r="BY270" s="16">
        <v>9.5595059133898326E-26</v>
      </c>
      <c r="BZ270" s="16">
        <v>5.849021144840441E-25</v>
      </c>
      <c r="CA270" s="16">
        <v>3.2937155672434743E-24</v>
      </c>
      <c r="CB270" s="16">
        <v>1.7185795222025517E-23</v>
      </c>
      <c r="CC270" s="16">
        <v>8.3585592728579713E-23</v>
      </c>
      <c r="CD270" s="16">
        <v>3.8096734551070549E-22</v>
      </c>
      <c r="CE270" s="16">
        <v>1.6349782962967885E-21</v>
      </c>
      <c r="CF270" s="16">
        <v>6.635393513098849E-21</v>
      </c>
      <c r="CG270" s="16">
        <v>2.5564096496942984E-20</v>
      </c>
      <c r="CH270" s="16">
        <v>9.3825475469404112E-20</v>
      </c>
      <c r="CI270" s="16">
        <v>3.2908903653811334E-19</v>
      </c>
      <c r="CJ270" s="16">
        <v>1.106264528571311E-18</v>
      </c>
      <c r="CK270" s="16">
        <v>3.5735285378590151E-18</v>
      </c>
      <c r="CL270" s="16">
        <v>1.1119095376397686E-17</v>
      </c>
      <c r="CM270" s="16">
        <v>3.5342541498595244E-17</v>
      </c>
      <c r="CN270" s="16">
        <v>1.3731084309566922E-16</v>
      </c>
      <c r="CO270" s="16">
        <v>5.9430034493129194E-16</v>
      </c>
      <c r="CP270" s="16">
        <v>2.6727405738219084E-15</v>
      </c>
      <c r="CQ270" s="16">
        <v>1.3134697983100829E-14</v>
      </c>
      <c r="CR270" s="16">
        <v>5.9065100275033028E-14</v>
      </c>
      <c r="CS270" s="16">
        <v>2.6005581690723028E-13</v>
      </c>
      <c r="CT270" s="16">
        <v>1.2050182082736984E-12</v>
      </c>
      <c r="CU270" s="16">
        <v>5.7623416045639625E-12</v>
      </c>
      <c r="CV270" s="16">
        <v>2.6418747095760733E-11</v>
      </c>
      <c r="CW270" s="16">
        <v>1.170294144725651E-10</v>
      </c>
      <c r="CX270" s="16">
        <v>5.0437044243164815E-10</v>
      </c>
      <c r="CY270" s="16">
        <v>2.1154925773092597E-9</v>
      </c>
      <c r="CZ270" s="16">
        <v>8.6431232988003528E-9</v>
      </c>
      <c r="DA270" s="16">
        <v>3.442789806504498E-8</v>
      </c>
      <c r="DB270" s="16">
        <v>1.3381245373799578E-7</v>
      </c>
      <c r="DC270" s="16">
        <v>5.0789892479224268E-7</v>
      </c>
      <c r="DD270" s="16">
        <v>1.9084355506229934E-6</v>
      </c>
      <c r="DE270" s="16">
        <v>7.244896769169711E-6</v>
      </c>
      <c r="DF270" s="16">
        <v>2.747408142243139E-5</v>
      </c>
      <c r="DG270" s="16">
        <v>1.0417963974935902E-4</v>
      </c>
      <c r="DH270" s="16">
        <v>3.9503939411177682E-4</v>
      </c>
      <c r="DI270" s="16">
        <v>1.497951729598527E-3</v>
      </c>
      <c r="DJ270" s="16">
        <v>5.6800900562619817E-3</v>
      </c>
      <c r="DK270" s="16">
        <v>2.1538359588821835E-2</v>
      </c>
      <c r="DL270" s="16">
        <v>8.167140470227191E-2</v>
      </c>
      <c r="DM270" s="16">
        <v>0.30969017480134942</v>
      </c>
      <c r="DN270" s="16">
        <v>0.17431559697145796</v>
      </c>
      <c r="DO270" s="16">
        <v>0.2995584906712182</v>
      </c>
      <c r="DP270" s="16">
        <v>7.1885097745535517E-2</v>
      </c>
    </row>
    <row r="271" spans="3:120" x14ac:dyDescent="0.25">
      <c r="C271" s="1"/>
      <c r="D271" s="1"/>
      <c r="E271" s="1"/>
      <c r="F271" s="1"/>
      <c r="G271" s="1"/>
      <c r="H271" s="1"/>
      <c r="I271" s="1"/>
      <c r="O271" s="9">
        <f t="shared" si="194"/>
        <v>1</v>
      </c>
      <c r="P271" s="16">
        <v>3.2136867417160025E-52</v>
      </c>
      <c r="Q271" s="16">
        <v>2.4355006750617264E-50</v>
      </c>
      <c r="R271" s="16">
        <v>1.8454382002039749E-48</v>
      </c>
      <c r="S271" s="16">
        <v>1.3983334466646882E-46</v>
      </c>
      <c r="T271" s="16">
        <v>1.0595512913060747E-44</v>
      </c>
      <c r="U271" s="16">
        <v>8.0284780542589218E-43</v>
      </c>
      <c r="V271" s="16">
        <v>6.0833732539992202E-41</v>
      </c>
      <c r="W271" s="16">
        <v>4.6095199983565355E-39</v>
      </c>
      <c r="X271" s="16">
        <v>3.4927455094557247E-37</v>
      </c>
      <c r="Y271" s="16">
        <v>2.6465382942633121E-35</v>
      </c>
      <c r="Z271" s="16">
        <v>2.0053464886119406E-33</v>
      </c>
      <c r="AA271" s="16">
        <v>1.519499849333424E-31</v>
      </c>
      <c r="AB271" s="16">
        <v>1.1513620240871479E-29</v>
      </c>
      <c r="AC271" s="16">
        <v>4.4053184584698987E-28</v>
      </c>
      <c r="AD271" s="16">
        <v>8.4169653676887109E-27</v>
      </c>
      <c r="AE271" s="16">
        <v>9.9775126913601051E-26</v>
      </c>
      <c r="AF271" s="16">
        <v>8.3013806515720734E-25</v>
      </c>
      <c r="AG271" s="16">
        <v>5.259981237401692E-24</v>
      </c>
      <c r="AH271" s="16">
        <v>2.6876479153821484E-23</v>
      </c>
      <c r="AI271" s="16">
        <v>1.154517750136908E-22</v>
      </c>
      <c r="AJ271" s="16">
        <v>4.3012453960049056E-22</v>
      </c>
      <c r="AK271" s="16">
        <v>1.5502437998456749E-21</v>
      </c>
      <c r="AL271" s="16">
        <v>7.1303467162024719E-21</v>
      </c>
      <c r="AM271" s="16">
        <v>3.6984567167112692E-20</v>
      </c>
      <c r="AN271" s="16">
        <v>2.0662324507283132E-19</v>
      </c>
      <c r="AO271" s="16">
        <v>1.2958486139978881E-18</v>
      </c>
      <c r="AP271" s="16">
        <v>7.6654589811025225E-18</v>
      </c>
      <c r="AQ271" s="16">
        <v>4.5147810249700956E-17</v>
      </c>
      <c r="AR271" s="16">
        <v>2.6321263582471026E-16</v>
      </c>
      <c r="AS271" s="16">
        <v>1.5196727995455358E-15</v>
      </c>
      <c r="AT271" s="16">
        <v>8.736929807796249E-15</v>
      </c>
      <c r="AU271" s="16">
        <v>5.0012938347286182E-14</v>
      </c>
      <c r="AV271" s="16">
        <v>2.8494956123270307E-13</v>
      </c>
      <c r="AW271" s="16">
        <v>1.6159967688148403E-12</v>
      </c>
      <c r="AX271" s="16">
        <v>9.12242303161155E-12</v>
      </c>
      <c r="AY271" s="16">
        <v>5.1260992462604108E-11</v>
      </c>
      <c r="AZ271" s="16">
        <v>2.8673497627980494E-10</v>
      </c>
      <c r="BA271" s="16">
        <v>1.5966175536775342E-9</v>
      </c>
      <c r="BB271" s="16">
        <v>8.8692642475772481E-9</v>
      </c>
      <c r="BC271" s="16">
        <v>4.9330895126029049E-8</v>
      </c>
      <c r="BD271" s="16">
        <v>2.7435228137148052E-7</v>
      </c>
      <c r="BE271" s="16">
        <v>1.5257973013694181E-6</v>
      </c>
      <c r="BF271" s="16">
        <v>8.4856490789790812E-6</v>
      </c>
      <c r="BG271" s="16">
        <v>4.7192533380509727E-5</v>
      </c>
      <c r="BH271" s="16">
        <v>2.6245902769877474E-4</v>
      </c>
      <c r="BI271" s="16">
        <v>1.4596533876444222E-3</v>
      </c>
      <c r="BJ271" s="16">
        <v>8.1177928255793327E-3</v>
      </c>
      <c r="BK271" s="16">
        <v>4.5146718335216357E-2</v>
      </c>
      <c r="BL271" s="16">
        <v>0.25108132471881617</v>
      </c>
      <c r="BM271" s="16">
        <v>0.39637683418022174</v>
      </c>
      <c r="BN271" s="16">
        <v>0.2364783060055593</v>
      </c>
      <c r="BQ271" s="9">
        <f t="shared" si="195"/>
        <v>1</v>
      </c>
      <c r="BR271" s="16">
        <v>4.346260990138981E-33</v>
      </c>
      <c r="BS271" s="16">
        <v>5.1789651782488028E-32</v>
      </c>
      <c r="BT271" s="16">
        <v>6.1289874827943009E-31</v>
      </c>
      <c r="BU271" s="16">
        <v>6.5965369756958357E-30</v>
      </c>
      <c r="BV271" s="16">
        <v>6.1382872992311433E-29</v>
      </c>
      <c r="BW271" s="16">
        <v>5.0652254695034507E-28</v>
      </c>
      <c r="BX271" s="16">
        <v>3.7473330366250271E-27</v>
      </c>
      <c r="BY271" s="16">
        <v>2.5102972721967521E-26</v>
      </c>
      <c r="BZ271" s="16">
        <v>1.535935220705096E-25</v>
      </c>
      <c r="CA271" s="16">
        <v>8.6491972270890511E-25</v>
      </c>
      <c r="CB271" s="16">
        <v>4.5129377247369199E-24</v>
      </c>
      <c r="CC271" s="16">
        <v>2.1949323251906212E-23</v>
      </c>
      <c r="CD271" s="16">
        <v>1.0004086998806405E-22</v>
      </c>
      <c r="CE271" s="16">
        <v>4.2934034399685102E-22</v>
      </c>
      <c r="CF271" s="16">
        <v>1.742434220638241E-21</v>
      </c>
      <c r="CG271" s="16">
        <v>6.7130542398183836E-21</v>
      </c>
      <c r="CH271" s="16">
        <v>2.4638285416352528E-20</v>
      </c>
      <c r="CI271" s="16">
        <v>8.6417783326475436E-20</v>
      </c>
      <c r="CJ271" s="16">
        <v>2.9050171144418861E-19</v>
      </c>
      <c r="CK271" s="16">
        <v>9.3839776050975011E-19</v>
      </c>
      <c r="CL271" s="16">
        <v>2.9198407371211996E-18</v>
      </c>
      <c r="CM271" s="16">
        <v>9.2808442528557053E-18</v>
      </c>
      <c r="CN271" s="16">
        <v>3.6057411124490441E-17</v>
      </c>
      <c r="CO271" s="16">
        <v>1.5606146889422122E-16</v>
      </c>
      <c r="CP271" s="16">
        <v>7.0185357198817334E-16</v>
      </c>
      <c r="CQ271" s="16">
        <v>3.4491318711276591E-15</v>
      </c>
      <c r="CR271" s="16">
        <v>1.5510316270086983E-14</v>
      </c>
      <c r="CS271" s="16">
        <v>6.8289869132956797E-14</v>
      </c>
      <c r="CT271" s="16">
        <v>3.1643412835174705E-13</v>
      </c>
      <c r="CU271" s="16">
        <v>1.5131734362067428E-12</v>
      </c>
      <c r="CV271" s="16">
        <v>6.9374828961036902E-12</v>
      </c>
      <c r="CW271" s="16">
        <v>3.0731569453372344E-11</v>
      </c>
      <c r="CX271" s="16">
        <v>1.3244614912988376E-10</v>
      </c>
      <c r="CY271" s="16">
        <v>5.5552193746055078E-10</v>
      </c>
      <c r="CZ271" s="16">
        <v>2.269657975716965E-9</v>
      </c>
      <c r="DA271" s="16">
        <v>9.0406616600443022E-9</v>
      </c>
      <c r="DB271" s="16">
        <v>3.513874468490501E-8</v>
      </c>
      <c r="DC271" s="16">
        <v>1.3337271790080614E-7</v>
      </c>
      <c r="DD271" s="16">
        <v>5.0114938996814677E-7</v>
      </c>
      <c r="DE271" s="16">
        <v>1.9024879279084701E-6</v>
      </c>
      <c r="DF271" s="16">
        <v>7.2146104909290936E-6</v>
      </c>
      <c r="DG271" s="16">
        <v>2.7357257566517867E-5</v>
      </c>
      <c r="DH271" s="16">
        <v>1.0373614728979262E-4</v>
      </c>
      <c r="DI271" s="16">
        <v>3.9335758299250556E-4</v>
      </c>
      <c r="DJ271" s="16">
        <v>1.491574428976964E-3</v>
      </c>
      <c r="DK271" s="16">
        <v>5.6559079321955898E-3</v>
      </c>
      <c r="DL271" s="16">
        <v>2.1446663279262469E-2</v>
      </c>
      <c r="DM271" s="16">
        <v>8.1323701044114863E-2</v>
      </c>
      <c r="DN271" s="16">
        <v>0.30837171570201194</v>
      </c>
      <c r="DO271" s="16">
        <v>0.16931612585383071</v>
      </c>
      <c r="DP271" s="16">
        <v>0.28060097316583832</v>
      </c>
    </row>
    <row r="272" spans="3:120" x14ac:dyDescent="0.25">
      <c r="C272" s="1"/>
      <c r="D272" s="1"/>
      <c r="E272" s="1"/>
      <c r="F272" s="1"/>
      <c r="G272" s="1"/>
      <c r="H272" s="1"/>
      <c r="I272" s="1"/>
      <c r="O272" s="16">
        <f t="shared" si="194"/>
        <v>0</v>
      </c>
      <c r="P272" s="16">
        <v>5.6025419213278755E-53</v>
      </c>
      <c r="Q272" s="16">
        <v>4.2459006518381706E-51</v>
      </c>
      <c r="R272" s="16">
        <v>3.2172223713198231E-49</v>
      </c>
      <c r="S272" s="16">
        <v>2.4377677056198071E-47</v>
      </c>
      <c r="T272" s="16">
        <v>1.8471559316231433E-45</v>
      </c>
      <c r="U272" s="16">
        <v>1.3996350135678961E-43</v>
      </c>
      <c r="V272" s="16">
        <v>1.0605375202318738E-41</v>
      </c>
      <c r="W272" s="16">
        <v>8.0359509509013234E-40</v>
      </c>
      <c r="X272" s="16">
        <v>6.0890356496932823E-38</v>
      </c>
      <c r="Y272" s="16">
        <v>4.6138105334101314E-36</v>
      </c>
      <c r="Z272" s="16">
        <v>3.4959965523076815E-34</v>
      </c>
      <c r="AA272" s="16">
        <v>2.6490016885703695E-32</v>
      </c>
      <c r="AB272" s="16">
        <v>2.0072130624432855E-30</v>
      </c>
      <c r="AC272" s="16">
        <v>7.6799586655413315E-29</v>
      </c>
      <c r="AD272" s="16">
        <v>1.4673614795965126E-27</v>
      </c>
      <c r="AE272" s="16">
        <v>1.7394176102577268E-26</v>
      </c>
      <c r="AF272" s="16">
        <v>1.4472111578771512E-25</v>
      </c>
      <c r="AG272" s="16">
        <v>9.1699246866250058E-25</v>
      </c>
      <c r="AH272" s="16">
        <v>4.6854784942908484E-24</v>
      </c>
      <c r="AI272" s="16">
        <v>2.0127145592931517E-23</v>
      </c>
      <c r="AJ272" s="16">
        <v>7.4985241505425993E-23</v>
      </c>
      <c r="AK272" s="16">
        <v>2.7025987829406011E-22</v>
      </c>
      <c r="AL272" s="16">
        <v>1.243060372766636E-21</v>
      </c>
      <c r="AM272" s="16">
        <v>6.4476597954059886E-21</v>
      </c>
      <c r="AN272" s="16">
        <v>3.6021413581312925E-20</v>
      </c>
      <c r="AO272" s="16">
        <v>2.2591020118349081E-19</v>
      </c>
      <c r="AP272" s="16">
        <v>1.3363485224111907E-18</v>
      </c>
      <c r="AQ272" s="16">
        <v>7.8707889072300489E-18</v>
      </c>
      <c r="AR272" s="16">
        <v>4.5886856590251452E-17</v>
      </c>
      <c r="AS272" s="16">
        <v>2.6493031992313437E-16</v>
      </c>
      <c r="AT272" s="16">
        <v>1.5231420933622306E-15</v>
      </c>
      <c r="AU272" s="16">
        <v>8.7189451312183581E-15</v>
      </c>
      <c r="AV272" s="16">
        <v>4.9676337197002467E-14</v>
      </c>
      <c r="AW272" s="16">
        <v>2.8172284263092683E-13</v>
      </c>
      <c r="AX272" s="16">
        <v>1.5903465883983531E-12</v>
      </c>
      <c r="AY272" s="16">
        <v>8.9365231362675011E-12</v>
      </c>
      <c r="AZ272" s="16">
        <v>4.9987595370318292E-11</v>
      </c>
      <c r="BA272" s="16">
        <v>2.783443905932769E-10</v>
      </c>
      <c r="BB272" s="16">
        <v>1.5462124579028827E-9</v>
      </c>
      <c r="BC272" s="16">
        <v>8.600041950965942E-9</v>
      </c>
      <c r="BD272" s="16">
        <v>4.7828873226608127E-8</v>
      </c>
      <c r="BE272" s="16">
        <v>2.6599802754286423E-7</v>
      </c>
      <c r="BF272" s="16">
        <v>1.4793353713520987E-6</v>
      </c>
      <c r="BG272" s="16">
        <v>8.2272532417640365E-6</v>
      </c>
      <c r="BH272" s="16">
        <v>4.5755477228878077E-5</v>
      </c>
      <c r="BI272" s="16">
        <v>2.5446690832471938E-4</v>
      </c>
      <c r="BJ272" s="16">
        <v>1.4152055962267781E-3</v>
      </c>
      <c r="BK272" s="16">
        <v>7.8705985496387177E-3</v>
      </c>
      <c r="BL272" s="16">
        <v>4.3771959137765132E-2</v>
      </c>
      <c r="BM272" s="16">
        <v>0.24343566689043356</v>
      </c>
      <c r="BN272" s="16">
        <v>0.3538558721549564</v>
      </c>
      <c r="BQ272" s="16">
        <f t="shared" si="195"/>
        <v>0</v>
      </c>
      <c r="BR272" s="16">
        <v>1.0736579373798573E-33</v>
      </c>
      <c r="BS272" s="16">
        <v>1.2793610608420704E-32</v>
      </c>
      <c r="BT272" s="16">
        <v>1.5140453078942847E-31</v>
      </c>
      <c r="BU272" s="16">
        <v>1.6295441758432174E-30</v>
      </c>
      <c r="BV272" s="16">
        <v>1.5163426438702524E-29</v>
      </c>
      <c r="BW272" s="16">
        <v>1.2512639121971116E-28</v>
      </c>
      <c r="BX272" s="16">
        <v>9.2570461550896608E-28</v>
      </c>
      <c r="BY272" s="16">
        <v>6.2011936181284454E-27</v>
      </c>
      <c r="BZ272" s="16">
        <v>3.7942246099642914E-26</v>
      </c>
      <c r="CA272" s="16">
        <v>2.1366133501640139E-25</v>
      </c>
      <c r="CB272" s="16">
        <v>1.1148321327361997E-24</v>
      </c>
      <c r="CC272" s="16">
        <v>5.4221468022728629E-24</v>
      </c>
      <c r="CD272" s="16">
        <v>2.4713121087014295E-23</v>
      </c>
      <c r="CE272" s="16">
        <v>1.0606005235660665E-22</v>
      </c>
      <c r="CF272" s="16">
        <v>4.304339604996226E-22</v>
      </c>
      <c r="CG272" s="16">
        <v>1.6583274646863843E-21</v>
      </c>
      <c r="CH272" s="16">
        <v>6.0864017970194132E-21</v>
      </c>
      <c r="CI272" s="16">
        <v>2.1347806588181008E-20</v>
      </c>
      <c r="CJ272" s="16">
        <v>7.1762710297918013E-20</v>
      </c>
      <c r="CK272" s="16">
        <v>2.3181263303715178E-19</v>
      </c>
      <c r="CL272" s="16">
        <v>7.2128898619016974E-19</v>
      </c>
      <c r="CM272" s="16">
        <v>2.2926492726213675E-18</v>
      </c>
      <c r="CN272" s="16">
        <v>8.9072712713324623E-18</v>
      </c>
      <c r="CO272" s="16">
        <v>3.8551903619594256E-17</v>
      </c>
      <c r="CP272" s="16">
        <v>1.7337906309657923E-16</v>
      </c>
      <c r="CQ272" s="16">
        <v>8.5203990715422546E-16</v>
      </c>
      <c r="CR272" s="16">
        <v>3.8315173001422372E-15</v>
      </c>
      <c r="CS272" s="16">
        <v>1.6869663419565195E-14</v>
      </c>
      <c r="CT272" s="16">
        <v>7.8168801720272622E-14</v>
      </c>
      <c r="CU272" s="16">
        <v>3.737996116896265E-13</v>
      </c>
      <c r="CV272" s="16">
        <v>1.7137681316741506E-12</v>
      </c>
      <c r="CW272" s="16">
        <v>7.5916272737911414E-12</v>
      </c>
      <c r="CX272" s="16">
        <v>3.2718205282961797E-11</v>
      </c>
      <c r="CY272" s="16">
        <v>1.372307228894886E-10</v>
      </c>
      <c r="CZ272" s="16">
        <v>5.6067417633106645E-10</v>
      </c>
      <c r="DA272" s="16">
        <v>2.2333169067608E-9</v>
      </c>
      <c r="DB272" s="16">
        <v>8.6803328714289013E-9</v>
      </c>
      <c r="DC272" s="16">
        <v>3.294709579774822E-8</v>
      </c>
      <c r="DD272" s="16">
        <v>1.2379905890906208E-7</v>
      </c>
      <c r="DE272" s="16">
        <v>4.6997206776185092E-7</v>
      </c>
      <c r="DF272" s="16">
        <v>1.7822270306050611E-6</v>
      </c>
      <c r="DG272" s="16">
        <v>6.7580701660297268E-6</v>
      </c>
      <c r="DH272" s="16">
        <v>2.5625966361336776E-5</v>
      </c>
      <c r="DI272" s="16">
        <v>9.7171221923089018E-5</v>
      </c>
      <c r="DJ272" s="16">
        <v>3.6846400354175141E-4</v>
      </c>
      <c r="DK272" s="16">
        <v>1.3971803484119137E-3</v>
      </c>
      <c r="DL272" s="16">
        <v>5.2979745837483522E-3</v>
      </c>
      <c r="DM272" s="16">
        <v>2.0089414170300076E-2</v>
      </c>
      <c r="DN272" s="16">
        <v>7.6177141910735255E-2</v>
      </c>
      <c r="DO272" s="16">
        <v>0.288856454473776</v>
      </c>
      <c r="DP272" s="16">
        <v>9.5316117122556027E-2</v>
      </c>
    </row>
    <row r="273" spans="3:36" s="29" customFormat="1" x14ac:dyDescent="0.25">
      <c r="C273" s="1"/>
      <c r="D273" s="1"/>
      <c r="E273" s="1"/>
      <c r="F273" s="1"/>
      <c r="G273" s="1"/>
      <c r="H273" s="1"/>
      <c r="I273" s="1"/>
      <c r="J273" s="88"/>
      <c r="K273" s="1"/>
      <c r="M273" s="1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</row>
    <row r="274" spans="3:36" s="29" customFormat="1" x14ac:dyDescent="0.25">
      <c r="C274" s="1"/>
      <c r="D274" s="1"/>
      <c r="E274" s="1"/>
      <c r="F274" s="1"/>
      <c r="G274" s="1"/>
      <c r="H274" s="1"/>
      <c r="I274" s="1"/>
      <c r="J274" s="88"/>
      <c r="K274" s="1"/>
      <c r="M274" s="1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</row>
    <row r="275" spans="3:36" s="29" customFormat="1" x14ac:dyDescent="0.25">
      <c r="J275" s="88"/>
      <c r="K275" s="1"/>
      <c r="M275" s="1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</row>
    <row r="276" spans="3:36" s="29" customFormat="1" x14ac:dyDescent="0.25">
      <c r="J276" s="88"/>
      <c r="K276" s="1"/>
      <c r="M276" s="1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</row>
    <row r="277" spans="3:36" s="29" customFormat="1" x14ac:dyDescent="0.25">
      <c r="J277" s="88"/>
      <c r="K277" s="1"/>
      <c r="M277" s="1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</row>
    <row r="278" spans="3:36" s="29" customFormat="1" x14ac:dyDescent="0.25">
      <c r="J278" s="88"/>
      <c r="K278" s="1"/>
      <c r="M278" s="1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</row>
    <row r="279" spans="3:36" s="29" customFormat="1" x14ac:dyDescent="0.25">
      <c r="J279" s="88"/>
      <c r="K279" s="1"/>
      <c r="M279" s="1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</row>
    <row r="280" spans="3:36" s="29" customFormat="1" x14ac:dyDescent="0.25">
      <c r="J280" s="88"/>
      <c r="K280" s="1"/>
      <c r="M280" s="1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</row>
    <row r="281" spans="3:36" s="29" customFormat="1" x14ac:dyDescent="0.25">
      <c r="J281" s="88"/>
      <c r="K281" s="1"/>
      <c r="M281" s="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</row>
    <row r="282" spans="3:36" s="29" customFormat="1" x14ac:dyDescent="0.25">
      <c r="J282" s="88"/>
      <c r="K282" s="1"/>
      <c r="M282" s="1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</row>
    <row r="283" spans="3:36" s="29" customFormat="1" x14ac:dyDescent="0.25">
      <c r="J283" s="88"/>
      <c r="K283" s="1"/>
      <c r="M283" s="1"/>
    </row>
    <row r="284" spans="3:36" s="29" customFormat="1" x14ac:dyDescent="0.25">
      <c r="J284" s="88"/>
      <c r="K284" s="1"/>
      <c r="M284" s="1"/>
    </row>
    <row r="285" spans="3:36" s="29" customFormat="1" x14ac:dyDescent="0.25">
      <c r="J285" s="88"/>
      <c r="K285" s="1"/>
      <c r="M285" s="1"/>
    </row>
    <row r="286" spans="3:36" s="29" customFormat="1" x14ac:dyDescent="0.25">
      <c r="J286" s="88"/>
      <c r="K286" s="1"/>
      <c r="M286" s="1"/>
    </row>
    <row r="287" spans="3:36" s="29" customFormat="1" x14ac:dyDescent="0.25">
      <c r="J287" s="88"/>
      <c r="K287" s="1"/>
      <c r="M287" s="1"/>
    </row>
    <row r="288" spans="3:36" s="29" customFormat="1" x14ac:dyDescent="0.25">
      <c r="J288" s="88"/>
      <c r="K288" s="1"/>
      <c r="M288" s="1"/>
    </row>
    <row r="289" spans="10:13" s="29" customFormat="1" x14ac:dyDescent="0.25">
      <c r="J289" s="88"/>
      <c r="K289" s="1"/>
      <c r="M289" s="1"/>
    </row>
    <row r="290" spans="10:13" s="29" customFormat="1" x14ac:dyDescent="0.25">
      <c r="J290" s="88"/>
      <c r="K290" s="1"/>
      <c r="M290" s="1"/>
    </row>
    <row r="291" spans="10:13" s="29" customFormat="1" x14ac:dyDescent="0.25">
      <c r="J291" s="88"/>
      <c r="K291" s="1"/>
      <c r="M291" s="1"/>
    </row>
    <row r="292" spans="10:13" s="29" customFormat="1" x14ac:dyDescent="0.25">
      <c r="J292" s="88"/>
      <c r="K292" s="1"/>
      <c r="M292" s="1"/>
    </row>
    <row r="293" spans="10:13" s="29" customFormat="1" x14ac:dyDescent="0.25">
      <c r="J293" s="88"/>
      <c r="K293" s="1"/>
      <c r="M293" s="1"/>
    </row>
    <row r="294" spans="10:13" s="29" customFormat="1" x14ac:dyDescent="0.25">
      <c r="J294" s="88"/>
      <c r="K294" s="1"/>
      <c r="M294" s="1"/>
    </row>
    <row r="295" spans="10:13" s="29" customFormat="1" x14ac:dyDescent="0.25">
      <c r="J295" s="88"/>
      <c r="K295" s="1"/>
      <c r="M295" s="1"/>
    </row>
    <row r="296" spans="10:13" s="29" customFormat="1" x14ac:dyDescent="0.25">
      <c r="J296" s="88"/>
      <c r="K296" s="1"/>
      <c r="M296" s="1"/>
    </row>
    <row r="297" spans="10:13" s="29" customFormat="1" x14ac:dyDescent="0.25">
      <c r="J297" s="88"/>
      <c r="K297" s="1"/>
      <c r="M297" s="1"/>
    </row>
    <row r="298" spans="10:13" s="29" customFormat="1" x14ac:dyDescent="0.25">
      <c r="J298" s="88"/>
      <c r="K298" s="1"/>
      <c r="M298" s="1"/>
    </row>
    <row r="299" spans="10:13" s="29" customFormat="1" x14ac:dyDescent="0.25">
      <c r="J299" s="88"/>
      <c r="K299" s="1"/>
      <c r="M299" s="1"/>
    </row>
    <row r="300" spans="10:13" s="29" customFormat="1" x14ac:dyDescent="0.25">
      <c r="J300" s="88"/>
      <c r="K300" s="1"/>
      <c r="M300" s="1"/>
    </row>
    <row r="301" spans="10:13" s="29" customFormat="1" x14ac:dyDescent="0.25">
      <c r="J301" s="88"/>
      <c r="K301" s="1"/>
      <c r="M301" s="1"/>
    </row>
    <row r="302" spans="10:13" s="29" customFormat="1" x14ac:dyDescent="0.25">
      <c r="J302" s="88"/>
      <c r="K302" s="1"/>
      <c r="M302" s="1"/>
    </row>
    <row r="303" spans="10:13" s="29" customFormat="1" x14ac:dyDescent="0.25">
      <c r="J303" s="88"/>
      <c r="K303" s="1"/>
      <c r="M303" s="1"/>
    </row>
    <row r="304" spans="10:13" s="29" customFormat="1" x14ac:dyDescent="0.25">
      <c r="J304" s="88"/>
      <c r="K304" s="1"/>
      <c r="M304" s="1"/>
    </row>
    <row r="305" spans="10:13" s="29" customFormat="1" x14ac:dyDescent="0.25">
      <c r="J305" s="88"/>
      <c r="K305" s="1"/>
      <c r="M305" s="1"/>
    </row>
    <row r="306" spans="10:13" s="29" customFormat="1" x14ac:dyDescent="0.25">
      <c r="J306" s="88"/>
      <c r="K306" s="1"/>
      <c r="M306" s="1"/>
    </row>
    <row r="307" spans="10:13" s="29" customFormat="1" x14ac:dyDescent="0.25">
      <c r="J307" s="88"/>
      <c r="K307" s="1"/>
      <c r="M307" s="1"/>
    </row>
  </sheetData>
  <mergeCells count="3">
    <mergeCell ref="O1:Z1"/>
    <mergeCell ref="N4:N7"/>
    <mergeCell ref="N8:N1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16CE4-085D-4F1C-9176-66061255E196}">
  <dimension ref="A1:M21"/>
  <sheetViews>
    <sheetView workbookViewId="0">
      <selection activeCell="D14" sqref="D14"/>
    </sheetView>
  </sheetViews>
  <sheetFormatPr defaultRowHeight="15" x14ac:dyDescent="0.25"/>
  <cols>
    <col min="1" max="4" width="12" bestFit="1" customWidth="1"/>
    <col min="6" max="6" width="11.5703125" bestFit="1" customWidth="1"/>
    <col min="10" max="10" width="10.85546875" customWidth="1"/>
  </cols>
  <sheetData>
    <row r="1" spans="1:13" x14ac:dyDescent="0.25">
      <c r="A1" t="s">
        <v>88</v>
      </c>
      <c r="F1" t="s">
        <v>31</v>
      </c>
      <c r="G1" s="83">
        <f>'LV 1M'!B3</f>
        <v>5.407E-2</v>
      </c>
      <c r="J1" t="s">
        <v>89</v>
      </c>
      <c r="K1" t="s">
        <v>90</v>
      </c>
    </row>
    <row r="2" spans="1:13" x14ac:dyDescent="0.25">
      <c r="F2" t="s">
        <v>33</v>
      </c>
      <c r="G2">
        <f>'LV 1M'!B5</f>
        <v>316.60000000000002</v>
      </c>
      <c r="J2" s="128" cm="1">
        <f t="array" ref="J2:J21">linspace(0,G3,20)</f>
        <v>0</v>
      </c>
      <c r="K2" s="129">
        <f>G2</f>
        <v>316.60000000000002</v>
      </c>
      <c r="L2" cm="1">
        <f t="array" ref="L2">[1]!Interp_Lin_Range($A$5:$A$12,$B$5:$B$12,LN(K2),1)</f>
        <v>33.300783154743527</v>
      </c>
      <c r="M2">
        <f ca="1">NORMSINV(RAND())</f>
        <v>1.2288872175407</v>
      </c>
    </row>
    <row r="3" spans="1:13" x14ac:dyDescent="0.25">
      <c r="A3" s="85" t="s">
        <v>56</v>
      </c>
      <c r="B3" t="s">
        <v>37</v>
      </c>
      <c r="D3" t="s">
        <v>80</v>
      </c>
      <c r="F3" t="s">
        <v>34</v>
      </c>
      <c r="G3">
        <f>'LV 1M'!B7</f>
        <v>3.8356164383561646E-2</v>
      </c>
      <c r="J3">
        <v>2.0187454938716655E-3</v>
      </c>
      <c r="K3">
        <f ca="1">K2*EXP(((L2%^2)*0.5)*$G$4+L2%*SQRT($G$4)*M2)</f>
        <v>322.51122051232426</v>
      </c>
      <c r="L3" s="29" cm="1">
        <f t="array" aca="1" ref="L3" ca="1">[1]!Interp_Lin_Range($A$5:$A$12,$B$5:$B$12,LN(K3),1)</f>
        <v>37.478398966734204</v>
      </c>
      <c r="M3" s="29">
        <f t="shared" ref="M3:M21" ca="1" si="0">NORMSINV(RAND())</f>
        <v>-0.13466835608499478</v>
      </c>
    </row>
    <row r="4" spans="1:13" x14ac:dyDescent="0.25">
      <c r="A4" s="127" t="str">
        <f>'LV 1M'!C14</f>
        <v>Ln(K)</v>
      </c>
      <c r="B4" s="127" t="str">
        <f>'LV 1M'!E14</f>
        <v>LV</v>
      </c>
      <c r="C4" s="127" t="str">
        <f>'LV 3M'!C43</f>
        <v>Ln(K)</v>
      </c>
      <c r="D4" s="127" t="str">
        <f>'LV 3M'!E43</f>
        <v>LV</v>
      </c>
      <c r="F4" t="s">
        <v>70</v>
      </c>
      <c r="G4">
        <f>J4-J3</f>
        <v>2.0187454938716655E-3</v>
      </c>
      <c r="J4">
        <v>4.0374909877433311E-3</v>
      </c>
      <c r="K4" s="29">
        <f t="shared" ref="K4:K21" ca="1" si="1">K3*EXP(((L3%^2)*0.5)*$G$4+L3%*SQRT($G$4)*M3)</f>
        <v>321.82631262147822</v>
      </c>
      <c r="L4" s="29" cm="1">
        <f t="array" aca="1" ref="L4" ca="1">[1]!Interp_Lin_Range($A$5:$A$12,$B$5:$B$12,LN(K4),1)</f>
        <v>36.913193250389384</v>
      </c>
      <c r="M4" s="29">
        <f t="shared" ca="1" si="0"/>
        <v>-0.56609234793681829</v>
      </c>
    </row>
    <row r="5" spans="1:13" x14ac:dyDescent="0.25">
      <c r="A5" s="9">
        <f>'LV 1M'!C15</f>
        <v>5.537210949273196</v>
      </c>
      <c r="B5" s="9">
        <f>'LV 1M'!E15</f>
        <v>-35.162444914965818</v>
      </c>
      <c r="C5" s="9">
        <f>'LV 3M'!C44</f>
        <v>3.233864338011804</v>
      </c>
      <c r="D5" s="9">
        <f>'LV 3M'!E44</f>
        <v>18.947078315986005</v>
      </c>
      <c r="J5">
        <v>6.0562364816149966E-3</v>
      </c>
      <c r="K5" s="29">
        <f t="shared" ca="1" si="1"/>
        <v>318.86274457603849</v>
      </c>
      <c r="L5" s="29" cm="1">
        <f t="array" aca="1" ref="L5" ca="1">[1]!Interp_Lin_Range($A$5:$A$12,$B$5:$B$12,LN(K5),1)</f>
        <v>34.45362806735131</v>
      </c>
      <c r="M5" s="29">
        <f t="shared" ca="1" si="0"/>
        <v>2.2782406985802601</v>
      </c>
    </row>
    <row r="6" spans="1:13" x14ac:dyDescent="0.25">
      <c r="A6" s="9">
        <f>'LV 1M'!C16</f>
        <v>5.6484620072641638</v>
      </c>
      <c r="B6" s="9">
        <f>'LV 1M'!E16</f>
        <v>17.889211989170928</v>
      </c>
      <c r="C6" s="9">
        <f>'LV 3M'!C45</f>
        <v>3.5607973254354528</v>
      </c>
      <c r="D6" s="9">
        <f>'LV 3M'!E45</f>
        <v>37.759994502067642</v>
      </c>
      <c r="J6">
        <v>8.0749819754866621E-3</v>
      </c>
      <c r="K6" s="29">
        <f t="shared" ca="1" si="1"/>
        <v>330.34848592934156</v>
      </c>
      <c r="L6" s="29" cm="1">
        <f t="array" aca="1" ref="L6" ca="1">[1]!Interp_Lin_Range($A$5:$A$12,$B$5:$B$12,LN(K6),1)</f>
        <v>44.43008414854026</v>
      </c>
      <c r="M6" s="29">
        <f t="shared" ca="1" si="0"/>
        <v>-0.17563647212654129</v>
      </c>
    </row>
    <row r="7" spans="1:13" x14ac:dyDescent="0.25">
      <c r="A7" s="9">
        <f>'LV 1M'!C17</f>
        <v>5.6855456932611528</v>
      </c>
      <c r="B7" s="9">
        <f>'LV 1M'!E17</f>
        <v>35.573097623883179</v>
      </c>
      <c r="C7" s="9">
        <f>'LV 3M'!C46</f>
        <v>3.7652931492490409</v>
      </c>
      <c r="D7" s="9">
        <f>'LV 3M'!E46</f>
        <v>49.527429853653892</v>
      </c>
      <c r="J7">
        <v>1.0093727469358327E-2</v>
      </c>
      <c r="K7" s="29">
        <f t="shared" ca="1" si="1"/>
        <v>329.2578562721522</v>
      </c>
      <c r="L7" s="29" cm="1">
        <f t="array" aca="1" ref="L7" ca="1">[1]!Interp_Lin_Range($A$5:$A$12,$B$5:$B$12,LN(K7),1)</f>
        <v>42.990167279510679</v>
      </c>
      <c r="M7" s="29">
        <f t="shared" ca="1" si="0"/>
        <v>-0.13074142517219178</v>
      </c>
    </row>
    <row r="8" spans="1:13" x14ac:dyDescent="0.25">
      <c r="A8" s="9">
        <f>'LV 1M'!C18</f>
        <v>5.7226293792581417</v>
      </c>
      <c r="B8" s="9">
        <f>'LV 1M'!E18</f>
        <v>36.49373457533715</v>
      </c>
      <c r="C8" s="9">
        <f>'LV 3M'!C47</f>
        <v>3.8265117310540711</v>
      </c>
      <c r="D8" s="9">
        <f>'LV 3M'!E47</f>
        <v>39.862709952149956</v>
      </c>
      <c r="J8">
        <v>1.2112472963229993E-2</v>
      </c>
      <c r="K8" s="29">
        <f t="shared" ca="1" si="1"/>
        <v>328.48868407614145</v>
      </c>
      <c r="L8" s="29" cm="1">
        <f t="array" aca="1" ref="L8" ca="1">[1]!Interp_Lin_Range($A$5:$A$12,$B$5:$B$12,LN(K8),1)</f>
        <v>42.360827109107532</v>
      </c>
      <c r="M8" s="29">
        <f t="shared" ca="1" si="0"/>
        <v>1.3669008376027487</v>
      </c>
    </row>
    <row r="9" spans="1:13" x14ac:dyDescent="0.25">
      <c r="A9" s="9">
        <f>'LV 1M'!C19</f>
        <v>5.7597130652551307</v>
      </c>
      <c r="B9" s="9">
        <f>'LV 1M'!E19</f>
        <v>33.111638263059518</v>
      </c>
      <c r="C9" s="9">
        <f>'LV 3M'!C48</f>
        <v>3.8877303128591016</v>
      </c>
      <c r="D9" s="9">
        <f>'LV 3M'!E48</f>
        <v>34.829002054735064</v>
      </c>
      <c r="J9">
        <v>1.413121845710166E-2</v>
      </c>
      <c r="K9" s="29">
        <f t="shared" ca="1" si="1"/>
        <v>337.20788779403779</v>
      </c>
      <c r="L9" s="29" cm="1">
        <f t="array" aca="1" ref="L9" ca="1">[1]!Interp_Lin_Range($A$5:$A$12,$B$5:$B$12,LN(K9),1)</f>
        <v>53.378746656491231</v>
      </c>
      <c r="M9" s="29">
        <f t="shared" ca="1" si="0"/>
        <v>-0.21994572896716874</v>
      </c>
    </row>
    <row r="10" spans="1:13" x14ac:dyDescent="0.25">
      <c r="A10" s="9">
        <f>'LV 1M'!C20</f>
        <v>5.7967967512521206</v>
      </c>
      <c r="B10" s="9">
        <f>'LV 1M'!E20</f>
        <v>42.970812497515794</v>
      </c>
      <c r="C10" s="9">
        <f>'LV 3M'!C49</f>
        <v>3.9489488946641318</v>
      </c>
      <c r="D10" s="9">
        <f>'LV 3M'!E49</f>
        <v>36.381294885113626</v>
      </c>
      <c r="J10">
        <v>1.6149963950973324E-2</v>
      </c>
      <c r="K10" s="29">
        <f t="shared" ca="1" si="1"/>
        <v>335.5302748936013</v>
      </c>
      <c r="L10" s="29" cm="1">
        <f t="array" aca="1" ref="L10" ca="1">[1]!Interp_Lin_Range($A$5:$A$12,$B$5:$B$12,LN(K10),1)</f>
        <v>51.207090137251058</v>
      </c>
      <c r="M10" s="29">
        <f t="shared" ca="1" si="0"/>
        <v>0.56451671343673471</v>
      </c>
    </row>
    <row r="11" spans="1:13" x14ac:dyDescent="0.25">
      <c r="A11" s="9">
        <f>'LV 1M'!C21</f>
        <v>5.8338804372491095</v>
      </c>
      <c r="B11" s="9">
        <f>'LV 1M'!E21</f>
        <v>59.118020616869579</v>
      </c>
      <c r="C11" s="9">
        <f>'LV 3M'!C50</f>
        <v>4.0101674764691619</v>
      </c>
      <c r="D11" s="9">
        <f>'LV 3M'!E50</f>
        <v>34.640058563765642</v>
      </c>
      <c r="J11">
        <v>1.8168709444844989E-2</v>
      </c>
      <c r="K11" s="29">
        <f t="shared" ca="1" si="1"/>
        <v>340.00659907987676</v>
      </c>
      <c r="L11" s="29" cm="1">
        <f t="array" aca="1" ref="L11" ca="1">[1]!Interp_Lin_Range($A$5:$A$12,$B$5:$B$12,LN(K11),1)</f>
        <v>56.97772203160266</v>
      </c>
      <c r="M11" s="29">
        <f t="shared" ca="1" si="0"/>
        <v>0.19802355122433479</v>
      </c>
    </row>
    <row r="12" spans="1:13" x14ac:dyDescent="0.25">
      <c r="A12" s="9">
        <f>'LV 1M'!C22</f>
        <v>5.8709641232460985</v>
      </c>
      <c r="B12" s="9">
        <f>'LV 1M'!E22</f>
        <v>53.39731380867071</v>
      </c>
      <c r="C12" s="9">
        <f>'LV 3M'!C51</f>
        <v>4.0713860582741921</v>
      </c>
      <c r="D12" s="9">
        <f>'LV 3M'!E51</f>
        <v>36.345539162216859</v>
      </c>
      <c r="J12">
        <v>2.0187454938716654E-2</v>
      </c>
      <c r="K12" s="29">
        <f t="shared" ca="1" si="1"/>
        <v>341.84663034337859</v>
      </c>
      <c r="L12" s="29" cm="1">
        <f t="array" aca="1" ref="L12" ca="1">[1]!Interp_Lin_Range($A$5:$A$12,$B$5:$B$12,LN(K12),1)</f>
        <v>59.043703566201756</v>
      </c>
      <c r="M12" s="29">
        <f t="shared" ca="1" si="0"/>
        <v>0.67959369340904319</v>
      </c>
    </row>
    <row r="13" spans="1:13" x14ac:dyDescent="0.25">
      <c r="A13" s="29"/>
      <c r="B13" s="29"/>
      <c r="J13">
        <v>2.2206200432588322E-2</v>
      </c>
      <c r="K13" s="29">
        <f t="shared" ca="1" si="1"/>
        <v>348.18806194280921</v>
      </c>
      <c r="L13" s="29" cm="1">
        <f t="array" aca="1" ref="L13" ca="1">[1]!Interp_Lin_Range($A$5:$A$12,$B$5:$B$12,LN(K13),1)</f>
        <v>56.208231297849906</v>
      </c>
      <c r="M13" s="29">
        <f t="shared" ca="1" si="0"/>
        <v>0.31322955716465928</v>
      </c>
    </row>
    <row r="14" spans="1:13" x14ac:dyDescent="0.25">
      <c r="J14">
        <v>2.4224945926459986E-2</v>
      </c>
      <c r="K14" s="29">
        <f t="shared" ca="1" si="1"/>
        <v>351.06525940541883</v>
      </c>
      <c r="L14" s="29" cm="1">
        <f t="array" aca="1" ref="L14" ca="1">[1]!Interp_Lin_Range($A$5:$A$12,$B$5:$B$12,LN(K14),1)</f>
        <v>54.938726423773595</v>
      </c>
      <c r="M14" s="29">
        <f t="shared" ca="1" si="0"/>
        <v>-0.27001488378127525</v>
      </c>
    </row>
    <row r="15" spans="1:13" x14ac:dyDescent="0.25">
      <c r="J15">
        <v>2.6243691420331651E-2</v>
      </c>
      <c r="K15" s="29">
        <f t="shared" ca="1" si="1"/>
        <v>348.83941224718836</v>
      </c>
      <c r="L15" s="29" cm="1">
        <f t="array" aca="1" ref="L15" ca="1">[1]!Interp_Lin_Range($A$5:$A$12,$B$5:$B$12,LN(K15),1)</f>
        <v>55.919920013300604</v>
      </c>
      <c r="M15" s="29">
        <f t="shared" ca="1" si="0"/>
        <v>9.3125732681028126E-2</v>
      </c>
    </row>
    <row r="16" spans="1:13" x14ac:dyDescent="0.25">
      <c r="J16">
        <v>2.8262436914203319E-2</v>
      </c>
      <c r="K16" s="29">
        <f t="shared" ca="1" si="1"/>
        <v>349.76696026927721</v>
      </c>
      <c r="L16" s="29" cm="1">
        <f t="array" aca="1" ref="L16" ca="1">[1]!Interp_Lin_Range($A$5:$A$12,$B$5:$B$12,LN(K16),1)</f>
        <v>55.510281381491495</v>
      </c>
      <c r="M16" s="29">
        <f t="shared" ca="1" si="0"/>
        <v>1.7206067252689452</v>
      </c>
    </row>
    <row r="17" spans="10:13" x14ac:dyDescent="0.25">
      <c r="J17">
        <v>3.0281182408074984E-2</v>
      </c>
      <c r="K17" s="29">
        <f t="shared" ca="1" si="1"/>
        <v>365.21704446970426</v>
      </c>
      <c r="L17" s="29" cm="1">
        <f t="array" aca="1" ref="L17" ca="1">[1]!Interp_Lin_Range($A$5:$A$12,$B$5:$B$12,LN(K17),1)</f>
        <v>53.39731380867071</v>
      </c>
      <c r="M17" s="29">
        <f t="shared" ca="1" si="0"/>
        <v>2.0971788592446563</v>
      </c>
    </row>
    <row r="18" spans="10:13" x14ac:dyDescent="0.25">
      <c r="J18">
        <v>3.2299927901946648E-2</v>
      </c>
      <c r="K18" s="29">
        <f t="shared" ca="1" si="1"/>
        <v>384.17355214558785</v>
      </c>
      <c r="L18" s="29" cm="1">
        <f t="array" aca="1" ref="L18" ca="1">[1]!Interp_Lin_Range($A$5:$A$12,$B$5:$B$12,LN(K18),1)</f>
        <v>53.39731380867071</v>
      </c>
      <c r="M18" s="29">
        <f t="shared" ca="1" si="0"/>
        <v>1.7459398986165944</v>
      </c>
    </row>
    <row r="19" spans="10:13" x14ac:dyDescent="0.25">
      <c r="J19">
        <v>3.4318673395818317E-2</v>
      </c>
      <c r="K19" s="29">
        <f t="shared" ca="1" si="1"/>
        <v>400.72291179664637</v>
      </c>
      <c r="L19" s="29" cm="1">
        <f t="array" aca="1" ref="L19" ca="1">[1]!Interp_Lin_Range($A$5:$A$12,$B$5:$B$12,LN(K19),1)</f>
        <v>53.39731380867071</v>
      </c>
      <c r="M19" s="29">
        <f t="shared" ca="1" si="0"/>
        <v>0.35018841190615635</v>
      </c>
    </row>
    <row r="20" spans="10:13" x14ac:dyDescent="0.25">
      <c r="J20">
        <v>3.6337418889689978E-2</v>
      </c>
      <c r="K20" s="29">
        <f t="shared" ca="1" si="1"/>
        <v>404.22012542773172</v>
      </c>
      <c r="L20" s="29" cm="1">
        <f t="array" aca="1" ref="L20" ca="1">[1]!Interp_Lin_Range($A$5:$A$12,$B$5:$B$12,LN(K20),1)</f>
        <v>53.39731380867071</v>
      </c>
      <c r="M20" s="29">
        <f t="shared" ca="1" si="0"/>
        <v>0.444353586415417</v>
      </c>
    </row>
    <row r="21" spans="10:13" x14ac:dyDescent="0.25">
      <c r="J21">
        <v>3.8356164383561646E-2</v>
      </c>
      <c r="K21" s="29">
        <f t="shared" ca="1" si="1"/>
        <v>408.67007661380552</v>
      </c>
      <c r="M21" s="29">
        <f t="shared" ca="1" si="0"/>
        <v>1.3153848801786963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theme="6" tint="0.39997558519241921"/>
  </sheetPr>
  <dimension ref="A1:PV298"/>
  <sheetViews>
    <sheetView topLeftCell="AQ1" zoomScale="85" zoomScaleNormal="85" workbookViewId="0">
      <selection activeCell="AM85" sqref="AM82:BB85"/>
    </sheetView>
  </sheetViews>
  <sheetFormatPr defaultColWidth="10.140625" defaultRowHeight="15" x14ac:dyDescent="0.25"/>
  <cols>
    <col min="1" max="1" width="13.5703125" style="29" bestFit="1" customWidth="1"/>
    <col min="2" max="2" width="15" style="29" bestFit="1" customWidth="1"/>
    <col min="3" max="3" width="10.7109375" style="29" bestFit="1" customWidth="1"/>
    <col min="4" max="4" width="15.42578125" style="29" customWidth="1"/>
    <col min="5" max="5" width="15.42578125" style="1" customWidth="1"/>
    <col min="6" max="6" width="12.140625" style="29" customWidth="1"/>
    <col min="7" max="7" width="12.140625" style="1" customWidth="1"/>
    <col min="8" max="8" width="12.140625" style="29" customWidth="1"/>
    <col min="9" max="9" width="13.85546875" style="29" bestFit="1" customWidth="1"/>
    <col min="10" max="10" width="12.7109375" style="29" bestFit="1" customWidth="1"/>
    <col min="11" max="11" width="13.85546875" style="29" bestFit="1" customWidth="1"/>
    <col min="12" max="14" width="13.85546875" style="29" customWidth="1"/>
    <col min="15" max="30" width="12.7109375" style="29" bestFit="1" customWidth="1"/>
    <col min="31" max="31" width="12.7109375" style="29" customWidth="1"/>
    <col min="32" max="32" width="11.28515625" style="29" customWidth="1"/>
    <col min="33" max="33" width="12.140625" style="29" bestFit="1" customWidth="1"/>
    <col min="34" max="34" width="12.42578125" style="29" bestFit="1" customWidth="1"/>
    <col min="35" max="38" width="12.42578125" style="29" customWidth="1"/>
    <col min="39" max="54" width="13.28515625" style="29" bestFit="1" customWidth="1"/>
    <col min="55" max="55" width="12.140625" style="1" bestFit="1" customWidth="1"/>
    <col min="56" max="56" width="8.42578125" style="1" customWidth="1"/>
    <col min="57" max="16384" width="10.140625" style="29"/>
  </cols>
  <sheetData>
    <row r="1" spans="1:54" x14ac:dyDescent="0.25">
      <c r="A1" s="9"/>
      <c r="B1" s="20"/>
      <c r="I1" s="131" t="s">
        <v>16</v>
      </c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22"/>
      <c r="V1" s="22"/>
      <c r="W1" s="22"/>
      <c r="X1" s="22"/>
      <c r="Y1" s="22"/>
      <c r="Z1" s="22"/>
      <c r="AA1" s="22"/>
      <c r="AB1" s="22"/>
      <c r="AC1" s="22"/>
      <c r="AD1" s="22"/>
      <c r="AF1" s="6"/>
      <c r="AH1" s="25">
        <f>J2</f>
        <v>-5.9760899999999999E-2</v>
      </c>
      <c r="AI1" s="25">
        <f t="shared" ref="AI1:BB1" si="0">K2</f>
        <v>-5.3784800000000001E-2</v>
      </c>
      <c r="AJ1" s="25">
        <f t="shared" si="0"/>
        <v>-4.7808700000000003E-2</v>
      </c>
      <c r="AK1" s="25">
        <f t="shared" si="0"/>
        <v>-4.1832599999999998E-2</v>
      </c>
      <c r="AL1" s="25">
        <f t="shared" si="0"/>
        <v>-3.5856600000000002E-2</v>
      </c>
      <c r="AM1" s="25">
        <f t="shared" si="0"/>
        <v>-2.9880500000000001E-2</v>
      </c>
      <c r="AN1" s="25">
        <f t="shared" si="0"/>
        <v>-2.3904399999999999E-2</v>
      </c>
      <c r="AO1" s="25">
        <f t="shared" si="0"/>
        <v>-1.7928300000000001E-2</v>
      </c>
      <c r="AP1" s="25">
        <f t="shared" si="0"/>
        <v>-1.19522E-2</v>
      </c>
      <c r="AQ1" s="25">
        <f t="shared" si="0"/>
        <v>-5.9760899999999999E-3</v>
      </c>
      <c r="AR1" s="25">
        <f t="shared" si="0"/>
        <v>-8.6736199999999993E-18</v>
      </c>
      <c r="AS1" s="25">
        <f t="shared" si="0"/>
        <v>5.9760899999999999E-3</v>
      </c>
      <c r="AT1" s="25">
        <f t="shared" si="0"/>
        <v>1.19522E-2</v>
      </c>
      <c r="AU1" s="25">
        <f t="shared" si="0"/>
        <v>1.7928300000000001E-2</v>
      </c>
      <c r="AV1" s="25">
        <f t="shared" si="0"/>
        <v>2.3904399999999999E-2</v>
      </c>
      <c r="AW1" s="25">
        <f t="shared" si="0"/>
        <v>2.9880500000000001E-2</v>
      </c>
      <c r="AX1" s="25">
        <f t="shared" si="0"/>
        <v>3.5856600000000002E-2</v>
      </c>
      <c r="AY1" s="25">
        <f t="shared" si="0"/>
        <v>4.1832599999999998E-2</v>
      </c>
      <c r="AZ1" s="25">
        <f t="shared" si="0"/>
        <v>4.7808700000000003E-2</v>
      </c>
      <c r="BA1" s="25">
        <f t="shared" si="0"/>
        <v>5.3784800000000001E-2</v>
      </c>
      <c r="BB1" s="25">
        <f t="shared" si="0"/>
        <v>5.9760899999999999E-2</v>
      </c>
    </row>
    <row r="2" spans="1:54" x14ac:dyDescent="0.25">
      <c r="A2" s="9" t="s">
        <v>28</v>
      </c>
      <c r="B2" s="32">
        <f>COLUMN(AH111)-COLUMN(J111)</f>
        <v>24</v>
      </c>
      <c r="E2" s="2"/>
      <c r="I2" s="11" t="s">
        <v>15</v>
      </c>
      <c r="J2" s="17">
        <v>-5.9760899999999999E-2</v>
      </c>
      <c r="K2" s="17">
        <v>-5.3784800000000001E-2</v>
      </c>
      <c r="L2" s="17">
        <v>-4.7808700000000003E-2</v>
      </c>
      <c r="M2" s="17">
        <v>-4.1832599999999998E-2</v>
      </c>
      <c r="N2" s="17">
        <v>-3.5856600000000002E-2</v>
      </c>
      <c r="O2" s="17">
        <v>-2.9880500000000001E-2</v>
      </c>
      <c r="P2" s="17">
        <v>-2.3904399999999999E-2</v>
      </c>
      <c r="Q2" s="17">
        <v>-1.7928300000000001E-2</v>
      </c>
      <c r="R2" s="17">
        <v>-1.19522E-2</v>
      </c>
      <c r="S2" s="17">
        <v>-5.9760899999999999E-3</v>
      </c>
      <c r="T2" s="17">
        <v>-8.6736199999999993E-18</v>
      </c>
      <c r="U2" s="17">
        <v>5.9760899999999999E-3</v>
      </c>
      <c r="V2" s="17">
        <v>1.19522E-2</v>
      </c>
      <c r="W2" s="17">
        <v>1.7928300000000001E-2</v>
      </c>
      <c r="X2" s="17">
        <v>2.3904399999999999E-2</v>
      </c>
      <c r="Y2" s="17">
        <v>2.9880500000000001E-2</v>
      </c>
      <c r="Z2" s="17">
        <v>3.5856600000000002E-2</v>
      </c>
      <c r="AA2" s="17">
        <v>4.1832599999999998E-2</v>
      </c>
      <c r="AB2" s="17">
        <v>4.7808700000000003E-2</v>
      </c>
      <c r="AC2" s="17">
        <v>5.3784800000000001E-2</v>
      </c>
      <c r="AD2" s="17">
        <v>5.9760899999999999E-2</v>
      </c>
      <c r="AF2" s="5" t="s">
        <v>20</v>
      </c>
      <c r="AG2" s="35">
        <v>1.75068</v>
      </c>
      <c r="AH2" s="75">
        <v>0</v>
      </c>
      <c r="AI2" s="75">
        <v>0</v>
      </c>
      <c r="AJ2" s="75">
        <v>0</v>
      </c>
      <c r="AK2" s="75">
        <v>0</v>
      </c>
      <c r="AL2" s="75">
        <v>0</v>
      </c>
      <c r="AM2" s="75">
        <v>0</v>
      </c>
      <c r="AN2" s="75">
        <v>0</v>
      </c>
      <c r="AO2" s="75">
        <v>0</v>
      </c>
      <c r="AP2" s="75">
        <v>0</v>
      </c>
      <c r="AQ2" s="75">
        <v>0</v>
      </c>
      <c r="AR2" s="75">
        <v>0</v>
      </c>
      <c r="AS2" s="75">
        <v>0</v>
      </c>
      <c r="AT2" s="75">
        <v>0</v>
      </c>
      <c r="AU2" s="75">
        <v>0</v>
      </c>
      <c r="AV2" s="75">
        <v>0</v>
      </c>
      <c r="AW2" s="75">
        <v>0</v>
      </c>
      <c r="AX2" s="75">
        <v>0</v>
      </c>
      <c r="AY2" s="75">
        <v>0</v>
      </c>
      <c r="AZ2" s="75">
        <v>0</v>
      </c>
      <c r="BA2" s="75">
        <v>0</v>
      </c>
      <c r="BB2" s="75">
        <v>0</v>
      </c>
    </row>
    <row r="3" spans="1:54" x14ac:dyDescent="0.25">
      <c r="A3" s="9"/>
      <c r="B3" s="13"/>
      <c r="I3" s="47" t="s">
        <v>5</v>
      </c>
      <c r="J3" s="9">
        <f t="shared" ref="J3:AB3" si="1">K3+1</f>
        <v>20</v>
      </c>
      <c r="K3" s="9">
        <f t="shared" si="1"/>
        <v>19</v>
      </c>
      <c r="L3" s="9">
        <f t="shared" si="1"/>
        <v>18</v>
      </c>
      <c r="M3" s="9">
        <f t="shared" si="1"/>
        <v>17</v>
      </c>
      <c r="N3" s="9">
        <f t="shared" si="1"/>
        <v>16</v>
      </c>
      <c r="O3" s="9">
        <f t="shared" si="1"/>
        <v>15</v>
      </c>
      <c r="P3" s="9">
        <f t="shared" si="1"/>
        <v>14</v>
      </c>
      <c r="Q3" s="9">
        <f t="shared" si="1"/>
        <v>13</v>
      </c>
      <c r="R3" s="9">
        <f t="shared" si="1"/>
        <v>12</v>
      </c>
      <c r="S3" s="9">
        <f t="shared" si="1"/>
        <v>11</v>
      </c>
      <c r="T3" s="9">
        <f t="shared" si="1"/>
        <v>10</v>
      </c>
      <c r="U3" s="9">
        <f t="shared" si="1"/>
        <v>9</v>
      </c>
      <c r="V3" s="9">
        <f t="shared" si="1"/>
        <v>8</v>
      </c>
      <c r="W3" s="9">
        <f t="shared" si="1"/>
        <v>7</v>
      </c>
      <c r="X3" s="9">
        <f t="shared" si="1"/>
        <v>6</v>
      </c>
      <c r="Y3" s="9">
        <f t="shared" si="1"/>
        <v>5</v>
      </c>
      <c r="Z3" s="9">
        <f t="shared" si="1"/>
        <v>4</v>
      </c>
      <c r="AA3" s="9">
        <f t="shared" si="1"/>
        <v>3</v>
      </c>
      <c r="AB3" s="9">
        <f t="shared" si="1"/>
        <v>2</v>
      </c>
      <c r="AC3" s="9">
        <f>AD3+1</f>
        <v>1</v>
      </c>
      <c r="AD3" s="9">
        <v>0</v>
      </c>
      <c r="AF3" s="4"/>
      <c r="AG3" s="35">
        <v>1.7315100000000001</v>
      </c>
      <c r="AH3" s="76">
        <v>0</v>
      </c>
      <c r="AI3" s="76">
        <v>0</v>
      </c>
      <c r="AJ3" s="76">
        <v>0</v>
      </c>
      <c r="AK3" s="76">
        <v>0</v>
      </c>
      <c r="AL3" s="76">
        <v>0</v>
      </c>
      <c r="AM3" s="76">
        <v>0</v>
      </c>
      <c r="AN3" s="76">
        <v>0</v>
      </c>
      <c r="AO3" s="76">
        <v>0</v>
      </c>
      <c r="AP3" s="76">
        <v>0</v>
      </c>
      <c r="AQ3" s="76">
        <v>0</v>
      </c>
      <c r="AR3" s="76">
        <v>0</v>
      </c>
      <c r="AS3" s="76">
        <v>0</v>
      </c>
      <c r="AT3" s="76">
        <v>0</v>
      </c>
      <c r="AU3" s="76">
        <v>0</v>
      </c>
      <c r="AV3" s="76">
        <v>0</v>
      </c>
      <c r="AW3" s="76">
        <v>0</v>
      </c>
      <c r="AX3" s="76">
        <v>0</v>
      </c>
      <c r="AY3" s="76">
        <v>0</v>
      </c>
      <c r="AZ3" s="76">
        <v>0</v>
      </c>
      <c r="BA3" s="76">
        <v>0</v>
      </c>
      <c r="BB3" s="76">
        <v>0</v>
      </c>
    </row>
    <row r="4" spans="1:54" x14ac:dyDescent="0.25">
      <c r="F4" s="33"/>
      <c r="G4" s="40"/>
      <c r="H4" s="33"/>
      <c r="AF4" s="5" t="s">
        <v>20</v>
      </c>
      <c r="AG4" s="35">
        <v>1.7315</v>
      </c>
      <c r="AH4" s="75">
        <v>0</v>
      </c>
      <c r="AI4" s="75">
        <v>0</v>
      </c>
      <c r="AJ4" s="75">
        <v>0</v>
      </c>
      <c r="AK4" s="75">
        <v>0</v>
      </c>
      <c r="AL4" s="75">
        <v>0</v>
      </c>
      <c r="AM4" s="75">
        <v>0</v>
      </c>
      <c r="AN4" s="75">
        <v>0</v>
      </c>
      <c r="AO4" s="75">
        <v>0</v>
      </c>
      <c r="AP4" s="75">
        <v>0</v>
      </c>
      <c r="AQ4" s="75">
        <v>61386.095860000001</v>
      </c>
      <c r="AR4" s="75">
        <v>209477.16699999999</v>
      </c>
      <c r="AS4" s="75">
        <v>358032.22389999998</v>
      </c>
      <c r="AT4" s="75">
        <v>506297.788</v>
      </c>
      <c r="AU4" s="75">
        <v>654306.48990000004</v>
      </c>
      <c r="AV4" s="75">
        <v>802058.74699999997</v>
      </c>
      <c r="AW4" s="75">
        <v>949554.97609999997</v>
      </c>
      <c r="AX4" s="75">
        <v>1096795.5930000001</v>
      </c>
      <c r="AY4" s="75">
        <v>1243781.013</v>
      </c>
      <c r="AZ4" s="75">
        <v>1390511.6529999999</v>
      </c>
      <c r="BA4" s="75">
        <v>1536988.013</v>
      </c>
      <c r="BB4" s="75">
        <v>1683216.879</v>
      </c>
    </row>
    <row r="5" spans="1:54" x14ac:dyDescent="0.25">
      <c r="A5" s="9" t="s">
        <v>6</v>
      </c>
      <c r="B5" s="9" t="s">
        <v>7</v>
      </c>
      <c r="AF5" s="4"/>
      <c r="AG5" s="35">
        <v>1.65479</v>
      </c>
      <c r="AH5" s="76">
        <v>4.1844836439999999E-6</v>
      </c>
      <c r="AI5" s="76">
        <v>5.471611301E-4</v>
      </c>
      <c r="AJ5" s="76">
        <v>5.6164086579999998E-3</v>
      </c>
      <c r="AK5" s="76">
        <v>5.7379146960000002E-2</v>
      </c>
      <c r="AL5" s="76">
        <v>0.58827587569999995</v>
      </c>
      <c r="AM5" s="76">
        <v>6.0530822909999999</v>
      </c>
      <c r="AN5" s="76">
        <v>62.509436229999999</v>
      </c>
      <c r="AO5" s="76">
        <v>647.87715160000005</v>
      </c>
      <c r="AP5" s="76">
        <v>6739.4191069999997</v>
      </c>
      <c r="AQ5" s="76">
        <v>70362.239669999995</v>
      </c>
      <c r="AR5" s="76">
        <v>210344.13930000001</v>
      </c>
      <c r="AS5" s="76">
        <v>357793.07640000002</v>
      </c>
      <c r="AT5" s="76">
        <v>505570.30300000001</v>
      </c>
      <c r="AU5" s="76">
        <v>653024.90720000002</v>
      </c>
      <c r="AV5" s="76">
        <v>800095.73690000002</v>
      </c>
      <c r="AW5" s="76">
        <v>946777.80779999995</v>
      </c>
      <c r="AX5" s="76">
        <v>1093071.5009999999</v>
      </c>
      <c r="AY5" s="76">
        <v>1238977.7350000001</v>
      </c>
      <c r="AZ5" s="76">
        <v>1384497.7649999999</v>
      </c>
      <c r="BA5" s="76">
        <v>1529635.9620000001</v>
      </c>
      <c r="BB5" s="76">
        <v>1674429.8759999999</v>
      </c>
    </row>
    <row r="6" spans="1:54" x14ac:dyDescent="0.25">
      <c r="A6" s="9" t="s">
        <v>8</v>
      </c>
      <c r="B6" s="9" t="s">
        <v>9</v>
      </c>
      <c r="AF6" s="4"/>
      <c r="AG6" s="35">
        <v>1.5780799999999999</v>
      </c>
      <c r="AH6" s="76">
        <v>3.6498041360000001E-5</v>
      </c>
      <c r="AI6" s="76">
        <v>4.226989536E-3</v>
      </c>
      <c r="AJ6" s="76">
        <v>3.8808060720000002E-2</v>
      </c>
      <c r="AK6" s="76">
        <v>0.34892575729999997</v>
      </c>
      <c r="AL6" s="76">
        <v>3.0898701320000002</v>
      </c>
      <c r="AM6" s="76">
        <v>26.77940079</v>
      </c>
      <c r="AN6" s="76">
        <v>224.78942609999999</v>
      </c>
      <c r="AO6" s="76">
        <v>1793.58359</v>
      </c>
      <c r="AP6" s="76">
        <v>13081.428019999999</v>
      </c>
      <c r="AQ6" s="76">
        <v>78382.245169999995</v>
      </c>
      <c r="AR6" s="76">
        <v>211791.6391</v>
      </c>
      <c r="AS6" s="76">
        <v>357668.02419999999</v>
      </c>
      <c r="AT6" s="76">
        <v>504847.71360000002</v>
      </c>
      <c r="AU6" s="76">
        <v>651733.53350000002</v>
      </c>
      <c r="AV6" s="76">
        <v>798123.57140000002</v>
      </c>
      <c r="AW6" s="76">
        <v>943995.14289999998</v>
      </c>
      <c r="AX6" s="76">
        <v>1089347.1159999999</v>
      </c>
      <c r="AY6" s="76">
        <v>1234180.953</v>
      </c>
      <c r="AZ6" s="76">
        <v>1378499.3770000001</v>
      </c>
      <c r="BA6" s="76">
        <v>1522313.237</v>
      </c>
      <c r="BB6" s="76">
        <v>1665693.7660000001</v>
      </c>
    </row>
    <row r="7" spans="1:54" x14ac:dyDescent="0.25">
      <c r="E7" s="45">
        <v>1.75068</v>
      </c>
      <c r="F7" s="29" t="s">
        <v>19</v>
      </c>
      <c r="G7" s="1" t="s">
        <v>0</v>
      </c>
      <c r="I7" s="11" t="s">
        <v>18</v>
      </c>
      <c r="J7" s="11">
        <f t="shared" ref="J7:AD7" si="2">J3</f>
        <v>20</v>
      </c>
      <c r="K7" s="11">
        <f t="shared" si="2"/>
        <v>19</v>
      </c>
      <c r="L7" s="11">
        <f t="shared" si="2"/>
        <v>18</v>
      </c>
      <c r="M7" s="11">
        <f t="shared" si="2"/>
        <v>17</v>
      </c>
      <c r="N7" s="11">
        <f t="shared" si="2"/>
        <v>16</v>
      </c>
      <c r="O7" s="11">
        <f t="shared" si="2"/>
        <v>15</v>
      </c>
      <c r="P7" s="11">
        <f t="shared" si="2"/>
        <v>14</v>
      </c>
      <c r="Q7" s="11">
        <f t="shared" si="2"/>
        <v>13</v>
      </c>
      <c r="R7" s="11">
        <f t="shared" si="2"/>
        <v>12</v>
      </c>
      <c r="S7" s="11">
        <f t="shared" si="2"/>
        <v>11</v>
      </c>
      <c r="T7" s="11">
        <f t="shared" si="2"/>
        <v>10</v>
      </c>
      <c r="U7" s="11">
        <f t="shared" si="2"/>
        <v>9</v>
      </c>
      <c r="V7" s="11">
        <f t="shared" si="2"/>
        <v>8</v>
      </c>
      <c r="W7" s="11">
        <f t="shared" si="2"/>
        <v>7</v>
      </c>
      <c r="X7" s="11">
        <f t="shared" si="2"/>
        <v>6</v>
      </c>
      <c r="Y7" s="11">
        <f t="shared" si="2"/>
        <v>5</v>
      </c>
      <c r="Z7" s="11">
        <f t="shared" si="2"/>
        <v>4</v>
      </c>
      <c r="AA7" s="11">
        <f t="shared" si="2"/>
        <v>3</v>
      </c>
      <c r="AB7" s="11">
        <f t="shared" si="2"/>
        <v>2</v>
      </c>
      <c r="AC7" s="11">
        <f t="shared" si="2"/>
        <v>1</v>
      </c>
      <c r="AD7" s="11">
        <f t="shared" si="2"/>
        <v>0</v>
      </c>
      <c r="AF7" s="4"/>
      <c r="AG7" s="35">
        <v>1.5013700000000001</v>
      </c>
      <c r="AH7" s="76">
        <v>1.753656952E-4</v>
      </c>
      <c r="AI7" s="76">
        <v>1.8172956130000001E-2</v>
      </c>
      <c r="AJ7" s="76">
        <v>0.1511495081</v>
      </c>
      <c r="AK7" s="76">
        <v>1.2152857370000001</v>
      </c>
      <c r="AL7" s="76">
        <v>9.4916016079999999</v>
      </c>
      <c r="AM7" s="76">
        <v>71.290754840000005</v>
      </c>
      <c r="AN7" s="76">
        <v>506.83385980000003</v>
      </c>
      <c r="AO7" s="76">
        <v>3320.6205949999999</v>
      </c>
      <c r="AP7" s="76">
        <v>19063.196400000001</v>
      </c>
      <c r="AQ7" s="76">
        <v>85631.032640000005</v>
      </c>
      <c r="AR7" s="76">
        <v>213650.1176</v>
      </c>
      <c r="AS7" s="76">
        <v>357675.8615</v>
      </c>
      <c r="AT7" s="76">
        <v>504141.01329999999</v>
      </c>
      <c r="AU7" s="76">
        <v>650434.93189999997</v>
      </c>
      <c r="AV7" s="76">
        <v>796142.80700000003</v>
      </c>
      <c r="AW7" s="76">
        <v>941207.19160000002</v>
      </c>
      <c r="AX7" s="76">
        <v>1085622.605</v>
      </c>
      <c r="AY7" s="76">
        <v>1229390.8799999999</v>
      </c>
      <c r="AZ7" s="76">
        <v>1372516.9080000001</v>
      </c>
      <c r="BA7" s="76">
        <v>1515020.372</v>
      </c>
      <c r="BB7" s="76">
        <v>1657008.1580000001</v>
      </c>
    </row>
    <row r="8" spans="1:54" x14ac:dyDescent="0.25">
      <c r="A8" s="9" t="s">
        <v>1</v>
      </c>
      <c r="B8" s="63">
        <v>0.01</v>
      </c>
      <c r="C8" s="31"/>
      <c r="D8" s="31"/>
      <c r="E8" s="46">
        <v>1.7315100000000001</v>
      </c>
      <c r="F8" s="30">
        <f>E7-E8</f>
        <v>1.9169999999999909E-2</v>
      </c>
      <c r="G8" s="67">
        <f>INDEX($B$21:$B$24,MATCH(E7,$C$21:$C$24,1)+1)%</f>
        <v>1.0397480000000001E-2</v>
      </c>
      <c r="H8" s="30"/>
      <c r="I8" s="7">
        <v>2</v>
      </c>
      <c r="J8" s="32"/>
      <c r="K8" s="32">
        <f t="shared" ref="K8:Z23" si="3">1/4*$F8*(-1*$G8^2/$B$17^2+(-$B$8*K$2)/$B$17)</f>
        <v>-1.4075890172033688E-2</v>
      </c>
      <c r="L8" s="32">
        <f t="shared" si="3"/>
        <v>-1.4123815252228264E-2</v>
      </c>
      <c r="M8" s="32">
        <f t="shared" si="3"/>
        <v>-1.417174033242284E-2</v>
      </c>
      <c r="N8" s="32">
        <f t="shared" si="3"/>
        <v>-1.4219664610671659E-2</v>
      </c>
      <c r="O8" s="32">
        <f t="shared" si="3"/>
        <v>-1.4267589690866235E-2</v>
      </c>
      <c r="P8" s="32">
        <f t="shared" si="3"/>
        <v>-1.431551477106081E-2</v>
      </c>
      <c r="Q8" s="32">
        <f t="shared" si="3"/>
        <v>-1.4363439851255386E-2</v>
      </c>
      <c r="R8" s="32">
        <f t="shared" si="3"/>
        <v>-1.4411364931449958E-2</v>
      </c>
      <c r="S8" s="32">
        <f t="shared" si="3"/>
        <v>-1.4459290091839112E-2</v>
      </c>
      <c r="T8" s="32">
        <f t="shared" si="3"/>
        <v>-1.450721509183911E-2</v>
      </c>
      <c r="U8" s="32">
        <f t="shared" si="3"/>
        <v>-1.4555140091839109E-2</v>
      </c>
      <c r="V8" s="32">
        <f t="shared" si="3"/>
        <v>-1.4603065252228261E-2</v>
      </c>
      <c r="W8" s="32">
        <f t="shared" si="3"/>
        <v>-1.4650990332422835E-2</v>
      </c>
      <c r="X8" s="32">
        <f t="shared" si="3"/>
        <v>-1.4698915412617411E-2</v>
      </c>
      <c r="Y8" s="32">
        <f t="shared" si="3"/>
        <v>-1.4746840492811986E-2</v>
      </c>
      <c r="Z8" s="32">
        <f t="shared" si="3"/>
        <v>-1.4794765573006562E-2</v>
      </c>
      <c r="AA8" s="32">
        <f t="shared" ref="AA8:AC23" si="4">1/4*$F8*(-1*$G8^2/$B$17^2+(-$B$8*AA$2)/$B$17)</f>
        <v>-1.4842689851255381E-2</v>
      </c>
      <c r="AB8" s="32">
        <f t="shared" si="4"/>
        <v>-1.4890614931449957E-2</v>
      </c>
      <c r="AC8" s="32">
        <f t="shared" si="4"/>
        <v>-1.4938540011644533E-2</v>
      </c>
      <c r="AD8" s="32">
        <f t="shared" ref="AD8:AD25" si="5">1/2*$F8*(-$B$8*AD$2/$B$17)</f>
        <v>-9.5849999999999549E-4</v>
      </c>
      <c r="AF8" s="5" t="s">
        <v>20</v>
      </c>
      <c r="AG8" s="35">
        <v>1.50136</v>
      </c>
      <c r="AH8" s="75">
        <v>1.7523857930000001E-4</v>
      </c>
      <c r="AI8" s="75">
        <v>1.8159783249999999E-2</v>
      </c>
      <c r="AJ8" s="75">
        <v>0.1510399456</v>
      </c>
      <c r="AK8" s="75">
        <v>1.214404823</v>
      </c>
      <c r="AL8" s="75">
        <v>9.48472151</v>
      </c>
      <c r="AM8" s="75">
        <v>71.239078899999996</v>
      </c>
      <c r="AN8" s="75">
        <v>506.46647530000001</v>
      </c>
      <c r="AO8" s="75">
        <v>3318.213604</v>
      </c>
      <c r="AP8" s="75">
        <v>19049.378219999999</v>
      </c>
      <c r="AQ8" s="75">
        <v>85568.961979999993</v>
      </c>
      <c r="AR8" s="75">
        <v>213495.25080000001</v>
      </c>
      <c r="AS8" s="75">
        <v>357416.59600000002</v>
      </c>
      <c r="AT8" s="75">
        <v>503775.5808</v>
      </c>
      <c r="AU8" s="75">
        <v>649963.45660000003</v>
      </c>
      <c r="AV8" s="75">
        <v>795565.71360000002</v>
      </c>
      <c r="AW8" s="75">
        <v>940524.94660000002</v>
      </c>
      <c r="AX8" s="75">
        <v>1084835.679</v>
      </c>
      <c r="AY8" s="75">
        <v>1228499.7420000001</v>
      </c>
      <c r="AZ8" s="75">
        <v>1371522.024</v>
      </c>
      <c r="BA8" s="75">
        <v>1513922.1910000001</v>
      </c>
      <c r="BB8" s="75">
        <v>1655807.0560000001</v>
      </c>
    </row>
    <row r="9" spans="1:54" x14ac:dyDescent="0.25">
      <c r="A9" s="9" t="s">
        <v>10</v>
      </c>
      <c r="B9" s="26">
        <f>J2</f>
        <v>-5.9760899999999999E-2</v>
      </c>
      <c r="C9" s="31"/>
      <c r="D9" s="31"/>
      <c r="E9" s="46">
        <v>1.65479</v>
      </c>
      <c r="F9" s="30">
        <f t="shared" ref="F9" si="6">E8-E9</f>
        <v>7.6720000000000121E-2</v>
      </c>
      <c r="G9" s="67">
        <f t="shared" ref="G9:G24" si="7">INDEX($B$21:$B$24,MATCH(E8,$C$21:$C$24,1)+1)%</f>
        <v>1.0397480000000001E-2</v>
      </c>
      <c r="H9" s="30"/>
      <c r="I9" s="7">
        <v>3</v>
      </c>
      <c r="J9" s="32"/>
      <c r="K9" s="32">
        <f t="shared" si="3"/>
        <v>-5.6332931350987547E-2</v>
      </c>
      <c r="L9" s="32">
        <f t="shared" si="3"/>
        <v>-5.6524731671933184E-2</v>
      </c>
      <c r="M9" s="32">
        <f t="shared" si="3"/>
        <v>-5.6716531992878821E-2</v>
      </c>
      <c r="N9" s="32">
        <f t="shared" si="3"/>
        <v>-5.6908329104368105E-2</v>
      </c>
      <c r="O9" s="32">
        <f t="shared" si="3"/>
        <v>-5.7100129425313742E-2</v>
      </c>
      <c r="P9" s="32">
        <f t="shared" si="3"/>
        <v>-5.7291929746259379E-2</v>
      </c>
      <c r="Q9" s="32">
        <f t="shared" si="3"/>
        <v>-5.7483730067205016E-2</v>
      </c>
      <c r="R9" s="32">
        <f t="shared" si="3"/>
        <v>-5.7675530388150646E-2</v>
      </c>
      <c r="S9" s="32">
        <f t="shared" si="3"/>
        <v>-5.7867331030041921E-2</v>
      </c>
      <c r="T9" s="32">
        <f t="shared" si="3"/>
        <v>-5.805913103004192E-2</v>
      </c>
      <c r="U9" s="32">
        <f t="shared" si="3"/>
        <v>-5.8250931030041912E-2</v>
      </c>
      <c r="V9" s="32">
        <f t="shared" si="3"/>
        <v>-5.8442731671933194E-2</v>
      </c>
      <c r="W9" s="32">
        <f t="shared" si="3"/>
        <v>-5.8634531992878818E-2</v>
      </c>
      <c r="X9" s="32">
        <f t="shared" si="3"/>
        <v>-5.8826332313824455E-2</v>
      </c>
      <c r="Y9" s="32">
        <f t="shared" si="3"/>
        <v>-5.9018132634770099E-2</v>
      </c>
      <c r="Z9" s="32">
        <f t="shared" si="3"/>
        <v>-5.9209932955715736E-2</v>
      </c>
      <c r="AA9" s="32">
        <f t="shared" si="4"/>
        <v>-5.9401730067205012E-2</v>
      </c>
      <c r="AB9" s="32">
        <f t="shared" si="4"/>
        <v>-5.9593530388150649E-2</v>
      </c>
      <c r="AC9" s="32">
        <f t="shared" si="4"/>
        <v>-5.9785330709096286E-2</v>
      </c>
      <c r="AD9" s="32">
        <f t="shared" si="5"/>
        <v>-3.8360000000000061E-3</v>
      </c>
      <c r="AF9" s="4"/>
      <c r="AG9" s="35">
        <v>1.4821899999999999</v>
      </c>
      <c r="AH9" s="76">
        <v>2.135927088E-4</v>
      </c>
      <c r="AI9" s="76">
        <v>2.199455681E-2</v>
      </c>
      <c r="AJ9" s="76">
        <v>0.1817931814</v>
      </c>
      <c r="AK9" s="76">
        <v>1.4501999109999999</v>
      </c>
      <c r="AL9" s="76">
        <v>11.213857429999999</v>
      </c>
      <c r="AM9" s="76">
        <v>83.137285419999998</v>
      </c>
      <c r="AN9" s="76">
        <v>580.73648160000005</v>
      </c>
      <c r="AO9" s="76">
        <v>3711.165125</v>
      </c>
      <c r="AP9" s="76">
        <v>20532.631689999998</v>
      </c>
      <c r="AQ9" s="76">
        <v>87356.456749999998</v>
      </c>
      <c r="AR9" s="76">
        <v>213971.73499999999</v>
      </c>
      <c r="AS9" s="76">
        <v>357422.76659999997</v>
      </c>
      <c r="AT9" s="76">
        <v>503599.57270000002</v>
      </c>
      <c r="AU9" s="76">
        <v>649638.82620000001</v>
      </c>
      <c r="AV9" s="76">
        <v>795070.6152</v>
      </c>
      <c r="AW9" s="76">
        <v>939828.29980000004</v>
      </c>
      <c r="AX9" s="76">
        <v>1083905.223</v>
      </c>
      <c r="AY9" s="76">
        <v>1227303.3019999999</v>
      </c>
      <c r="AZ9" s="76">
        <v>1370027.9890000001</v>
      </c>
      <c r="BA9" s="76">
        <v>1512101.2309999999</v>
      </c>
      <c r="BB9" s="76">
        <v>1653638.804</v>
      </c>
    </row>
    <row r="10" spans="1:54" x14ac:dyDescent="0.25">
      <c r="A10" s="9" t="s">
        <v>11</v>
      </c>
      <c r="B10" s="26">
        <f>AD2</f>
        <v>5.9760899999999999E-2</v>
      </c>
      <c r="C10" s="31"/>
      <c r="D10" s="27"/>
      <c r="E10" s="46">
        <v>1.5780799999999999</v>
      </c>
      <c r="F10" s="30">
        <f>E9-E10</f>
        <v>7.6710000000000056E-2</v>
      </c>
      <c r="G10" s="67">
        <f t="shared" si="7"/>
        <v>1.0397480000000001E-2</v>
      </c>
      <c r="H10" s="30"/>
      <c r="I10" s="7">
        <v>4</v>
      </c>
      <c r="J10" s="32"/>
      <c r="K10" s="32">
        <f t="shared" si="3"/>
        <v>-5.6325588685274389E-2</v>
      </c>
      <c r="L10" s="32">
        <f t="shared" si="3"/>
        <v>-5.6517364006178197E-2</v>
      </c>
      <c r="M10" s="32">
        <f t="shared" si="3"/>
        <v>-5.6709139327081999E-2</v>
      </c>
      <c r="N10" s="32">
        <f t="shared" si="3"/>
        <v>-5.6900911438947779E-2</v>
      </c>
      <c r="O10" s="32">
        <f t="shared" si="3"/>
        <v>-5.7092686759851581E-2</v>
      </c>
      <c r="P10" s="32">
        <f t="shared" si="3"/>
        <v>-5.7284462080755383E-2</v>
      </c>
      <c r="Q10" s="32">
        <f t="shared" si="3"/>
        <v>-5.7476237401659191E-2</v>
      </c>
      <c r="R10" s="32">
        <f t="shared" si="3"/>
        <v>-5.7668012722562986E-2</v>
      </c>
      <c r="S10" s="32">
        <f t="shared" si="3"/>
        <v>-5.7859788364370592E-2</v>
      </c>
      <c r="T10" s="32">
        <f t="shared" si="3"/>
        <v>-5.805156336437059E-2</v>
      </c>
      <c r="U10" s="32">
        <f t="shared" si="3"/>
        <v>-5.8243338364370588E-2</v>
      </c>
      <c r="V10" s="32">
        <f t="shared" si="3"/>
        <v>-5.84351140061782E-2</v>
      </c>
      <c r="W10" s="32">
        <f t="shared" si="3"/>
        <v>-5.8626889327081995E-2</v>
      </c>
      <c r="X10" s="32">
        <f t="shared" si="3"/>
        <v>-5.8818664647985797E-2</v>
      </c>
      <c r="Y10" s="32">
        <f t="shared" si="3"/>
        <v>-5.9010439968889598E-2</v>
      </c>
      <c r="Z10" s="32">
        <f t="shared" si="3"/>
        <v>-5.9202215289793407E-2</v>
      </c>
      <c r="AA10" s="32">
        <f t="shared" si="4"/>
        <v>-5.939398740165918E-2</v>
      </c>
      <c r="AB10" s="32">
        <f t="shared" si="4"/>
        <v>-5.9585762722562989E-2</v>
      </c>
      <c r="AC10" s="32">
        <f t="shared" si="4"/>
        <v>-5.9777538043466791E-2</v>
      </c>
      <c r="AD10" s="32">
        <f t="shared" si="5"/>
        <v>-3.835500000000003E-3</v>
      </c>
      <c r="AF10" s="5" t="s">
        <v>20</v>
      </c>
      <c r="AG10" s="35">
        <v>1.4821800000000001</v>
      </c>
      <c r="AH10" s="75">
        <v>2.1174588170000001E-4</v>
      </c>
      <c r="AI10" s="75">
        <v>2.180438111E-2</v>
      </c>
      <c r="AJ10" s="75">
        <v>0.18022130859999999</v>
      </c>
      <c r="AK10" s="75">
        <v>1.4376607729999999</v>
      </c>
      <c r="AL10" s="75">
        <v>11.116896929999999</v>
      </c>
      <c r="AM10" s="75">
        <v>82.418439770000006</v>
      </c>
      <c r="AN10" s="75">
        <v>575.71514979999995</v>
      </c>
      <c r="AO10" s="75">
        <v>3679.0765759999999</v>
      </c>
      <c r="AP10" s="75">
        <v>26551.34821</v>
      </c>
      <c r="AQ10" s="75">
        <v>131389.6912</v>
      </c>
      <c r="AR10" s="75">
        <v>409206.1496</v>
      </c>
      <c r="AS10" s="75">
        <v>702500.07079999999</v>
      </c>
      <c r="AT10" s="75">
        <v>994736.66469999996</v>
      </c>
      <c r="AU10" s="75">
        <v>1286036.9480000001</v>
      </c>
      <c r="AV10" s="75">
        <v>1576404.09</v>
      </c>
      <c r="AW10" s="75">
        <v>1865841.254</v>
      </c>
      <c r="AX10" s="75">
        <v>2154351.6349999998</v>
      </c>
      <c r="AY10" s="75">
        <v>2441938.7560000001</v>
      </c>
      <c r="AZ10" s="75">
        <v>2728608.5780000002</v>
      </c>
      <c r="BA10" s="75">
        <v>3014383.3629999999</v>
      </c>
      <c r="BB10" s="75">
        <v>3299384.53</v>
      </c>
    </row>
    <row r="11" spans="1:54" x14ac:dyDescent="0.25">
      <c r="A11" s="9" t="s">
        <v>12</v>
      </c>
      <c r="B11" s="9">
        <f>MAX(J3:AD3)</f>
        <v>20</v>
      </c>
      <c r="C11" s="31"/>
      <c r="D11" s="73"/>
      <c r="E11" s="74">
        <v>1.5013700000000001</v>
      </c>
      <c r="F11" s="30">
        <f>E10-E11</f>
        <v>7.6709999999999834E-2</v>
      </c>
      <c r="G11" s="67">
        <f t="shared" si="7"/>
        <v>1.0397480000000001E-2</v>
      </c>
      <c r="H11" s="30"/>
      <c r="I11" s="7">
        <v>5</v>
      </c>
      <c r="J11" s="32"/>
      <c r="K11" s="32">
        <f t="shared" si="3"/>
        <v>-5.6325588685274229E-2</v>
      </c>
      <c r="L11" s="32">
        <f t="shared" si="3"/>
        <v>-5.6517364006178031E-2</v>
      </c>
      <c r="M11" s="32">
        <f t="shared" si="3"/>
        <v>-5.6709139327081833E-2</v>
      </c>
      <c r="N11" s="32">
        <f t="shared" si="3"/>
        <v>-5.6900911438947613E-2</v>
      </c>
      <c r="O11" s="32">
        <f t="shared" si="3"/>
        <v>-5.7092686759851415E-2</v>
      </c>
      <c r="P11" s="32">
        <f t="shared" si="3"/>
        <v>-5.7284462080755216E-2</v>
      </c>
      <c r="Q11" s="32">
        <f t="shared" si="3"/>
        <v>-5.7476237401659025E-2</v>
      </c>
      <c r="R11" s="32">
        <f t="shared" si="3"/>
        <v>-5.766801272256282E-2</v>
      </c>
      <c r="S11" s="32">
        <f t="shared" si="3"/>
        <v>-5.7859788364370425E-2</v>
      </c>
      <c r="T11" s="32">
        <f t="shared" si="3"/>
        <v>-5.8051563364370423E-2</v>
      </c>
      <c r="U11" s="32">
        <f t="shared" si="3"/>
        <v>-5.8243338364370421E-2</v>
      </c>
      <c r="V11" s="32">
        <f t="shared" si="3"/>
        <v>-5.8435114006178027E-2</v>
      </c>
      <c r="W11" s="32">
        <f t="shared" si="3"/>
        <v>-5.8626889327081821E-2</v>
      </c>
      <c r="X11" s="32">
        <f t="shared" si="3"/>
        <v>-5.8818664647985623E-2</v>
      </c>
      <c r="Y11" s="32">
        <f t="shared" si="3"/>
        <v>-5.9010439968889432E-2</v>
      </c>
      <c r="Z11" s="32">
        <f t="shared" si="3"/>
        <v>-5.9202215289793234E-2</v>
      </c>
      <c r="AA11" s="32">
        <f t="shared" si="4"/>
        <v>-5.9393987401659014E-2</v>
      </c>
      <c r="AB11" s="32">
        <f t="shared" si="4"/>
        <v>-5.9585762722562816E-2</v>
      </c>
      <c r="AC11" s="32">
        <f t="shared" si="4"/>
        <v>-5.9777538043466617E-2</v>
      </c>
      <c r="AD11" s="32">
        <f t="shared" si="5"/>
        <v>-3.8354999999999917E-3</v>
      </c>
      <c r="AF11" s="4"/>
      <c r="AG11" s="35">
        <v>1.4054800000000001</v>
      </c>
      <c r="AH11" s="76">
        <v>5.6469819710000004E-4</v>
      </c>
      <c r="AI11" s="76">
        <v>4.6237084769999999E-2</v>
      </c>
      <c r="AJ11" s="76">
        <v>0.36483049880000001</v>
      </c>
      <c r="AK11" s="76">
        <v>2.7607096520000001</v>
      </c>
      <c r="AL11" s="76">
        <v>20.131294199999999</v>
      </c>
      <c r="AM11" s="76">
        <v>140.1288448</v>
      </c>
      <c r="AN11" s="76">
        <v>921.05824700000005</v>
      </c>
      <c r="AO11" s="76">
        <v>5681.6339850000004</v>
      </c>
      <c r="AP11" s="76">
        <v>33680.488799999999</v>
      </c>
      <c r="AQ11" s="76">
        <v>144698.85389999999</v>
      </c>
      <c r="AR11" s="76">
        <v>411244.9449</v>
      </c>
      <c r="AS11" s="76">
        <v>702000</v>
      </c>
      <c r="AT11" s="76">
        <v>993289.43900000001</v>
      </c>
      <c r="AU11" s="76">
        <v>1283505.308</v>
      </c>
      <c r="AV11" s="76">
        <v>1572535.18</v>
      </c>
      <c r="AW11" s="76">
        <v>1860375.2890000001</v>
      </c>
      <c r="AX11" s="76">
        <v>2147029.8569999998</v>
      </c>
      <c r="AY11" s="76">
        <v>2432504.219</v>
      </c>
      <c r="AZ11" s="76">
        <v>2716807.5109999999</v>
      </c>
      <c r="BA11" s="76">
        <v>2999972.665</v>
      </c>
      <c r="BB11" s="76">
        <v>3282172.9160000002</v>
      </c>
    </row>
    <row r="12" spans="1:54" x14ac:dyDescent="0.25">
      <c r="C12" s="31"/>
      <c r="D12" s="31"/>
      <c r="E12" s="46">
        <v>1.4821899999999999</v>
      </c>
      <c r="F12" s="30">
        <f>E11-E12</f>
        <v>1.9180000000000197E-2</v>
      </c>
      <c r="G12" s="67">
        <f t="shared" si="7"/>
        <v>1.0397480000000001E-2</v>
      </c>
      <c r="H12" s="30"/>
      <c r="I12" s="7">
        <v>6</v>
      </c>
      <c r="J12" s="32"/>
      <c r="K12" s="32">
        <f t="shared" si="3"/>
        <v>-1.408323283774701E-2</v>
      </c>
      <c r="L12" s="32">
        <f t="shared" si="3"/>
        <v>-1.4131182917983419E-2</v>
      </c>
      <c r="M12" s="32">
        <f t="shared" si="3"/>
        <v>-1.4179132998219829E-2</v>
      </c>
      <c r="N12" s="32">
        <f t="shared" si="3"/>
        <v>-1.4227082276092149E-2</v>
      </c>
      <c r="O12" s="32">
        <f t="shared" si="3"/>
        <v>-1.4275032356328559E-2</v>
      </c>
      <c r="P12" s="32">
        <f t="shared" si="3"/>
        <v>-1.4322982436564968E-2</v>
      </c>
      <c r="Q12" s="32">
        <f t="shared" si="3"/>
        <v>-1.4370932516801379E-2</v>
      </c>
      <c r="R12" s="32">
        <f t="shared" si="3"/>
        <v>-1.4418882597037786E-2</v>
      </c>
      <c r="S12" s="32">
        <f t="shared" si="3"/>
        <v>-1.4466832757510605E-2</v>
      </c>
      <c r="T12" s="32">
        <f t="shared" si="3"/>
        <v>-1.4514782757510605E-2</v>
      </c>
      <c r="U12" s="32">
        <f t="shared" si="3"/>
        <v>-1.4562732757510605E-2</v>
      </c>
      <c r="V12" s="32">
        <f t="shared" si="3"/>
        <v>-1.4610682917983425E-2</v>
      </c>
      <c r="W12" s="32">
        <f t="shared" si="3"/>
        <v>-1.4658632998219833E-2</v>
      </c>
      <c r="X12" s="32">
        <f t="shared" si="3"/>
        <v>-1.4706583078456242E-2</v>
      </c>
      <c r="Y12" s="32">
        <f t="shared" si="3"/>
        <v>-1.4754533158692651E-2</v>
      </c>
      <c r="Z12" s="32">
        <f t="shared" si="3"/>
        <v>-1.4802483238929062E-2</v>
      </c>
      <c r="AA12" s="32">
        <f t="shared" si="4"/>
        <v>-1.4850432516801381E-2</v>
      </c>
      <c r="AB12" s="32">
        <f t="shared" si="4"/>
        <v>-1.4898382597037791E-2</v>
      </c>
      <c r="AC12" s="32">
        <f t="shared" si="4"/>
        <v>-1.4946332677274202E-2</v>
      </c>
      <c r="AD12" s="32">
        <f t="shared" si="5"/>
        <v>-9.5900000000000987E-4</v>
      </c>
      <c r="AF12" s="4"/>
      <c r="AG12" s="35">
        <v>1.32877</v>
      </c>
      <c r="AH12" s="76">
        <v>1.266234872E-3</v>
      </c>
      <c r="AI12" s="76">
        <v>9.1959837870000005E-2</v>
      </c>
      <c r="AJ12" s="76">
        <v>0.69272400639999998</v>
      </c>
      <c r="AK12" s="76">
        <v>4.9787251450000003</v>
      </c>
      <c r="AL12" s="76">
        <v>34.339365190000002</v>
      </c>
      <c r="AM12" s="76">
        <v>225.26742759999999</v>
      </c>
      <c r="AN12" s="76">
        <v>1390.1378890000001</v>
      </c>
      <c r="AO12" s="76">
        <v>7953.8631050000004</v>
      </c>
      <c r="AP12" s="76">
        <v>40829.610780000003</v>
      </c>
      <c r="AQ12" s="76">
        <v>156794.81349999999</v>
      </c>
      <c r="AR12" s="76">
        <v>413836.89610000001</v>
      </c>
      <c r="AS12" s="76">
        <v>701656.19880000001</v>
      </c>
      <c r="AT12" s="76">
        <v>991845.201</v>
      </c>
      <c r="AU12" s="76">
        <v>1280960.335</v>
      </c>
      <c r="AV12" s="76">
        <v>1568656.335</v>
      </c>
      <c r="AW12" s="76">
        <v>1854906.888</v>
      </c>
      <c r="AX12" s="76">
        <v>2139715.8939999999</v>
      </c>
      <c r="AY12" s="76">
        <v>2423090.7990000001</v>
      </c>
      <c r="AZ12" s="76">
        <v>2705044.8390000002</v>
      </c>
      <c r="BA12" s="76">
        <v>2985624.6</v>
      </c>
      <c r="BB12" s="76">
        <v>3265060.952</v>
      </c>
    </row>
    <row r="13" spans="1:54" x14ac:dyDescent="0.25">
      <c r="C13" s="31"/>
      <c r="D13" s="27"/>
      <c r="E13" s="46">
        <v>1.4054800000000001</v>
      </c>
      <c r="F13" s="30">
        <f t="shared" ref="F13:F25" si="8">E12-E13</f>
        <v>7.6709999999999834E-2</v>
      </c>
      <c r="G13" s="67">
        <f t="shared" si="7"/>
        <v>8.8552000000000006E-3</v>
      </c>
      <c r="H13" s="30"/>
      <c r="I13" s="7">
        <v>7</v>
      </c>
      <c r="J13" s="32"/>
      <c r="K13" s="32">
        <f t="shared" si="3"/>
        <v>-4.038104289902144E-2</v>
      </c>
      <c r="L13" s="32">
        <f t="shared" si="3"/>
        <v>-4.0572818219925241E-2</v>
      </c>
      <c r="M13" s="32">
        <f t="shared" si="3"/>
        <v>-4.0764593540829043E-2</v>
      </c>
      <c r="N13" s="32">
        <f t="shared" si="3"/>
        <v>-4.0956365652694823E-2</v>
      </c>
      <c r="O13" s="32">
        <f t="shared" si="3"/>
        <v>-4.1148140973598625E-2</v>
      </c>
      <c r="P13" s="32">
        <f t="shared" si="3"/>
        <v>-4.1339916294502427E-2</v>
      </c>
      <c r="Q13" s="32">
        <f t="shared" si="3"/>
        <v>-4.1531691615406229E-2</v>
      </c>
      <c r="R13" s="32">
        <f t="shared" si="3"/>
        <v>-4.1723466936310023E-2</v>
      </c>
      <c r="S13" s="32">
        <f t="shared" si="3"/>
        <v>-4.1915242578117635E-2</v>
      </c>
      <c r="T13" s="32">
        <f t="shared" si="3"/>
        <v>-4.2107017578117634E-2</v>
      </c>
      <c r="U13" s="32">
        <f t="shared" si="3"/>
        <v>-4.2298792578117625E-2</v>
      </c>
      <c r="V13" s="32">
        <f t="shared" si="3"/>
        <v>-4.2490568219925237E-2</v>
      </c>
      <c r="W13" s="32">
        <f t="shared" si="3"/>
        <v>-4.2682343540829032E-2</v>
      </c>
      <c r="X13" s="32">
        <f t="shared" si="3"/>
        <v>-4.2874118861732834E-2</v>
      </c>
      <c r="Y13" s="32">
        <f t="shared" si="3"/>
        <v>-4.3065894182636635E-2</v>
      </c>
      <c r="Z13" s="32">
        <f t="shared" si="3"/>
        <v>-4.3257669503540444E-2</v>
      </c>
      <c r="AA13" s="32">
        <f t="shared" si="4"/>
        <v>-4.3449441615406217E-2</v>
      </c>
      <c r="AB13" s="32">
        <f t="shared" si="4"/>
        <v>-4.3641216936310026E-2</v>
      </c>
      <c r="AC13" s="32">
        <f t="shared" si="4"/>
        <v>-4.3832992257213828E-2</v>
      </c>
      <c r="AD13" s="32">
        <f t="shared" si="5"/>
        <v>-3.8354999999999917E-3</v>
      </c>
      <c r="AF13" s="4"/>
      <c r="AG13" s="35">
        <v>1.2520500000000001</v>
      </c>
      <c r="AH13" s="76">
        <v>2.5841092199999998E-3</v>
      </c>
      <c r="AI13" s="76">
        <v>0.1728341565</v>
      </c>
      <c r="AJ13" s="76">
        <v>1.2440429019999999</v>
      </c>
      <c r="AK13" s="76">
        <v>8.5039681270000003</v>
      </c>
      <c r="AL13" s="76">
        <v>55.567225020000002</v>
      </c>
      <c r="AM13" s="76">
        <v>343.71806099999998</v>
      </c>
      <c r="AN13" s="76">
        <v>1985.0749450000001</v>
      </c>
      <c r="AO13" s="76">
        <v>10463.22489</v>
      </c>
      <c r="AP13" s="76">
        <v>47939.155010000002</v>
      </c>
      <c r="AQ13" s="76">
        <v>167879.07680000001</v>
      </c>
      <c r="AR13" s="76">
        <v>416841.20250000001</v>
      </c>
      <c r="AS13" s="76">
        <v>701476.91709999996</v>
      </c>
      <c r="AT13" s="76">
        <v>990414.68480000005</v>
      </c>
      <c r="AU13" s="76">
        <v>1278404.2949999999</v>
      </c>
      <c r="AV13" s="76">
        <v>1564768.0330000001</v>
      </c>
      <c r="AW13" s="76">
        <v>1849436.2709999999</v>
      </c>
      <c r="AX13" s="76">
        <v>2132409.9300000002</v>
      </c>
      <c r="AY13" s="76">
        <v>2413698.6880000001</v>
      </c>
      <c r="AZ13" s="76">
        <v>2693320.8810000001</v>
      </c>
      <c r="BA13" s="76">
        <v>2971339.6579999998</v>
      </c>
      <c r="BB13" s="76">
        <v>3248047.9109999998</v>
      </c>
    </row>
    <row r="14" spans="1:54" x14ac:dyDescent="0.25">
      <c r="A14" s="9"/>
      <c r="B14" s="9"/>
      <c r="C14" s="31"/>
      <c r="D14" s="31"/>
      <c r="E14" s="46">
        <v>1.32877</v>
      </c>
      <c r="F14" s="30">
        <f t="shared" si="8"/>
        <v>7.6710000000000056E-2</v>
      </c>
      <c r="G14" s="67">
        <f t="shared" si="7"/>
        <v>8.8552000000000006E-3</v>
      </c>
      <c r="H14" s="30"/>
      <c r="I14" s="7">
        <v>8</v>
      </c>
      <c r="J14" s="32"/>
      <c r="K14" s="32">
        <f t="shared" si="3"/>
        <v>-4.0381042899021551E-2</v>
      </c>
      <c r="L14" s="32">
        <f t="shared" si="3"/>
        <v>-4.0572818219925359E-2</v>
      </c>
      <c r="M14" s="32">
        <f t="shared" si="3"/>
        <v>-4.0764593540829161E-2</v>
      </c>
      <c r="N14" s="32">
        <f t="shared" si="3"/>
        <v>-4.0956365652694941E-2</v>
      </c>
      <c r="O14" s="32">
        <f t="shared" si="3"/>
        <v>-4.1148140973598743E-2</v>
      </c>
      <c r="P14" s="32">
        <f t="shared" si="3"/>
        <v>-4.1339916294502545E-2</v>
      </c>
      <c r="Q14" s="32">
        <f t="shared" si="3"/>
        <v>-4.1531691615406353E-2</v>
      </c>
      <c r="R14" s="32">
        <f t="shared" si="3"/>
        <v>-4.1723466936310148E-2</v>
      </c>
      <c r="S14" s="32">
        <f t="shared" si="3"/>
        <v>-4.191524257811776E-2</v>
      </c>
      <c r="T14" s="32">
        <f t="shared" si="3"/>
        <v>-4.2107017578117752E-2</v>
      </c>
      <c r="U14" s="32">
        <f t="shared" si="3"/>
        <v>-4.229879257811775E-2</v>
      </c>
      <c r="V14" s="32">
        <f t="shared" si="3"/>
        <v>-4.2490568219925362E-2</v>
      </c>
      <c r="W14" s="32">
        <f t="shared" si="3"/>
        <v>-4.2682343540829157E-2</v>
      </c>
      <c r="X14" s="32">
        <f t="shared" si="3"/>
        <v>-4.2874118861732959E-2</v>
      </c>
      <c r="Y14" s="32">
        <f t="shared" si="3"/>
        <v>-4.306589418263676E-2</v>
      </c>
      <c r="Z14" s="32">
        <f t="shared" si="3"/>
        <v>-4.3257669503540569E-2</v>
      </c>
      <c r="AA14" s="32">
        <f t="shared" si="4"/>
        <v>-4.3449441615406342E-2</v>
      </c>
      <c r="AB14" s="32">
        <f t="shared" si="4"/>
        <v>-4.3641216936310151E-2</v>
      </c>
      <c r="AC14" s="32">
        <f t="shared" si="4"/>
        <v>-4.3832992257213953E-2</v>
      </c>
      <c r="AD14" s="32">
        <f t="shared" si="5"/>
        <v>-3.835500000000003E-3</v>
      </c>
      <c r="AF14" s="5" t="s">
        <v>20</v>
      </c>
      <c r="AG14" s="35">
        <v>1.25204</v>
      </c>
      <c r="AH14" s="75">
        <v>2.559740321E-3</v>
      </c>
      <c r="AI14" s="75">
        <v>0.17120428030000001</v>
      </c>
      <c r="AJ14" s="75">
        <v>1.2323112169999999</v>
      </c>
      <c r="AK14" s="75">
        <v>8.4237732429999994</v>
      </c>
      <c r="AL14" s="75">
        <v>55.04320998</v>
      </c>
      <c r="AM14" s="75">
        <v>340.47669999999999</v>
      </c>
      <c r="AN14" s="75">
        <v>1966.3551130000001</v>
      </c>
      <c r="AO14" s="75">
        <v>10364.55365</v>
      </c>
      <c r="AP14" s="75">
        <v>47487.07488</v>
      </c>
      <c r="AQ14" s="75">
        <v>166295.9284</v>
      </c>
      <c r="AR14" s="75">
        <v>412910.26909999998</v>
      </c>
      <c r="AS14" s="75">
        <v>694861.78639999998</v>
      </c>
      <c r="AT14" s="75">
        <v>981074.78720000002</v>
      </c>
      <c r="AU14" s="75">
        <v>1266348.5719999999</v>
      </c>
      <c r="AV14" s="75">
        <v>1550011.817</v>
      </c>
      <c r="AW14" s="75">
        <v>1831995.551</v>
      </c>
      <c r="AX14" s="75">
        <v>2112300.6860000002</v>
      </c>
      <c r="AY14" s="75">
        <v>2390936.81</v>
      </c>
      <c r="AZ14" s="75">
        <v>2667922.0839999998</v>
      </c>
      <c r="BA14" s="75">
        <v>2943319.0630000001</v>
      </c>
      <c r="BB14" s="75">
        <v>3217417.8769999999</v>
      </c>
    </row>
    <row r="15" spans="1:54" x14ac:dyDescent="0.25">
      <c r="A15" s="9"/>
      <c r="B15" s="9"/>
      <c r="C15" s="31"/>
      <c r="D15" s="31"/>
      <c r="E15" s="46">
        <v>1.2520500000000001</v>
      </c>
      <c r="F15" s="30">
        <f t="shared" si="8"/>
        <v>7.6719999999999899E-2</v>
      </c>
      <c r="G15" s="67">
        <f t="shared" si="7"/>
        <v>8.8552000000000006E-3</v>
      </c>
      <c r="H15" s="30"/>
      <c r="I15" s="7">
        <v>9</v>
      </c>
      <c r="J15" s="32"/>
      <c r="K15" s="32">
        <f t="shared" si="3"/>
        <v>-4.0386307016202938E-2</v>
      </c>
      <c r="L15" s="32">
        <f t="shared" si="3"/>
        <v>-4.0578107337148575E-2</v>
      </c>
      <c r="M15" s="32">
        <f t="shared" si="3"/>
        <v>-4.0769907658094212E-2</v>
      </c>
      <c r="N15" s="32">
        <f t="shared" si="3"/>
        <v>-4.0961704769583489E-2</v>
      </c>
      <c r="O15" s="32">
        <f t="shared" si="3"/>
        <v>-4.1153505090529126E-2</v>
      </c>
      <c r="P15" s="32">
        <f t="shared" si="3"/>
        <v>-4.1345305411474763E-2</v>
      </c>
      <c r="Q15" s="32">
        <f t="shared" si="3"/>
        <v>-4.15371057324204E-2</v>
      </c>
      <c r="R15" s="32">
        <f t="shared" si="3"/>
        <v>-4.1728906053366023E-2</v>
      </c>
      <c r="S15" s="32">
        <f t="shared" si="3"/>
        <v>-4.1920706695257305E-2</v>
      </c>
      <c r="T15" s="32">
        <f t="shared" si="3"/>
        <v>-4.2112506695257297E-2</v>
      </c>
      <c r="U15" s="32">
        <f t="shared" si="3"/>
        <v>-4.2304306695257296E-2</v>
      </c>
      <c r="V15" s="32">
        <f t="shared" si="3"/>
        <v>-4.2496107337148571E-2</v>
      </c>
      <c r="W15" s="32">
        <f t="shared" si="3"/>
        <v>-4.2687907658094201E-2</v>
      </c>
      <c r="X15" s="32">
        <f t="shared" si="3"/>
        <v>-4.2879707979039838E-2</v>
      </c>
      <c r="Y15" s="32">
        <f t="shared" si="3"/>
        <v>-4.3071508299985475E-2</v>
      </c>
      <c r="Z15" s="32">
        <f t="shared" si="3"/>
        <v>-4.3263308620931112E-2</v>
      </c>
      <c r="AA15" s="32">
        <f t="shared" si="4"/>
        <v>-4.3455105732420389E-2</v>
      </c>
      <c r="AB15" s="32">
        <f t="shared" si="4"/>
        <v>-4.3646906053366026E-2</v>
      </c>
      <c r="AC15" s="32">
        <f t="shared" si="4"/>
        <v>-4.3838706374311663E-2</v>
      </c>
      <c r="AD15" s="32">
        <f t="shared" si="5"/>
        <v>-3.8359999999999952E-3</v>
      </c>
      <c r="AF15" s="4"/>
      <c r="AG15" s="35">
        <v>1.2188399999999999</v>
      </c>
      <c r="AH15" s="76">
        <v>3.188168092E-3</v>
      </c>
      <c r="AI15" s="76">
        <v>0.2094610153</v>
      </c>
      <c r="AJ15" s="76">
        <v>1.491271652</v>
      </c>
      <c r="AK15" s="76">
        <v>10.06606113</v>
      </c>
      <c r="AL15" s="76">
        <v>64.838599369999997</v>
      </c>
      <c r="AM15" s="76">
        <v>394.49565339999998</v>
      </c>
      <c r="AN15" s="76">
        <v>2233.2751960000001</v>
      </c>
      <c r="AO15" s="76">
        <v>11462.322899999999</v>
      </c>
      <c r="AP15" s="76">
        <v>50531.953860000001</v>
      </c>
      <c r="AQ15" s="76">
        <v>170960.4276</v>
      </c>
      <c r="AR15" s="76">
        <v>414234.60820000002</v>
      </c>
      <c r="AS15" s="76">
        <v>694800.27969999996</v>
      </c>
      <c r="AT15" s="76">
        <v>980462.64989999996</v>
      </c>
      <c r="AU15" s="76">
        <v>1265251.1740000001</v>
      </c>
      <c r="AV15" s="76">
        <v>1548343.054</v>
      </c>
      <c r="AW15" s="76">
        <v>1829648.7169999999</v>
      </c>
      <c r="AX15" s="76">
        <v>2109167.5240000002</v>
      </c>
      <c r="AY15" s="76">
        <v>2386910.0279999999</v>
      </c>
      <c r="AZ15" s="76">
        <v>2662896.67</v>
      </c>
      <c r="BA15" s="76">
        <v>2937197.38</v>
      </c>
      <c r="BB15" s="76">
        <v>3210129.2710000002</v>
      </c>
    </row>
    <row r="16" spans="1:54" x14ac:dyDescent="0.25">
      <c r="A16" s="9"/>
      <c r="B16" s="14"/>
      <c r="C16" s="31"/>
      <c r="D16" s="31"/>
      <c r="E16" s="46">
        <v>1.2188399999999999</v>
      </c>
      <c r="F16" s="30">
        <f t="shared" si="8"/>
        <v>3.3210000000000184E-2</v>
      </c>
      <c r="G16" s="67">
        <f t="shared" si="7"/>
        <v>8.8552000000000006E-3</v>
      </c>
      <c r="H16" s="30"/>
      <c r="I16" s="7">
        <v>10</v>
      </c>
      <c r="J16" s="32"/>
      <c r="K16" s="32">
        <f t="shared" si="3"/>
        <v>-1.7482133159646879E-2</v>
      </c>
      <c r="L16" s="32">
        <f t="shared" si="3"/>
        <v>-1.7565158298575512E-2</v>
      </c>
      <c r="M16" s="32">
        <f t="shared" si="3"/>
        <v>-1.7648183437504145E-2</v>
      </c>
      <c r="N16" s="32">
        <f t="shared" si="3"/>
        <v>-1.7731207187146467E-2</v>
      </c>
      <c r="O16" s="32">
        <f t="shared" si="3"/>
        <v>-1.78142323260751E-2</v>
      </c>
      <c r="P16" s="32">
        <f t="shared" si="3"/>
        <v>-1.789725746500373E-2</v>
      </c>
      <c r="Q16" s="32">
        <f t="shared" si="3"/>
        <v>-1.7980282603932363E-2</v>
      </c>
      <c r="R16" s="32">
        <f t="shared" si="3"/>
        <v>-1.8063307742860992E-2</v>
      </c>
      <c r="S16" s="32">
        <f t="shared" si="3"/>
        <v>-1.8146333020718258E-2</v>
      </c>
      <c r="T16" s="32">
        <f t="shared" si="3"/>
        <v>-1.8229358020718255E-2</v>
      </c>
      <c r="U16" s="32">
        <f t="shared" si="3"/>
        <v>-1.8312383020718252E-2</v>
      </c>
      <c r="V16" s="32">
        <f t="shared" si="3"/>
        <v>-1.8395408298575517E-2</v>
      </c>
      <c r="W16" s="32">
        <f t="shared" si="3"/>
        <v>-1.8478433437504146E-2</v>
      </c>
      <c r="X16" s="32">
        <f t="shared" si="3"/>
        <v>-1.8561458576432779E-2</v>
      </c>
      <c r="Y16" s="32">
        <f t="shared" si="3"/>
        <v>-1.8644483715361409E-2</v>
      </c>
      <c r="Z16" s="32">
        <f t="shared" si="3"/>
        <v>-1.8727508854290042E-2</v>
      </c>
      <c r="AA16" s="32">
        <f t="shared" si="4"/>
        <v>-1.8810532603932364E-2</v>
      </c>
      <c r="AB16" s="32">
        <f t="shared" si="4"/>
        <v>-1.8893557742860997E-2</v>
      </c>
      <c r="AC16" s="32">
        <f t="shared" si="4"/>
        <v>-1.897658288178963E-2</v>
      </c>
      <c r="AD16" s="32">
        <f t="shared" si="5"/>
        <v>-1.6605000000000092E-3</v>
      </c>
      <c r="AF16" s="4"/>
      <c r="AG16" s="35">
        <v>1</v>
      </c>
      <c r="AH16" s="76">
        <v>1.4230378470000001E-2</v>
      </c>
      <c r="AI16" s="76">
        <v>0.80672658679999998</v>
      </c>
      <c r="AJ16" s="76">
        <v>5.1736032840000004</v>
      </c>
      <c r="AK16" s="76">
        <v>31.147718080000001</v>
      </c>
      <c r="AL16" s="76">
        <v>177.34787249999999</v>
      </c>
      <c r="AM16" s="76">
        <v>941.98772910000002</v>
      </c>
      <c r="AN16" s="76">
        <v>4569.5518830000001</v>
      </c>
      <c r="AO16" s="76">
        <v>19567.080590000001</v>
      </c>
      <c r="AP16" s="76">
        <v>70132.956550000003</v>
      </c>
      <c r="AQ16" s="76">
        <v>198123.62669999999</v>
      </c>
      <c r="AR16" s="76">
        <v>424122.03169999999</v>
      </c>
      <c r="AS16" s="76">
        <v>695140.89289999998</v>
      </c>
      <c r="AT16" s="76">
        <v>976559.82279999997</v>
      </c>
      <c r="AU16" s="76">
        <v>1257991.5090000001</v>
      </c>
      <c r="AV16" s="76">
        <v>1537311.173</v>
      </c>
      <c r="AW16" s="76">
        <v>1814180.3840000001</v>
      </c>
      <c r="AX16" s="76">
        <v>2088566.0330000001</v>
      </c>
      <c r="AY16" s="76">
        <v>2360483.568</v>
      </c>
      <c r="AZ16" s="76">
        <v>2629973.2000000002</v>
      </c>
      <c r="BA16" s="76">
        <v>2897165.764</v>
      </c>
      <c r="BB16" s="76">
        <v>3162568.4449999998</v>
      </c>
    </row>
    <row r="17" spans="1:56" x14ac:dyDescent="0.25">
      <c r="A17" s="9" t="s">
        <v>13</v>
      </c>
      <c r="B17" s="9">
        <f>(B10-B9)/B11</f>
        <v>5.9760899999999999E-3</v>
      </c>
      <c r="C17" s="31"/>
      <c r="D17" s="31"/>
      <c r="E17" s="46">
        <v>1</v>
      </c>
      <c r="F17" s="30">
        <f t="shared" si="8"/>
        <v>0.21883999999999992</v>
      </c>
      <c r="G17" s="67">
        <f t="shared" si="7"/>
        <v>8.8552000000000006E-3</v>
      </c>
      <c r="H17" s="30"/>
      <c r="I17" s="7">
        <v>11</v>
      </c>
      <c r="J17" s="32"/>
      <c r="K17" s="32">
        <f t="shared" si="3"/>
        <v>-0.11519994039919003</v>
      </c>
      <c r="L17" s="32">
        <f t="shared" si="3"/>
        <v>-0.11574704131467156</v>
      </c>
      <c r="M17" s="32">
        <f t="shared" si="3"/>
        <v>-0.11629414223015309</v>
      </c>
      <c r="N17" s="32">
        <f t="shared" si="3"/>
        <v>-0.11684123399081933</v>
      </c>
      <c r="O17" s="32">
        <f t="shared" si="3"/>
        <v>-0.11738833490630086</v>
      </c>
      <c r="P17" s="32">
        <f t="shared" si="3"/>
        <v>-0.1179354358217824</v>
      </c>
      <c r="Q17" s="32">
        <f t="shared" si="3"/>
        <v>-0.11848253673726393</v>
      </c>
      <c r="R17" s="32">
        <f t="shared" si="3"/>
        <v>-0.11902963765274543</v>
      </c>
      <c r="S17" s="32">
        <f t="shared" si="3"/>
        <v>-0.11957673948370852</v>
      </c>
      <c r="T17" s="32">
        <f t="shared" si="3"/>
        <v>-0.1201238394837085</v>
      </c>
      <c r="U17" s="32">
        <f t="shared" si="3"/>
        <v>-0.12067093948370849</v>
      </c>
      <c r="V17" s="32">
        <f t="shared" si="3"/>
        <v>-0.12121804131467157</v>
      </c>
      <c r="W17" s="32">
        <f t="shared" si="3"/>
        <v>-0.12176514223015307</v>
      </c>
      <c r="X17" s="32">
        <f t="shared" si="3"/>
        <v>-0.1223122431456346</v>
      </c>
      <c r="Y17" s="32">
        <f t="shared" si="3"/>
        <v>-0.12285934406111614</v>
      </c>
      <c r="Z17" s="32">
        <f t="shared" si="3"/>
        <v>-0.12340644497659767</v>
      </c>
      <c r="AA17" s="32">
        <f t="shared" si="4"/>
        <v>-0.12395353673726391</v>
      </c>
      <c r="AB17" s="32">
        <f t="shared" si="4"/>
        <v>-0.12450063765274544</v>
      </c>
      <c r="AC17" s="32">
        <f t="shared" si="4"/>
        <v>-0.12504773856822698</v>
      </c>
      <c r="AD17" s="32">
        <f t="shared" si="5"/>
        <v>-1.0941999999999997E-2</v>
      </c>
      <c r="AF17" s="5" t="s">
        <v>20</v>
      </c>
      <c r="AG17" s="35">
        <v>0.99999000000000005</v>
      </c>
      <c r="AH17" s="75">
        <v>1.409578098E-2</v>
      </c>
      <c r="AI17" s="75">
        <v>0.79909619409999999</v>
      </c>
      <c r="AJ17" s="75">
        <v>5.1246689549999997</v>
      </c>
      <c r="AK17" s="75">
        <v>30.853108580000001</v>
      </c>
      <c r="AL17" s="75">
        <v>175.6704344</v>
      </c>
      <c r="AM17" s="75">
        <v>933.07797410000001</v>
      </c>
      <c r="AN17" s="75">
        <v>4526.3309509999999</v>
      </c>
      <c r="AO17" s="75">
        <v>19382.006109999998</v>
      </c>
      <c r="AP17" s="75">
        <v>69469.606660000005</v>
      </c>
      <c r="AQ17" s="75">
        <v>196249.6819</v>
      </c>
      <c r="AR17" s="75">
        <v>420110.48969999998</v>
      </c>
      <c r="AS17" s="75">
        <v>688565.92929999996</v>
      </c>
      <c r="AT17" s="75">
        <v>967323.06900000002</v>
      </c>
      <c r="AU17" s="75">
        <v>1246092.845</v>
      </c>
      <c r="AV17" s="75">
        <v>1522770.574</v>
      </c>
      <c r="AW17" s="75">
        <v>1797021.0279999999</v>
      </c>
      <c r="AX17" s="75">
        <v>2068811.4110000001</v>
      </c>
      <c r="AY17" s="75">
        <v>2338157.0240000002</v>
      </c>
      <c r="AZ17" s="75">
        <v>2605097.699</v>
      </c>
      <c r="BA17" s="75">
        <v>2869763.0320000001</v>
      </c>
      <c r="BB17" s="75">
        <v>3132655.412</v>
      </c>
    </row>
    <row r="18" spans="1:56" x14ac:dyDescent="0.25">
      <c r="C18" s="31"/>
      <c r="D18" s="31"/>
      <c r="E18" s="46">
        <v>0.966781</v>
      </c>
      <c r="F18" s="30">
        <f t="shared" si="8"/>
        <v>3.3218999999999999E-2</v>
      </c>
      <c r="G18" s="67">
        <f t="shared" si="7"/>
        <v>8.8552000000000006E-3</v>
      </c>
      <c r="H18" s="30"/>
      <c r="I18" s="7">
        <v>12</v>
      </c>
      <c r="J18" s="32"/>
      <c r="K18" s="32">
        <f t="shared" si="3"/>
        <v>-1.7486870865110103E-2</v>
      </c>
      <c r="L18" s="32">
        <f t="shared" si="3"/>
        <v>-1.7569918504076385E-2</v>
      </c>
      <c r="M18" s="32">
        <f t="shared" si="3"/>
        <v>-1.7652966143042664E-2</v>
      </c>
      <c r="N18" s="32">
        <f t="shared" si="3"/>
        <v>-1.7736012392346137E-2</v>
      </c>
      <c r="O18" s="32">
        <f t="shared" si="3"/>
        <v>-1.7819060031312419E-2</v>
      </c>
      <c r="P18" s="32">
        <f t="shared" si="3"/>
        <v>-1.7902107670278701E-2</v>
      </c>
      <c r="Q18" s="32">
        <f t="shared" si="3"/>
        <v>-1.798515530924498E-2</v>
      </c>
      <c r="R18" s="32">
        <f t="shared" si="3"/>
        <v>-1.8068202948211258E-2</v>
      </c>
      <c r="S18" s="32">
        <f t="shared" si="3"/>
        <v>-1.8151250726143823E-2</v>
      </c>
      <c r="T18" s="32">
        <f t="shared" si="3"/>
        <v>-1.8234298226143822E-2</v>
      </c>
      <c r="U18" s="32">
        <f t="shared" si="3"/>
        <v>-1.8317345726143821E-2</v>
      </c>
      <c r="V18" s="32">
        <f t="shared" si="3"/>
        <v>-1.8400393504076386E-2</v>
      </c>
      <c r="W18" s="32">
        <f t="shared" si="3"/>
        <v>-1.8483441143042661E-2</v>
      </c>
      <c r="X18" s="32">
        <f t="shared" si="3"/>
        <v>-1.8566488782008943E-2</v>
      </c>
      <c r="Y18" s="32">
        <f t="shared" si="3"/>
        <v>-1.8649536420975225E-2</v>
      </c>
      <c r="Z18" s="32">
        <f t="shared" si="3"/>
        <v>-1.8732584059941507E-2</v>
      </c>
      <c r="AA18" s="32">
        <f t="shared" si="4"/>
        <v>-1.8815630309244977E-2</v>
      </c>
      <c r="AB18" s="32">
        <f t="shared" si="4"/>
        <v>-1.8898677948211259E-2</v>
      </c>
      <c r="AC18" s="32">
        <f t="shared" si="4"/>
        <v>-1.8981725587177541E-2</v>
      </c>
      <c r="AD18" s="32">
        <f t="shared" si="5"/>
        <v>-1.66095E-3</v>
      </c>
      <c r="AF18" s="4"/>
      <c r="AG18" s="35">
        <v>0.966781</v>
      </c>
      <c r="AH18" s="76">
        <v>1.697841672E-2</v>
      </c>
      <c r="AI18" s="76">
        <v>0.94893279900000005</v>
      </c>
      <c r="AJ18" s="76">
        <v>6.0165241150000002</v>
      </c>
      <c r="AK18" s="76">
        <v>35.743866850000003</v>
      </c>
      <c r="AL18" s="76">
        <v>200.4256431</v>
      </c>
      <c r="AM18" s="76">
        <v>1045.593756</v>
      </c>
      <c r="AN18" s="76">
        <v>4964.035492</v>
      </c>
      <c r="AO18" s="76">
        <v>20723.172610000001</v>
      </c>
      <c r="AP18" s="76">
        <v>72339.022880000004</v>
      </c>
      <c r="AQ18" s="76">
        <v>199838.7965</v>
      </c>
      <c r="AR18" s="76">
        <v>421745.56890000001</v>
      </c>
      <c r="AS18" s="76">
        <v>688727.81200000003</v>
      </c>
      <c r="AT18" s="76">
        <v>966758.15859999997</v>
      </c>
      <c r="AU18" s="76">
        <v>1244997.5460000001</v>
      </c>
      <c r="AV18" s="76">
        <v>1521106.1839999999</v>
      </c>
      <c r="AW18" s="76">
        <v>1794693.9909999999</v>
      </c>
      <c r="AX18" s="76">
        <v>2065719.557</v>
      </c>
      <c r="AY18" s="76">
        <v>2334198.611</v>
      </c>
      <c r="AZ18" s="76">
        <v>2600174.6710000001</v>
      </c>
      <c r="BA18" s="76">
        <v>2863788.2919999999</v>
      </c>
      <c r="BB18" s="76">
        <v>3125572.003</v>
      </c>
    </row>
    <row r="19" spans="1:56" x14ac:dyDescent="0.25">
      <c r="C19" s="31"/>
      <c r="D19" s="31"/>
      <c r="E19" s="46">
        <v>0.74794499999999997</v>
      </c>
      <c r="F19" s="30">
        <f t="shared" si="8"/>
        <v>0.21883600000000003</v>
      </c>
      <c r="G19" s="67">
        <f t="shared" si="7"/>
        <v>8.8552000000000006E-3</v>
      </c>
      <c r="H19" s="30"/>
      <c r="I19" s="7">
        <v>13</v>
      </c>
      <c r="J19" s="32"/>
      <c r="K19" s="32">
        <f t="shared" si="3"/>
        <v>-0.1151978347523175</v>
      </c>
      <c r="L19" s="32">
        <f t="shared" si="3"/>
        <v>-0.1157449256677823</v>
      </c>
      <c r="M19" s="32">
        <f t="shared" si="3"/>
        <v>-0.1162920165832471</v>
      </c>
      <c r="N19" s="32">
        <f t="shared" si="3"/>
        <v>-0.11683909834406393</v>
      </c>
      <c r="O19" s="32">
        <f t="shared" si="3"/>
        <v>-0.11738618925952873</v>
      </c>
      <c r="P19" s="32">
        <f t="shared" si="3"/>
        <v>-0.11793328017499353</v>
      </c>
      <c r="Q19" s="32">
        <f t="shared" si="3"/>
        <v>-0.11848037109045834</v>
      </c>
      <c r="R19" s="32">
        <f t="shared" si="3"/>
        <v>-0.11902746200592311</v>
      </c>
      <c r="S19" s="32">
        <f t="shared" si="3"/>
        <v>-0.11957455383685273</v>
      </c>
      <c r="T19" s="32">
        <f t="shared" si="3"/>
        <v>-0.12012164383685271</v>
      </c>
      <c r="U19" s="32">
        <f t="shared" si="3"/>
        <v>-0.1206687338368527</v>
      </c>
      <c r="V19" s="32">
        <f t="shared" si="3"/>
        <v>-0.1212158256677823</v>
      </c>
      <c r="W19" s="32">
        <f t="shared" si="3"/>
        <v>-0.12176291658324707</v>
      </c>
      <c r="X19" s="32">
        <f t="shared" si="3"/>
        <v>-0.12231000749871188</v>
      </c>
      <c r="Y19" s="32">
        <f t="shared" si="3"/>
        <v>-0.12285709841417668</v>
      </c>
      <c r="Z19" s="32">
        <f t="shared" si="3"/>
        <v>-0.12340418932964148</v>
      </c>
      <c r="AA19" s="32">
        <f t="shared" si="4"/>
        <v>-0.12395127109045831</v>
      </c>
      <c r="AB19" s="32">
        <f t="shared" si="4"/>
        <v>-0.12449836200592311</v>
      </c>
      <c r="AC19" s="32">
        <f t="shared" si="4"/>
        <v>-0.12504545292138791</v>
      </c>
      <c r="AD19" s="32">
        <f t="shared" si="5"/>
        <v>-1.0941800000000002E-2</v>
      </c>
      <c r="AF19" s="4"/>
      <c r="AG19" s="35">
        <v>0.74794499999999997</v>
      </c>
      <c r="AH19" s="76">
        <v>5.8654562760000001E-2</v>
      </c>
      <c r="AI19" s="76">
        <v>2.8904009510000002</v>
      </c>
      <c r="AJ19" s="76">
        <v>16.63555401</v>
      </c>
      <c r="AK19" s="76">
        <v>88.741177469999997</v>
      </c>
      <c r="AL19" s="76">
        <v>442.56955390000002</v>
      </c>
      <c r="AM19" s="76">
        <v>2030.090674</v>
      </c>
      <c r="AN19" s="76">
        <v>8367.5278159999998</v>
      </c>
      <c r="AO19" s="76">
        <v>30039.016510000001</v>
      </c>
      <c r="AP19" s="76">
        <v>90535.141900000002</v>
      </c>
      <c r="AQ19" s="76">
        <v>221479.8493</v>
      </c>
      <c r="AR19" s="76">
        <v>432734.0748</v>
      </c>
      <c r="AS19" s="76">
        <v>690391.1923</v>
      </c>
      <c r="AT19" s="76">
        <v>963253.53209999995</v>
      </c>
      <c r="AU19" s="76">
        <v>1237796.7930000001</v>
      </c>
      <c r="AV19" s="76">
        <v>1510117.37</v>
      </c>
      <c r="AW19" s="76">
        <v>1779361.193</v>
      </c>
      <c r="AX19" s="76">
        <v>2045393.0090000001</v>
      </c>
      <c r="AY19" s="76">
        <v>2308224.8259999999</v>
      </c>
      <c r="AZ19" s="76">
        <v>2567928.3149999999</v>
      </c>
      <c r="BA19" s="76">
        <v>2824725.2519999999</v>
      </c>
      <c r="BB19" s="76">
        <v>3079348.1889999998</v>
      </c>
    </row>
    <row r="20" spans="1:56" x14ac:dyDescent="0.25">
      <c r="A20" s="64" t="s">
        <v>23</v>
      </c>
      <c r="B20" s="64" t="s">
        <v>0</v>
      </c>
      <c r="C20" s="31"/>
      <c r="D20" s="31"/>
      <c r="E20" s="46">
        <v>0.72020499999999998</v>
      </c>
      <c r="F20" s="30">
        <f t="shared" si="8"/>
        <v>2.7739999999999987E-2</v>
      </c>
      <c r="G20" s="67">
        <f t="shared" si="7"/>
        <v>8.8552000000000006E-3</v>
      </c>
      <c r="H20" s="30"/>
      <c r="I20" s="7">
        <v>14</v>
      </c>
      <c r="J20" s="32"/>
      <c r="K20" s="32">
        <f t="shared" si="3"/>
        <v>-1.4602661061385172E-2</v>
      </c>
      <c r="L20" s="32">
        <f t="shared" si="3"/>
        <v>-1.4672011177430949E-2</v>
      </c>
      <c r="M20" s="32">
        <f t="shared" si="3"/>
        <v>-1.4741361293476725E-2</v>
      </c>
      <c r="N20" s="32">
        <f t="shared" si="3"/>
        <v>-1.4810710249064741E-2</v>
      </c>
      <c r="O20" s="32">
        <f t="shared" si="3"/>
        <v>-1.4880060365110517E-2</v>
      </c>
      <c r="P20" s="32">
        <f t="shared" si="3"/>
        <v>-1.4949410481156293E-2</v>
      </c>
      <c r="Q20" s="32">
        <f t="shared" si="3"/>
        <v>-1.501876059720207E-2</v>
      </c>
      <c r="R20" s="32">
        <f t="shared" si="3"/>
        <v>-1.5088110713247843E-2</v>
      </c>
      <c r="S20" s="32">
        <f t="shared" si="3"/>
        <v>-1.5157460945339398E-2</v>
      </c>
      <c r="T20" s="32">
        <f t="shared" si="3"/>
        <v>-1.5226810945339396E-2</v>
      </c>
      <c r="U20" s="32">
        <f t="shared" si="3"/>
        <v>-1.5296160945339395E-2</v>
      </c>
      <c r="V20" s="32">
        <f t="shared" si="3"/>
        <v>-1.5365511177430949E-2</v>
      </c>
      <c r="W20" s="32">
        <f t="shared" si="3"/>
        <v>-1.5434861293476721E-2</v>
      </c>
      <c r="X20" s="32">
        <f t="shared" si="3"/>
        <v>-1.5504211409522498E-2</v>
      </c>
      <c r="Y20" s="32">
        <f t="shared" si="3"/>
        <v>-1.5573561525568274E-2</v>
      </c>
      <c r="Z20" s="32">
        <f t="shared" si="3"/>
        <v>-1.5642911641614052E-2</v>
      </c>
      <c r="AA20" s="32">
        <f t="shared" si="4"/>
        <v>-1.5712260597202068E-2</v>
      </c>
      <c r="AB20" s="32">
        <f t="shared" si="4"/>
        <v>-1.5781610713247844E-2</v>
      </c>
      <c r="AC20" s="32">
        <f t="shared" si="4"/>
        <v>-1.5850960829293621E-2</v>
      </c>
      <c r="AD20" s="32">
        <f t="shared" si="5"/>
        <v>-1.3869999999999993E-3</v>
      </c>
      <c r="AF20" s="5" t="s">
        <v>20</v>
      </c>
      <c r="AG20" s="35">
        <v>0.74793500000000002</v>
      </c>
      <c r="AH20" s="75">
        <v>5.8116115760000003E-2</v>
      </c>
      <c r="AI20" s="75">
        <v>2.8638671630000001</v>
      </c>
      <c r="AJ20" s="75">
        <v>16.482840159999999</v>
      </c>
      <c r="AK20" s="75">
        <v>87.926536319999997</v>
      </c>
      <c r="AL20" s="75">
        <v>438.50677960000002</v>
      </c>
      <c r="AM20" s="75">
        <v>2011.4545069999999</v>
      </c>
      <c r="AN20" s="75">
        <v>8290.7141800000009</v>
      </c>
      <c r="AO20" s="75">
        <v>29763.259300000002</v>
      </c>
      <c r="AP20" s="75">
        <v>89704.032210000005</v>
      </c>
      <c r="AQ20" s="75">
        <v>219446.67139999999</v>
      </c>
      <c r="AR20" s="75">
        <v>428761.58990000002</v>
      </c>
      <c r="AS20" s="75">
        <v>684053.42339999997</v>
      </c>
      <c r="AT20" s="75">
        <v>954410.89569999999</v>
      </c>
      <c r="AU20" s="75">
        <v>1226433.858</v>
      </c>
      <c r="AV20" s="75">
        <v>1496254.541</v>
      </c>
      <c r="AW20" s="75">
        <v>1763026.7139999999</v>
      </c>
      <c r="AX20" s="75">
        <v>2026616.3670000001</v>
      </c>
      <c r="AY20" s="75">
        <v>2287035.3969999999</v>
      </c>
      <c r="AZ20" s="75">
        <v>2544354.8160000001</v>
      </c>
      <c r="BA20" s="75">
        <v>2798794.3650000002</v>
      </c>
      <c r="BB20" s="75">
        <v>3051079.872</v>
      </c>
    </row>
    <row r="21" spans="1:56" x14ac:dyDescent="0.25">
      <c r="A21" s="65">
        <v>43263</v>
      </c>
      <c r="B21" s="34">
        <v>0.88552000000000008</v>
      </c>
      <c r="C21" s="66">
        <f>(A21-$A$21)/365</f>
        <v>0</v>
      </c>
      <c r="D21" s="31"/>
      <c r="E21" s="46">
        <v>0.50136999999999998</v>
      </c>
      <c r="F21" s="30">
        <f t="shared" si="8"/>
        <v>0.218835</v>
      </c>
      <c r="G21" s="67">
        <f t="shared" si="7"/>
        <v>8.8552000000000006E-3</v>
      </c>
      <c r="H21" s="30"/>
      <c r="I21" s="7">
        <v>15</v>
      </c>
      <c r="J21" s="32"/>
      <c r="K21" s="32">
        <f t="shared" si="3"/>
        <v>-0.11519730834059934</v>
      </c>
      <c r="L21" s="32">
        <f t="shared" si="3"/>
        <v>-0.11574439675605995</v>
      </c>
      <c r="M21" s="32">
        <f t="shared" si="3"/>
        <v>-0.11629148517152058</v>
      </c>
      <c r="N21" s="32">
        <f t="shared" si="3"/>
        <v>-0.11683856443237506</v>
      </c>
      <c r="O21" s="32">
        <f t="shared" si="3"/>
        <v>-0.11738565284783567</v>
      </c>
      <c r="P21" s="32">
        <f t="shared" si="3"/>
        <v>-0.1179327412632963</v>
      </c>
      <c r="Q21" s="32">
        <f t="shared" si="3"/>
        <v>-0.11847982967875691</v>
      </c>
      <c r="R21" s="32">
        <f t="shared" si="3"/>
        <v>-0.11902691809421749</v>
      </c>
      <c r="S21" s="32">
        <f t="shared" si="3"/>
        <v>-0.11957400742513874</v>
      </c>
      <c r="T21" s="32">
        <f t="shared" si="3"/>
        <v>-0.12012109492513873</v>
      </c>
      <c r="U21" s="32">
        <f t="shared" si="3"/>
        <v>-0.12066818242513871</v>
      </c>
      <c r="V21" s="32">
        <f t="shared" si="3"/>
        <v>-0.12121527175605996</v>
      </c>
      <c r="W21" s="32">
        <f t="shared" si="3"/>
        <v>-0.12176236017152055</v>
      </c>
      <c r="X21" s="32">
        <f t="shared" si="3"/>
        <v>-0.12230944858698117</v>
      </c>
      <c r="Y21" s="32">
        <f t="shared" si="3"/>
        <v>-0.12285653700244178</v>
      </c>
      <c r="Z21" s="32">
        <f t="shared" si="3"/>
        <v>-0.1234036254179024</v>
      </c>
      <c r="AA21" s="32">
        <f t="shared" si="4"/>
        <v>-0.12395070467875689</v>
      </c>
      <c r="AB21" s="32">
        <f t="shared" si="4"/>
        <v>-0.1244977930942175</v>
      </c>
      <c r="AC21" s="32">
        <f t="shared" si="4"/>
        <v>-0.12504488150967813</v>
      </c>
      <c r="AD21" s="32">
        <f t="shared" si="5"/>
        <v>-1.094175E-2</v>
      </c>
      <c r="AF21" s="4"/>
      <c r="AG21" s="35">
        <v>0.72020499999999998</v>
      </c>
      <c r="AH21" s="76">
        <v>6.6510051040000004E-2</v>
      </c>
      <c r="AI21" s="76">
        <v>3.2382049739999998</v>
      </c>
      <c r="AJ21" s="76">
        <v>18.45509903</v>
      </c>
      <c r="AK21" s="76">
        <v>97.325078000000005</v>
      </c>
      <c r="AL21" s="76">
        <v>479.10163569999997</v>
      </c>
      <c r="AM21" s="76">
        <v>2165.4992579999998</v>
      </c>
      <c r="AN21" s="76">
        <v>8780.8182930000003</v>
      </c>
      <c r="AO21" s="76">
        <v>30987.725630000001</v>
      </c>
      <c r="AP21" s="76">
        <v>91902.183180000007</v>
      </c>
      <c r="AQ21" s="76">
        <v>221932.54560000001</v>
      </c>
      <c r="AR21" s="76">
        <v>430161.21720000001</v>
      </c>
      <c r="AS21" s="76">
        <v>684332.54370000004</v>
      </c>
      <c r="AT21" s="76">
        <v>953998.04709999997</v>
      </c>
      <c r="AU21" s="76">
        <v>1225531.9450000001</v>
      </c>
      <c r="AV21" s="76">
        <v>1494871.6340000001</v>
      </c>
      <c r="AW21" s="76">
        <v>1761100.669</v>
      </c>
      <c r="AX21" s="76">
        <v>2024068.56</v>
      </c>
      <c r="AY21" s="76">
        <v>2283785.8470000001</v>
      </c>
      <c r="AZ21" s="76">
        <v>2540327.5290000001</v>
      </c>
      <c r="BA21" s="76">
        <v>2793924.6009999998</v>
      </c>
      <c r="BB21" s="76">
        <v>3045328.0980000002</v>
      </c>
    </row>
    <row r="22" spans="1:56" x14ac:dyDescent="0.25">
      <c r="A22" s="65">
        <v>43804</v>
      </c>
      <c r="B22" s="34">
        <v>0.88552000000000008</v>
      </c>
      <c r="C22" s="3">
        <f>(A22-$A$21)/365</f>
        <v>1.4821917808219178</v>
      </c>
      <c r="D22" s="66"/>
      <c r="E22" s="46">
        <v>0.47088999999999998</v>
      </c>
      <c r="F22" s="30">
        <f t="shared" si="8"/>
        <v>3.0480000000000007E-2</v>
      </c>
      <c r="G22" s="67">
        <f t="shared" si="7"/>
        <v>8.8552000000000006E-3</v>
      </c>
      <c r="H22" s="30"/>
      <c r="I22" s="7">
        <v>16</v>
      </c>
      <c r="J22" s="32"/>
      <c r="K22" s="32">
        <f t="shared" si="3"/>
        <v>-1.6045029169106717E-2</v>
      </c>
      <c r="L22" s="32">
        <f t="shared" si="3"/>
        <v>-1.6121229296614838E-2</v>
      </c>
      <c r="M22" s="32">
        <f t="shared" si="3"/>
        <v>-1.6197429424122958E-2</v>
      </c>
      <c r="N22" s="32">
        <f t="shared" si="3"/>
        <v>-1.6273628276549879E-2</v>
      </c>
      <c r="O22" s="32">
        <f t="shared" si="3"/>
        <v>-1.6349828404057999E-2</v>
      </c>
      <c r="P22" s="32">
        <f t="shared" si="3"/>
        <v>-1.642602853156612E-2</v>
      </c>
      <c r="Q22" s="32">
        <f t="shared" si="3"/>
        <v>-1.650222865907424E-2</v>
      </c>
      <c r="R22" s="32">
        <f t="shared" si="3"/>
        <v>-1.6578428786582357E-2</v>
      </c>
      <c r="S22" s="32">
        <f t="shared" si="3"/>
        <v>-1.66546290415986E-2</v>
      </c>
      <c r="T22" s="32">
        <f t="shared" si="3"/>
        <v>-1.6730829041598599E-2</v>
      </c>
      <c r="U22" s="32">
        <f t="shared" si="3"/>
        <v>-1.6807029041598597E-2</v>
      </c>
      <c r="V22" s="32">
        <f t="shared" si="3"/>
        <v>-1.688322929661484E-2</v>
      </c>
      <c r="W22" s="32">
        <f t="shared" si="3"/>
        <v>-1.6959429424122957E-2</v>
      </c>
      <c r="X22" s="32">
        <f t="shared" si="3"/>
        <v>-1.7035629551631078E-2</v>
      </c>
      <c r="Y22" s="32">
        <f t="shared" si="3"/>
        <v>-1.7111829679139198E-2</v>
      </c>
      <c r="Z22" s="32">
        <f t="shared" si="3"/>
        <v>-1.7188029806647319E-2</v>
      </c>
      <c r="AA22" s="32">
        <f t="shared" si="4"/>
        <v>-1.7264228659074236E-2</v>
      </c>
      <c r="AB22" s="32">
        <f t="shared" si="4"/>
        <v>-1.7340428786582356E-2</v>
      </c>
      <c r="AC22" s="32">
        <f t="shared" si="4"/>
        <v>-1.7416628914090477E-2</v>
      </c>
      <c r="AD22" s="32">
        <f t="shared" si="5"/>
        <v>-1.5240000000000004E-3</v>
      </c>
      <c r="AF22" s="4"/>
      <c r="AG22" s="35">
        <v>0.50136999999999998</v>
      </c>
      <c r="AH22" s="76">
        <v>0.19111546069999999</v>
      </c>
      <c r="AI22" s="76">
        <v>8.2534986069999992</v>
      </c>
      <c r="AJ22" s="76">
        <v>42.952993370000002</v>
      </c>
      <c r="AK22" s="76">
        <v>204.6828405</v>
      </c>
      <c r="AL22" s="76">
        <v>903.61709410000003</v>
      </c>
      <c r="AM22" s="76">
        <v>3636.525212</v>
      </c>
      <c r="AN22" s="76">
        <v>13062.81393</v>
      </c>
      <c r="AO22" s="76">
        <v>40865.80947</v>
      </c>
      <c r="AP22" s="76">
        <v>108581.19990000001</v>
      </c>
      <c r="AQ22" s="76">
        <v>240293.48430000001</v>
      </c>
      <c r="AR22" s="76">
        <v>441089.53379999998</v>
      </c>
      <c r="AS22" s="76">
        <v>686920.22069999995</v>
      </c>
      <c r="AT22" s="76">
        <v>950971.48880000005</v>
      </c>
      <c r="AU22" s="76">
        <v>1218469.858</v>
      </c>
      <c r="AV22" s="76">
        <v>1483956.125</v>
      </c>
      <c r="AW22" s="76">
        <v>1745910.1459999999</v>
      </c>
      <c r="AX22" s="76">
        <v>2004013.0490000001</v>
      </c>
      <c r="AY22" s="76">
        <v>2258253.412</v>
      </c>
      <c r="AZ22" s="76">
        <v>2508739.2179999999</v>
      </c>
      <c r="BA22" s="76">
        <v>2755795.4649999999</v>
      </c>
      <c r="BB22" s="76">
        <v>3000368.966</v>
      </c>
    </row>
    <row r="23" spans="1:56" x14ac:dyDescent="0.25">
      <c r="A23" s="65">
        <v>43895</v>
      </c>
      <c r="B23" s="34">
        <v>1.0397480000000001</v>
      </c>
      <c r="C23" s="66">
        <f>(A23-$A$21)/365</f>
        <v>1.7315068493150685</v>
      </c>
      <c r="D23" s="66"/>
      <c r="E23" s="46">
        <v>0.25205499999999997</v>
      </c>
      <c r="F23" s="30">
        <f t="shared" si="8"/>
        <v>0.218835</v>
      </c>
      <c r="G23" s="67">
        <f t="shared" si="7"/>
        <v>8.8552000000000006E-3</v>
      </c>
      <c r="H23" s="30"/>
      <c r="I23" s="7">
        <v>17</v>
      </c>
      <c r="J23" s="32"/>
      <c r="K23" s="32">
        <f t="shared" si="3"/>
        <v>-0.11519730834059934</v>
      </c>
      <c r="L23" s="32">
        <f t="shared" si="3"/>
        <v>-0.11574439675605995</v>
      </c>
      <c r="M23" s="32">
        <f t="shared" si="3"/>
        <v>-0.11629148517152058</v>
      </c>
      <c r="N23" s="32">
        <f t="shared" si="3"/>
        <v>-0.11683856443237506</v>
      </c>
      <c r="O23" s="32">
        <f t="shared" si="3"/>
        <v>-0.11738565284783567</v>
      </c>
      <c r="P23" s="32">
        <f t="shared" si="3"/>
        <v>-0.1179327412632963</v>
      </c>
      <c r="Q23" s="32">
        <f t="shared" si="3"/>
        <v>-0.11847982967875691</v>
      </c>
      <c r="R23" s="32">
        <f t="shared" si="3"/>
        <v>-0.11902691809421749</v>
      </c>
      <c r="S23" s="32">
        <f t="shared" si="3"/>
        <v>-0.11957400742513874</v>
      </c>
      <c r="T23" s="32">
        <f t="shared" si="3"/>
        <v>-0.12012109492513873</v>
      </c>
      <c r="U23" s="32">
        <f t="shared" si="3"/>
        <v>-0.12066818242513871</v>
      </c>
      <c r="V23" s="32">
        <f t="shared" si="3"/>
        <v>-0.12121527175605996</v>
      </c>
      <c r="W23" s="32">
        <f t="shared" si="3"/>
        <v>-0.12176236017152055</v>
      </c>
      <c r="X23" s="32">
        <f t="shared" si="3"/>
        <v>-0.12230944858698117</v>
      </c>
      <c r="Y23" s="32">
        <f t="shared" si="3"/>
        <v>-0.12285653700244178</v>
      </c>
      <c r="Z23" s="32">
        <f t="shared" ref="Z23" si="9">1/4*$F23*(-1*$G23^2/$B$17^2+(-$B$8*Z$2)/$B$17)</f>
        <v>-0.1234036254179024</v>
      </c>
      <c r="AA23" s="32">
        <f t="shared" si="4"/>
        <v>-0.12395070467875689</v>
      </c>
      <c r="AB23" s="32">
        <f t="shared" si="4"/>
        <v>-0.1244977930942175</v>
      </c>
      <c r="AC23" s="32">
        <f t="shared" si="4"/>
        <v>-0.12504488150967813</v>
      </c>
      <c r="AD23" s="32">
        <f t="shared" si="5"/>
        <v>-1.094175E-2</v>
      </c>
      <c r="AF23" s="5" t="s">
        <v>20</v>
      </c>
      <c r="AG23" s="35">
        <v>0.50136000000000003</v>
      </c>
      <c r="AH23" s="75">
        <v>0.18935410499999999</v>
      </c>
      <c r="AI23" s="75">
        <v>8.1774328290000007</v>
      </c>
      <c r="AJ23" s="75">
        <v>42.557130600000001</v>
      </c>
      <c r="AK23" s="75">
        <v>202.79644540000001</v>
      </c>
      <c r="AL23" s="75">
        <v>895.28919080000003</v>
      </c>
      <c r="AM23" s="75">
        <v>3603.010319</v>
      </c>
      <c r="AN23" s="75">
        <v>12942.42461</v>
      </c>
      <c r="AO23" s="75">
        <v>40489.182569999997</v>
      </c>
      <c r="AP23" s="75">
        <v>107580.4954</v>
      </c>
      <c r="AQ23" s="75">
        <v>238078.89490000001</v>
      </c>
      <c r="AR23" s="75">
        <v>437024.37060000002</v>
      </c>
      <c r="AS23" s="75">
        <v>680589.43610000005</v>
      </c>
      <c r="AT23" s="75">
        <v>942207.15870000003</v>
      </c>
      <c r="AU23" s="75">
        <v>1207240.213</v>
      </c>
      <c r="AV23" s="75">
        <v>1470279.709</v>
      </c>
      <c r="AW23" s="75">
        <v>1729819.513</v>
      </c>
      <c r="AX23" s="75">
        <v>1985543.692</v>
      </c>
      <c r="AY23" s="75">
        <v>2237440.929</v>
      </c>
      <c r="AZ23" s="75">
        <v>2485618.21</v>
      </c>
      <c r="BA23" s="75">
        <v>2730397.5410000002</v>
      </c>
      <c r="BB23" s="75">
        <v>2972717.0070000002</v>
      </c>
    </row>
    <row r="24" spans="1:56" x14ac:dyDescent="0.25">
      <c r="A24" s="65">
        <v>54883</v>
      </c>
      <c r="B24" s="34">
        <v>1.0397480000000001</v>
      </c>
      <c r="C24" s="66">
        <f>(A24-$A$21)/365</f>
        <v>31.835616438356166</v>
      </c>
      <c r="E24" s="46">
        <v>0.218836</v>
      </c>
      <c r="F24" s="30">
        <f t="shared" si="8"/>
        <v>3.3218999999999971E-2</v>
      </c>
      <c r="G24" s="67">
        <f t="shared" si="7"/>
        <v>8.8552000000000006E-3</v>
      </c>
      <c r="H24" s="30"/>
      <c r="I24" s="7">
        <v>18</v>
      </c>
      <c r="J24" s="32"/>
      <c r="K24" s="32">
        <f t="shared" ref="K24:Z25" si="10">1/4*$F24*(-1*$G24^2/$B$17^2+(-$B$8*K$2)/$B$17)</f>
        <v>-1.7486870865110089E-2</v>
      </c>
      <c r="L24" s="32">
        <f t="shared" si="10"/>
        <v>-1.7569918504076368E-2</v>
      </c>
      <c r="M24" s="32">
        <f t="shared" si="10"/>
        <v>-1.765296614304265E-2</v>
      </c>
      <c r="N24" s="32">
        <f t="shared" si="10"/>
        <v>-1.7736012392346123E-2</v>
      </c>
      <c r="O24" s="32">
        <f t="shared" si="10"/>
        <v>-1.7819060031312402E-2</v>
      </c>
      <c r="P24" s="32">
        <f t="shared" si="10"/>
        <v>-1.7902107670278684E-2</v>
      </c>
      <c r="Q24" s="32">
        <f t="shared" si="10"/>
        <v>-1.7985155309244966E-2</v>
      </c>
      <c r="R24" s="32">
        <f t="shared" si="10"/>
        <v>-1.8068202948211244E-2</v>
      </c>
      <c r="S24" s="32">
        <f t="shared" si="10"/>
        <v>-1.8151250726143809E-2</v>
      </c>
      <c r="T24" s="32">
        <f t="shared" si="10"/>
        <v>-1.8234298226143808E-2</v>
      </c>
      <c r="U24" s="32">
        <f t="shared" si="10"/>
        <v>-1.8317345726143804E-2</v>
      </c>
      <c r="V24" s="32">
        <f t="shared" si="10"/>
        <v>-1.8400393504076368E-2</v>
      </c>
      <c r="W24" s="32">
        <f t="shared" si="10"/>
        <v>-1.8483441143042647E-2</v>
      </c>
      <c r="X24" s="32">
        <f t="shared" si="10"/>
        <v>-1.8566488782008929E-2</v>
      </c>
      <c r="Y24" s="32">
        <f t="shared" si="10"/>
        <v>-1.8649536420975211E-2</v>
      </c>
      <c r="Z24" s="32">
        <f t="shared" si="10"/>
        <v>-1.8732584059941489E-2</v>
      </c>
      <c r="AA24" s="32">
        <f t="shared" ref="AA24:AC25" si="11">1/4*$F24*(-1*$G24^2/$B$17^2+(-$B$8*AA$2)/$B$17)</f>
        <v>-1.8815630309244963E-2</v>
      </c>
      <c r="AB24" s="32">
        <f t="shared" si="11"/>
        <v>-1.8898677948211245E-2</v>
      </c>
      <c r="AC24" s="32">
        <f t="shared" si="11"/>
        <v>-1.8981725587177527E-2</v>
      </c>
      <c r="AD24" s="32">
        <f t="shared" si="5"/>
        <v>-1.6609499999999987E-3</v>
      </c>
      <c r="AF24" s="4"/>
      <c r="AG24" s="35">
        <v>0.47088999999999998</v>
      </c>
      <c r="AH24" s="76">
        <v>0.21556075390000001</v>
      </c>
      <c r="AI24" s="76">
        <v>9.1817741870000003</v>
      </c>
      <c r="AJ24" s="76">
        <v>47.27092416</v>
      </c>
      <c r="AK24" s="76">
        <v>222.47420310000001</v>
      </c>
      <c r="AL24" s="76">
        <v>968.81239919999996</v>
      </c>
      <c r="AM24" s="76">
        <v>3841.7732890000002</v>
      </c>
      <c r="AN24" s="76">
        <v>13589.762989999999</v>
      </c>
      <c r="AO24" s="76">
        <v>41879.796739999998</v>
      </c>
      <c r="AP24" s="76">
        <v>109791.0252</v>
      </c>
      <c r="AQ24" s="76">
        <v>240445.64869999999</v>
      </c>
      <c r="AR24" s="76">
        <v>438513.96840000001</v>
      </c>
      <c r="AS24" s="76">
        <v>680997.46270000003</v>
      </c>
      <c r="AT24" s="76">
        <v>941821.5148</v>
      </c>
      <c r="AU24" s="76">
        <v>1206273.5900000001</v>
      </c>
      <c r="AV24" s="76">
        <v>1468772.8929999999</v>
      </c>
      <c r="AW24" s="76">
        <v>1727723.9410000001</v>
      </c>
      <c r="AX24" s="76">
        <v>1982782.2879999999</v>
      </c>
      <c r="AY24" s="76">
        <v>2233931.9550000001</v>
      </c>
      <c r="AZ24" s="76">
        <v>2481284.648</v>
      </c>
      <c r="BA24" s="76">
        <v>2725176.017</v>
      </c>
      <c r="BB24" s="76">
        <v>2966570.693</v>
      </c>
    </row>
    <row r="25" spans="1:56" x14ac:dyDescent="0.25">
      <c r="A25" s="10"/>
      <c r="B25" s="9"/>
      <c r="E25" s="46">
        <v>1.0000000000000001E-5</v>
      </c>
      <c r="F25" s="30">
        <f t="shared" si="8"/>
        <v>0.21882599999999999</v>
      </c>
      <c r="G25" s="67">
        <f>INDEX($B$21:$B$24,MATCH(E24,$C$21:$C$24,1)+1)%</f>
        <v>8.8552000000000006E-3</v>
      </c>
      <c r="H25" s="30"/>
      <c r="I25" s="7">
        <v>19</v>
      </c>
      <c r="J25" s="32"/>
      <c r="K25" s="32">
        <f t="shared" si="10"/>
        <v>-0.11519257063513602</v>
      </c>
      <c r="L25" s="32">
        <f t="shared" si="10"/>
        <v>-0.11573963655055898</v>
      </c>
      <c r="M25" s="32">
        <f t="shared" si="10"/>
        <v>-0.11628670246598195</v>
      </c>
      <c r="N25" s="32">
        <f t="shared" si="10"/>
        <v>-0.11683375922717529</v>
      </c>
      <c r="O25" s="32">
        <f t="shared" si="10"/>
        <v>-0.11738082514259825</v>
      </c>
      <c r="P25" s="32">
        <f t="shared" si="10"/>
        <v>-0.11792789105802122</v>
      </c>
      <c r="Q25" s="32">
        <f t="shared" si="10"/>
        <v>-0.11847495697344418</v>
      </c>
      <c r="R25" s="32">
        <f t="shared" si="10"/>
        <v>-0.11902202288886712</v>
      </c>
      <c r="S25" s="32">
        <f t="shared" si="10"/>
        <v>-0.11956908971971307</v>
      </c>
      <c r="T25" s="32">
        <f t="shared" si="10"/>
        <v>-0.12011615471971306</v>
      </c>
      <c r="U25" s="32">
        <f t="shared" si="10"/>
        <v>-0.12066321971971304</v>
      </c>
      <c r="V25" s="32">
        <f t="shared" si="10"/>
        <v>-0.12121028655055899</v>
      </c>
      <c r="W25" s="32">
        <f t="shared" si="10"/>
        <v>-0.12175735246598193</v>
      </c>
      <c r="X25" s="32">
        <f t="shared" si="10"/>
        <v>-0.12230441838140489</v>
      </c>
      <c r="Y25" s="32">
        <f t="shared" si="10"/>
        <v>-0.12285148429682786</v>
      </c>
      <c r="Z25" s="32">
        <f t="shared" si="10"/>
        <v>-0.12339855021225082</v>
      </c>
      <c r="AA25" s="32">
        <f t="shared" si="11"/>
        <v>-0.12394560697344416</v>
      </c>
      <c r="AB25" s="32">
        <f t="shared" si="11"/>
        <v>-0.12449267288886713</v>
      </c>
      <c r="AC25" s="32">
        <f t="shared" si="11"/>
        <v>-0.12503973880429009</v>
      </c>
      <c r="AD25" s="32">
        <f t="shared" si="5"/>
        <v>-1.0941300000000001E-2</v>
      </c>
      <c r="AF25" s="4"/>
      <c r="AG25" s="35">
        <v>0.25205499999999997</v>
      </c>
      <c r="AH25" s="76">
        <v>0.53449403309999999</v>
      </c>
      <c r="AI25" s="76">
        <v>20.268246779999998</v>
      </c>
      <c r="AJ25" s="76">
        <v>95.892607029999994</v>
      </c>
      <c r="AK25" s="76">
        <v>410.93390060000002</v>
      </c>
      <c r="AL25" s="76">
        <v>1621.5936799999999</v>
      </c>
      <c r="AM25" s="76">
        <v>5808.9573</v>
      </c>
      <c r="AN25" s="76">
        <v>18562.073219999998</v>
      </c>
      <c r="AO25" s="76">
        <v>51933.843970000002</v>
      </c>
      <c r="AP25" s="76">
        <v>125081.59110000001</v>
      </c>
      <c r="AQ25" s="76">
        <v>256548.9356</v>
      </c>
      <c r="AR25" s="76">
        <v>448983.26659999997</v>
      </c>
      <c r="AS25" s="76">
        <v>684158.42630000005</v>
      </c>
      <c r="AT25" s="76">
        <v>939264.38740000001</v>
      </c>
      <c r="AU25" s="76">
        <v>1199412.2849999999</v>
      </c>
      <c r="AV25" s="76">
        <v>1457967.0530000001</v>
      </c>
      <c r="AW25" s="76">
        <v>1712690.7790000001</v>
      </c>
      <c r="AX25" s="76">
        <v>1963004.4550000001</v>
      </c>
      <c r="AY25" s="76">
        <v>2208844.7689999999</v>
      </c>
      <c r="AZ25" s="76">
        <v>2450356.1189999999</v>
      </c>
      <c r="BA25" s="76">
        <v>2687974.1970000002</v>
      </c>
      <c r="BB25" s="76">
        <v>2922849.0789999999</v>
      </c>
    </row>
    <row r="26" spans="1:56" x14ac:dyDescent="0.25">
      <c r="A26" s="10"/>
      <c r="B26" s="9"/>
      <c r="AF26" s="5" t="s">
        <v>20</v>
      </c>
      <c r="AG26" s="35">
        <v>0.25204500000000002</v>
      </c>
      <c r="AH26" s="75">
        <v>0.52956849920000004</v>
      </c>
      <c r="AI26" s="75">
        <v>20.08146838</v>
      </c>
      <c r="AJ26" s="75">
        <v>95.008925899999994</v>
      </c>
      <c r="AK26" s="75">
        <v>407.14701289999999</v>
      </c>
      <c r="AL26" s="75">
        <v>1606.6501740000001</v>
      </c>
      <c r="AM26" s="75">
        <v>5755.4258950000003</v>
      </c>
      <c r="AN26" s="75">
        <v>18391.017759999999</v>
      </c>
      <c r="AO26" s="75">
        <v>51455.256939999999</v>
      </c>
      <c r="AP26" s="75">
        <v>123928.9241</v>
      </c>
      <c r="AQ26" s="75">
        <v>254184.7549</v>
      </c>
      <c r="AR26" s="75">
        <v>444845.74180000002</v>
      </c>
      <c r="AS26" s="75">
        <v>677853.68689999997</v>
      </c>
      <c r="AT26" s="75">
        <v>930608.7648</v>
      </c>
      <c r="AU26" s="75">
        <v>1188359.317</v>
      </c>
      <c r="AV26" s="75">
        <v>1444531.419</v>
      </c>
      <c r="AW26" s="75">
        <v>1696907.784</v>
      </c>
      <c r="AX26" s="75">
        <v>1944914.7390000001</v>
      </c>
      <c r="AY26" s="75">
        <v>2188489.5559999999</v>
      </c>
      <c r="AZ26" s="75">
        <v>2427775.3020000001</v>
      </c>
      <c r="BA26" s="75">
        <v>2663203.6519999998</v>
      </c>
      <c r="BB26" s="75">
        <v>2895914.0869999998</v>
      </c>
    </row>
    <row r="27" spans="1:56" x14ac:dyDescent="0.25">
      <c r="A27" s="10"/>
      <c r="B27" s="9"/>
      <c r="I27" s="11" t="s">
        <v>17</v>
      </c>
      <c r="J27" s="11">
        <f>J7</f>
        <v>20</v>
      </c>
      <c r="K27" s="11">
        <f t="shared" ref="K27:AD27" si="12">K7</f>
        <v>19</v>
      </c>
      <c r="L27" s="11">
        <f t="shared" si="12"/>
        <v>18</v>
      </c>
      <c r="M27" s="11">
        <f t="shared" si="12"/>
        <v>17</v>
      </c>
      <c r="N27" s="11">
        <f t="shared" si="12"/>
        <v>16</v>
      </c>
      <c r="O27" s="11">
        <f t="shared" si="12"/>
        <v>15</v>
      </c>
      <c r="P27" s="11">
        <f t="shared" si="12"/>
        <v>14</v>
      </c>
      <c r="Q27" s="11">
        <f t="shared" si="12"/>
        <v>13</v>
      </c>
      <c r="R27" s="11">
        <f t="shared" si="12"/>
        <v>12</v>
      </c>
      <c r="S27" s="11">
        <f t="shared" si="12"/>
        <v>11</v>
      </c>
      <c r="T27" s="11">
        <f t="shared" si="12"/>
        <v>10</v>
      </c>
      <c r="U27" s="11">
        <f t="shared" si="12"/>
        <v>9</v>
      </c>
      <c r="V27" s="11">
        <f t="shared" si="12"/>
        <v>8</v>
      </c>
      <c r="W27" s="11">
        <f t="shared" si="12"/>
        <v>7</v>
      </c>
      <c r="X27" s="11">
        <f t="shared" si="12"/>
        <v>6</v>
      </c>
      <c r="Y27" s="11">
        <f t="shared" si="12"/>
        <v>5</v>
      </c>
      <c r="Z27" s="11">
        <f t="shared" si="12"/>
        <v>4</v>
      </c>
      <c r="AA27" s="11">
        <f t="shared" si="12"/>
        <v>3</v>
      </c>
      <c r="AB27" s="11">
        <f t="shared" si="12"/>
        <v>2</v>
      </c>
      <c r="AC27" s="11">
        <f t="shared" si="12"/>
        <v>1</v>
      </c>
      <c r="AD27" s="11">
        <f t="shared" si="12"/>
        <v>0</v>
      </c>
      <c r="AF27" s="4"/>
      <c r="AG27" s="35">
        <v>0.218836</v>
      </c>
      <c r="AH27" s="76">
        <v>0.59934296610000004</v>
      </c>
      <c r="AI27" s="76">
        <v>22.381340300000002</v>
      </c>
      <c r="AJ27" s="76">
        <v>104.69604560000001</v>
      </c>
      <c r="AK27" s="76">
        <v>442.93271099999998</v>
      </c>
      <c r="AL27" s="76">
        <v>1724.1285539999999</v>
      </c>
      <c r="AM27" s="76">
        <v>6089.4933659999997</v>
      </c>
      <c r="AN27" s="76">
        <v>19186.510780000001</v>
      </c>
      <c r="AO27" s="76">
        <v>52975.91401</v>
      </c>
      <c r="AP27" s="76">
        <v>126142.0903</v>
      </c>
      <c r="AQ27" s="76">
        <v>256476.44039999999</v>
      </c>
      <c r="AR27" s="76">
        <v>446385.00089999998</v>
      </c>
      <c r="AS27" s="76">
        <v>678361.79610000004</v>
      </c>
      <c r="AT27" s="76">
        <v>930255.73860000004</v>
      </c>
      <c r="AU27" s="76">
        <v>1187339.703</v>
      </c>
      <c r="AV27" s="76">
        <v>1442908.503</v>
      </c>
      <c r="AW27" s="76">
        <v>1694648.882</v>
      </c>
      <c r="AX27" s="76">
        <v>1941947.5970000001</v>
      </c>
      <c r="AY27" s="76">
        <v>2184732.6779999998</v>
      </c>
      <c r="AZ27" s="76">
        <v>2423151.8730000001</v>
      </c>
      <c r="BA27" s="76">
        <v>2657652.1609999998</v>
      </c>
      <c r="BB27" s="76">
        <v>2889400.1129999999</v>
      </c>
    </row>
    <row r="28" spans="1:56" x14ac:dyDescent="0.25">
      <c r="A28" s="10"/>
      <c r="B28" s="9"/>
      <c r="G28" s="71"/>
      <c r="I28" s="7">
        <v>2</v>
      </c>
      <c r="J28" s="32">
        <f t="shared" ref="J28:J45" si="13">$F8/2*($J$2-$B$8*$J$2/$B$17)</f>
        <v>3.8569177349999823E-4</v>
      </c>
      <c r="K28" s="32">
        <f t="shared" ref="K28:AC41" si="14">$F8/2*($G8^2/($B$17^2)+K$2)</f>
        <v>2.8498902875678224E-2</v>
      </c>
      <c r="L28" s="32">
        <f t="shared" si="14"/>
        <v>2.8556183794178222E-2</v>
      </c>
      <c r="M28" s="32">
        <f t="shared" si="14"/>
        <v>2.861346471267822E-2</v>
      </c>
      <c r="N28" s="32">
        <f t="shared" si="14"/>
        <v>2.8670744672678224E-2</v>
      </c>
      <c r="O28" s="32">
        <f t="shared" si="14"/>
        <v>2.8728025591178222E-2</v>
      </c>
      <c r="P28" s="32">
        <f t="shared" si="14"/>
        <v>2.878530650967822E-2</v>
      </c>
      <c r="Q28" s="32">
        <f t="shared" si="14"/>
        <v>2.8842587428178221E-2</v>
      </c>
      <c r="R28" s="32">
        <f t="shared" si="14"/>
        <v>2.889986834667822E-2</v>
      </c>
      <c r="S28" s="32">
        <f t="shared" si="14"/>
        <v>2.8957149361028223E-2</v>
      </c>
      <c r="T28" s="32">
        <f t="shared" si="14"/>
        <v>2.9014430183678219E-2</v>
      </c>
      <c r="U28" s="32">
        <f t="shared" si="14"/>
        <v>2.9071711006328219E-2</v>
      </c>
      <c r="V28" s="32">
        <f t="shared" si="14"/>
        <v>2.9128992020678222E-2</v>
      </c>
      <c r="W28" s="32">
        <f t="shared" si="14"/>
        <v>2.9186272939178217E-2</v>
      </c>
      <c r="X28" s="32">
        <f t="shared" si="14"/>
        <v>2.9243553857678222E-2</v>
      </c>
      <c r="Y28" s="32">
        <f t="shared" si="14"/>
        <v>2.930083477617822E-2</v>
      </c>
      <c r="Z28" s="32">
        <f t="shared" si="14"/>
        <v>2.9358115694678218E-2</v>
      </c>
      <c r="AA28" s="32">
        <f t="shared" si="14"/>
        <v>2.9415395654678222E-2</v>
      </c>
      <c r="AB28" s="32">
        <f t="shared" si="14"/>
        <v>2.947267657317822E-2</v>
      </c>
      <c r="AC28" s="32">
        <f t="shared" si="14"/>
        <v>2.9529957491678218E-2</v>
      </c>
      <c r="AD28" s="32">
        <f t="shared" ref="AD28:AD45" si="15">$F8/2*(AD$2+$B$8*AD$2/$B$17)</f>
        <v>1.5313082264999929E-3</v>
      </c>
      <c r="AF28" s="4"/>
      <c r="AG28" s="35">
        <v>1.0000000000000001E-5</v>
      </c>
      <c r="AH28" s="76">
        <v>1.316553503</v>
      </c>
      <c r="AI28" s="76">
        <v>43.937478910000003</v>
      </c>
      <c r="AJ28" s="76">
        <v>190.21946120000001</v>
      </c>
      <c r="AK28" s="76">
        <v>739.06090410000002</v>
      </c>
      <c r="AL28" s="76">
        <v>2635.5548170000002</v>
      </c>
      <c r="AM28" s="76">
        <v>8525.9378149999993</v>
      </c>
      <c r="AN28" s="76">
        <v>24670.60699</v>
      </c>
      <c r="AO28" s="76">
        <v>62976.41504</v>
      </c>
      <c r="AP28" s="76">
        <v>140224.9253</v>
      </c>
      <c r="AQ28" s="76">
        <v>270896.0637</v>
      </c>
      <c r="AR28" s="76">
        <v>456266.3763</v>
      </c>
      <c r="AS28" s="76">
        <v>681830.05119999999</v>
      </c>
      <c r="AT28" s="76">
        <v>928106.5784</v>
      </c>
      <c r="AU28" s="76">
        <v>1180714.371</v>
      </c>
      <c r="AV28" s="76">
        <v>1432246.987</v>
      </c>
      <c r="AW28" s="76">
        <v>1679790.6340000001</v>
      </c>
      <c r="AX28" s="76">
        <v>1922455.027</v>
      </c>
      <c r="AY28" s="76">
        <v>2160093.9</v>
      </c>
      <c r="AZ28" s="76">
        <v>2392882.2250000001</v>
      </c>
      <c r="BA28" s="76">
        <v>2621367.1869999999</v>
      </c>
      <c r="BB28" s="76">
        <v>2846887.72</v>
      </c>
    </row>
    <row r="29" spans="1:56" x14ac:dyDescent="0.25">
      <c r="G29" s="71"/>
      <c r="I29" s="7">
        <v>3</v>
      </c>
      <c r="J29" s="32">
        <f t="shared" si="13"/>
        <v>1.5435718760000027E-3</v>
      </c>
      <c r="K29" s="32">
        <f t="shared" si="14"/>
        <v>0.11405507713208383</v>
      </c>
      <c r="L29" s="32">
        <f t="shared" si="14"/>
        <v>0.11428432032808383</v>
      </c>
      <c r="M29" s="32">
        <f t="shared" si="14"/>
        <v>0.11451356352408383</v>
      </c>
      <c r="N29" s="32">
        <f t="shared" si="14"/>
        <v>0.11474280288408384</v>
      </c>
      <c r="O29" s="32">
        <f t="shared" si="14"/>
        <v>0.11497204608008384</v>
      </c>
      <c r="P29" s="32">
        <f t="shared" si="14"/>
        <v>0.11520128927608383</v>
      </c>
      <c r="Q29" s="32">
        <f t="shared" si="14"/>
        <v>0.11543053247208383</v>
      </c>
      <c r="R29" s="32">
        <f t="shared" si="14"/>
        <v>0.11565977566808383</v>
      </c>
      <c r="S29" s="32">
        <f t="shared" si="14"/>
        <v>0.11588901924768384</v>
      </c>
      <c r="T29" s="32">
        <f t="shared" si="14"/>
        <v>0.11611826206008384</v>
      </c>
      <c r="U29" s="32">
        <f t="shared" si="14"/>
        <v>0.11634750487248383</v>
      </c>
      <c r="V29" s="32">
        <f t="shared" si="14"/>
        <v>0.11657674845208384</v>
      </c>
      <c r="W29" s="32">
        <f t="shared" si="14"/>
        <v>0.11680599164808383</v>
      </c>
      <c r="X29" s="32">
        <f t="shared" si="14"/>
        <v>0.11703523484408385</v>
      </c>
      <c r="Y29" s="32">
        <f t="shared" si="14"/>
        <v>0.11726447804008383</v>
      </c>
      <c r="Z29" s="32">
        <f t="shared" si="14"/>
        <v>0.11749372123608383</v>
      </c>
      <c r="AA29" s="32">
        <f t="shared" si="14"/>
        <v>0.11772296059608385</v>
      </c>
      <c r="AB29" s="32">
        <f t="shared" si="14"/>
        <v>0.11795220379208383</v>
      </c>
      <c r="AC29" s="32">
        <f t="shared" si="14"/>
        <v>0.11818144698808383</v>
      </c>
      <c r="AD29" s="32">
        <f t="shared" si="15"/>
        <v>6.1284281240000099E-3</v>
      </c>
      <c r="AF29" s="4"/>
      <c r="AG29" s="35"/>
      <c r="AH29" s="76">
        <v>1.316553503</v>
      </c>
      <c r="AI29" s="76">
        <v>43.937478910000003</v>
      </c>
      <c r="AJ29" s="76">
        <v>190.21946120000001</v>
      </c>
      <c r="AK29" s="76">
        <v>739.06090410000002</v>
      </c>
      <c r="AL29" s="76">
        <v>2635.5548170000002</v>
      </c>
      <c r="AM29" s="76">
        <v>8525.9378149999993</v>
      </c>
      <c r="AN29" s="76">
        <v>24670.60699</v>
      </c>
      <c r="AO29" s="76">
        <v>62976.41504</v>
      </c>
      <c r="AP29" s="76">
        <v>140224.9253</v>
      </c>
      <c r="AQ29" s="76">
        <v>270896.0637</v>
      </c>
      <c r="AR29" s="76">
        <v>456266.3763</v>
      </c>
      <c r="AS29" s="76">
        <v>681830.05119999999</v>
      </c>
      <c r="AT29" s="76">
        <v>928106.5784</v>
      </c>
      <c r="AU29" s="76">
        <v>1180714.371</v>
      </c>
      <c r="AV29" s="76">
        <v>1432246.987</v>
      </c>
      <c r="AW29" s="76">
        <v>1679790.6340000001</v>
      </c>
      <c r="AX29" s="76">
        <v>1922455.027</v>
      </c>
      <c r="AY29" s="76">
        <v>2160093.9</v>
      </c>
      <c r="AZ29" s="76">
        <v>2392882.2250000001</v>
      </c>
      <c r="BA29" s="76">
        <v>2621367.1869999999</v>
      </c>
      <c r="BB29" s="76">
        <v>2846887.72</v>
      </c>
    </row>
    <row r="30" spans="1:56" x14ac:dyDescent="0.25">
      <c r="A30" s="41"/>
      <c r="E30" s="42"/>
      <c r="G30" s="71"/>
      <c r="I30" s="7">
        <v>4</v>
      </c>
      <c r="J30" s="32">
        <f t="shared" si="13"/>
        <v>1.5433706805000015E-3</v>
      </c>
      <c r="K30" s="32">
        <f t="shared" si="14"/>
        <v>0.11404021072474119</v>
      </c>
      <c r="L30" s="32">
        <f t="shared" si="14"/>
        <v>0.11426942404024118</v>
      </c>
      <c r="M30" s="32">
        <f t="shared" si="14"/>
        <v>0.11449863735574117</v>
      </c>
      <c r="N30" s="32">
        <f t="shared" si="14"/>
        <v>0.11472784683574119</v>
      </c>
      <c r="O30" s="32">
        <f t="shared" si="14"/>
        <v>0.11495706015124119</v>
      </c>
      <c r="P30" s="32">
        <f t="shared" si="14"/>
        <v>0.11518627346674118</v>
      </c>
      <c r="Q30" s="32">
        <f t="shared" si="14"/>
        <v>0.11541548678224119</v>
      </c>
      <c r="R30" s="32">
        <f t="shared" si="14"/>
        <v>0.11564470009774118</v>
      </c>
      <c r="S30" s="32">
        <f t="shared" si="14"/>
        <v>0.11587391379679118</v>
      </c>
      <c r="T30" s="32">
        <f t="shared" si="14"/>
        <v>0.11610312672874118</v>
      </c>
      <c r="U30" s="32">
        <f t="shared" si="14"/>
        <v>0.11633233966069118</v>
      </c>
      <c r="V30" s="32">
        <f t="shared" si="14"/>
        <v>0.11656155335974118</v>
      </c>
      <c r="W30" s="32">
        <f t="shared" si="14"/>
        <v>0.11679076667524117</v>
      </c>
      <c r="X30" s="32">
        <f t="shared" si="14"/>
        <v>0.11701997999074119</v>
      </c>
      <c r="Y30" s="32">
        <f t="shared" si="14"/>
        <v>0.11724919330624119</v>
      </c>
      <c r="Z30" s="32">
        <f t="shared" si="14"/>
        <v>0.11747840662174118</v>
      </c>
      <c r="AA30" s="32">
        <f t="shared" si="14"/>
        <v>0.11770761610174119</v>
      </c>
      <c r="AB30" s="32">
        <f t="shared" si="14"/>
        <v>0.11793682941724118</v>
      </c>
      <c r="AC30" s="32">
        <f t="shared" si="14"/>
        <v>0.11816604273274117</v>
      </c>
      <c r="AD30" s="32">
        <f t="shared" si="15"/>
        <v>6.1276293195000045E-3</v>
      </c>
      <c r="AF30" s="4"/>
      <c r="AG30" s="35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</row>
    <row r="31" spans="1:56" x14ac:dyDescent="0.25">
      <c r="A31" s="1">
        <v>2</v>
      </c>
      <c r="B31" s="42" t="s">
        <v>24</v>
      </c>
      <c r="E31" s="42"/>
      <c r="G31" s="71"/>
      <c r="I31" s="7">
        <v>5</v>
      </c>
      <c r="J31" s="32">
        <f t="shared" si="13"/>
        <v>1.5433706804999969E-3</v>
      </c>
      <c r="K31" s="32">
        <f t="shared" si="14"/>
        <v>0.11404021072474085</v>
      </c>
      <c r="L31" s="32">
        <f t="shared" si="14"/>
        <v>0.11426942404024085</v>
      </c>
      <c r="M31" s="32">
        <f t="shared" si="14"/>
        <v>0.11449863735574084</v>
      </c>
      <c r="N31" s="32">
        <f t="shared" si="14"/>
        <v>0.11472784683574086</v>
      </c>
      <c r="O31" s="32">
        <f t="shared" si="14"/>
        <v>0.11495706015124085</v>
      </c>
      <c r="P31" s="32">
        <f t="shared" si="14"/>
        <v>0.11518627346674085</v>
      </c>
      <c r="Q31" s="32">
        <f t="shared" si="14"/>
        <v>0.11541548678224085</v>
      </c>
      <c r="R31" s="32">
        <f t="shared" si="14"/>
        <v>0.11564470009774085</v>
      </c>
      <c r="S31" s="32">
        <f t="shared" si="14"/>
        <v>0.11587391379679085</v>
      </c>
      <c r="T31" s="32">
        <f t="shared" si="14"/>
        <v>0.11610312672874085</v>
      </c>
      <c r="U31" s="32">
        <f t="shared" si="14"/>
        <v>0.11633233966069084</v>
      </c>
      <c r="V31" s="32">
        <f t="shared" si="14"/>
        <v>0.11656155335974085</v>
      </c>
      <c r="W31" s="32">
        <f t="shared" si="14"/>
        <v>0.11679076667524084</v>
      </c>
      <c r="X31" s="32">
        <f t="shared" si="14"/>
        <v>0.11701997999074085</v>
      </c>
      <c r="Y31" s="32">
        <f t="shared" si="14"/>
        <v>0.11724919330624084</v>
      </c>
      <c r="Z31" s="32">
        <f t="shared" si="14"/>
        <v>0.11747840662174083</v>
      </c>
      <c r="AA31" s="32">
        <f t="shared" si="14"/>
        <v>0.11770761610174085</v>
      </c>
      <c r="AB31" s="32">
        <f t="shared" si="14"/>
        <v>0.11793682941724085</v>
      </c>
      <c r="AC31" s="32">
        <f t="shared" si="14"/>
        <v>0.11816604273274084</v>
      </c>
      <c r="AD31" s="32">
        <f t="shared" si="15"/>
        <v>6.1276293194999871E-3</v>
      </c>
      <c r="AF31" s="4"/>
      <c r="AG31" s="35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D31" s="42"/>
    </row>
    <row r="32" spans="1:56" x14ac:dyDescent="0.25">
      <c r="A32" s="1">
        <v>3</v>
      </c>
      <c r="B32" s="42" t="s">
        <v>25</v>
      </c>
      <c r="E32" s="42"/>
      <c r="I32" s="7">
        <v>6</v>
      </c>
      <c r="J32" s="32">
        <f t="shared" si="13"/>
        <v>3.8589296900000403E-4</v>
      </c>
      <c r="K32" s="32">
        <f t="shared" si="14"/>
        <v>2.8513769283021208E-2</v>
      </c>
      <c r="L32" s="32">
        <f t="shared" si="14"/>
        <v>2.8571080082021204E-2</v>
      </c>
      <c r="M32" s="32">
        <f t="shared" si="14"/>
        <v>2.8628390881021204E-2</v>
      </c>
      <c r="N32" s="32">
        <f t="shared" si="14"/>
        <v>2.8685700721021209E-2</v>
      </c>
      <c r="O32" s="32">
        <f t="shared" si="14"/>
        <v>2.8743011520021209E-2</v>
      </c>
      <c r="P32" s="32">
        <f t="shared" si="14"/>
        <v>2.8800322319021208E-2</v>
      </c>
      <c r="Q32" s="32">
        <f t="shared" si="14"/>
        <v>2.8857633118021211E-2</v>
      </c>
      <c r="R32" s="32">
        <f t="shared" si="14"/>
        <v>2.8914943917021207E-2</v>
      </c>
      <c r="S32" s="32">
        <f t="shared" si="14"/>
        <v>2.897225481192121E-2</v>
      </c>
      <c r="T32" s="32">
        <f t="shared" si="14"/>
        <v>2.902956551502121E-2</v>
      </c>
      <c r="U32" s="32">
        <f t="shared" si="14"/>
        <v>2.908687621812121E-2</v>
      </c>
      <c r="V32" s="32">
        <f t="shared" si="14"/>
        <v>2.9144187113021212E-2</v>
      </c>
      <c r="W32" s="32">
        <f t="shared" si="14"/>
        <v>2.9201497912021212E-2</v>
      </c>
      <c r="X32" s="32">
        <f t="shared" si="14"/>
        <v>2.9258808711021215E-2</v>
      </c>
      <c r="Y32" s="32">
        <f t="shared" si="14"/>
        <v>2.9316119510021214E-2</v>
      </c>
      <c r="Z32" s="32">
        <f t="shared" si="14"/>
        <v>2.9373430309021214E-2</v>
      </c>
      <c r="AA32" s="32">
        <f t="shared" si="14"/>
        <v>2.9430740149021216E-2</v>
      </c>
      <c r="AB32" s="32">
        <f t="shared" si="14"/>
        <v>2.9488050948021215E-2</v>
      </c>
      <c r="AC32" s="32">
        <f t="shared" si="14"/>
        <v>2.9545361747021215E-2</v>
      </c>
      <c r="AD32" s="32">
        <f t="shared" si="15"/>
        <v>1.5321070310000159E-3</v>
      </c>
      <c r="AF32" s="4"/>
      <c r="AG32" s="35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D32" s="42"/>
    </row>
    <row r="33" spans="1:56" x14ac:dyDescent="0.25">
      <c r="A33" s="1">
        <v>4</v>
      </c>
      <c r="B33" s="42" t="s">
        <v>25</v>
      </c>
      <c r="E33" s="43"/>
      <c r="I33" s="7">
        <v>7</v>
      </c>
      <c r="J33" s="32">
        <f t="shared" si="13"/>
        <v>1.5433706804999969E-3</v>
      </c>
      <c r="K33" s="32">
        <f t="shared" si="14"/>
        <v>8.2151119152235275E-2</v>
      </c>
      <c r="L33" s="32">
        <f t="shared" si="14"/>
        <v>8.2380332467735268E-2</v>
      </c>
      <c r="M33" s="32">
        <f t="shared" si="14"/>
        <v>8.2609545783235261E-2</v>
      </c>
      <c r="N33" s="32">
        <f t="shared" si="14"/>
        <v>8.2838755263235267E-2</v>
      </c>
      <c r="O33" s="32">
        <f t="shared" si="14"/>
        <v>8.306796857873526E-2</v>
      </c>
      <c r="P33" s="32">
        <f t="shared" si="14"/>
        <v>8.3297181894235253E-2</v>
      </c>
      <c r="Q33" s="32">
        <f t="shared" si="14"/>
        <v>8.3526395209735274E-2</v>
      </c>
      <c r="R33" s="32">
        <f t="shared" si="14"/>
        <v>8.3755608525235267E-2</v>
      </c>
      <c r="S33" s="32">
        <f t="shared" si="14"/>
        <v>8.3984822224285272E-2</v>
      </c>
      <c r="T33" s="32">
        <f t="shared" si="14"/>
        <v>8.4214035156235267E-2</v>
      </c>
      <c r="U33" s="32">
        <f t="shared" si="14"/>
        <v>8.4443248088185263E-2</v>
      </c>
      <c r="V33" s="32">
        <f t="shared" si="14"/>
        <v>8.4672461787235268E-2</v>
      </c>
      <c r="W33" s="32">
        <f t="shared" si="14"/>
        <v>8.4901675102735261E-2</v>
      </c>
      <c r="X33" s="32">
        <f t="shared" si="14"/>
        <v>8.5130888418235268E-2</v>
      </c>
      <c r="Y33" s="32">
        <f t="shared" si="14"/>
        <v>8.5360101733735261E-2</v>
      </c>
      <c r="Z33" s="32">
        <f t="shared" si="14"/>
        <v>8.5589315049235254E-2</v>
      </c>
      <c r="AA33" s="32">
        <f t="shared" si="14"/>
        <v>8.5818524529235274E-2</v>
      </c>
      <c r="AB33" s="32">
        <f t="shared" si="14"/>
        <v>8.6047737844735267E-2</v>
      </c>
      <c r="AC33" s="32">
        <f t="shared" si="14"/>
        <v>8.6276951160235246E-2</v>
      </c>
      <c r="AD33" s="32">
        <f t="shared" si="15"/>
        <v>6.1276293194999871E-3</v>
      </c>
      <c r="AF33" s="4"/>
      <c r="AG33" s="35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D33" s="42"/>
    </row>
    <row r="34" spans="1:56" ht="15.75" thickBot="1" x14ac:dyDescent="0.3">
      <c r="A34" s="1">
        <v>5</v>
      </c>
      <c r="B34" s="42" t="s">
        <v>25</v>
      </c>
      <c r="C34" s="72"/>
      <c r="F34" s="31"/>
      <c r="G34" s="49"/>
      <c r="H34" s="31"/>
      <c r="I34" s="7">
        <v>8</v>
      </c>
      <c r="J34" s="32">
        <f t="shared" si="13"/>
        <v>1.5433706805000015E-3</v>
      </c>
      <c r="K34" s="32">
        <f t="shared" si="14"/>
        <v>8.2151119152235511E-2</v>
      </c>
      <c r="L34" s="32">
        <f t="shared" si="14"/>
        <v>8.2380332467735504E-2</v>
      </c>
      <c r="M34" s="32">
        <f t="shared" si="14"/>
        <v>8.2609545783235497E-2</v>
      </c>
      <c r="N34" s="32">
        <f t="shared" si="14"/>
        <v>8.2838755263235517E-2</v>
      </c>
      <c r="O34" s="32">
        <f t="shared" si="14"/>
        <v>8.306796857873551E-2</v>
      </c>
      <c r="P34" s="32">
        <f t="shared" si="14"/>
        <v>8.3297181894235503E-2</v>
      </c>
      <c r="Q34" s="32">
        <f t="shared" si="14"/>
        <v>8.352639520973551E-2</v>
      </c>
      <c r="R34" s="32">
        <f t="shared" si="14"/>
        <v>8.3755608525235503E-2</v>
      </c>
      <c r="S34" s="32">
        <f t="shared" si="14"/>
        <v>8.3984822224285507E-2</v>
      </c>
      <c r="T34" s="32">
        <f t="shared" si="14"/>
        <v>8.4214035156235503E-2</v>
      </c>
      <c r="U34" s="32">
        <f t="shared" si="14"/>
        <v>8.4443248088185499E-2</v>
      </c>
      <c r="V34" s="32">
        <f t="shared" si="14"/>
        <v>8.4672461787235503E-2</v>
      </c>
      <c r="W34" s="32">
        <f t="shared" si="14"/>
        <v>8.4901675102735497E-2</v>
      </c>
      <c r="X34" s="32">
        <f t="shared" si="14"/>
        <v>8.5130888418235517E-2</v>
      </c>
      <c r="Y34" s="32">
        <f t="shared" si="14"/>
        <v>8.5360101733735511E-2</v>
      </c>
      <c r="Z34" s="32">
        <f t="shared" si="14"/>
        <v>8.5589315049235504E-2</v>
      </c>
      <c r="AA34" s="32">
        <f t="shared" si="14"/>
        <v>8.581852452923551E-2</v>
      </c>
      <c r="AB34" s="32">
        <f t="shared" si="14"/>
        <v>8.6047737844735503E-2</v>
      </c>
      <c r="AC34" s="32">
        <f t="shared" si="14"/>
        <v>8.6276951160235496E-2</v>
      </c>
      <c r="AD34" s="32">
        <f t="shared" si="15"/>
        <v>6.1276293195000045E-3</v>
      </c>
      <c r="BD34" s="42"/>
    </row>
    <row r="35" spans="1:56" ht="15.75" thickBot="1" x14ac:dyDescent="0.3">
      <c r="A35" s="1">
        <v>6</v>
      </c>
      <c r="B35" s="42" t="s">
        <v>24</v>
      </c>
      <c r="E35" s="44"/>
      <c r="I35" s="7">
        <v>9</v>
      </c>
      <c r="J35" s="32">
        <f t="shared" si="13"/>
        <v>1.5435718759999983E-3</v>
      </c>
      <c r="K35" s="32">
        <f t="shared" si="14"/>
        <v>8.2161828462514602E-2</v>
      </c>
      <c r="L35" s="32">
        <f t="shared" si="14"/>
        <v>8.23910716585146E-2</v>
      </c>
      <c r="M35" s="32">
        <f t="shared" si="14"/>
        <v>8.2620314854514598E-2</v>
      </c>
      <c r="N35" s="32">
        <f t="shared" si="14"/>
        <v>8.2849554214514606E-2</v>
      </c>
      <c r="O35" s="32">
        <f t="shared" si="14"/>
        <v>8.3078797410514604E-2</v>
      </c>
      <c r="P35" s="32">
        <f t="shared" si="14"/>
        <v>8.3308040606514588E-2</v>
      </c>
      <c r="Q35" s="32">
        <f t="shared" si="14"/>
        <v>8.35372838025146E-2</v>
      </c>
      <c r="R35" s="32">
        <f t="shared" si="14"/>
        <v>8.3766526998514598E-2</v>
      </c>
      <c r="S35" s="32">
        <f t="shared" si="14"/>
        <v>8.3995770578114609E-2</v>
      </c>
      <c r="T35" s="32">
        <f t="shared" si="14"/>
        <v>8.4225013390514594E-2</v>
      </c>
      <c r="U35" s="32">
        <f t="shared" si="14"/>
        <v>8.4454256202914593E-2</v>
      </c>
      <c r="V35" s="32">
        <f t="shared" si="14"/>
        <v>8.4683499782514604E-2</v>
      </c>
      <c r="W35" s="32">
        <f t="shared" si="14"/>
        <v>8.4912742978514588E-2</v>
      </c>
      <c r="X35" s="32">
        <f t="shared" si="14"/>
        <v>8.51419861745146E-2</v>
      </c>
      <c r="Y35" s="32">
        <f t="shared" si="14"/>
        <v>8.5371229370514598E-2</v>
      </c>
      <c r="Z35" s="32">
        <f t="shared" si="14"/>
        <v>8.5600472566514596E-2</v>
      </c>
      <c r="AA35" s="32">
        <f t="shared" si="14"/>
        <v>8.5829711926514604E-2</v>
      </c>
      <c r="AB35" s="32">
        <f t="shared" si="14"/>
        <v>8.6058955122514602E-2</v>
      </c>
      <c r="AC35" s="32">
        <f t="shared" si="14"/>
        <v>8.6288198318514586E-2</v>
      </c>
      <c r="AD35" s="32">
        <f t="shared" si="15"/>
        <v>6.1284281239999926E-3</v>
      </c>
      <c r="AG35" s="11"/>
      <c r="AH35" s="25">
        <f t="shared" ref="AH35:BB36" si="16">AH1</f>
        <v>-5.9760899999999999E-2</v>
      </c>
      <c r="AI35" s="25">
        <f t="shared" si="16"/>
        <v>-5.3784800000000001E-2</v>
      </c>
      <c r="AJ35" s="25">
        <f t="shared" si="16"/>
        <v>-4.7808700000000003E-2</v>
      </c>
      <c r="AK35" s="25">
        <f t="shared" si="16"/>
        <v>-4.1832599999999998E-2</v>
      </c>
      <c r="AL35" s="25">
        <f t="shared" si="16"/>
        <v>-3.5856600000000002E-2</v>
      </c>
      <c r="AM35" s="25">
        <f t="shared" si="16"/>
        <v>-2.9880500000000001E-2</v>
      </c>
      <c r="AN35" s="25">
        <f t="shared" si="16"/>
        <v>-2.3904399999999999E-2</v>
      </c>
      <c r="AO35" s="25">
        <f t="shared" si="16"/>
        <v>-1.7928300000000001E-2</v>
      </c>
      <c r="AP35" s="25">
        <f t="shared" si="16"/>
        <v>-1.19522E-2</v>
      </c>
      <c r="AQ35" s="25">
        <f t="shared" si="16"/>
        <v>-5.9760899999999999E-3</v>
      </c>
      <c r="AR35" s="25">
        <f t="shared" si="16"/>
        <v>-8.6736199999999993E-18</v>
      </c>
      <c r="AS35" s="25">
        <f t="shared" si="16"/>
        <v>5.9760899999999999E-3</v>
      </c>
      <c r="AT35" s="25">
        <f t="shared" si="16"/>
        <v>1.19522E-2</v>
      </c>
      <c r="AU35" s="25">
        <f t="shared" si="16"/>
        <v>1.7928300000000001E-2</v>
      </c>
      <c r="AV35" s="25">
        <f t="shared" si="16"/>
        <v>2.3904399999999999E-2</v>
      </c>
      <c r="AW35" s="25">
        <f t="shared" si="16"/>
        <v>2.9880500000000001E-2</v>
      </c>
      <c r="AX35" s="25">
        <f t="shared" si="16"/>
        <v>3.5856600000000002E-2</v>
      </c>
      <c r="AY35" s="25">
        <f t="shared" si="16"/>
        <v>4.1832599999999998E-2</v>
      </c>
      <c r="AZ35" s="25">
        <f t="shared" si="16"/>
        <v>4.7808700000000003E-2</v>
      </c>
      <c r="BA35" s="25">
        <f t="shared" si="16"/>
        <v>5.3784800000000001E-2</v>
      </c>
      <c r="BB35" s="77">
        <f t="shared" si="16"/>
        <v>5.9760899999999999E-2</v>
      </c>
      <c r="BC35" s="78">
        <f>$B$2</f>
        <v>24</v>
      </c>
      <c r="BD35" s="42"/>
    </row>
    <row r="36" spans="1:56" x14ac:dyDescent="0.25">
      <c r="A36" s="1">
        <v>7</v>
      </c>
      <c r="B36" s="42" t="s">
        <v>25</v>
      </c>
      <c r="I36" s="7">
        <v>10</v>
      </c>
      <c r="J36" s="32">
        <f t="shared" si="13"/>
        <v>6.681702555000038E-4</v>
      </c>
      <c r="K36" s="32">
        <f t="shared" si="14"/>
        <v>3.5565619437436503E-2</v>
      </c>
      <c r="L36" s="32">
        <f t="shared" si="14"/>
        <v>3.5664852577936501E-2</v>
      </c>
      <c r="M36" s="32">
        <f t="shared" si="14"/>
        <v>3.5764085718436499E-2</v>
      </c>
      <c r="N36" s="32">
        <f t="shared" si="14"/>
        <v>3.5863317198436509E-2</v>
      </c>
      <c r="O36" s="32">
        <f t="shared" si="14"/>
        <v>3.5962550338936507E-2</v>
      </c>
      <c r="P36" s="32">
        <f t="shared" si="14"/>
        <v>3.6061783479436504E-2</v>
      </c>
      <c r="Q36" s="32">
        <f t="shared" si="14"/>
        <v>3.6161016619936509E-2</v>
      </c>
      <c r="R36" s="32">
        <f t="shared" si="14"/>
        <v>3.6260249760436507E-2</v>
      </c>
      <c r="S36" s="32">
        <f t="shared" si="14"/>
        <v>3.6359483066986512E-2</v>
      </c>
      <c r="T36" s="32">
        <f t="shared" si="14"/>
        <v>3.6458716041436509E-2</v>
      </c>
      <c r="U36" s="32">
        <f t="shared" si="14"/>
        <v>3.6557949015886507E-2</v>
      </c>
      <c r="V36" s="32">
        <f t="shared" si="14"/>
        <v>3.6657182322436511E-2</v>
      </c>
      <c r="W36" s="32">
        <f t="shared" si="14"/>
        <v>3.6756415462936509E-2</v>
      </c>
      <c r="X36" s="32">
        <f t="shared" si="14"/>
        <v>3.6855648603436514E-2</v>
      </c>
      <c r="Y36" s="32">
        <f t="shared" si="14"/>
        <v>3.6954881743936512E-2</v>
      </c>
      <c r="Z36" s="32">
        <f t="shared" si="14"/>
        <v>3.7054114884436509E-2</v>
      </c>
      <c r="AA36" s="32">
        <f t="shared" si="14"/>
        <v>3.7153346364436519E-2</v>
      </c>
      <c r="AB36" s="32">
        <f t="shared" si="14"/>
        <v>3.7252579504936517E-2</v>
      </c>
      <c r="AC36" s="32">
        <f t="shared" si="14"/>
        <v>3.7351812645436515E-2</v>
      </c>
      <c r="AD36" s="32">
        <f t="shared" si="15"/>
        <v>2.6528297445000148E-3</v>
      </c>
      <c r="AF36" s="5" t="s">
        <v>20</v>
      </c>
      <c r="AG36" s="35">
        <v>1.75068</v>
      </c>
      <c r="AH36" s="75">
        <f t="shared" si="16"/>
        <v>0</v>
      </c>
      <c r="AI36" s="75">
        <f t="shared" si="16"/>
        <v>0</v>
      </c>
      <c r="AJ36" s="75">
        <f t="shared" si="16"/>
        <v>0</v>
      </c>
      <c r="AK36" s="75">
        <f t="shared" si="16"/>
        <v>0</v>
      </c>
      <c r="AL36" s="75">
        <f t="shared" si="16"/>
        <v>0</v>
      </c>
      <c r="AM36" s="75">
        <f t="shared" si="16"/>
        <v>0</v>
      </c>
      <c r="AN36" s="75">
        <f t="shared" si="16"/>
        <v>0</v>
      </c>
      <c r="AO36" s="75">
        <f t="shared" si="16"/>
        <v>0</v>
      </c>
      <c r="AP36" s="75">
        <f t="shared" si="16"/>
        <v>0</v>
      </c>
      <c r="AQ36" s="75">
        <f t="shared" si="16"/>
        <v>0</v>
      </c>
      <c r="AR36" s="75">
        <f t="shared" si="16"/>
        <v>0</v>
      </c>
      <c r="AS36" s="75">
        <f t="shared" si="16"/>
        <v>0</v>
      </c>
      <c r="AT36" s="75">
        <f t="shared" si="16"/>
        <v>0</v>
      </c>
      <c r="AU36" s="75">
        <f t="shared" si="16"/>
        <v>0</v>
      </c>
      <c r="AV36" s="75">
        <f t="shared" si="16"/>
        <v>0</v>
      </c>
      <c r="AW36" s="75">
        <f t="shared" si="16"/>
        <v>0</v>
      </c>
      <c r="AX36" s="75">
        <f t="shared" si="16"/>
        <v>0</v>
      </c>
      <c r="AY36" s="75">
        <f t="shared" si="16"/>
        <v>0</v>
      </c>
      <c r="AZ36" s="75">
        <f t="shared" si="16"/>
        <v>0</v>
      </c>
      <c r="BA36" s="75">
        <f t="shared" si="16"/>
        <v>0</v>
      </c>
      <c r="BB36" s="75">
        <f t="shared" si="16"/>
        <v>0</v>
      </c>
      <c r="BD36" s="42"/>
    </row>
    <row r="37" spans="1:56" x14ac:dyDescent="0.25">
      <c r="A37" s="1">
        <v>8</v>
      </c>
      <c r="B37" s="42" t="s">
        <v>25</v>
      </c>
      <c r="I37" s="7">
        <v>11</v>
      </c>
      <c r="J37" s="32">
        <f t="shared" si="13"/>
        <v>4.4029623219999994E-3</v>
      </c>
      <c r="K37" s="32">
        <f t="shared" si="14"/>
        <v>0.23436254615141702</v>
      </c>
      <c r="L37" s="32">
        <f t="shared" si="14"/>
        <v>0.235016451013417</v>
      </c>
      <c r="M37" s="32">
        <f t="shared" si="14"/>
        <v>0.23567035587541699</v>
      </c>
      <c r="N37" s="32">
        <f t="shared" si="14"/>
        <v>0.23632424979541702</v>
      </c>
      <c r="O37" s="32">
        <f t="shared" si="14"/>
        <v>0.23697815465741701</v>
      </c>
      <c r="P37" s="32">
        <f t="shared" si="14"/>
        <v>0.23763205951941699</v>
      </c>
      <c r="Q37" s="32">
        <f t="shared" si="14"/>
        <v>0.23828596438141703</v>
      </c>
      <c r="R37" s="32">
        <f t="shared" si="14"/>
        <v>0.23893986924341701</v>
      </c>
      <c r="S37" s="32">
        <f t="shared" si="14"/>
        <v>0.23959377519961703</v>
      </c>
      <c r="T37" s="32">
        <f t="shared" si="14"/>
        <v>0.240247678967417</v>
      </c>
      <c r="U37" s="32">
        <f t="shared" si="14"/>
        <v>0.240901582735217</v>
      </c>
      <c r="V37" s="32">
        <f t="shared" si="14"/>
        <v>0.24155548869141702</v>
      </c>
      <c r="W37" s="32">
        <f t="shared" si="14"/>
        <v>0.242209393553417</v>
      </c>
      <c r="X37" s="32">
        <f t="shared" si="14"/>
        <v>0.24286329841541701</v>
      </c>
      <c r="Y37" s="32">
        <f t="shared" si="14"/>
        <v>0.24351720327741699</v>
      </c>
      <c r="Z37" s="32">
        <f t="shared" si="14"/>
        <v>0.24417110813941698</v>
      </c>
      <c r="AA37" s="32">
        <f t="shared" si="14"/>
        <v>0.24482500205941701</v>
      </c>
      <c r="AB37" s="32">
        <f t="shared" si="14"/>
        <v>0.24547890692141699</v>
      </c>
      <c r="AC37" s="32">
        <f t="shared" si="14"/>
        <v>0.24613281178341698</v>
      </c>
      <c r="AD37" s="32">
        <f t="shared" si="15"/>
        <v>1.7481037677999994E-2</v>
      </c>
      <c r="AF37" s="4"/>
      <c r="AG37" s="35">
        <v>1.7315100000000001</v>
      </c>
      <c r="AH37" s="76">
        <f t="array" aca="1" ref="AH37:BB37" ca="1">TRANSPOSE(MMULT(OFFSET($J$238:$AD$258,0,BC37),TRANSPOSE(AH36:BB36)))</f>
        <v>0</v>
      </c>
      <c r="AI37" s="76">
        <f ca="1"/>
        <v>0</v>
      </c>
      <c r="AJ37" s="76">
        <f ca="1"/>
        <v>0</v>
      </c>
      <c r="AK37" s="76">
        <f ca="1"/>
        <v>0</v>
      </c>
      <c r="AL37" s="76">
        <f ca="1"/>
        <v>0</v>
      </c>
      <c r="AM37" s="76">
        <f ca="1"/>
        <v>0</v>
      </c>
      <c r="AN37" s="76">
        <f ca="1"/>
        <v>0</v>
      </c>
      <c r="AO37" s="76">
        <f ca="1"/>
        <v>0</v>
      </c>
      <c r="AP37" s="76">
        <f ca="1"/>
        <v>0</v>
      </c>
      <c r="AQ37" s="76">
        <f ca="1"/>
        <v>0</v>
      </c>
      <c r="AR37" s="76">
        <f ca="1"/>
        <v>0</v>
      </c>
      <c r="AS37" s="76">
        <f ca="1"/>
        <v>0</v>
      </c>
      <c r="AT37" s="76">
        <f ca="1"/>
        <v>0</v>
      </c>
      <c r="AU37" s="76">
        <f ca="1"/>
        <v>0</v>
      </c>
      <c r="AV37" s="76">
        <f ca="1"/>
        <v>0</v>
      </c>
      <c r="AW37" s="76">
        <f ca="1"/>
        <v>0</v>
      </c>
      <c r="AX37" s="76">
        <f ca="1"/>
        <v>0</v>
      </c>
      <c r="AY37" s="76">
        <f ca="1"/>
        <v>0</v>
      </c>
      <c r="AZ37" s="76">
        <f ca="1"/>
        <v>0</v>
      </c>
      <c r="BA37" s="76">
        <f ca="1"/>
        <v>0</v>
      </c>
      <c r="BB37" s="76">
        <f ca="1"/>
        <v>0</v>
      </c>
      <c r="BC37" s="34">
        <f t="shared" ref="BC37:BC67" si="17">IF(BC36="",0,IF(AF37="Ignore",BC36,BC36+$BC$35))</f>
        <v>0</v>
      </c>
      <c r="BD37" s="42"/>
    </row>
    <row r="38" spans="1:56" x14ac:dyDescent="0.25">
      <c r="A38" s="1">
        <v>9</v>
      </c>
      <c r="B38" s="42" t="s">
        <v>25</v>
      </c>
      <c r="I38" s="7">
        <v>12</v>
      </c>
      <c r="J38" s="32">
        <f t="shared" si="13"/>
        <v>6.6835133145000012E-4</v>
      </c>
      <c r="K38" s="32">
        <f t="shared" si="14"/>
        <v>3.5575257816687647E-2</v>
      </c>
      <c r="L38" s="32">
        <f t="shared" si="14"/>
        <v>3.5674517849637641E-2</v>
      </c>
      <c r="M38" s="32">
        <f t="shared" si="14"/>
        <v>3.5773777882587642E-2</v>
      </c>
      <c r="N38" s="32">
        <f t="shared" si="14"/>
        <v>3.5873036254587647E-2</v>
      </c>
      <c r="O38" s="32">
        <f t="shared" si="14"/>
        <v>3.5972296287537647E-2</v>
      </c>
      <c r="P38" s="32">
        <f t="shared" si="14"/>
        <v>3.6071556320487641E-2</v>
      </c>
      <c r="Q38" s="32">
        <f t="shared" si="14"/>
        <v>3.6170816353437642E-2</v>
      </c>
      <c r="R38" s="32">
        <f t="shared" si="14"/>
        <v>3.6270076386387642E-2</v>
      </c>
      <c r="S38" s="32">
        <f t="shared" si="14"/>
        <v>3.6369336585432649E-2</v>
      </c>
      <c r="T38" s="32">
        <f t="shared" si="14"/>
        <v>3.6468596452287644E-2</v>
      </c>
      <c r="U38" s="32">
        <f t="shared" si="14"/>
        <v>3.6567856319142639E-2</v>
      </c>
      <c r="V38" s="32">
        <f t="shared" si="14"/>
        <v>3.6667116518187645E-2</v>
      </c>
      <c r="W38" s="32">
        <f t="shared" si="14"/>
        <v>3.6766376551137639E-2</v>
      </c>
      <c r="X38" s="32">
        <f t="shared" si="14"/>
        <v>3.6865636584087647E-2</v>
      </c>
      <c r="Y38" s="32">
        <f t="shared" si="14"/>
        <v>3.696489661703764E-2</v>
      </c>
      <c r="Z38" s="32">
        <f t="shared" si="14"/>
        <v>3.7064156649987641E-2</v>
      </c>
      <c r="AA38" s="32">
        <f t="shared" si="14"/>
        <v>3.7163415021987646E-2</v>
      </c>
      <c r="AB38" s="32">
        <f t="shared" si="14"/>
        <v>3.7262675054937647E-2</v>
      </c>
      <c r="AC38" s="32">
        <f t="shared" si="14"/>
        <v>3.7361935087887641E-2</v>
      </c>
      <c r="AD38" s="32">
        <f t="shared" si="15"/>
        <v>2.65354866855E-3</v>
      </c>
      <c r="AF38" s="5" t="s">
        <v>20</v>
      </c>
      <c r="AG38" s="35">
        <v>1.7315</v>
      </c>
      <c r="AH38" s="75">
        <f t="shared" ref="AH38:BB38" si="18">AH4</f>
        <v>0</v>
      </c>
      <c r="AI38" s="75">
        <f t="shared" si="18"/>
        <v>0</v>
      </c>
      <c r="AJ38" s="75">
        <f t="shared" si="18"/>
        <v>0</v>
      </c>
      <c r="AK38" s="75">
        <f t="shared" si="18"/>
        <v>0</v>
      </c>
      <c r="AL38" s="75">
        <f t="shared" si="18"/>
        <v>0</v>
      </c>
      <c r="AM38" s="75">
        <f t="shared" si="18"/>
        <v>0</v>
      </c>
      <c r="AN38" s="75">
        <f t="shared" si="18"/>
        <v>0</v>
      </c>
      <c r="AO38" s="75">
        <f t="shared" si="18"/>
        <v>0</v>
      </c>
      <c r="AP38" s="75">
        <f t="shared" si="18"/>
        <v>0</v>
      </c>
      <c r="AQ38" s="75">
        <f t="shared" si="18"/>
        <v>61386.095860000001</v>
      </c>
      <c r="AR38" s="75">
        <f t="shared" si="18"/>
        <v>209477.16699999999</v>
      </c>
      <c r="AS38" s="75">
        <f t="shared" si="18"/>
        <v>358032.22389999998</v>
      </c>
      <c r="AT38" s="75">
        <f t="shared" si="18"/>
        <v>506297.788</v>
      </c>
      <c r="AU38" s="75">
        <f t="shared" si="18"/>
        <v>654306.48990000004</v>
      </c>
      <c r="AV38" s="75">
        <f t="shared" si="18"/>
        <v>802058.74699999997</v>
      </c>
      <c r="AW38" s="75">
        <f t="shared" si="18"/>
        <v>949554.97609999997</v>
      </c>
      <c r="AX38" s="75">
        <f t="shared" si="18"/>
        <v>1096795.5930000001</v>
      </c>
      <c r="AY38" s="75">
        <f t="shared" si="18"/>
        <v>1243781.013</v>
      </c>
      <c r="AZ38" s="75">
        <f t="shared" si="18"/>
        <v>1390511.6529999999</v>
      </c>
      <c r="BA38" s="75">
        <f t="shared" si="18"/>
        <v>1536988.013</v>
      </c>
      <c r="BB38" s="75">
        <f t="shared" si="18"/>
        <v>1683216.879</v>
      </c>
      <c r="BC38" s="34">
        <f t="shared" si="17"/>
        <v>0</v>
      </c>
      <c r="BD38" s="42"/>
    </row>
    <row r="39" spans="1:56" x14ac:dyDescent="0.25">
      <c r="A39" s="1">
        <v>10</v>
      </c>
      <c r="B39" s="42" t="s">
        <v>24</v>
      </c>
      <c r="I39" s="7">
        <v>13</v>
      </c>
      <c r="J39" s="32">
        <f t="shared" si="13"/>
        <v>4.4028818438000012E-3</v>
      </c>
      <c r="K39" s="32">
        <f t="shared" si="14"/>
        <v>0.23435826242730542</v>
      </c>
      <c r="L39" s="32">
        <f t="shared" si="14"/>
        <v>0.2350121553371054</v>
      </c>
      <c r="M39" s="32">
        <f t="shared" si="14"/>
        <v>0.2356660482469054</v>
      </c>
      <c r="N39" s="32">
        <f t="shared" si="14"/>
        <v>0.23631993021490544</v>
      </c>
      <c r="O39" s="32">
        <f t="shared" si="14"/>
        <v>0.23697382312470541</v>
      </c>
      <c r="P39" s="32">
        <f t="shared" si="14"/>
        <v>0.23762771603450539</v>
      </c>
      <c r="Q39" s="32">
        <f t="shared" si="14"/>
        <v>0.23828160894430542</v>
      </c>
      <c r="R39" s="32">
        <f t="shared" si="14"/>
        <v>0.23893550185410542</v>
      </c>
      <c r="S39" s="32">
        <f t="shared" si="14"/>
        <v>0.23958939585808542</v>
      </c>
      <c r="T39" s="32">
        <f t="shared" si="14"/>
        <v>0.24024328767370542</v>
      </c>
      <c r="U39" s="32">
        <f t="shared" si="14"/>
        <v>0.2408971794893254</v>
      </c>
      <c r="V39" s="32">
        <f t="shared" si="14"/>
        <v>0.24155107349330543</v>
      </c>
      <c r="W39" s="32">
        <f t="shared" si="14"/>
        <v>0.2422049664031054</v>
      </c>
      <c r="X39" s="32">
        <f t="shared" si="14"/>
        <v>0.24285885931290543</v>
      </c>
      <c r="Y39" s="32">
        <f t="shared" si="14"/>
        <v>0.24351275222270541</v>
      </c>
      <c r="Z39" s="32">
        <f t="shared" si="14"/>
        <v>0.24416664513250538</v>
      </c>
      <c r="AA39" s="32">
        <f t="shared" si="14"/>
        <v>0.24482052710050545</v>
      </c>
      <c r="AB39" s="32">
        <f t="shared" si="14"/>
        <v>0.24547442001030542</v>
      </c>
      <c r="AC39" s="32">
        <f t="shared" si="14"/>
        <v>0.2461283129201054</v>
      </c>
      <c r="AD39" s="32">
        <f t="shared" si="15"/>
        <v>1.7480718156200004E-2</v>
      </c>
      <c r="AF39" s="4"/>
      <c r="AG39" s="35">
        <v>1.65479</v>
      </c>
      <c r="AH39" s="76">
        <f t="array" aca="1" ref="AH39:BB39" ca="1">TRANSPOSE(MMULT(OFFSET($J$238:$AD$258,0,BC39),TRANSPOSE(AH38:BB38)))</f>
        <v>4.1877318337478694E-6</v>
      </c>
      <c r="AI39" s="76">
        <f ca="1"/>
        <v>5.4753127788236011E-4</v>
      </c>
      <c r="AJ39" s="76">
        <f ca="1"/>
        <v>5.6197473506867388E-3</v>
      </c>
      <c r="AK39" s="76">
        <f ca="1"/>
        <v>5.7408473719961307E-2</v>
      </c>
      <c r="AL39" s="76">
        <f ca="1"/>
        <v>0.58852752507667749</v>
      </c>
      <c r="AM39" s="76">
        <f ca="1"/>
        <v>6.0551671337372284</v>
      </c>
      <c r="AN39" s="76">
        <f ca="1"/>
        <v>62.52575876257044</v>
      </c>
      <c r="AO39" s="76">
        <f ca="1"/>
        <v>647.99238188631148</v>
      </c>
      <c r="AP39" s="76">
        <f ca="1"/>
        <v>6740.0569144337842</v>
      </c>
      <c r="AQ39" s="76">
        <f ca="1"/>
        <v>70363.046113269083</v>
      </c>
      <c r="AR39" s="76">
        <f ca="1"/>
        <v>210344.28481551362</v>
      </c>
      <c r="AS39" s="76">
        <f ca="1"/>
        <v>357793.063938445</v>
      </c>
      <c r="AT39" s="76">
        <f ca="1"/>
        <v>505570.22971391777</v>
      </c>
      <c r="AU39" s="76">
        <f ca="1"/>
        <v>653024.77615507261</v>
      </c>
      <c r="AV39" s="76">
        <f ca="1"/>
        <v>800095.53685050155</v>
      </c>
      <c r="AW39" s="76">
        <f ca="1"/>
        <v>946777.52568694158</v>
      </c>
      <c r="AX39" s="76">
        <f ca="1"/>
        <v>1093071.1239549608</v>
      </c>
      <c r="AY39" s="76">
        <f ca="1"/>
        <v>1238977.2586266836</v>
      </c>
      <c r="AZ39" s="76">
        <f ca="1"/>
        <v>1384497.1686654829</v>
      </c>
      <c r="BA39" s="76">
        <f ca="1"/>
        <v>1529635.2331287693</v>
      </c>
      <c r="BB39" s="76">
        <f ca="1"/>
        <v>1674429.0048980466</v>
      </c>
      <c r="BC39" s="34">
        <f t="shared" si="17"/>
        <v>24</v>
      </c>
      <c r="BD39" s="42"/>
    </row>
    <row r="40" spans="1:56" x14ac:dyDescent="0.25">
      <c r="A40" s="1">
        <v>11</v>
      </c>
      <c r="B40" s="42" t="s">
        <v>24</v>
      </c>
      <c r="I40" s="7">
        <v>14</v>
      </c>
      <c r="J40" s="32">
        <f t="shared" si="13"/>
        <v>5.5811631699999981E-4</v>
      </c>
      <c r="K40" s="32">
        <f t="shared" si="14"/>
        <v>2.9707626714678796E-2</v>
      </c>
      <c r="L40" s="32">
        <f t="shared" si="14"/>
        <v>2.9790515221678793E-2</v>
      </c>
      <c r="M40" s="32">
        <f t="shared" si="14"/>
        <v>2.9873403728678791E-2</v>
      </c>
      <c r="N40" s="32">
        <f t="shared" si="14"/>
        <v>2.9956290848678794E-2</v>
      </c>
      <c r="O40" s="32">
        <f t="shared" si="14"/>
        <v>3.0039179355678791E-2</v>
      </c>
      <c r="P40" s="32">
        <f t="shared" si="14"/>
        <v>3.0122067862678788E-2</v>
      </c>
      <c r="Q40" s="32">
        <f t="shared" si="14"/>
        <v>3.0204956369678793E-2</v>
      </c>
      <c r="R40" s="32">
        <f t="shared" si="14"/>
        <v>3.028784487667879E-2</v>
      </c>
      <c r="S40" s="32">
        <f t="shared" si="14"/>
        <v>3.0370733522378793E-2</v>
      </c>
      <c r="T40" s="32">
        <f t="shared" si="14"/>
        <v>3.0453621890678791E-2</v>
      </c>
      <c r="U40" s="32">
        <f t="shared" si="14"/>
        <v>3.0536510258978789E-2</v>
      </c>
      <c r="V40" s="32">
        <f t="shared" si="14"/>
        <v>3.0619398904678793E-2</v>
      </c>
      <c r="W40" s="32">
        <f t="shared" si="14"/>
        <v>3.070228741167879E-2</v>
      </c>
      <c r="X40" s="32">
        <f t="shared" si="14"/>
        <v>3.0785175918678794E-2</v>
      </c>
      <c r="Y40" s="32">
        <f t="shared" si="14"/>
        <v>3.0868064425678791E-2</v>
      </c>
      <c r="Z40" s="32">
        <f t="shared" si="14"/>
        <v>3.0950952932678789E-2</v>
      </c>
      <c r="AA40" s="32">
        <f t="shared" si="14"/>
        <v>3.1033840052678795E-2</v>
      </c>
      <c r="AB40" s="32">
        <f t="shared" si="14"/>
        <v>3.1116728559678793E-2</v>
      </c>
      <c r="AC40" s="32">
        <f t="shared" si="14"/>
        <v>3.119961706667879E-2</v>
      </c>
      <c r="AD40" s="32">
        <f t="shared" si="15"/>
        <v>2.2158836829999991E-3</v>
      </c>
      <c r="AF40" s="4"/>
      <c r="AG40" s="35">
        <v>1.5780799999999999</v>
      </c>
      <c r="AH40" s="76">
        <f t="array" aca="1" ref="AH40:BB40" ca="1">TRANSPOSE(MMULT(OFFSET($J$238:$AD$258,0,BC40),TRANSPOSE(AH39:BB39)))</f>
        <v>3.6507849988991363E-5</v>
      </c>
      <c r="AI40" s="76">
        <f ca="1"/>
        <v>4.2279765931176752E-3</v>
      </c>
      <c r="AJ40" s="76">
        <f ca="1"/>
        <v>3.8816012653558905E-2</v>
      </c>
      <c r="AK40" s="76">
        <f ca="1"/>
        <v>0.34898709051684162</v>
      </c>
      <c r="AL40" s="76">
        <f ca="1"/>
        <v>3.0903234498538392</v>
      </c>
      <c r="AM40" s="76">
        <f ca="1"/>
        <v>26.782552418419971</v>
      </c>
      <c r="AN40" s="76">
        <f ca="1"/>
        <v>224.80939423590524</v>
      </c>
      <c r="AO40" s="76">
        <f ca="1"/>
        <v>1793.6916899080063</v>
      </c>
      <c r="AP40" s="76">
        <f ca="1"/>
        <v>13081.851420544881</v>
      </c>
      <c r="AQ40" s="76">
        <f ca="1"/>
        <v>78382.758038761327</v>
      </c>
      <c r="AR40" s="76">
        <f ca="1"/>
        <v>211791.77057308648</v>
      </c>
      <c r="AS40" s="76">
        <f ca="1"/>
        <v>357668.02493247209</v>
      </c>
      <c r="AT40" s="76">
        <f ca="1"/>
        <v>504847.66240411135</v>
      </c>
      <c r="AU40" s="76">
        <f ca="1"/>
        <v>651733.43934141845</v>
      </c>
      <c r="AV40" s="76">
        <f ca="1"/>
        <v>798123.42778065533</v>
      </c>
      <c r="AW40" s="76">
        <f ca="1"/>
        <v>943994.94106057985</v>
      </c>
      <c r="AX40" s="76">
        <f ca="1"/>
        <v>1089346.8483999532</v>
      </c>
      <c r="AY40" s="76">
        <f ca="1"/>
        <v>1234180.6259666563</v>
      </c>
      <c r="AZ40" s="76">
        <f ca="1"/>
        <v>1378498.9673479232</v>
      </c>
      <c r="BA40" s="76">
        <f ca="1"/>
        <v>1522312.7348992554</v>
      </c>
      <c r="BB40" s="76">
        <f ca="1"/>
        <v>1665693.1653330873</v>
      </c>
      <c r="BC40" s="34">
        <f t="shared" si="17"/>
        <v>48</v>
      </c>
      <c r="BD40" s="42"/>
    </row>
    <row r="41" spans="1:56" x14ac:dyDescent="0.25">
      <c r="A41" s="1">
        <v>12</v>
      </c>
      <c r="B41" s="42" t="s">
        <v>24</v>
      </c>
      <c r="I41" s="7">
        <v>15</v>
      </c>
      <c r="J41" s="32">
        <f t="shared" si="13"/>
        <v>4.4028617242500004E-3</v>
      </c>
      <c r="K41" s="32">
        <f t="shared" si="14"/>
        <v>0.23435719149627748</v>
      </c>
      <c r="L41" s="32">
        <f t="shared" si="14"/>
        <v>0.23501108141802746</v>
      </c>
      <c r="M41" s="32">
        <f t="shared" si="14"/>
        <v>0.23566497133977743</v>
      </c>
      <c r="N41" s="32">
        <f t="shared" si="14"/>
        <v>0.23631885031977748</v>
      </c>
      <c r="O41" s="32">
        <f t="shared" si="14"/>
        <v>0.23697274024152745</v>
      </c>
      <c r="P41" s="32">
        <f t="shared" si="14"/>
        <v>0.23762663016327745</v>
      </c>
      <c r="Q41" s="32">
        <f t="shared" si="14"/>
        <v>0.23828052008502748</v>
      </c>
      <c r="R41" s="32">
        <f t="shared" si="14"/>
        <v>0.23893441000677745</v>
      </c>
      <c r="S41" s="32">
        <f t="shared" ref="S41:AC41" si="19">$F21/2*($G21^2/($B$17^2)+S$2)</f>
        <v>0.23958830102270248</v>
      </c>
      <c r="T41" s="32">
        <f t="shared" si="19"/>
        <v>0.24024218985027745</v>
      </c>
      <c r="U41" s="32">
        <f t="shared" si="19"/>
        <v>0.24089607867785245</v>
      </c>
      <c r="V41" s="32">
        <f t="shared" si="19"/>
        <v>0.24154996969377746</v>
      </c>
      <c r="W41" s="32">
        <f t="shared" si="19"/>
        <v>0.24220385961552746</v>
      </c>
      <c r="X41" s="32">
        <f t="shared" si="19"/>
        <v>0.24285774953727748</v>
      </c>
      <c r="Y41" s="32">
        <f t="shared" si="19"/>
        <v>0.24351163945902746</v>
      </c>
      <c r="Z41" s="32">
        <f t="shared" si="19"/>
        <v>0.24416552938077743</v>
      </c>
      <c r="AA41" s="32">
        <f t="shared" si="19"/>
        <v>0.24481940836077748</v>
      </c>
      <c r="AB41" s="32">
        <f t="shared" si="19"/>
        <v>0.24547329828252745</v>
      </c>
      <c r="AC41" s="32">
        <f t="shared" si="19"/>
        <v>0.24612718820427745</v>
      </c>
      <c r="AD41" s="32">
        <f t="shared" si="15"/>
        <v>1.7480638275750002E-2</v>
      </c>
      <c r="AF41" s="4"/>
      <c r="AG41" s="35">
        <v>1.5013700000000001</v>
      </c>
      <c r="AH41" s="76">
        <f t="array" aca="1" ref="AH41:BB41" ca="1">TRANSPOSE(MMULT(OFFSET($J$238:$AD$258,0,BC41),TRANSPOSE(AH40:BB40)))</f>
        <v>1.7538356049963871E-4</v>
      </c>
      <c r="AI41" s="76">
        <f ca="1"/>
        <v>1.8174563186140184E-2</v>
      </c>
      <c r="AJ41" s="76">
        <f ca="1"/>
        <v>0.15116122251852318</v>
      </c>
      <c r="AK41" s="76">
        <f ca="1"/>
        <v>1.2153663736895661</v>
      </c>
      <c r="AL41" s="76">
        <f ca="1"/>
        <v>9.4921260063001451</v>
      </c>
      <c r="AM41" s="76">
        <f ca="1"/>
        <v>71.293903137979456</v>
      </c>
      <c r="AN41" s="76">
        <f ca="1"/>
        <v>506.85068456081422</v>
      </c>
      <c r="AO41" s="76">
        <f ca="1"/>
        <v>3320.6951398695805</v>
      </c>
      <c r="AP41" s="76">
        <f ca="1"/>
        <v>19063.428293047316</v>
      </c>
      <c r="AQ41" s="76">
        <f ca="1"/>
        <v>85631.303704356193</v>
      </c>
      <c r="AR41" s="76">
        <f ca="1"/>
        <v>213650.20549062506</v>
      </c>
      <c r="AS41" s="76">
        <f ca="1"/>
        <v>357675.86755890236</v>
      </c>
      <c r="AT41" s="76">
        <f ca="1"/>
        <v>504140.98359309346</v>
      </c>
      <c r="AU41" s="76">
        <f ca="1"/>
        <v>650434.87516730267</v>
      </c>
      <c r="AV41" s="76">
        <f ca="1"/>
        <v>796142.7204413109</v>
      </c>
      <c r="AW41" s="76">
        <f ca="1"/>
        <v>941207.07064188842</v>
      </c>
      <c r="AX41" s="76">
        <f ca="1"/>
        <v>1085622.4477048386</v>
      </c>
      <c r="AY41" s="76">
        <f ca="1"/>
        <v>1229390.7005029563</v>
      </c>
      <c r="AZ41" s="76">
        <f ca="1"/>
        <v>1372516.6846764805</v>
      </c>
      <c r="BA41" s="76">
        <f ca="1"/>
        <v>1515020.0953185158</v>
      </c>
      <c r="BB41" s="76">
        <f ca="1"/>
        <v>1657007.8250217868</v>
      </c>
      <c r="BC41" s="34">
        <f t="shared" si="17"/>
        <v>72</v>
      </c>
      <c r="BD41" s="42"/>
    </row>
    <row r="42" spans="1:56" x14ac:dyDescent="0.25">
      <c r="A42" s="1">
        <v>13</v>
      </c>
      <c r="B42" s="42" t="s">
        <v>24</v>
      </c>
      <c r="I42" s="7">
        <v>16</v>
      </c>
      <c r="J42" s="32">
        <f t="shared" si="13"/>
        <v>6.1324388400000023E-4</v>
      </c>
      <c r="K42" s="32">
        <f t="shared" ref="K42:AC45" si="20">$F22/2*($G22^2/($B$17^2)+K$2)</f>
        <v>3.2641977731197196E-2</v>
      </c>
      <c r="L42" s="32">
        <f t="shared" si="20"/>
        <v>3.2733053495197194E-2</v>
      </c>
      <c r="M42" s="32">
        <f t="shared" si="20"/>
        <v>3.2824129259197192E-2</v>
      </c>
      <c r="N42" s="32">
        <f t="shared" si="20"/>
        <v>3.2915203499197201E-2</v>
      </c>
      <c r="O42" s="32">
        <f t="shared" si="20"/>
        <v>3.30062792631972E-2</v>
      </c>
      <c r="P42" s="32">
        <f t="shared" si="20"/>
        <v>3.3097355027197191E-2</v>
      </c>
      <c r="Q42" s="32">
        <f t="shared" si="20"/>
        <v>3.3188430791197196E-2</v>
      </c>
      <c r="R42" s="32">
        <f t="shared" si="20"/>
        <v>3.3279506555197194E-2</v>
      </c>
      <c r="S42" s="32">
        <f t="shared" si="20"/>
        <v>3.3370582471597202E-2</v>
      </c>
      <c r="T42" s="32">
        <f t="shared" si="20"/>
        <v>3.3461658083197197E-2</v>
      </c>
      <c r="U42" s="32">
        <f t="shared" si="20"/>
        <v>3.3552733694797193E-2</v>
      </c>
      <c r="V42" s="32">
        <f t="shared" si="20"/>
        <v>3.3643809611197201E-2</v>
      </c>
      <c r="W42" s="32">
        <f t="shared" si="20"/>
        <v>3.3734885375197192E-2</v>
      </c>
      <c r="X42" s="32">
        <f t="shared" si="20"/>
        <v>3.3825961139197197E-2</v>
      </c>
      <c r="Y42" s="32">
        <f t="shared" si="20"/>
        <v>3.3917036903197195E-2</v>
      </c>
      <c r="Z42" s="32">
        <f t="shared" si="20"/>
        <v>3.4008112667197193E-2</v>
      </c>
      <c r="AA42" s="32">
        <f t="shared" si="20"/>
        <v>3.4099186907197203E-2</v>
      </c>
      <c r="AB42" s="32">
        <f t="shared" si="20"/>
        <v>3.4190262671197194E-2</v>
      </c>
      <c r="AC42" s="32">
        <f t="shared" si="20"/>
        <v>3.4281338435197192E-2</v>
      </c>
      <c r="AD42" s="32">
        <f t="shared" si="15"/>
        <v>2.4347561160000006E-3</v>
      </c>
      <c r="AF42" s="5" t="s">
        <v>20</v>
      </c>
      <c r="AG42" s="35">
        <v>1.50136</v>
      </c>
      <c r="AH42" s="75">
        <f t="shared" ref="AH42:BB42" si="21">AH8</f>
        <v>1.7523857930000001E-4</v>
      </c>
      <c r="AI42" s="75">
        <f t="shared" si="21"/>
        <v>1.8159783249999999E-2</v>
      </c>
      <c r="AJ42" s="75">
        <f t="shared" si="21"/>
        <v>0.1510399456</v>
      </c>
      <c r="AK42" s="75">
        <f t="shared" si="21"/>
        <v>1.214404823</v>
      </c>
      <c r="AL42" s="75">
        <f t="shared" si="21"/>
        <v>9.48472151</v>
      </c>
      <c r="AM42" s="75">
        <f t="shared" si="21"/>
        <v>71.239078899999996</v>
      </c>
      <c r="AN42" s="75">
        <f t="shared" si="21"/>
        <v>506.46647530000001</v>
      </c>
      <c r="AO42" s="75">
        <f t="shared" si="21"/>
        <v>3318.213604</v>
      </c>
      <c r="AP42" s="75">
        <f t="shared" si="21"/>
        <v>19049.378219999999</v>
      </c>
      <c r="AQ42" s="75">
        <f t="shared" si="21"/>
        <v>85568.961979999993</v>
      </c>
      <c r="AR42" s="75">
        <f t="shared" si="21"/>
        <v>213495.25080000001</v>
      </c>
      <c r="AS42" s="75">
        <f t="shared" si="21"/>
        <v>357416.59600000002</v>
      </c>
      <c r="AT42" s="75">
        <f t="shared" si="21"/>
        <v>503775.5808</v>
      </c>
      <c r="AU42" s="75">
        <f t="shared" si="21"/>
        <v>649963.45660000003</v>
      </c>
      <c r="AV42" s="75">
        <f t="shared" si="21"/>
        <v>795565.71360000002</v>
      </c>
      <c r="AW42" s="75">
        <f t="shared" si="21"/>
        <v>940524.94660000002</v>
      </c>
      <c r="AX42" s="75">
        <f t="shared" si="21"/>
        <v>1084835.679</v>
      </c>
      <c r="AY42" s="75">
        <f t="shared" si="21"/>
        <v>1228499.7420000001</v>
      </c>
      <c r="AZ42" s="75">
        <f t="shared" si="21"/>
        <v>1371522.024</v>
      </c>
      <c r="BA42" s="75">
        <f t="shared" si="21"/>
        <v>1513922.1910000001</v>
      </c>
      <c r="BB42" s="75">
        <f t="shared" si="21"/>
        <v>1655807.0560000001</v>
      </c>
      <c r="BC42" s="34">
        <f t="shared" si="17"/>
        <v>72</v>
      </c>
      <c r="BD42" s="42"/>
    </row>
    <row r="43" spans="1:56" x14ac:dyDescent="0.25">
      <c r="A43" s="1">
        <v>14</v>
      </c>
      <c r="B43" s="42" t="s">
        <v>24</v>
      </c>
      <c r="I43" s="7">
        <v>17</v>
      </c>
      <c r="J43" s="32">
        <f t="shared" si="13"/>
        <v>4.4028617242500004E-3</v>
      </c>
      <c r="K43" s="32">
        <f t="shared" si="20"/>
        <v>0.23435719149627748</v>
      </c>
      <c r="L43" s="32">
        <f t="shared" si="20"/>
        <v>0.23501108141802746</v>
      </c>
      <c r="M43" s="32">
        <f t="shared" si="20"/>
        <v>0.23566497133977743</v>
      </c>
      <c r="N43" s="32">
        <f t="shared" si="20"/>
        <v>0.23631885031977748</v>
      </c>
      <c r="O43" s="32">
        <f t="shared" si="20"/>
        <v>0.23697274024152745</v>
      </c>
      <c r="P43" s="32">
        <f t="shared" si="20"/>
        <v>0.23762663016327745</v>
      </c>
      <c r="Q43" s="32">
        <f t="shared" si="20"/>
        <v>0.23828052008502748</v>
      </c>
      <c r="R43" s="32">
        <f t="shared" si="20"/>
        <v>0.23893441000677745</v>
      </c>
      <c r="S43" s="32">
        <f t="shared" si="20"/>
        <v>0.23958830102270248</v>
      </c>
      <c r="T43" s="32">
        <f t="shared" si="20"/>
        <v>0.24024218985027745</v>
      </c>
      <c r="U43" s="32">
        <f t="shared" si="20"/>
        <v>0.24089607867785245</v>
      </c>
      <c r="V43" s="32">
        <f t="shared" si="20"/>
        <v>0.24154996969377746</v>
      </c>
      <c r="W43" s="32">
        <f t="shared" si="20"/>
        <v>0.24220385961552746</v>
      </c>
      <c r="X43" s="32">
        <f t="shared" si="20"/>
        <v>0.24285774953727748</v>
      </c>
      <c r="Y43" s="32">
        <f t="shared" si="20"/>
        <v>0.24351163945902746</v>
      </c>
      <c r="Z43" s="32">
        <f t="shared" si="20"/>
        <v>0.24416552938077743</v>
      </c>
      <c r="AA43" s="32">
        <f t="shared" si="20"/>
        <v>0.24481940836077748</v>
      </c>
      <c r="AB43" s="32">
        <f t="shared" si="20"/>
        <v>0.24547329828252745</v>
      </c>
      <c r="AC43" s="32">
        <f t="shared" si="20"/>
        <v>0.24612718820427745</v>
      </c>
      <c r="AD43" s="32">
        <f t="shared" si="15"/>
        <v>1.7480638275750002E-2</v>
      </c>
      <c r="AF43" s="4"/>
      <c r="AG43" s="35">
        <v>1.4821899999999999</v>
      </c>
      <c r="AH43" s="76">
        <f t="array" aca="1" ref="AH43:BB43" ca="1">TRANSPOSE(MMULT(OFFSET($J$238:$AD$258,0,BC43),TRANSPOSE(AH42:BB42)))</f>
        <v>2.1359694919250328E-4</v>
      </c>
      <c r="AI43" s="76">
        <f ca="1"/>
        <v>2.1994980867878541E-2</v>
      </c>
      <c r="AJ43" s="76">
        <f ca="1"/>
        <v>0.18179656645158163</v>
      </c>
      <c r="AK43" s="76">
        <f ca="1"/>
        <v>1.4502257109710468</v>
      </c>
      <c r="AL43" s="76">
        <f ca="1"/>
        <v>11.214045272197298</v>
      </c>
      <c r="AM43" s="76">
        <f ca="1"/>
        <v>83.138564139895863</v>
      </c>
      <c r="AN43" s="76">
        <f ca="1"/>
        <v>580.74434148023852</v>
      </c>
      <c r="AO43" s="76">
        <f ca="1"/>
        <v>3711.2057594833573</v>
      </c>
      <c r="AP43" s="76">
        <f ca="1"/>
        <v>20532.779768296197</v>
      </c>
      <c r="AQ43" s="76">
        <f ca="1"/>
        <v>87356.634194922895</v>
      </c>
      <c r="AR43" s="76">
        <f ca="1"/>
        <v>213971.78403915695</v>
      </c>
      <c r="AS43" s="76">
        <f ca="1"/>
        <v>357422.76771497948</v>
      </c>
      <c r="AT43" s="76">
        <f ca="1"/>
        <v>503599.5548960701</v>
      </c>
      <c r="AU43" s="76">
        <f ca="1"/>
        <v>649638.79323858547</v>
      </c>
      <c r="AV43" s="76">
        <f ca="1"/>
        <v>795070.56496297161</v>
      </c>
      <c r="AW43" s="76">
        <f ca="1"/>
        <v>939828.22909762745</v>
      </c>
      <c r="AX43" s="76">
        <f ca="1"/>
        <v>1083905.1286679567</v>
      </c>
      <c r="AY43" s="76">
        <f ca="1"/>
        <v>1227303.183418077</v>
      </c>
      <c r="AZ43" s="76">
        <f ca="1"/>
        <v>1370027.8413857564</v>
      </c>
      <c r="BA43" s="76">
        <f ca="1"/>
        <v>1512101.0496001176</v>
      </c>
      <c r="BB43" s="76">
        <f ca="1"/>
        <v>1653638.5873488486</v>
      </c>
      <c r="BC43" s="34">
        <f t="shared" si="17"/>
        <v>96</v>
      </c>
      <c r="BD43" s="42"/>
    </row>
    <row r="44" spans="1:56" x14ac:dyDescent="0.25">
      <c r="A44" s="1">
        <v>15</v>
      </c>
      <c r="B44" s="42" t="s">
        <v>24</v>
      </c>
      <c r="I44" s="7">
        <v>18</v>
      </c>
      <c r="J44" s="32">
        <f t="shared" si="13"/>
        <v>6.6835133144999958E-4</v>
      </c>
      <c r="K44" s="32">
        <f t="shared" si="20"/>
        <v>3.5575257816687619E-2</v>
      </c>
      <c r="L44" s="32">
        <f t="shared" si="20"/>
        <v>3.5674517849637613E-2</v>
      </c>
      <c r="M44" s="32">
        <f t="shared" si="20"/>
        <v>3.5773777882587607E-2</v>
      </c>
      <c r="N44" s="32">
        <f t="shared" si="20"/>
        <v>3.5873036254587619E-2</v>
      </c>
      <c r="O44" s="32">
        <f t="shared" si="20"/>
        <v>3.5972296287537613E-2</v>
      </c>
      <c r="P44" s="32">
        <f t="shared" si="20"/>
        <v>3.6071556320487613E-2</v>
      </c>
      <c r="Q44" s="32">
        <f t="shared" si="20"/>
        <v>3.6170816353437614E-2</v>
      </c>
      <c r="R44" s="32">
        <f t="shared" si="20"/>
        <v>3.6270076386387615E-2</v>
      </c>
      <c r="S44" s="32">
        <f t="shared" si="20"/>
        <v>3.6369336585432614E-2</v>
      </c>
      <c r="T44" s="32">
        <f t="shared" si="20"/>
        <v>3.6468596452287616E-2</v>
      </c>
      <c r="U44" s="32">
        <f t="shared" si="20"/>
        <v>3.6567856319142611E-2</v>
      </c>
      <c r="V44" s="32">
        <f t="shared" si="20"/>
        <v>3.6667116518187617E-2</v>
      </c>
      <c r="W44" s="32">
        <f t="shared" si="20"/>
        <v>3.6766376551137611E-2</v>
      </c>
      <c r="X44" s="32">
        <f t="shared" si="20"/>
        <v>3.6865636584087612E-2</v>
      </c>
      <c r="Y44" s="32">
        <f t="shared" si="20"/>
        <v>3.6964896617037613E-2</v>
      </c>
      <c r="Z44" s="32">
        <f t="shared" si="20"/>
        <v>3.7064156649987606E-2</v>
      </c>
      <c r="AA44" s="32">
        <f t="shared" si="20"/>
        <v>3.7163415021987618E-2</v>
      </c>
      <c r="AB44" s="32">
        <f t="shared" si="20"/>
        <v>3.7262675054937612E-2</v>
      </c>
      <c r="AC44" s="32">
        <f t="shared" si="20"/>
        <v>3.7361935087887613E-2</v>
      </c>
      <c r="AD44" s="32">
        <f t="shared" si="15"/>
        <v>2.6535486685499978E-3</v>
      </c>
      <c r="AF44" s="5" t="s">
        <v>20</v>
      </c>
      <c r="AG44" s="35">
        <v>1.4821800000000001</v>
      </c>
      <c r="AH44" s="75">
        <f t="shared" ref="AH44:BB44" si="22">AH10</f>
        <v>2.1174588170000001E-4</v>
      </c>
      <c r="AI44" s="75">
        <f t="shared" si="22"/>
        <v>2.180438111E-2</v>
      </c>
      <c r="AJ44" s="75">
        <f t="shared" si="22"/>
        <v>0.18022130859999999</v>
      </c>
      <c r="AK44" s="75">
        <f t="shared" si="22"/>
        <v>1.4376607729999999</v>
      </c>
      <c r="AL44" s="75">
        <f t="shared" si="22"/>
        <v>11.116896929999999</v>
      </c>
      <c r="AM44" s="75">
        <f t="shared" si="22"/>
        <v>82.418439770000006</v>
      </c>
      <c r="AN44" s="75">
        <f t="shared" si="22"/>
        <v>575.71514979999995</v>
      </c>
      <c r="AO44" s="75">
        <f t="shared" si="22"/>
        <v>3679.0765759999999</v>
      </c>
      <c r="AP44" s="75">
        <f t="shared" si="22"/>
        <v>26551.34821</v>
      </c>
      <c r="AQ44" s="75">
        <f t="shared" si="22"/>
        <v>131389.6912</v>
      </c>
      <c r="AR44" s="75">
        <f t="shared" si="22"/>
        <v>409206.1496</v>
      </c>
      <c r="AS44" s="75">
        <f t="shared" si="22"/>
        <v>702500.07079999999</v>
      </c>
      <c r="AT44" s="75">
        <f t="shared" si="22"/>
        <v>994736.66469999996</v>
      </c>
      <c r="AU44" s="75">
        <f t="shared" si="22"/>
        <v>1286036.9480000001</v>
      </c>
      <c r="AV44" s="75">
        <f t="shared" si="22"/>
        <v>1576404.09</v>
      </c>
      <c r="AW44" s="75">
        <f t="shared" si="22"/>
        <v>1865841.254</v>
      </c>
      <c r="AX44" s="75">
        <f t="shared" si="22"/>
        <v>2154351.6349999998</v>
      </c>
      <c r="AY44" s="75">
        <f t="shared" si="22"/>
        <v>2441938.7560000001</v>
      </c>
      <c r="AZ44" s="75">
        <f t="shared" si="22"/>
        <v>2728608.5780000002</v>
      </c>
      <c r="BA44" s="75">
        <f t="shared" si="22"/>
        <v>3014383.3629999999</v>
      </c>
      <c r="BB44" s="75">
        <f t="shared" si="22"/>
        <v>3299384.53</v>
      </c>
      <c r="BC44" s="34">
        <f t="shared" si="17"/>
        <v>96</v>
      </c>
      <c r="BD44" s="42"/>
    </row>
    <row r="45" spans="1:56" x14ac:dyDescent="0.25">
      <c r="A45" s="1">
        <v>16</v>
      </c>
      <c r="B45" s="42" t="s">
        <v>24</v>
      </c>
      <c r="I45" s="7">
        <v>19</v>
      </c>
      <c r="J45" s="32">
        <f t="shared" si="13"/>
        <v>4.4026806483000005E-3</v>
      </c>
      <c r="K45" s="32">
        <f t="shared" si="20"/>
        <v>0.23434755311702613</v>
      </c>
      <c r="L45" s="32">
        <f t="shared" si="20"/>
        <v>0.23500141614632611</v>
      </c>
      <c r="M45" s="32">
        <f t="shared" si="20"/>
        <v>0.23565527917562609</v>
      </c>
      <c r="N45" s="32">
        <f t="shared" si="20"/>
        <v>0.23630913126362613</v>
      </c>
      <c r="O45" s="32">
        <f t="shared" si="20"/>
        <v>0.23696299429292611</v>
      </c>
      <c r="P45" s="32">
        <f t="shared" si="20"/>
        <v>0.23761685732222609</v>
      </c>
      <c r="Q45" s="32">
        <f t="shared" si="20"/>
        <v>0.23827072035152613</v>
      </c>
      <c r="R45" s="32">
        <f t="shared" si="20"/>
        <v>0.23892458338082609</v>
      </c>
      <c r="S45" s="32">
        <f t="shared" si="20"/>
        <v>0.23957844750425614</v>
      </c>
      <c r="T45" s="32">
        <f t="shared" si="20"/>
        <v>0.24023230943942611</v>
      </c>
      <c r="U45" s="32">
        <f t="shared" si="20"/>
        <v>0.24088617137459609</v>
      </c>
      <c r="V45" s="32">
        <f t="shared" si="20"/>
        <v>0.24154003549802611</v>
      </c>
      <c r="W45" s="32">
        <f t="shared" si="20"/>
        <v>0.24219389852732609</v>
      </c>
      <c r="X45" s="32">
        <f t="shared" si="20"/>
        <v>0.24284776155662613</v>
      </c>
      <c r="Y45" s="32">
        <f t="shared" si="20"/>
        <v>0.24350162458592611</v>
      </c>
      <c r="Z45" s="32">
        <f t="shared" si="20"/>
        <v>0.2441554876152261</v>
      </c>
      <c r="AA45" s="32">
        <f t="shared" si="20"/>
        <v>0.24480933970322613</v>
      </c>
      <c r="AB45" s="32">
        <f t="shared" si="20"/>
        <v>0.24546320273252611</v>
      </c>
      <c r="AC45" s="32">
        <f t="shared" si="20"/>
        <v>0.2461170657618261</v>
      </c>
      <c r="AD45" s="32">
        <f t="shared" si="15"/>
        <v>1.7479919351699999E-2</v>
      </c>
      <c r="AF45" s="4"/>
      <c r="AG45" s="35">
        <v>1.4054800000000001</v>
      </c>
      <c r="AH45" s="76">
        <f t="array" aca="1" ref="AH45:BB45" ca="1">TRANSPOSE(MMULT(OFFSET($J$238:$AD$258,0,BC45),TRANSPOSE(AH44:BB44)))</f>
        <v>5.6467708280707302E-4</v>
      </c>
      <c r="AI45" s="76">
        <f ca="1"/>
        <v>4.6235720664083331E-2</v>
      </c>
      <c r="AJ45" s="76">
        <f ca="1"/>
        <v>0.36482071840006686</v>
      </c>
      <c r="AK45" s="76">
        <f ca="1"/>
        <v>2.7606435370260911</v>
      </c>
      <c r="AL45" s="76">
        <f ca="1"/>
        <v>20.130871418729633</v>
      </c>
      <c r="AM45" s="76">
        <f ca="1"/>
        <v>140.12631097524385</v>
      </c>
      <c r="AN45" s="76">
        <f ca="1"/>
        <v>921.04428382450089</v>
      </c>
      <c r="AO45" s="76">
        <f ca="1"/>
        <v>5681.5663331490396</v>
      </c>
      <c r="AP45" s="76">
        <f ca="1"/>
        <v>33680.275896575084</v>
      </c>
      <c r="AQ45" s="76">
        <f ca="1"/>
        <v>144698.49330873979</v>
      </c>
      <c r="AR45" s="76">
        <f ca="1"/>
        <v>411244.86767791247</v>
      </c>
      <c r="AS45" s="76">
        <f ca="1"/>
        <v>702000.01050391293</v>
      </c>
      <c r="AT45" s="76">
        <f ca="1"/>
        <v>993289.48085008014</v>
      </c>
      <c r="AU45" s="76">
        <f ca="1"/>
        <v>1283505.3815403949</v>
      </c>
      <c r="AV45" s="76">
        <f ca="1"/>
        <v>1572535.2921813179</v>
      </c>
      <c r="AW45" s="76">
        <f ca="1"/>
        <v>1860375.4479656473</v>
      </c>
      <c r="AX45" s="76">
        <f ca="1"/>
        <v>2147030.0699430653</v>
      </c>
      <c r="AY45" s="76">
        <f ca="1"/>
        <v>2432504.5125413206</v>
      </c>
      <c r="AZ45" s="76">
        <f ca="1"/>
        <v>2716807.8755949335</v>
      </c>
      <c r="BA45" s="76">
        <f ca="1"/>
        <v>2999973.1066506957</v>
      </c>
      <c r="BB45" s="76">
        <f ca="1"/>
        <v>3282173.4393043858</v>
      </c>
      <c r="BC45" s="34">
        <f t="shared" si="17"/>
        <v>120</v>
      </c>
      <c r="BD45" s="42"/>
    </row>
    <row r="46" spans="1:56" x14ac:dyDescent="0.25">
      <c r="A46" s="1">
        <v>17</v>
      </c>
      <c r="B46" s="42" t="s">
        <v>24</v>
      </c>
      <c r="E46" s="42"/>
      <c r="AF46" s="4"/>
      <c r="AG46" s="35">
        <v>1.32877</v>
      </c>
      <c r="AH46" s="76">
        <f t="array" aca="1" ref="AH46:BB46" ca="1">TRANSPOSE(MMULT(OFFSET($J$238:$AD$258,0,BC46),TRANSPOSE(AH45:BB45)))</f>
        <v>1.266155693329018E-3</v>
      </c>
      <c r="AI46" s="76">
        <f ca="1"/>
        <v>9.1955013123453097E-2</v>
      </c>
      <c r="AJ46" s="76">
        <f ca="1"/>
        <v>0.69269112644411923</v>
      </c>
      <c r="AK46" s="76">
        <f ca="1"/>
        <v>4.9785150492286947</v>
      </c>
      <c r="AL46" s="76">
        <f ca="1"/>
        <v>34.338101832941128</v>
      </c>
      <c r="AM46" s="76">
        <f ca="1"/>
        <v>225.26037694859195</v>
      </c>
      <c r="AN46" s="76">
        <f ca="1"/>
        <v>1390.1024693044183</v>
      </c>
      <c r="AO46" s="76">
        <f ca="1"/>
        <v>7953.7136832933693</v>
      </c>
      <c r="AP46" s="76">
        <f ca="1"/>
        <v>40829.187339069627</v>
      </c>
      <c r="AQ46" s="76">
        <f ca="1"/>
        <v>156794.15271768344</v>
      </c>
      <c r="AR46" s="76">
        <f ca="1"/>
        <v>413836.71702593932</v>
      </c>
      <c r="AS46" s="76">
        <f ca="1"/>
        <v>701656.20994494751</v>
      </c>
      <c r="AT46" s="76">
        <f ca="1"/>
        <v>991845.28390463488</v>
      </c>
      <c r="AU46" s="76">
        <f ca="1"/>
        <v>1280960.4833061085</v>
      </c>
      <c r="AV46" s="76">
        <f ca="1"/>
        <v>1568656.5602066426</v>
      </c>
      <c r="AW46" s="76">
        <f ca="1"/>
        <v>1854907.2049740853</v>
      </c>
      <c r="AX46" s="76">
        <f ca="1"/>
        <v>2139716.3204330173</v>
      </c>
      <c r="AY46" s="76">
        <f ca="1"/>
        <v>2423091.3826572187</v>
      </c>
      <c r="AZ46" s="76">
        <f ca="1"/>
        <v>2705045.5653008157</v>
      </c>
      <c r="BA46" s="76">
        <f ca="1"/>
        <v>2985625.4788698247</v>
      </c>
      <c r="BB46" s="76">
        <f ca="1"/>
        <v>3265061.9931543213</v>
      </c>
      <c r="BC46" s="34">
        <f t="shared" si="17"/>
        <v>144</v>
      </c>
      <c r="BD46" s="42"/>
    </row>
    <row r="47" spans="1:56" x14ac:dyDescent="0.25">
      <c r="A47" s="1">
        <v>18</v>
      </c>
      <c r="B47" s="42" t="s">
        <v>24</v>
      </c>
      <c r="E47" s="42"/>
      <c r="I47" s="11" t="s">
        <v>4</v>
      </c>
      <c r="J47" s="11">
        <f>J27</f>
        <v>20</v>
      </c>
      <c r="K47" s="11">
        <f t="shared" ref="K47:AD47" si="23">K27</f>
        <v>19</v>
      </c>
      <c r="L47" s="11">
        <f t="shared" si="23"/>
        <v>18</v>
      </c>
      <c r="M47" s="11">
        <f t="shared" si="23"/>
        <v>17</v>
      </c>
      <c r="N47" s="11">
        <f t="shared" si="23"/>
        <v>16</v>
      </c>
      <c r="O47" s="11">
        <f t="shared" si="23"/>
        <v>15</v>
      </c>
      <c r="P47" s="11">
        <f t="shared" si="23"/>
        <v>14</v>
      </c>
      <c r="Q47" s="11">
        <f t="shared" si="23"/>
        <v>13</v>
      </c>
      <c r="R47" s="11">
        <f t="shared" si="23"/>
        <v>12</v>
      </c>
      <c r="S47" s="11">
        <f t="shared" si="23"/>
        <v>11</v>
      </c>
      <c r="T47" s="11">
        <f t="shared" si="23"/>
        <v>10</v>
      </c>
      <c r="U47" s="11">
        <f t="shared" si="23"/>
        <v>9</v>
      </c>
      <c r="V47" s="11">
        <f t="shared" si="23"/>
        <v>8</v>
      </c>
      <c r="W47" s="11">
        <f t="shared" si="23"/>
        <v>7</v>
      </c>
      <c r="X47" s="11">
        <f t="shared" si="23"/>
        <v>6</v>
      </c>
      <c r="Y47" s="11">
        <f t="shared" si="23"/>
        <v>5</v>
      </c>
      <c r="Z47" s="11">
        <f t="shared" si="23"/>
        <v>4</v>
      </c>
      <c r="AA47" s="11">
        <f t="shared" si="23"/>
        <v>3</v>
      </c>
      <c r="AB47" s="11">
        <f t="shared" si="23"/>
        <v>2</v>
      </c>
      <c r="AC47" s="11">
        <f t="shared" si="23"/>
        <v>1</v>
      </c>
      <c r="AD47" s="11">
        <f t="shared" si="23"/>
        <v>0</v>
      </c>
      <c r="AF47" s="4"/>
      <c r="AG47" s="35">
        <v>1.2520500000000001</v>
      </c>
      <c r="AH47" s="76">
        <f t="array" aca="1" ref="AH47:BB47" ca="1">TRANSPOSE(MMULT(OFFSET($J$238:$AD$258,0,BC47),TRANSPOSE(AH46:BB46)))</f>
        <v>2.5842042323059628E-3</v>
      </c>
      <c r="AI47" s="76">
        <f ca="1"/>
        <v>0.17283972222713795</v>
      </c>
      <c r="AJ47" s="76">
        <f ca="1"/>
        <v>1.2440790389612644</v>
      </c>
      <c r="AK47" s="76">
        <f ca="1"/>
        <v>8.5041870379539724</v>
      </c>
      <c r="AL47" s="76">
        <f ca="1"/>
        <v>55.568467198106582</v>
      </c>
      <c r="AM47" s="76">
        <f ca="1"/>
        <v>343.72450683028001</v>
      </c>
      <c r="AN47" s="76">
        <f ca="1"/>
        <v>1985.1045339674001</v>
      </c>
      <c r="AO47" s="76">
        <f ca="1"/>
        <v>10463.33633994033</v>
      </c>
      <c r="AP47" s="76">
        <f ca="1"/>
        <v>47939.443299673978</v>
      </c>
      <c r="AQ47" s="76">
        <f ca="1"/>
        <v>167879.49578589899</v>
      </c>
      <c r="AR47" s="76">
        <f ca="1"/>
        <v>416841.3379810123</v>
      </c>
      <c r="AS47" s="76">
        <f ca="1"/>
        <v>701476.91692154983</v>
      </c>
      <c r="AT47" s="76">
        <f ca="1"/>
        <v>990414.62366166641</v>
      </c>
      <c r="AU47" s="76">
        <f ca="1"/>
        <v>1278404.1839417997</v>
      </c>
      <c r="AV47" s="76">
        <f ca="1"/>
        <v>1564767.8639950918</v>
      </c>
      <c r="AW47" s="76">
        <f ca="1"/>
        <v>1849436.0336491941</v>
      </c>
      <c r="AX47" s="76">
        <f ca="1"/>
        <v>2132409.6194881648</v>
      </c>
      <c r="AY47" s="76">
        <f ca="1"/>
        <v>2413698.338945169</v>
      </c>
      <c r="AZ47" s="76">
        <f ca="1"/>
        <v>2693320.4434584188</v>
      </c>
      <c r="BA47" s="76">
        <f ca="1"/>
        <v>2971339.1166831078</v>
      </c>
      <c r="BB47" s="76">
        <f ca="1"/>
        <v>3248047.2585230861</v>
      </c>
      <c r="BC47" s="34">
        <f t="shared" si="17"/>
        <v>168</v>
      </c>
      <c r="BD47" s="42"/>
    </row>
    <row r="48" spans="1:56" x14ac:dyDescent="0.25">
      <c r="A48" s="1">
        <v>19</v>
      </c>
      <c r="B48" s="42" t="s">
        <v>24</v>
      </c>
      <c r="E48" s="43"/>
      <c r="I48" s="7">
        <v>2</v>
      </c>
      <c r="J48" s="32">
        <f t="shared" ref="J48:J65" si="24">1/2*$F8*($B$8*J$2/$B$17)</f>
        <v>-9.5849999999999549E-4</v>
      </c>
      <c r="K48" s="32">
        <f t="shared" ref="K48:AC61" si="25">1/4*$F8*(-1*$G8^2/$B$17^2-(-$B$8*K$2)/$B$17)</f>
        <v>-1.4938540011644533E-2</v>
      </c>
      <c r="L48" s="32">
        <f t="shared" si="25"/>
        <v>-1.4890614931449957E-2</v>
      </c>
      <c r="M48" s="32">
        <f t="shared" si="25"/>
        <v>-1.4842689851255381E-2</v>
      </c>
      <c r="N48" s="32">
        <f t="shared" si="25"/>
        <v>-1.4794765573006562E-2</v>
      </c>
      <c r="O48" s="32">
        <f t="shared" si="25"/>
        <v>-1.4746840492811986E-2</v>
      </c>
      <c r="P48" s="32">
        <f t="shared" si="25"/>
        <v>-1.4698915412617411E-2</v>
      </c>
      <c r="Q48" s="32">
        <f t="shared" si="25"/>
        <v>-1.4650990332422835E-2</v>
      </c>
      <c r="R48" s="32">
        <f t="shared" si="25"/>
        <v>-1.4603065252228261E-2</v>
      </c>
      <c r="S48" s="32">
        <f t="shared" si="25"/>
        <v>-1.4555140091839109E-2</v>
      </c>
      <c r="T48" s="32">
        <f t="shared" si="25"/>
        <v>-1.450721509183911E-2</v>
      </c>
      <c r="U48" s="32">
        <f t="shared" si="25"/>
        <v>-1.4459290091839112E-2</v>
      </c>
      <c r="V48" s="32">
        <f t="shared" si="25"/>
        <v>-1.4411364931449958E-2</v>
      </c>
      <c r="W48" s="32">
        <f t="shared" si="25"/>
        <v>-1.4363439851255386E-2</v>
      </c>
      <c r="X48" s="32">
        <f t="shared" si="25"/>
        <v>-1.431551477106081E-2</v>
      </c>
      <c r="Y48" s="32">
        <f t="shared" si="25"/>
        <v>-1.4267589690866235E-2</v>
      </c>
      <c r="Z48" s="32">
        <f t="shared" si="25"/>
        <v>-1.4219664610671659E-2</v>
      </c>
      <c r="AA48" s="32">
        <f t="shared" si="25"/>
        <v>-1.417174033242284E-2</v>
      </c>
      <c r="AB48" s="32">
        <f t="shared" si="25"/>
        <v>-1.4123815252228264E-2</v>
      </c>
      <c r="AC48" s="32">
        <f t="shared" si="25"/>
        <v>-1.4075890172033688E-2</v>
      </c>
      <c r="AD48" s="32"/>
      <c r="AF48" s="5" t="s">
        <v>20</v>
      </c>
      <c r="AG48" s="35">
        <v>1.25204</v>
      </c>
      <c r="AH48" s="75">
        <f t="shared" ref="AH48:BB48" si="26">AH14</f>
        <v>2.559740321E-3</v>
      </c>
      <c r="AI48" s="75">
        <f t="shared" si="26"/>
        <v>0.17120428030000001</v>
      </c>
      <c r="AJ48" s="75">
        <f t="shared" si="26"/>
        <v>1.2323112169999999</v>
      </c>
      <c r="AK48" s="75">
        <f t="shared" si="26"/>
        <v>8.4237732429999994</v>
      </c>
      <c r="AL48" s="75">
        <f t="shared" si="26"/>
        <v>55.04320998</v>
      </c>
      <c r="AM48" s="75">
        <f t="shared" si="26"/>
        <v>340.47669999999999</v>
      </c>
      <c r="AN48" s="75">
        <f t="shared" si="26"/>
        <v>1966.3551130000001</v>
      </c>
      <c r="AO48" s="75">
        <f t="shared" si="26"/>
        <v>10364.55365</v>
      </c>
      <c r="AP48" s="75">
        <f t="shared" si="26"/>
        <v>47487.07488</v>
      </c>
      <c r="AQ48" s="75">
        <f t="shared" si="26"/>
        <v>166295.9284</v>
      </c>
      <c r="AR48" s="75">
        <f t="shared" si="26"/>
        <v>412910.26909999998</v>
      </c>
      <c r="AS48" s="75">
        <f t="shared" si="26"/>
        <v>694861.78639999998</v>
      </c>
      <c r="AT48" s="75">
        <f t="shared" si="26"/>
        <v>981074.78720000002</v>
      </c>
      <c r="AU48" s="75">
        <f t="shared" si="26"/>
        <v>1266348.5719999999</v>
      </c>
      <c r="AV48" s="75">
        <f t="shared" si="26"/>
        <v>1550011.817</v>
      </c>
      <c r="AW48" s="75">
        <f t="shared" si="26"/>
        <v>1831995.551</v>
      </c>
      <c r="AX48" s="75">
        <f t="shared" si="26"/>
        <v>2112300.6860000002</v>
      </c>
      <c r="AY48" s="75">
        <f t="shared" si="26"/>
        <v>2390936.81</v>
      </c>
      <c r="AZ48" s="75">
        <f t="shared" si="26"/>
        <v>2667922.0839999998</v>
      </c>
      <c r="BA48" s="75">
        <f t="shared" si="26"/>
        <v>2943319.0630000001</v>
      </c>
      <c r="BB48" s="75">
        <f t="shared" si="26"/>
        <v>3217417.8769999999</v>
      </c>
      <c r="BC48" s="34">
        <f t="shared" si="17"/>
        <v>168</v>
      </c>
      <c r="BD48" s="42"/>
    </row>
    <row r="49" spans="5:56" x14ac:dyDescent="0.25">
      <c r="I49" s="7">
        <v>3</v>
      </c>
      <c r="J49" s="32">
        <f t="shared" si="24"/>
        <v>-3.8360000000000061E-3</v>
      </c>
      <c r="K49" s="32">
        <f t="shared" si="25"/>
        <v>-5.9785330709096286E-2</v>
      </c>
      <c r="L49" s="32">
        <f t="shared" si="25"/>
        <v>-5.9593530388150649E-2</v>
      </c>
      <c r="M49" s="32">
        <f t="shared" si="25"/>
        <v>-5.9401730067205012E-2</v>
      </c>
      <c r="N49" s="32">
        <f t="shared" si="25"/>
        <v>-5.9209932955715736E-2</v>
      </c>
      <c r="O49" s="32">
        <f t="shared" si="25"/>
        <v>-5.9018132634770099E-2</v>
      </c>
      <c r="P49" s="32">
        <f t="shared" si="25"/>
        <v>-5.8826332313824455E-2</v>
      </c>
      <c r="Q49" s="32">
        <f t="shared" si="25"/>
        <v>-5.8634531992878818E-2</v>
      </c>
      <c r="R49" s="32">
        <f t="shared" si="25"/>
        <v>-5.8442731671933194E-2</v>
      </c>
      <c r="S49" s="32">
        <f t="shared" si="25"/>
        <v>-5.8250931030041912E-2</v>
      </c>
      <c r="T49" s="32">
        <f t="shared" si="25"/>
        <v>-5.805913103004192E-2</v>
      </c>
      <c r="U49" s="32">
        <f t="shared" si="25"/>
        <v>-5.7867331030041921E-2</v>
      </c>
      <c r="V49" s="32">
        <f t="shared" si="25"/>
        <v>-5.7675530388150646E-2</v>
      </c>
      <c r="W49" s="32">
        <f t="shared" si="25"/>
        <v>-5.7483730067205016E-2</v>
      </c>
      <c r="X49" s="32">
        <f t="shared" si="25"/>
        <v>-5.7291929746259379E-2</v>
      </c>
      <c r="Y49" s="32">
        <f t="shared" si="25"/>
        <v>-5.7100129425313742E-2</v>
      </c>
      <c r="Z49" s="32">
        <f t="shared" si="25"/>
        <v>-5.6908329104368105E-2</v>
      </c>
      <c r="AA49" s="32">
        <f t="shared" si="25"/>
        <v>-5.6716531992878821E-2</v>
      </c>
      <c r="AB49" s="32">
        <f t="shared" si="25"/>
        <v>-5.6524731671933184E-2</v>
      </c>
      <c r="AC49" s="32">
        <f t="shared" si="25"/>
        <v>-5.6332931350987547E-2</v>
      </c>
      <c r="AD49" s="32"/>
      <c r="AF49" s="4"/>
      <c r="AG49" s="35">
        <v>1.2188399999999999</v>
      </c>
      <c r="AH49" s="76">
        <f t="array" aca="1" ref="AH49:BB49" ca="1">TRANSPOSE(MMULT(OFFSET($J$238:$AD$258,0,BC49),TRANSPOSE(AH48:BB48)))</f>
        <v>3.1879752922465109E-3</v>
      </c>
      <c r="AI49" s="76">
        <f ca="1"/>
        <v>0.20944939260355433</v>
      </c>
      <c r="AJ49" s="76">
        <f ca="1"/>
        <v>1.4911935342893394</v>
      </c>
      <c r="AK49" s="76">
        <f ca="1"/>
        <v>10.065569816270761</v>
      </c>
      <c r="AL49" s="76">
        <f ca="1"/>
        <v>64.835698254901516</v>
      </c>
      <c r="AM49" s="76">
        <f ca="1"/>
        <v>394.47984552265342</v>
      </c>
      <c r="AN49" s="76">
        <f ca="1"/>
        <v>2233.1983721490105</v>
      </c>
      <c r="AO49" s="76">
        <f ca="1"/>
        <v>11462.014528987274</v>
      </c>
      <c r="AP49" s="76">
        <f ca="1"/>
        <v>50531.115964815741</v>
      </c>
      <c r="AQ49" s="76">
        <f ca="1"/>
        <v>170959.16522071091</v>
      </c>
      <c r="AR49" s="76">
        <f ca="1"/>
        <v>414234.23394871753</v>
      </c>
      <c r="AS49" s="76">
        <f ca="1"/>
        <v>694800.2925328745</v>
      </c>
      <c r="AT49" s="76">
        <f ca="1"/>
        <v>980462.81766287377</v>
      </c>
      <c r="AU49" s="76">
        <f ca="1"/>
        <v>1265251.4753779792</v>
      </c>
      <c r="AV49" s="76">
        <f ca="1"/>
        <v>1548343.5128873312</v>
      </c>
      <c r="AW49" s="76">
        <f ca="1"/>
        <v>1829649.3625229478</v>
      </c>
      <c r="AX49" s="76">
        <f ca="1"/>
        <v>2109168.3855530787</v>
      </c>
      <c r="AY49" s="76">
        <f ca="1"/>
        <v>2386911.1435023774</v>
      </c>
      <c r="AZ49" s="76">
        <f ca="1"/>
        <v>2662898.0608425685</v>
      </c>
      <c r="BA49" s="76">
        <f ca="1"/>
        <v>2937199.0719889924</v>
      </c>
      <c r="BB49" s="76">
        <f ca="1"/>
        <v>3210131.2837652355</v>
      </c>
      <c r="BC49" s="34">
        <f t="shared" si="17"/>
        <v>192</v>
      </c>
      <c r="BD49" s="42"/>
    </row>
    <row r="50" spans="5:56" x14ac:dyDescent="0.25">
      <c r="E50" s="42"/>
      <c r="I50" s="7">
        <v>4</v>
      </c>
      <c r="J50" s="32">
        <f t="shared" si="24"/>
        <v>-3.835500000000003E-3</v>
      </c>
      <c r="K50" s="32">
        <f t="shared" si="25"/>
        <v>-5.9777538043466791E-2</v>
      </c>
      <c r="L50" s="32">
        <f t="shared" si="25"/>
        <v>-5.9585762722562989E-2</v>
      </c>
      <c r="M50" s="32">
        <f t="shared" si="25"/>
        <v>-5.939398740165918E-2</v>
      </c>
      <c r="N50" s="32">
        <f t="shared" si="25"/>
        <v>-5.9202215289793407E-2</v>
      </c>
      <c r="O50" s="32">
        <f t="shared" si="25"/>
        <v>-5.9010439968889598E-2</v>
      </c>
      <c r="P50" s="32">
        <f t="shared" si="25"/>
        <v>-5.8818664647985797E-2</v>
      </c>
      <c r="Q50" s="32">
        <f t="shared" si="25"/>
        <v>-5.8626889327081995E-2</v>
      </c>
      <c r="R50" s="32">
        <f t="shared" si="25"/>
        <v>-5.84351140061782E-2</v>
      </c>
      <c r="S50" s="32">
        <f t="shared" si="25"/>
        <v>-5.8243338364370588E-2</v>
      </c>
      <c r="T50" s="32">
        <f t="shared" si="25"/>
        <v>-5.805156336437059E-2</v>
      </c>
      <c r="U50" s="32">
        <f t="shared" si="25"/>
        <v>-5.7859788364370592E-2</v>
      </c>
      <c r="V50" s="32">
        <f t="shared" si="25"/>
        <v>-5.7668012722562986E-2</v>
      </c>
      <c r="W50" s="32">
        <f t="shared" si="25"/>
        <v>-5.7476237401659191E-2</v>
      </c>
      <c r="X50" s="32">
        <f t="shared" si="25"/>
        <v>-5.7284462080755383E-2</v>
      </c>
      <c r="Y50" s="32">
        <f t="shared" si="25"/>
        <v>-5.7092686759851581E-2</v>
      </c>
      <c r="Z50" s="32">
        <f t="shared" si="25"/>
        <v>-5.6900911438947779E-2</v>
      </c>
      <c r="AA50" s="32">
        <f t="shared" si="25"/>
        <v>-5.6709139327081999E-2</v>
      </c>
      <c r="AB50" s="32">
        <f t="shared" si="25"/>
        <v>-5.6517364006178197E-2</v>
      </c>
      <c r="AC50" s="32">
        <f t="shared" si="25"/>
        <v>-5.6325588685274389E-2</v>
      </c>
      <c r="AD50" s="32"/>
      <c r="AF50" s="4"/>
      <c r="AG50" s="35">
        <v>1</v>
      </c>
      <c r="AH50" s="76">
        <f t="array" aca="1" ref="AH50:BB50" ca="1">TRANSPOSE(MMULT(OFFSET($J$238:$AD$258,0,BC50),TRANSPOSE(AH49:BB49)))</f>
        <v>1.4230117406444923E-2</v>
      </c>
      <c r="AI50" s="76">
        <f ca="1"/>
        <v>0.80671157614730082</v>
      </c>
      <c r="AJ50" s="76">
        <f ca="1"/>
        <v>5.1735066976498265</v>
      </c>
      <c r="AK50" s="76">
        <f ca="1"/>
        <v>31.147148688979534</v>
      </c>
      <c r="AL50" s="76">
        <f ca="1"/>
        <v>177.34480020372322</v>
      </c>
      <c r="AM50" s="76">
        <f ca="1"/>
        <v>941.97289571904378</v>
      </c>
      <c r="AN50" s="76">
        <f ca="1"/>
        <v>4569.4912851073723</v>
      </c>
      <c r="AO50" s="76">
        <f ca="1"/>
        <v>19566.890120167071</v>
      </c>
      <c r="AP50" s="76">
        <f ca="1"/>
        <v>70132.54740284475</v>
      </c>
      <c r="AQ50" s="76">
        <f ca="1"/>
        <v>198123.12338218253</v>
      </c>
      <c r="AR50" s="76">
        <f ca="1"/>
        <v>424121.79477141064</v>
      </c>
      <c r="AS50" s="76">
        <f ca="1"/>
        <v>695140.8714879083</v>
      </c>
      <c r="AT50" s="76">
        <f ca="1"/>
        <v>976559.89996076818</v>
      </c>
      <c r="AU50" s="76">
        <f ca="1"/>
        <v>1257991.657266449</v>
      </c>
      <c r="AV50" s="76">
        <f ca="1"/>
        <v>1537311.3974707199</v>
      </c>
      <c r="AW50" s="76">
        <f ca="1"/>
        <v>1814180.698685372</v>
      </c>
      <c r="AX50" s="76">
        <f ca="1"/>
        <v>2088566.4574688042</v>
      </c>
      <c r="AY50" s="76">
        <f ca="1"/>
        <v>2360484.1664686492</v>
      </c>
      <c r="AZ50" s="76">
        <f ca="1"/>
        <v>2629973.9413500992</v>
      </c>
      <c r="BA50" s="76">
        <f ca="1"/>
        <v>2897166.654594061</v>
      </c>
      <c r="BB50" s="76">
        <f ca="1"/>
        <v>3162569.4911879306</v>
      </c>
      <c r="BC50" s="34">
        <f t="shared" si="17"/>
        <v>216</v>
      </c>
    </row>
    <row r="51" spans="5:56" x14ac:dyDescent="0.25">
      <c r="I51" s="7">
        <v>5</v>
      </c>
      <c r="J51" s="32">
        <f t="shared" si="24"/>
        <v>-3.8354999999999917E-3</v>
      </c>
      <c r="K51" s="32">
        <f t="shared" si="25"/>
        <v>-5.9777538043466617E-2</v>
      </c>
      <c r="L51" s="32">
        <f t="shared" si="25"/>
        <v>-5.9585762722562816E-2</v>
      </c>
      <c r="M51" s="32">
        <f t="shared" si="25"/>
        <v>-5.9393987401659014E-2</v>
      </c>
      <c r="N51" s="32">
        <f t="shared" si="25"/>
        <v>-5.9202215289793234E-2</v>
      </c>
      <c r="O51" s="32">
        <f t="shared" si="25"/>
        <v>-5.9010439968889432E-2</v>
      </c>
      <c r="P51" s="32">
        <f t="shared" si="25"/>
        <v>-5.8818664647985623E-2</v>
      </c>
      <c r="Q51" s="32">
        <f t="shared" si="25"/>
        <v>-5.8626889327081821E-2</v>
      </c>
      <c r="R51" s="32">
        <f t="shared" si="25"/>
        <v>-5.8435114006178027E-2</v>
      </c>
      <c r="S51" s="32">
        <f t="shared" si="25"/>
        <v>-5.8243338364370421E-2</v>
      </c>
      <c r="T51" s="32">
        <f t="shared" si="25"/>
        <v>-5.8051563364370423E-2</v>
      </c>
      <c r="U51" s="32">
        <f t="shared" si="25"/>
        <v>-5.7859788364370425E-2</v>
      </c>
      <c r="V51" s="32">
        <f t="shared" si="25"/>
        <v>-5.766801272256282E-2</v>
      </c>
      <c r="W51" s="32">
        <f t="shared" si="25"/>
        <v>-5.7476237401659025E-2</v>
      </c>
      <c r="X51" s="32">
        <f t="shared" si="25"/>
        <v>-5.7284462080755216E-2</v>
      </c>
      <c r="Y51" s="32">
        <f t="shared" si="25"/>
        <v>-5.7092686759851415E-2</v>
      </c>
      <c r="Z51" s="32">
        <f t="shared" si="25"/>
        <v>-5.6900911438947613E-2</v>
      </c>
      <c r="AA51" s="32">
        <f t="shared" si="25"/>
        <v>-5.6709139327081833E-2</v>
      </c>
      <c r="AB51" s="32">
        <f t="shared" si="25"/>
        <v>-5.6517364006178031E-2</v>
      </c>
      <c r="AC51" s="32">
        <f t="shared" si="25"/>
        <v>-5.6325588685274229E-2</v>
      </c>
      <c r="AD51" s="32"/>
      <c r="AF51" s="5" t="s">
        <v>20</v>
      </c>
      <c r="AG51" s="35">
        <v>0.99999000000000005</v>
      </c>
      <c r="AH51" s="75">
        <f t="shared" ref="AH51:BB51" si="27">AH17</f>
        <v>1.409578098E-2</v>
      </c>
      <c r="AI51" s="75">
        <f t="shared" si="27"/>
        <v>0.79909619409999999</v>
      </c>
      <c r="AJ51" s="75">
        <f t="shared" si="27"/>
        <v>5.1246689549999997</v>
      </c>
      <c r="AK51" s="75">
        <f t="shared" si="27"/>
        <v>30.853108580000001</v>
      </c>
      <c r="AL51" s="75">
        <f t="shared" si="27"/>
        <v>175.6704344</v>
      </c>
      <c r="AM51" s="75">
        <f t="shared" si="27"/>
        <v>933.07797410000001</v>
      </c>
      <c r="AN51" s="75">
        <f t="shared" si="27"/>
        <v>4526.3309509999999</v>
      </c>
      <c r="AO51" s="75">
        <f t="shared" si="27"/>
        <v>19382.006109999998</v>
      </c>
      <c r="AP51" s="75">
        <f t="shared" si="27"/>
        <v>69469.606660000005</v>
      </c>
      <c r="AQ51" s="75">
        <f t="shared" si="27"/>
        <v>196249.6819</v>
      </c>
      <c r="AR51" s="75">
        <f t="shared" si="27"/>
        <v>420110.48969999998</v>
      </c>
      <c r="AS51" s="75">
        <f t="shared" si="27"/>
        <v>688565.92929999996</v>
      </c>
      <c r="AT51" s="75">
        <f t="shared" si="27"/>
        <v>967323.06900000002</v>
      </c>
      <c r="AU51" s="75">
        <f t="shared" si="27"/>
        <v>1246092.845</v>
      </c>
      <c r="AV51" s="75">
        <f t="shared" si="27"/>
        <v>1522770.574</v>
      </c>
      <c r="AW51" s="75">
        <f t="shared" si="27"/>
        <v>1797021.0279999999</v>
      </c>
      <c r="AX51" s="75">
        <f t="shared" si="27"/>
        <v>2068811.4110000001</v>
      </c>
      <c r="AY51" s="75">
        <f t="shared" si="27"/>
        <v>2338157.0240000002</v>
      </c>
      <c r="AZ51" s="75">
        <f t="shared" si="27"/>
        <v>2605097.699</v>
      </c>
      <c r="BA51" s="75">
        <f t="shared" si="27"/>
        <v>2869763.0320000001</v>
      </c>
      <c r="BB51" s="75">
        <f t="shared" si="27"/>
        <v>3132655.412</v>
      </c>
      <c r="BC51" s="34">
        <f t="shared" si="17"/>
        <v>216</v>
      </c>
    </row>
    <row r="52" spans="5:56" x14ac:dyDescent="0.25">
      <c r="I52" s="7">
        <v>6</v>
      </c>
      <c r="J52" s="32">
        <f t="shared" si="24"/>
        <v>-9.5900000000000987E-4</v>
      </c>
      <c r="K52" s="32">
        <f t="shared" si="25"/>
        <v>-1.4946332677274202E-2</v>
      </c>
      <c r="L52" s="32">
        <f t="shared" si="25"/>
        <v>-1.4898382597037791E-2</v>
      </c>
      <c r="M52" s="32">
        <f t="shared" si="25"/>
        <v>-1.4850432516801381E-2</v>
      </c>
      <c r="N52" s="32">
        <f t="shared" si="25"/>
        <v>-1.4802483238929062E-2</v>
      </c>
      <c r="O52" s="32">
        <f t="shared" si="25"/>
        <v>-1.4754533158692651E-2</v>
      </c>
      <c r="P52" s="32">
        <f t="shared" si="25"/>
        <v>-1.4706583078456242E-2</v>
      </c>
      <c r="Q52" s="32">
        <f t="shared" si="25"/>
        <v>-1.4658632998219833E-2</v>
      </c>
      <c r="R52" s="32">
        <f t="shared" si="25"/>
        <v>-1.4610682917983425E-2</v>
      </c>
      <c r="S52" s="32">
        <f t="shared" si="25"/>
        <v>-1.4562732757510605E-2</v>
      </c>
      <c r="T52" s="32">
        <f t="shared" si="25"/>
        <v>-1.4514782757510605E-2</v>
      </c>
      <c r="U52" s="32">
        <f t="shared" si="25"/>
        <v>-1.4466832757510605E-2</v>
      </c>
      <c r="V52" s="32">
        <f t="shared" si="25"/>
        <v>-1.4418882597037786E-2</v>
      </c>
      <c r="W52" s="32">
        <f t="shared" si="25"/>
        <v>-1.4370932516801379E-2</v>
      </c>
      <c r="X52" s="32">
        <f t="shared" si="25"/>
        <v>-1.4322982436564968E-2</v>
      </c>
      <c r="Y52" s="32">
        <f t="shared" si="25"/>
        <v>-1.4275032356328559E-2</v>
      </c>
      <c r="Z52" s="32">
        <f t="shared" si="25"/>
        <v>-1.4227082276092149E-2</v>
      </c>
      <c r="AA52" s="32">
        <f t="shared" si="25"/>
        <v>-1.4179132998219829E-2</v>
      </c>
      <c r="AB52" s="32">
        <f t="shared" si="25"/>
        <v>-1.4131182917983419E-2</v>
      </c>
      <c r="AC52" s="32">
        <f t="shared" si="25"/>
        <v>-1.408323283774701E-2</v>
      </c>
      <c r="AD52" s="32"/>
      <c r="AF52" s="4"/>
      <c r="AG52" s="35">
        <v>0.966781</v>
      </c>
      <c r="AH52" s="76">
        <f t="array" aca="1" ref="AH52:BB52" ca="1">TRANSPOSE(MMULT(OFFSET($J$238:$AD$258,0,BC52),TRANSPOSE(AH51:BB51)))</f>
        <v>1.6978399957614253E-2</v>
      </c>
      <c r="AI52" s="76">
        <f ca="1"/>
        <v>0.94893201133521932</v>
      </c>
      <c r="AJ52" s="76">
        <f ca="1"/>
        <v>6.0165194556037926</v>
      </c>
      <c r="AK52" s="76">
        <f ca="1"/>
        <v>35.743841522049514</v>
      </c>
      <c r="AL52" s="76">
        <f ca="1"/>
        <v>200.42551904650063</v>
      </c>
      <c r="AM52" s="76">
        <f ca="1"/>
        <v>1045.5931995503447</v>
      </c>
      <c r="AN52" s="76">
        <f ca="1"/>
        <v>4964.0333560422696</v>
      </c>
      <c r="AO52" s="76">
        <f ca="1"/>
        <v>20723.166170741661</v>
      </c>
      <c r="AP52" s="76">
        <f ca="1"/>
        <v>72339.00927050774</v>
      </c>
      <c r="AQ52" s="76">
        <f ca="1"/>
        <v>199838.77940921875</v>
      </c>
      <c r="AR52" s="76">
        <f ca="1"/>
        <v>421745.56105349242</v>
      </c>
      <c r="AS52" s="76">
        <f ca="1"/>
        <v>688727.81134331971</v>
      </c>
      <c r="AT52" s="76">
        <f ca="1"/>
        <v>966758.16081613407</v>
      </c>
      <c r="AU52" s="76">
        <f ca="1"/>
        <v>1244997.5504263574</v>
      </c>
      <c r="AV52" s="76">
        <f ca="1"/>
        <v>1521106.1904233089</v>
      </c>
      <c r="AW52" s="76">
        <f ca="1"/>
        <v>1794693.9996324158</v>
      </c>
      <c r="AX52" s="76">
        <f ca="1"/>
        <v>2065719.5686461735</v>
      </c>
      <c r="AY52" s="76">
        <f ca="1"/>
        <v>2334198.6353413574</v>
      </c>
      <c r="AZ52" s="76">
        <f ca="1"/>
        <v>2600174.6999880155</v>
      </c>
      <c r="BA52" s="76">
        <f ca="1"/>
        <v>2863788.3259744151</v>
      </c>
      <c r="BB52" s="76">
        <f ca="1"/>
        <v>3125572.0429973365</v>
      </c>
      <c r="BC52" s="34">
        <f t="shared" si="17"/>
        <v>240</v>
      </c>
    </row>
    <row r="53" spans="5:56" x14ac:dyDescent="0.25">
      <c r="I53" s="7">
        <v>7</v>
      </c>
      <c r="J53" s="32">
        <f t="shared" si="24"/>
        <v>-3.8354999999999917E-3</v>
      </c>
      <c r="K53" s="32">
        <f t="shared" si="25"/>
        <v>-4.3832992257213828E-2</v>
      </c>
      <c r="L53" s="32">
        <f t="shared" si="25"/>
        <v>-4.3641216936310026E-2</v>
      </c>
      <c r="M53" s="32">
        <f t="shared" si="25"/>
        <v>-4.3449441615406217E-2</v>
      </c>
      <c r="N53" s="32">
        <f t="shared" si="25"/>
        <v>-4.3257669503540444E-2</v>
      </c>
      <c r="O53" s="32">
        <f t="shared" si="25"/>
        <v>-4.3065894182636635E-2</v>
      </c>
      <c r="P53" s="32">
        <f t="shared" si="25"/>
        <v>-4.2874118861732834E-2</v>
      </c>
      <c r="Q53" s="32">
        <f t="shared" si="25"/>
        <v>-4.2682343540829032E-2</v>
      </c>
      <c r="R53" s="32">
        <f t="shared" si="25"/>
        <v>-4.2490568219925237E-2</v>
      </c>
      <c r="S53" s="32">
        <f t="shared" si="25"/>
        <v>-4.2298792578117625E-2</v>
      </c>
      <c r="T53" s="32">
        <f t="shared" si="25"/>
        <v>-4.2107017578117634E-2</v>
      </c>
      <c r="U53" s="32">
        <f t="shared" si="25"/>
        <v>-4.1915242578117635E-2</v>
      </c>
      <c r="V53" s="32">
        <f t="shared" si="25"/>
        <v>-4.1723466936310023E-2</v>
      </c>
      <c r="W53" s="32">
        <f t="shared" si="25"/>
        <v>-4.1531691615406229E-2</v>
      </c>
      <c r="X53" s="32">
        <f t="shared" si="25"/>
        <v>-4.1339916294502427E-2</v>
      </c>
      <c r="Y53" s="32">
        <f t="shared" si="25"/>
        <v>-4.1148140973598625E-2</v>
      </c>
      <c r="Z53" s="32">
        <f t="shared" si="25"/>
        <v>-4.0956365652694823E-2</v>
      </c>
      <c r="AA53" s="32">
        <f t="shared" si="25"/>
        <v>-4.0764593540829043E-2</v>
      </c>
      <c r="AB53" s="32">
        <f t="shared" si="25"/>
        <v>-4.0572818219925241E-2</v>
      </c>
      <c r="AC53" s="32">
        <f t="shared" si="25"/>
        <v>-4.038104289902144E-2</v>
      </c>
      <c r="AD53" s="32"/>
      <c r="AF53" s="4"/>
      <c r="AG53" s="35">
        <v>0.74794499999999997</v>
      </c>
      <c r="AH53" s="76">
        <f t="array" aca="1" ref="AH53:BB53" ca="1">TRANSPOSE(MMULT(OFFSET($J$238:$AD$258,0,BC53),TRANSPOSE(AH52:BB52)))</f>
        <v>5.8654668127986816E-2</v>
      </c>
      <c r="AI53" s="76">
        <f ca="1"/>
        <v>2.8904062723692481</v>
      </c>
      <c r="AJ53" s="76">
        <f ca="1"/>
        <v>16.635580866470555</v>
      </c>
      <c r="AK53" s="76">
        <f ca="1"/>
        <v>88.741301547315643</v>
      </c>
      <c r="AL53" s="76">
        <f ca="1"/>
        <v>442.57009229668347</v>
      </c>
      <c r="AM53" s="76">
        <f ca="1"/>
        <v>2030.0926539012321</v>
      </c>
      <c r="AN53" s="76">
        <f ca="1"/>
        <v>8367.5340209283167</v>
      </c>
      <c r="AO53" s="76">
        <f ca="1"/>
        <v>30039.032093498554</v>
      </c>
      <c r="AP53" s="76">
        <f ca="1"/>
        <v>90535.170366197504</v>
      </c>
      <c r="AQ53" s="76">
        <f ca="1"/>
        <v>221479.88124980449</v>
      </c>
      <c r="AR53" s="76">
        <f ca="1"/>
        <v>432734.09222125221</v>
      </c>
      <c r="AS53" s="76">
        <f ca="1"/>
        <v>690391.19612105389</v>
      </c>
      <c r="AT53" s="76">
        <f ca="1"/>
        <v>963253.52311521024</v>
      </c>
      <c r="AU53" s="76">
        <f ca="1"/>
        <v>1237796.7748755</v>
      </c>
      <c r="AV53" s="76">
        <f ca="1"/>
        <v>1510117.3414921651</v>
      </c>
      <c r="AW53" s="76">
        <f ca="1"/>
        <v>1779361.1541072088</v>
      </c>
      <c r="AX53" s="76">
        <f ca="1"/>
        <v>2045392.9636365953</v>
      </c>
      <c r="AY53" s="76">
        <f ca="1"/>
        <v>2308224.8220542814</v>
      </c>
      <c r="AZ53" s="76">
        <f ca="1"/>
        <v>2567928.3070974662</v>
      </c>
      <c r="BA53" s="76">
        <f ca="1"/>
        <v>2824725.2338637793</v>
      </c>
      <c r="BB53" s="76">
        <f ca="1"/>
        <v>3079348.1594260987</v>
      </c>
      <c r="BC53" s="34">
        <f t="shared" si="17"/>
        <v>264</v>
      </c>
    </row>
    <row r="54" spans="5:56" x14ac:dyDescent="0.25">
      <c r="I54" s="7">
        <v>8</v>
      </c>
      <c r="J54" s="32">
        <f t="shared" si="24"/>
        <v>-3.835500000000003E-3</v>
      </c>
      <c r="K54" s="32">
        <f t="shared" si="25"/>
        <v>-4.3832992257213953E-2</v>
      </c>
      <c r="L54" s="32">
        <f t="shared" si="25"/>
        <v>-4.3641216936310151E-2</v>
      </c>
      <c r="M54" s="32">
        <f t="shared" si="25"/>
        <v>-4.3449441615406342E-2</v>
      </c>
      <c r="N54" s="32">
        <f t="shared" si="25"/>
        <v>-4.3257669503540569E-2</v>
      </c>
      <c r="O54" s="32">
        <f t="shared" si="25"/>
        <v>-4.306589418263676E-2</v>
      </c>
      <c r="P54" s="32">
        <f t="shared" si="25"/>
        <v>-4.2874118861732959E-2</v>
      </c>
      <c r="Q54" s="32">
        <f t="shared" si="25"/>
        <v>-4.2682343540829157E-2</v>
      </c>
      <c r="R54" s="32">
        <f t="shared" si="25"/>
        <v>-4.2490568219925362E-2</v>
      </c>
      <c r="S54" s="32">
        <f t="shared" si="25"/>
        <v>-4.229879257811775E-2</v>
      </c>
      <c r="T54" s="32">
        <f t="shared" si="25"/>
        <v>-4.2107017578117752E-2</v>
      </c>
      <c r="U54" s="32">
        <f t="shared" si="25"/>
        <v>-4.191524257811776E-2</v>
      </c>
      <c r="V54" s="32">
        <f t="shared" si="25"/>
        <v>-4.1723466936310148E-2</v>
      </c>
      <c r="W54" s="32">
        <f t="shared" si="25"/>
        <v>-4.1531691615406353E-2</v>
      </c>
      <c r="X54" s="32">
        <f t="shared" si="25"/>
        <v>-4.1339916294502545E-2</v>
      </c>
      <c r="Y54" s="32">
        <f t="shared" si="25"/>
        <v>-4.1148140973598743E-2</v>
      </c>
      <c r="Z54" s="32">
        <f t="shared" si="25"/>
        <v>-4.0956365652694941E-2</v>
      </c>
      <c r="AA54" s="32">
        <f t="shared" si="25"/>
        <v>-4.0764593540829161E-2</v>
      </c>
      <c r="AB54" s="32">
        <f t="shared" si="25"/>
        <v>-4.0572818219925359E-2</v>
      </c>
      <c r="AC54" s="32">
        <f t="shared" si="25"/>
        <v>-4.0381042899021551E-2</v>
      </c>
      <c r="AD54" s="32"/>
      <c r="AF54" s="5" t="s">
        <v>20</v>
      </c>
      <c r="AG54" s="35">
        <v>0.74793500000000002</v>
      </c>
      <c r="AH54" s="75">
        <f t="shared" ref="AH54:BB54" si="28">AH20</f>
        <v>5.8116115760000003E-2</v>
      </c>
      <c r="AI54" s="75">
        <f t="shared" si="28"/>
        <v>2.8638671630000001</v>
      </c>
      <c r="AJ54" s="75">
        <f t="shared" si="28"/>
        <v>16.482840159999999</v>
      </c>
      <c r="AK54" s="75">
        <f t="shared" si="28"/>
        <v>87.926536319999997</v>
      </c>
      <c r="AL54" s="75">
        <f t="shared" si="28"/>
        <v>438.50677960000002</v>
      </c>
      <c r="AM54" s="75">
        <f t="shared" si="28"/>
        <v>2011.4545069999999</v>
      </c>
      <c r="AN54" s="75">
        <f t="shared" si="28"/>
        <v>8290.7141800000009</v>
      </c>
      <c r="AO54" s="75">
        <f t="shared" si="28"/>
        <v>29763.259300000002</v>
      </c>
      <c r="AP54" s="75">
        <f t="shared" si="28"/>
        <v>89704.032210000005</v>
      </c>
      <c r="AQ54" s="75">
        <f t="shared" si="28"/>
        <v>219446.67139999999</v>
      </c>
      <c r="AR54" s="75">
        <f t="shared" si="28"/>
        <v>428761.58990000002</v>
      </c>
      <c r="AS54" s="75">
        <f t="shared" si="28"/>
        <v>684053.42339999997</v>
      </c>
      <c r="AT54" s="75">
        <f t="shared" si="28"/>
        <v>954410.89569999999</v>
      </c>
      <c r="AU54" s="75">
        <f t="shared" si="28"/>
        <v>1226433.858</v>
      </c>
      <c r="AV54" s="75">
        <f t="shared" si="28"/>
        <v>1496254.541</v>
      </c>
      <c r="AW54" s="75">
        <f t="shared" si="28"/>
        <v>1763026.7139999999</v>
      </c>
      <c r="AX54" s="75">
        <f t="shared" si="28"/>
        <v>2026616.3670000001</v>
      </c>
      <c r="AY54" s="75">
        <f t="shared" si="28"/>
        <v>2287035.3969999999</v>
      </c>
      <c r="AZ54" s="75">
        <f t="shared" si="28"/>
        <v>2544354.8160000001</v>
      </c>
      <c r="BA54" s="75">
        <f t="shared" si="28"/>
        <v>2798794.3650000002</v>
      </c>
      <c r="BB54" s="75">
        <f t="shared" si="28"/>
        <v>3051079.872</v>
      </c>
      <c r="BC54" s="34">
        <f t="shared" si="17"/>
        <v>264</v>
      </c>
    </row>
    <row r="55" spans="5:56" x14ac:dyDescent="0.25">
      <c r="I55" s="7">
        <v>9</v>
      </c>
      <c r="J55" s="32">
        <f t="shared" si="24"/>
        <v>-3.8359999999999952E-3</v>
      </c>
      <c r="K55" s="32">
        <f t="shared" si="25"/>
        <v>-4.3838706374311663E-2</v>
      </c>
      <c r="L55" s="32">
        <f t="shared" si="25"/>
        <v>-4.3646906053366026E-2</v>
      </c>
      <c r="M55" s="32">
        <f t="shared" si="25"/>
        <v>-4.3455105732420389E-2</v>
      </c>
      <c r="N55" s="32">
        <f t="shared" si="25"/>
        <v>-4.3263308620931112E-2</v>
      </c>
      <c r="O55" s="32">
        <f t="shared" si="25"/>
        <v>-4.3071508299985475E-2</v>
      </c>
      <c r="P55" s="32">
        <f t="shared" si="25"/>
        <v>-4.2879707979039838E-2</v>
      </c>
      <c r="Q55" s="32">
        <f t="shared" si="25"/>
        <v>-4.2687907658094201E-2</v>
      </c>
      <c r="R55" s="32">
        <f t="shared" si="25"/>
        <v>-4.2496107337148571E-2</v>
      </c>
      <c r="S55" s="32">
        <f t="shared" si="25"/>
        <v>-4.2304306695257296E-2</v>
      </c>
      <c r="T55" s="32">
        <f t="shared" si="25"/>
        <v>-4.2112506695257297E-2</v>
      </c>
      <c r="U55" s="32">
        <f t="shared" si="25"/>
        <v>-4.1920706695257305E-2</v>
      </c>
      <c r="V55" s="32">
        <f t="shared" si="25"/>
        <v>-4.1728906053366023E-2</v>
      </c>
      <c r="W55" s="32">
        <f t="shared" si="25"/>
        <v>-4.15371057324204E-2</v>
      </c>
      <c r="X55" s="32">
        <f t="shared" si="25"/>
        <v>-4.1345305411474763E-2</v>
      </c>
      <c r="Y55" s="32">
        <f t="shared" si="25"/>
        <v>-4.1153505090529126E-2</v>
      </c>
      <c r="Z55" s="32">
        <f t="shared" si="25"/>
        <v>-4.0961704769583489E-2</v>
      </c>
      <c r="AA55" s="32">
        <f t="shared" si="25"/>
        <v>-4.0769907658094212E-2</v>
      </c>
      <c r="AB55" s="32">
        <f t="shared" si="25"/>
        <v>-4.0578107337148575E-2</v>
      </c>
      <c r="AC55" s="32">
        <f t="shared" si="25"/>
        <v>-4.0386307016202938E-2</v>
      </c>
      <c r="AD55" s="32"/>
      <c r="AF55" s="4"/>
      <c r="AG55" s="35">
        <v>0.72020499999999998</v>
      </c>
      <c r="AH55" s="76">
        <f t="array" aca="1" ref="AH55:BB55" ca="1">TRANSPOSE(MMULT(OFFSET($J$238:$AD$258,0,BC55),TRANSPOSE(AH54:BB54)))</f>
        <v>6.6510139563400544E-2</v>
      </c>
      <c r="AI55" s="76">
        <f ca="1"/>
        <v>3.2382090807080997</v>
      </c>
      <c r="AJ55" s="76">
        <f ca="1"/>
        <v>18.455120506169337</v>
      </c>
      <c r="AK55" s="76">
        <f ca="1"/>
        <v>97.32517958386876</v>
      </c>
      <c r="AL55" s="76">
        <f ca="1"/>
        <v>479.10207587084381</v>
      </c>
      <c r="AM55" s="76">
        <f ca="1"/>
        <v>2165.5009115448111</v>
      </c>
      <c r="AN55" s="76">
        <f ca="1"/>
        <v>8780.8234978584769</v>
      </c>
      <c r="AO55" s="76">
        <f ca="1"/>
        <v>30987.73849788788</v>
      </c>
      <c r="AP55" s="76">
        <f ca="1"/>
        <v>91902.20610212085</v>
      </c>
      <c r="AQ55" s="76">
        <f ca="1"/>
        <v>221932.57122501772</v>
      </c>
      <c r="AR55" s="76">
        <f ca="1"/>
        <v>430161.23180636246</v>
      </c>
      <c r="AS55" s="76">
        <f ca="1"/>
        <v>684332.54684888944</v>
      </c>
      <c r="AT55" s="76">
        <f ca="1"/>
        <v>953998.04241346975</v>
      </c>
      <c r="AU55" s="76">
        <f ca="1"/>
        <v>1225531.934472515</v>
      </c>
      <c r="AV55" s="76">
        <f ca="1"/>
        <v>1494871.6185025945</v>
      </c>
      <c r="AW55" s="76">
        <f ca="1"/>
        <v>1761100.6466635023</v>
      </c>
      <c r="AX55" s="76">
        <f ca="1"/>
        <v>2024068.5309145262</v>
      </c>
      <c r="AY55" s="76">
        <f ca="1"/>
        <v>2283785.8181819408</v>
      </c>
      <c r="AZ55" s="76">
        <f ca="1"/>
        <v>2540327.4923613975</v>
      </c>
      <c r="BA55" s="76">
        <f ca="1"/>
        <v>2793924.5549014984</v>
      </c>
      <c r="BB55" s="76">
        <f ca="1"/>
        <v>3045328.0423196508</v>
      </c>
      <c r="BC55" s="34">
        <f t="shared" si="17"/>
        <v>288</v>
      </c>
    </row>
    <row r="56" spans="5:56" x14ac:dyDescent="0.25">
      <c r="I56" s="7">
        <v>10</v>
      </c>
      <c r="J56" s="32">
        <f t="shared" si="24"/>
        <v>-1.6605000000000092E-3</v>
      </c>
      <c r="K56" s="32">
        <f t="shared" si="25"/>
        <v>-1.897658288178963E-2</v>
      </c>
      <c r="L56" s="32">
        <f t="shared" si="25"/>
        <v>-1.8893557742860997E-2</v>
      </c>
      <c r="M56" s="32">
        <f t="shared" si="25"/>
        <v>-1.8810532603932364E-2</v>
      </c>
      <c r="N56" s="32">
        <f t="shared" si="25"/>
        <v>-1.8727508854290042E-2</v>
      </c>
      <c r="O56" s="32">
        <f t="shared" si="25"/>
        <v>-1.8644483715361409E-2</v>
      </c>
      <c r="P56" s="32">
        <f t="shared" si="25"/>
        <v>-1.8561458576432779E-2</v>
      </c>
      <c r="Q56" s="32">
        <f t="shared" si="25"/>
        <v>-1.8478433437504146E-2</v>
      </c>
      <c r="R56" s="32">
        <f t="shared" si="25"/>
        <v>-1.8395408298575517E-2</v>
      </c>
      <c r="S56" s="32">
        <f t="shared" si="25"/>
        <v>-1.8312383020718252E-2</v>
      </c>
      <c r="T56" s="32">
        <f t="shared" si="25"/>
        <v>-1.8229358020718255E-2</v>
      </c>
      <c r="U56" s="32">
        <f t="shared" si="25"/>
        <v>-1.8146333020718258E-2</v>
      </c>
      <c r="V56" s="32">
        <f t="shared" si="25"/>
        <v>-1.8063307742860992E-2</v>
      </c>
      <c r="W56" s="32">
        <f t="shared" si="25"/>
        <v>-1.7980282603932363E-2</v>
      </c>
      <c r="X56" s="32">
        <f t="shared" si="25"/>
        <v>-1.789725746500373E-2</v>
      </c>
      <c r="Y56" s="32">
        <f t="shared" si="25"/>
        <v>-1.78142323260751E-2</v>
      </c>
      <c r="Z56" s="32">
        <f t="shared" si="25"/>
        <v>-1.7731207187146467E-2</v>
      </c>
      <c r="AA56" s="32">
        <f t="shared" si="25"/>
        <v>-1.7648183437504145E-2</v>
      </c>
      <c r="AB56" s="32">
        <f t="shared" si="25"/>
        <v>-1.7565158298575512E-2</v>
      </c>
      <c r="AC56" s="32">
        <f t="shared" si="25"/>
        <v>-1.7482133159646879E-2</v>
      </c>
      <c r="AD56" s="32"/>
      <c r="AF56" s="4"/>
      <c r="AG56" s="35">
        <v>0.50136999999999998</v>
      </c>
      <c r="AH56" s="76">
        <f t="array" aca="1" ref="AH56:BB56" ca="1">TRANSPOSE(MMULT(OFFSET($J$238:$AD$258,0,BC56),TRANSPOSE(AH55:BB55)))</f>
        <v>0.19111515061618625</v>
      </c>
      <c r="AI56" s="76">
        <f ca="1"/>
        <v>8.2534901065440476</v>
      </c>
      <c r="AJ56" s="76">
        <f ca="1"/>
        <v>42.952955859570928</v>
      </c>
      <c r="AK56" s="76">
        <f ca="1"/>
        <v>204.68269592385209</v>
      </c>
      <c r="AL56" s="76">
        <f ca="1"/>
        <v>903.6166243413752</v>
      </c>
      <c r="AM56" s="76">
        <f ca="1"/>
        <v>3636.5237289312399</v>
      </c>
      <c r="AN56" s="76">
        <f ca="1"/>
        <v>13062.809926435761</v>
      </c>
      <c r="AO56" s="76">
        <f ca="1"/>
        <v>40865.800705469883</v>
      </c>
      <c r="AP56" s="76">
        <f ca="1"/>
        <v>108581.18545538012</v>
      </c>
      <c r="AQ56" s="76">
        <f ca="1"/>
        <v>240293.4675733464</v>
      </c>
      <c r="AR56" s="76">
        <f ca="1"/>
        <v>441089.52385154902</v>
      </c>
      <c r="AS56" s="76">
        <f ca="1"/>
        <v>686920.21864111058</v>
      </c>
      <c r="AT56" s="76">
        <f ca="1"/>
        <v>950971.48782296153</v>
      </c>
      <c r="AU56" s="76">
        <f ca="1"/>
        <v>1218469.8572926435</v>
      </c>
      <c r="AV56" s="76">
        <f ca="1"/>
        <v>1483956.1245269289</v>
      </c>
      <c r="AW56" s="76">
        <f ca="1"/>
        <v>1745910.1463436619</v>
      </c>
      <c r="AX56" s="76">
        <f ca="1"/>
        <v>2004013.0546891412</v>
      </c>
      <c r="AY56" s="76">
        <f ca="1"/>
        <v>2258253.472131778</v>
      </c>
      <c r="AZ56" s="76">
        <f ca="1"/>
        <v>2508739.2888455829</v>
      </c>
      <c r="BA56" s="76">
        <f ca="1"/>
        <v>2755795.5415133839</v>
      </c>
      <c r="BB56" s="76">
        <f ca="1"/>
        <v>3000369.048220118</v>
      </c>
      <c r="BC56" s="34">
        <f t="shared" si="17"/>
        <v>312</v>
      </c>
    </row>
    <row r="57" spans="5:56" x14ac:dyDescent="0.25">
      <c r="I57" s="7">
        <v>11</v>
      </c>
      <c r="J57" s="32">
        <f t="shared" si="24"/>
        <v>-1.0941999999999997E-2</v>
      </c>
      <c r="K57" s="32">
        <f t="shared" si="25"/>
        <v>-0.12504773856822698</v>
      </c>
      <c r="L57" s="32">
        <f t="shared" si="25"/>
        <v>-0.12450063765274544</v>
      </c>
      <c r="M57" s="32">
        <f t="shared" si="25"/>
        <v>-0.12395353673726391</v>
      </c>
      <c r="N57" s="32">
        <f t="shared" si="25"/>
        <v>-0.12340644497659767</v>
      </c>
      <c r="O57" s="32">
        <f t="shared" si="25"/>
        <v>-0.12285934406111614</v>
      </c>
      <c r="P57" s="32">
        <f t="shared" si="25"/>
        <v>-0.1223122431456346</v>
      </c>
      <c r="Q57" s="32">
        <f t="shared" si="25"/>
        <v>-0.12176514223015307</v>
      </c>
      <c r="R57" s="32">
        <f t="shared" si="25"/>
        <v>-0.12121804131467157</v>
      </c>
      <c r="S57" s="32">
        <f t="shared" si="25"/>
        <v>-0.12067093948370849</v>
      </c>
      <c r="T57" s="32">
        <f t="shared" si="25"/>
        <v>-0.1201238394837085</v>
      </c>
      <c r="U57" s="32">
        <f t="shared" si="25"/>
        <v>-0.11957673948370852</v>
      </c>
      <c r="V57" s="32">
        <f t="shared" si="25"/>
        <v>-0.11902963765274543</v>
      </c>
      <c r="W57" s="32">
        <f t="shared" si="25"/>
        <v>-0.11848253673726393</v>
      </c>
      <c r="X57" s="32">
        <f t="shared" si="25"/>
        <v>-0.1179354358217824</v>
      </c>
      <c r="Y57" s="32">
        <f t="shared" si="25"/>
        <v>-0.11738833490630086</v>
      </c>
      <c r="Z57" s="32">
        <f t="shared" si="25"/>
        <v>-0.11684123399081933</v>
      </c>
      <c r="AA57" s="32">
        <f t="shared" si="25"/>
        <v>-0.11629414223015309</v>
      </c>
      <c r="AB57" s="32">
        <f t="shared" si="25"/>
        <v>-0.11574704131467156</v>
      </c>
      <c r="AC57" s="32">
        <f t="shared" si="25"/>
        <v>-0.11519994039919003</v>
      </c>
      <c r="AD57" s="32"/>
      <c r="AF57" s="5" t="s">
        <v>20</v>
      </c>
      <c r="AG57" s="35">
        <v>0.50136000000000003</v>
      </c>
      <c r="AH57" s="75">
        <f t="shared" ref="AH57:BB57" si="29">AH23</f>
        <v>0.18935410499999999</v>
      </c>
      <c r="AI57" s="75">
        <f t="shared" si="29"/>
        <v>8.1774328290000007</v>
      </c>
      <c r="AJ57" s="75">
        <f t="shared" si="29"/>
        <v>42.557130600000001</v>
      </c>
      <c r="AK57" s="75">
        <f t="shared" si="29"/>
        <v>202.79644540000001</v>
      </c>
      <c r="AL57" s="75">
        <f t="shared" si="29"/>
        <v>895.28919080000003</v>
      </c>
      <c r="AM57" s="75">
        <f t="shared" si="29"/>
        <v>3603.010319</v>
      </c>
      <c r="AN57" s="75">
        <f t="shared" si="29"/>
        <v>12942.42461</v>
      </c>
      <c r="AO57" s="75">
        <f t="shared" si="29"/>
        <v>40489.182569999997</v>
      </c>
      <c r="AP57" s="75">
        <f t="shared" si="29"/>
        <v>107580.4954</v>
      </c>
      <c r="AQ57" s="75">
        <f t="shared" si="29"/>
        <v>238078.89490000001</v>
      </c>
      <c r="AR57" s="75">
        <f t="shared" si="29"/>
        <v>437024.37060000002</v>
      </c>
      <c r="AS57" s="75">
        <f t="shared" si="29"/>
        <v>680589.43610000005</v>
      </c>
      <c r="AT57" s="75">
        <f t="shared" si="29"/>
        <v>942207.15870000003</v>
      </c>
      <c r="AU57" s="75">
        <f t="shared" si="29"/>
        <v>1207240.213</v>
      </c>
      <c r="AV57" s="75">
        <f t="shared" si="29"/>
        <v>1470279.709</v>
      </c>
      <c r="AW57" s="75">
        <f t="shared" si="29"/>
        <v>1729819.513</v>
      </c>
      <c r="AX57" s="75">
        <f t="shared" si="29"/>
        <v>1985543.692</v>
      </c>
      <c r="AY57" s="75">
        <f t="shared" si="29"/>
        <v>2237440.929</v>
      </c>
      <c r="AZ57" s="75">
        <f t="shared" si="29"/>
        <v>2485618.21</v>
      </c>
      <c r="BA57" s="75">
        <f t="shared" si="29"/>
        <v>2730397.5410000002</v>
      </c>
      <c r="BB57" s="75">
        <f t="shared" si="29"/>
        <v>2972717.0070000002</v>
      </c>
      <c r="BC57" s="34">
        <f t="shared" si="17"/>
        <v>312</v>
      </c>
    </row>
    <row r="58" spans="5:56" x14ac:dyDescent="0.25">
      <c r="I58" s="7">
        <v>12</v>
      </c>
      <c r="J58" s="32">
        <f t="shared" si="24"/>
        <v>-1.66095E-3</v>
      </c>
      <c r="K58" s="32">
        <f t="shared" si="25"/>
        <v>-1.8981725587177541E-2</v>
      </c>
      <c r="L58" s="32">
        <f t="shared" si="25"/>
        <v>-1.8898677948211259E-2</v>
      </c>
      <c r="M58" s="32">
        <f t="shared" si="25"/>
        <v>-1.8815630309244977E-2</v>
      </c>
      <c r="N58" s="32">
        <f t="shared" si="25"/>
        <v>-1.8732584059941507E-2</v>
      </c>
      <c r="O58" s="32">
        <f t="shared" si="25"/>
        <v>-1.8649536420975225E-2</v>
      </c>
      <c r="P58" s="32">
        <f t="shared" si="25"/>
        <v>-1.8566488782008943E-2</v>
      </c>
      <c r="Q58" s="32">
        <f t="shared" si="25"/>
        <v>-1.8483441143042661E-2</v>
      </c>
      <c r="R58" s="32">
        <f t="shared" si="25"/>
        <v>-1.8400393504076386E-2</v>
      </c>
      <c r="S58" s="32">
        <f t="shared" si="25"/>
        <v>-1.8317345726143821E-2</v>
      </c>
      <c r="T58" s="32">
        <f t="shared" si="25"/>
        <v>-1.8234298226143822E-2</v>
      </c>
      <c r="U58" s="32">
        <f t="shared" si="25"/>
        <v>-1.8151250726143823E-2</v>
      </c>
      <c r="V58" s="32">
        <f t="shared" si="25"/>
        <v>-1.8068202948211258E-2</v>
      </c>
      <c r="W58" s="32">
        <f t="shared" si="25"/>
        <v>-1.798515530924498E-2</v>
      </c>
      <c r="X58" s="32">
        <f t="shared" si="25"/>
        <v>-1.7902107670278701E-2</v>
      </c>
      <c r="Y58" s="32">
        <f t="shared" si="25"/>
        <v>-1.7819060031312419E-2</v>
      </c>
      <c r="Z58" s="32">
        <f t="shared" si="25"/>
        <v>-1.7736012392346137E-2</v>
      </c>
      <c r="AA58" s="32">
        <f t="shared" si="25"/>
        <v>-1.7652966143042664E-2</v>
      </c>
      <c r="AB58" s="32">
        <f t="shared" si="25"/>
        <v>-1.7569918504076385E-2</v>
      </c>
      <c r="AC58" s="32">
        <f t="shared" si="25"/>
        <v>-1.7486870865110103E-2</v>
      </c>
      <c r="AD58" s="32"/>
      <c r="AF58" s="4"/>
      <c r="AG58" s="35">
        <v>0.47088999999999998</v>
      </c>
      <c r="AH58" s="76">
        <f t="array" aca="1" ref="AH58:BB58" ca="1">TRANSPOSE(MMULT(OFFSET($J$238:$AD$258,0,BC58),TRANSPOSE(AH57:BB57)))</f>
        <v>0.21556125436493992</v>
      </c>
      <c r="AI58" s="76">
        <f ca="1"/>
        <v>9.18179370158275</v>
      </c>
      <c r="AJ58" s="76">
        <f ca="1"/>
        <v>47.271015098568014</v>
      </c>
      <c r="AK58" s="76">
        <f ca="1"/>
        <v>222.4745797022353</v>
      </c>
      <c r="AL58" s="76">
        <f ca="1"/>
        <v>968.81380422229495</v>
      </c>
      <c r="AM58" s="76">
        <f ca="1"/>
        <v>3841.7778101273989</v>
      </c>
      <c r="AN58" s="76">
        <f ca="1"/>
        <v>13589.775136593486</v>
      </c>
      <c r="AO58" s="76">
        <f ca="1"/>
        <v>41879.822625005523</v>
      </c>
      <c r="AP58" s="76">
        <f ca="1"/>
        <v>109791.0661084059</v>
      </c>
      <c r="AQ58" s="76">
        <f ca="1"/>
        <v>240445.69217714277</v>
      </c>
      <c r="AR58" s="76">
        <f ca="1"/>
        <v>438513.99595787923</v>
      </c>
      <c r="AS58" s="76">
        <f ca="1"/>
        <v>680997.47050998465</v>
      </c>
      <c r="AT58" s="76">
        <f ca="1"/>
        <v>941821.50730313279</v>
      </c>
      <c r="AU58" s="76">
        <f ca="1"/>
        <v>1206273.5709479074</v>
      </c>
      <c r="AV58" s="76">
        <f ca="1"/>
        <v>1468772.8643670462</v>
      </c>
      <c r="AW58" s="76">
        <f ca="1"/>
        <v>1727723.9004662277</v>
      </c>
      <c r="AX58" s="76">
        <f ca="1"/>
        <v>1982782.2352355481</v>
      </c>
      <c r="AY58" s="76">
        <f ca="1"/>
        <v>2233931.8948191404</v>
      </c>
      <c r="AZ58" s="76">
        <f ca="1"/>
        <v>2481284.5720530297</v>
      </c>
      <c r="BA58" s="76">
        <f ca="1"/>
        <v>2725175.925875477</v>
      </c>
      <c r="BB58" s="76">
        <f ca="1"/>
        <v>2966570.5841762191</v>
      </c>
      <c r="BC58" s="34">
        <f t="shared" si="17"/>
        <v>336</v>
      </c>
    </row>
    <row r="59" spans="5:56" x14ac:dyDescent="0.25">
      <c r="I59" s="7">
        <v>13</v>
      </c>
      <c r="J59" s="32">
        <f t="shared" si="24"/>
        <v>-1.0941800000000002E-2</v>
      </c>
      <c r="K59" s="32">
        <f t="shared" si="25"/>
        <v>-0.12504545292138791</v>
      </c>
      <c r="L59" s="32">
        <f t="shared" si="25"/>
        <v>-0.12449836200592311</v>
      </c>
      <c r="M59" s="32">
        <f t="shared" si="25"/>
        <v>-0.12395127109045831</v>
      </c>
      <c r="N59" s="32">
        <f t="shared" si="25"/>
        <v>-0.12340418932964148</v>
      </c>
      <c r="O59" s="32">
        <f t="shared" si="25"/>
        <v>-0.12285709841417668</v>
      </c>
      <c r="P59" s="32">
        <f t="shared" si="25"/>
        <v>-0.12231000749871188</v>
      </c>
      <c r="Q59" s="32">
        <f t="shared" si="25"/>
        <v>-0.12176291658324707</v>
      </c>
      <c r="R59" s="32">
        <f t="shared" si="25"/>
        <v>-0.1212158256677823</v>
      </c>
      <c r="S59" s="32">
        <f t="shared" si="25"/>
        <v>-0.1206687338368527</v>
      </c>
      <c r="T59" s="32">
        <f t="shared" si="25"/>
        <v>-0.12012164383685271</v>
      </c>
      <c r="U59" s="32">
        <f t="shared" si="25"/>
        <v>-0.11957455383685273</v>
      </c>
      <c r="V59" s="32">
        <f t="shared" si="25"/>
        <v>-0.11902746200592311</v>
      </c>
      <c r="W59" s="32">
        <f t="shared" si="25"/>
        <v>-0.11848037109045834</v>
      </c>
      <c r="X59" s="32">
        <f t="shared" si="25"/>
        <v>-0.11793328017499353</v>
      </c>
      <c r="Y59" s="32">
        <f t="shared" si="25"/>
        <v>-0.11738618925952873</v>
      </c>
      <c r="Z59" s="32">
        <f t="shared" si="25"/>
        <v>-0.11683909834406393</v>
      </c>
      <c r="AA59" s="32">
        <f t="shared" si="25"/>
        <v>-0.1162920165832471</v>
      </c>
      <c r="AB59" s="32">
        <f t="shared" si="25"/>
        <v>-0.1157449256677823</v>
      </c>
      <c r="AC59" s="32">
        <f t="shared" si="25"/>
        <v>-0.1151978347523175</v>
      </c>
      <c r="AD59" s="32"/>
      <c r="AF59" s="4"/>
      <c r="AG59" s="35">
        <v>0.25205499999999997</v>
      </c>
      <c r="AH59" s="76">
        <f t="array" aca="1" ref="AH59:BB59" ca="1">TRANSPOSE(MMULT(OFFSET($J$238:$AD$258,0,BC59),TRANSPOSE(AH58:BB58)))</f>
        <v>0.53449386278380573</v>
      </c>
      <c r="AI59" s="76">
        <f ca="1"/>
        <v>20.26824832873578</v>
      </c>
      <c r="AJ59" s="76">
        <f ca="1"/>
        <v>95.892617191631913</v>
      </c>
      <c r="AK59" s="76">
        <f ca="1"/>
        <v>410.93395572777536</v>
      </c>
      <c r="AL59" s="76">
        <f ca="1"/>
        <v>1621.5939694535195</v>
      </c>
      <c r="AM59" s="76">
        <f ca="1"/>
        <v>5808.9581723349229</v>
      </c>
      <c r="AN59" s="76">
        <f ca="1"/>
        <v>18562.075322821431</v>
      </c>
      <c r="AO59" s="76">
        <f ca="1"/>
        <v>51933.847924185175</v>
      </c>
      <c r="AP59" s="76">
        <f ca="1"/>
        <v>125081.5965284909</v>
      </c>
      <c r="AQ59" s="76">
        <f ca="1"/>
        <v>256548.9401049453</v>
      </c>
      <c r="AR59" s="76">
        <f ca="1"/>
        <v>448983.26997635746</v>
      </c>
      <c r="AS59" s="76">
        <f ca="1"/>
        <v>684158.42798735795</v>
      </c>
      <c r="AT59" s="76">
        <f ca="1"/>
        <v>939264.38306128723</v>
      </c>
      <c r="AU59" s="76">
        <f ca="1"/>
        <v>1199412.2766405481</v>
      </c>
      <c r="AV59" s="76">
        <f ca="1"/>
        <v>1457967.0393371801</v>
      </c>
      <c r="AW59" s="76">
        <f ca="1"/>
        <v>1712690.7598425169</v>
      </c>
      <c r="AX59" s="76">
        <f ca="1"/>
        <v>1963004.4364234826</v>
      </c>
      <c r="AY59" s="76">
        <f ca="1"/>
        <v>2208844.7962161158</v>
      </c>
      <c r="AZ59" s="76">
        <f ca="1"/>
        <v>2450356.1500963066</v>
      </c>
      <c r="BA59" s="76">
        <f ca="1"/>
        <v>2687974.2254002206</v>
      </c>
      <c r="BB59" s="76">
        <f ca="1"/>
        <v>2922849.1046101847</v>
      </c>
      <c r="BC59" s="34">
        <f t="shared" si="17"/>
        <v>360</v>
      </c>
    </row>
    <row r="60" spans="5:56" x14ac:dyDescent="0.25">
      <c r="I60" s="7">
        <v>14</v>
      </c>
      <c r="J60" s="32">
        <f t="shared" si="24"/>
        <v>-1.3869999999999993E-3</v>
      </c>
      <c r="K60" s="32">
        <f t="shared" si="25"/>
        <v>-1.5850960829293621E-2</v>
      </c>
      <c r="L60" s="32">
        <f t="shared" si="25"/>
        <v>-1.5781610713247844E-2</v>
      </c>
      <c r="M60" s="32">
        <f t="shared" si="25"/>
        <v>-1.5712260597202068E-2</v>
      </c>
      <c r="N60" s="32">
        <f t="shared" si="25"/>
        <v>-1.5642911641614052E-2</v>
      </c>
      <c r="O60" s="32">
        <f t="shared" si="25"/>
        <v>-1.5573561525568274E-2</v>
      </c>
      <c r="P60" s="32">
        <f t="shared" si="25"/>
        <v>-1.5504211409522498E-2</v>
      </c>
      <c r="Q60" s="32">
        <f t="shared" si="25"/>
        <v>-1.5434861293476721E-2</v>
      </c>
      <c r="R60" s="32">
        <f t="shared" si="25"/>
        <v>-1.5365511177430949E-2</v>
      </c>
      <c r="S60" s="32">
        <f t="shared" si="25"/>
        <v>-1.5296160945339395E-2</v>
      </c>
      <c r="T60" s="32">
        <f t="shared" si="25"/>
        <v>-1.5226810945339396E-2</v>
      </c>
      <c r="U60" s="32">
        <f t="shared" si="25"/>
        <v>-1.5157460945339398E-2</v>
      </c>
      <c r="V60" s="32">
        <f t="shared" si="25"/>
        <v>-1.5088110713247843E-2</v>
      </c>
      <c r="W60" s="32">
        <f t="shared" si="25"/>
        <v>-1.501876059720207E-2</v>
      </c>
      <c r="X60" s="32">
        <f t="shared" si="25"/>
        <v>-1.4949410481156293E-2</v>
      </c>
      <c r="Y60" s="32">
        <f t="shared" si="25"/>
        <v>-1.4880060365110517E-2</v>
      </c>
      <c r="Z60" s="32">
        <f t="shared" si="25"/>
        <v>-1.4810710249064741E-2</v>
      </c>
      <c r="AA60" s="32">
        <f t="shared" si="25"/>
        <v>-1.4741361293476725E-2</v>
      </c>
      <c r="AB60" s="32">
        <f t="shared" si="25"/>
        <v>-1.4672011177430949E-2</v>
      </c>
      <c r="AC60" s="32">
        <f t="shared" si="25"/>
        <v>-1.4602661061385172E-2</v>
      </c>
      <c r="AD60" s="32"/>
      <c r="AF60" s="5" t="s">
        <v>20</v>
      </c>
      <c r="AG60" s="35">
        <v>0.25204500000000002</v>
      </c>
      <c r="AH60" s="75">
        <f t="shared" ref="AH60:BB60" si="30">AH26</f>
        <v>0.52956849920000004</v>
      </c>
      <c r="AI60" s="75">
        <f t="shared" si="30"/>
        <v>20.08146838</v>
      </c>
      <c r="AJ60" s="75">
        <f t="shared" si="30"/>
        <v>95.008925899999994</v>
      </c>
      <c r="AK60" s="75">
        <f t="shared" si="30"/>
        <v>407.14701289999999</v>
      </c>
      <c r="AL60" s="75">
        <f t="shared" si="30"/>
        <v>1606.6501740000001</v>
      </c>
      <c r="AM60" s="75">
        <f t="shared" si="30"/>
        <v>5755.4258950000003</v>
      </c>
      <c r="AN60" s="75">
        <f t="shared" si="30"/>
        <v>18391.017759999999</v>
      </c>
      <c r="AO60" s="75">
        <f t="shared" si="30"/>
        <v>51455.256939999999</v>
      </c>
      <c r="AP60" s="75">
        <f t="shared" si="30"/>
        <v>123928.9241</v>
      </c>
      <c r="AQ60" s="75">
        <f t="shared" si="30"/>
        <v>254184.7549</v>
      </c>
      <c r="AR60" s="75">
        <f t="shared" si="30"/>
        <v>444845.74180000002</v>
      </c>
      <c r="AS60" s="75">
        <f t="shared" si="30"/>
        <v>677853.68689999997</v>
      </c>
      <c r="AT60" s="75">
        <f t="shared" si="30"/>
        <v>930608.7648</v>
      </c>
      <c r="AU60" s="75">
        <f t="shared" si="30"/>
        <v>1188359.317</v>
      </c>
      <c r="AV60" s="75">
        <f t="shared" si="30"/>
        <v>1444531.419</v>
      </c>
      <c r="AW60" s="75">
        <f t="shared" si="30"/>
        <v>1696907.784</v>
      </c>
      <c r="AX60" s="75">
        <f t="shared" si="30"/>
        <v>1944914.7390000001</v>
      </c>
      <c r="AY60" s="75">
        <f t="shared" si="30"/>
        <v>2188489.5559999999</v>
      </c>
      <c r="AZ60" s="75">
        <f t="shared" si="30"/>
        <v>2427775.3020000001</v>
      </c>
      <c r="BA60" s="75">
        <f t="shared" si="30"/>
        <v>2663203.6519999998</v>
      </c>
      <c r="BB60" s="75">
        <f t="shared" si="30"/>
        <v>2895914.0869999998</v>
      </c>
      <c r="BC60" s="34">
        <f t="shared" si="17"/>
        <v>360</v>
      </c>
    </row>
    <row r="61" spans="5:56" x14ac:dyDescent="0.25">
      <c r="I61" s="7">
        <v>15</v>
      </c>
      <c r="J61" s="32">
        <f t="shared" si="24"/>
        <v>-1.094175E-2</v>
      </c>
      <c r="K61" s="32">
        <f t="shared" si="25"/>
        <v>-0.12504488150967813</v>
      </c>
      <c r="L61" s="32">
        <f t="shared" si="25"/>
        <v>-0.1244977930942175</v>
      </c>
      <c r="M61" s="32">
        <f t="shared" si="25"/>
        <v>-0.12395070467875689</v>
      </c>
      <c r="N61" s="32">
        <f t="shared" si="25"/>
        <v>-0.1234036254179024</v>
      </c>
      <c r="O61" s="32">
        <f t="shared" si="25"/>
        <v>-0.12285653700244178</v>
      </c>
      <c r="P61" s="32">
        <f t="shared" si="25"/>
        <v>-0.12230944858698117</v>
      </c>
      <c r="Q61" s="32">
        <f t="shared" si="25"/>
        <v>-0.12176236017152055</v>
      </c>
      <c r="R61" s="32">
        <f t="shared" si="25"/>
        <v>-0.12121527175605996</v>
      </c>
      <c r="S61" s="32">
        <f t="shared" ref="S61:AC61" si="31">1/4*$F21*(-1*$G21^2/$B$17^2-(-$B$8*S$2)/$B$17)</f>
        <v>-0.12066818242513871</v>
      </c>
      <c r="T61" s="32">
        <f t="shared" si="31"/>
        <v>-0.12012109492513873</v>
      </c>
      <c r="U61" s="32">
        <f t="shared" si="31"/>
        <v>-0.11957400742513874</v>
      </c>
      <c r="V61" s="32">
        <f t="shared" si="31"/>
        <v>-0.11902691809421749</v>
      </c>
      <c r="W61" s="32">
        <f t="shared" si="31"/>
        <v>-0.11847982967875691</v>
      </c>
      <c r="X61" s="32">
        <f t="shared" si="31"/>
        <v>-0.1179327412632963</v>
      </c>
      <c r="Y61" s="32">
        <f t="shared" si="31"/>
        <v>-0.11738565284783567</v>
      </c>
      <c r="Z61" s="32">
        <f t="shared" si="31"/>
        <v>-0.11683856443237506</v>
      </c>
      <c r="AA61" s="32">
        <f t="shared" si="31"/>
        <v>-0.11629148517152058</v>
      </c>
      <c r="AB61" s="32">
        <f t="shared" si="31"/>
        <v>-0.11574439675605995</v>
      </c>
      <c r="AC61" s="32">
        <f t="shared" si="31"/>
        <v>-0.11519730834059934</v>
      </c>
      <c r="AD61" s="32"/>
      <c r="AF61" s="4"/>
      <c r="AG61" s="35">
        <v>0.218836</v>
      </c>
      <c r="AH61" s="76">
        <f t="array" aca="1" ref="AH61:BB61" ca="1">TRANSPOSE(MMULT(OFFSET($J$238:$AD$258,0,BC61),TRANSPOSE(AH60:BB60)))</f>
        <v>0.59934257260545176</v>
      </c>
      <c r="AI61" s="76">
        <f ca="1"/>
        <v>22.381328587628051</v>
      </c>
      <c r="AJ61" s="76">
        <f ca="1"/>
        <v>104.69599649119355</v>
      </c>
      <c r="AK61" s="76">
        <f ca="1"/>
        <v>442.93253084093726</v>
      </c>
      <c r="AL61" s="76">
        <f ca="1"/>
        <v>1724.1279853100916</v>
      </c>
      <c r="AM61" s="76">
        <f ca="1"/>
        <v>6089.4917598595684</v>
      </c>
      <c r="AN61" s="76">
        <f ca="1"/>
        <v>19186.506981137016</v>
      </c>
      <c r="AO61" s="76">
        <f ca="1"/>
        <v>52975.9067971845</v>
      </c>
      <c r="AP61" s="76">
        <f ca="1"/>
        <v>126142.07988247368</v>
      </c>
      <c r="AQ61" s="76">
        <f ca="1"/>
        <v>256476.42940215528</v>
      </c>
      <c r="AR61" s="76">
        <f ca="1"/>
        <v>446384.99362426234</v>
      </c>
      <c r="AS61" s="76">
        <f ca="1"/>
        <v>678361.79375871818</v>
      </c>
      <c r="AT61" s="76">
        <f ca="1"/>
        <v>930255.73981848336</v>
      </c>
      <c r="AU61" s="76">
        <f ca="1"/>
        <v>1187339.7072185474</v>
      </c>
      <c r="AV61" s="76">
        <f ca="1"/>
        <v>1442908.5099812751</v>
      </c>
      <c r="AW61" s="76">
        <f ca="1"/>
        <v>1694648.8917371635</v>
      </c>
      <c r="AX61" s="76">
        <f ca="1"/>
        <v>1941947.6087327169</v>
      </c>
      <c r="AY61" s="76">
        <f ca="1"/>
        <v>2184732.7009483017</v>
      </c>
      <c r="AZ61" s="76">
        <f ca="1"/>
        <v>2423151.9005399267</v>
      </c>
      <c r="BA61" s="76">
        <f ca="1"/>
        <v>2657652.1932690092</v>
      </c>
      <c r="BB61" s="76">
        <f ca="1"/>
        <v>2889400.1496264562</v>
      </c>
      <c r="BC61" s="34">
        <f t="shared" si="17"/>
        <v>384</v>
      </c>
    </row>
    <row r="62" spans="5:56" x14ac:dyDescent="0.25">
      <c r="I62" s="7">
        <v>16</v>
      </c>
      <c r="J62" s="32">
        <f t="shared" si="24"/>
        <v>-1.5240000000000004E-3</v>
      </c>
      <c r="K62" s="32">
        <f t="shared" ref="K62:AC65" si="32">1/4*$F22*(-1*$G22^2/$B$17^2-(-$B$8*K$2)/$B$17)</f>
        <v>-1.7416628914090477E-2</v>
      </c>
      <c r="L62" s="32">
        <f t="shared" si="32"/>
        <v>-1.7340428786582356E-2</v>
      </c>
      <c r="M62" s="32">
        <f t="shared" si="32"/>
        <v>-1.7264228659074236E-2</v>
      </c>
      <c r="N62" s="32">
        <f t="shared" si="32"/>
        <v>-1.7188029806647319E-2</v>
      </c>
      <c r="O62" s="32">
        <f t="shared" si="32"/>
        <v>-1.7111829679139198E-2</v>
      </c>
      <c r="P62" s="32">
        <f t="shared" si="32"/>
        <v>-1.7035629551631078E-2</v>
      </c>
      <c r="Q62" s="32">
        <f t="shared" si="32"/>
        <v>-1.6959429424122957E-2</v>
      </c>
      <c r="R62" s="32">
        <f t="shared" si="32"/>
        <v>-1.688322929661484E-2</v>
      </c>
      <c r="S62" s="32">
        <f t="shared" si="32"/>
        <v>-1.6807029041598597E-2</v>
      </c>
      <c r="T62" s="32">
        <f t="shared" si="32"/>
        <v>-1.6730829041598599E-2</v>
      </c>
      <c r="U62" s="32">
        <f t="shared" si="32"/>
        <v>-1.66546290415986E-2</v>
      </c>
      <c r="V62" s="32">
        <f t="shared" si="32"/>
        <v>-1.6578428786582357E-2</v>
      </c>
      <c r="W62" s="32">
        <f t="shared" si="32"/>
        <v>-1.650222865907424E-2</v>
      </c>
      <c r="X62" s="32">
        <f t="shared" si="32"/>
        <v>-1.642602853156612E-2</v>
      </c>
      <c r="Y62" s="32">
        <f t="shared" si="32"/>
        <v>-1.6349828404057999E-2</v>
      </c>
      <c r="Z62" s="32">
        <f t="shared" si="32"/>
        <v>-1.6273628276549879E-2</v>
      </c>
      <c r="AA62" s="32">
        <f t="shared" si="32"/>
        <v>-1.6197429424122958E-2</v>
      </c>
      <c r="AB62" s="32">
        <f t="shared" si="32"/>
        <v>-1.6121229296614838E-2</v>
      </c>
      <c r="AC62" s="32">
        <f t="shared" si="32"/>
        <v>-1.6045029169106717E-2</v>
      </c>
      <c r="AD62" s="32"/>
      <c r="AF62" s="4"/>
      <c r="AG62" s="35">
        <v>1.0000000000000001E-5</v>
      </c>
      <c r="AH62" s="76">
        <f t="array" aca="1" ref="AH62:BB62" ca="1">TRANSPOSE(MMULT(OFFSET($J$238:$AD$258,0,BC62),TRANSPOSE(AH61:BB61)))</f>
        <v>1.3165079153704446</v>
      </c>
      <c r="AI62" s="76">
        <f ca="1"/>
        <v>43.936222401142921</v>
      </c>
      <c r="AJ62" s="76">
        <f ca="1"/>
        <v>190.2147113078799</v>
      </c>
      <c r="AK62" s="76">
        <f ca="1"/>
        <v>739.04530065101801</v>
      </c>
      <c r="AL62" s="76">
        <f ca="1"/>
        <v>2635.5093195734084</v>
      </c>
      <c r="AM62" s="76">
        <f ca="1"/>
        <v>8525.8219689187008</v>
      </c>
      <c r="AN62" s="76">
        <f ca="1"/>
        <v>24670.357422497847</v>
      </c>
      <c r="AO62" s="76">
        <f ca="1"/>
        <v>62975.976180164515</v>
      </c>
      <c r="AP62" s="76">
        <f ca="1"/>
        <v>140224.32252397868</v>
      </c>
      <c r="AQ62" s="76">
        <f ca="1"/>
        <v>270895.45059678721</v>
      </c>
      <c r="AR62" s="76">
        <f ca="1"/>
        <v>456265.9504457406</v>
      </c>
      <c r="AS62" s="76">
        <f ca="1"/>
        <v>681829.89554034651</v>
      </c>
      <c r="AT62" s="76">
        <f ca="1"/>
        <v>928106.66369879432</v>
      </c>
      <c r="AU62" s="76">
        <f ca="1"/>
        <v>1180714.6538941979</v>
      </c>
      <c r="AV62" s="76">
        <f ca="1"/>
        <v>1432247.4457195811</v>
      </c>
      <c r="AW62" s="76">
        <f ca="1"/>
        <v>1679791.2750867119</v>
      </c>
      <c r="AX62" s="76">
        <f ca="1"/>
        <v>1922455.8723758289</v>
      </c>
      <c r="AY62" s="76">
        <f ca="1"/>
        <v>2160095.0175885702</v>
      </c>
      <c r="AZ62" s="76">
        <f ca="1"/>
        <v>2392883.5928312712</v>
      </c>
      <c r="BA62" s="76">
        <f ca="1"/>
        <v>2621368.8167768028</v>
      </c>
      <c r="BB62" s="76">
        <f ca="1"/>
        <v>2846889.6196585861</v>
      </c>
      <c r="BC62" s="34">
        <f t="shared" si="17"/>
        <v>408</v>
      </c>
    </row>
    <row r="63" spans="5:56" x14ac:dyDescent="0.25">
      <c r="I63" s="7">
        <v>17</v>
      </c>
      <c r="J63" s="32">
        <f t="shared" si="24"/>
        <v>-1.094175E-2</v>
      </c>
      <c r="K63" s="32">
        <f t="shared" si="32"/>
        <v>-0.12504488150967813</v>
      </c>
      <c r="L63" s="32">
        <f t="shared" si="32"/>
        <v>-0.1244977930942175</v>
      </c>
      <c r="M63" s="32">
        <f t="shared" si="32"/>
        <v>-0.12395070467875689</v>
      </c>
      <c r="N63" s="32">
        <f t="shared" si="32"/>
        <v>-0.1234036254179024</v>
      </c>
      <c r="O63" s="32">
        <f t="shared" si="32"/>
        <v>-0.12285653700244178</v>
      </c>
      <c r="P63" s="32">
        <f t="shared" si="32"/>
        <v>-0.12230944858698117</v>
      </c>
      <c r="Q63" s="32">
        <f t="shared" si="32"/>
        <v>-0.12176236017152055</v>
      </c>
      <c r="R63" s="32">
        <f t="shared" si="32"/>
        <v>-0.12121527175605996</v>
      </c>
      <c r="S63" s="32">
        <f t="shared" si="32"/>
        <v>-0.12066818242513871</v>
      </c>
      <c r="T63" s="32">
        <f t="shared" si="32"/>
        <v>-0.12012109492513873</v>
      </c>
      <c r="U63" s="32">
        <f t="shared" si="32"/>
        <v>-0.11957400742513874</v>
      </c>
      <c r="V63" s="32">
        <f t="shared" si="32"/>
        <v>-0.11902691809421749</v>
      </c>
      <c r="W63" s="32">
        <f t="shared" si="32"/>
        <v>-0.11847982967875691</v>
      </c>
      <c r="X63" s="32">
        <f t="shared" si="32"/>
        <v>-0.1179327412632963</v>
      </c>
      <c r="Y63" s="32">
        <f t="shared" si="32"/>
        <v>-0.11738565284783567</v>
      </c>
      <c r="Z63" s="32">
        <f t="shared" si="32"/>
        <v>-0.11683856443237506</v>
      </c>
      <c r="AA63" s="32">
        <f t="shared" si="32"/>
        <v>-0.11629148517152058</v>
      </c>
      <c r="AB63" s="32">
        <f t="shared" si="32"/>
        <v>-0.11574439675605995</v>
      </c>
      <c r="AC63" s="32">
        <f t="shared" si="32"/>
        <v>-0.11519730834059934</v>
      </c>
      <c r="AD63" s="32"/>
      <c r="AF63" s="6"/>
      <c r="AG63" s="35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34">
        <f t="shared" si="17"/>
        <v>432</v>
      </c>
    </row>
    <row r="64" spans="5:56" x14ac:dyDescent="0.25">
      <c r="I64" s="7">
        <v>18</v>
      </c>
      <c r="J64" s="32">
        <f t="shared" si="24"/>
        <v>-1.6609499999999987E-3</v>
      </c>
      <c r="K64" s="32">
        <f t="shared" si="32"/>
        <v>-1.8981725587177527E-2</v>
      </c>
      <c r="L64" s="32">
        <f t="shared" si="32"/>
        <v>-1.8898677948211245E-2</v>
      </c>
      <c r="M64" s="32">
        <f t="shared" si="32"/>
        <v>-1.8815630309244963E-2</v>
      </c>
      <c r="N64" s="32">
        <f t="shared" si="32"/>
        <v>-1.8732584059941489E-2</v>
      </c>
      <c r="O64" s="32">
        <f t="shared" si="32"/>
        <v>-1.8649536420975211E-2</v>
      </c>
      <c r="P64" s="32">
        <f t="shared" si="32"/>
        <v>-1.8566488782008929E-2</v>
      </c>
      <c r="Q64" s="32">
        <f t="shared" si="32"/>
        <v>-1.8483441143042647E-2</v>
      </c>
      <c r="R64" s="32">
        <f t="shared" si="32"/>
        <v>-1.8400393504076368E-2</v>
      </c>
      <c r="S64" s="32">
        <f t="shared" si="32"/>
        <v>-1.8317345726143804E-2</v>
      </c>
      <c r="T64" s="32">
        <f t="shared" si="32"/>
        <v>-1.8234298226143808E-2</v>
      </c>
      <c r="U64" s="32">
        <f t="shared" si="32"/>
        <v>-1.8151250726143809E-2</v>
      </c>
      <c r="V64" s="32">
        <f t="shared" si="32"/>
        <v>-1.8068202948211244E-2</v>
      </c>
      <c r="W64" s="32">
        <f t="shared" si="32"/>
        <v>-1.7985155309244966E-2</v>
      </c>
      <c r="X64" s="32">
        <f t="shared" si="32"/>
        <v>-1.7902107670278684E-2</v>
      </c>
      <c r="Y64" s="32">
        <f t="shared" si="32"/>
        <v>-1.7819060031312402E-2</v>
      </c>
      <c r="Z64" s="32">
        <f t="shared" si="32"/>
        <v>-1.7736012392346123E-2</v>
      </c>
      <c r="AA64" s="32">
        <f t="shared" si="32"/>
        <v>-1.765296614304265E-2</v>
      </c>
      <c r="AB64" s="32">
        <f t="shared" si="32"/>
        <v>-1.7569918504076368E-2</v>
      </c>
      <c r="AC64" s="32">
        <f t="shared" si="32"/>
        <v>-1.7486870865110089E-2</v>
      </c>
      <c r="AD64" s="32"/>
      <c r="AF64" s="6"/>
      <c r="AG64" s="35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34">
        <f t="shared" si="17"/>
        <v>456</v>
      </c>
    </row>
    <row r="65" spans="5:56" x14ac:dyDescent="0.25">
      <c r="F65" s="21"/>
      <c r="G65" s="68"/>
      <c r="H65" s="21"/>
      <c r="I65" s="7">
        <v>19</v>
      </c>
      <c r="J65" s="32">
        <f t="shared" si="24"/>
        <v>-1.0941300000000001E-2</v>
      </c>
      <c r="K65" s="32">
        <f t="shared" si="32"/>
        <v>-0.12503973880429009</v>
      </c>
      <c r="L65" s="32">
        <f t="shared" si="32"/>
        <v>-0.12449267288886713</v>
      </c>
      <c r="M65" s="32">
        <f t="shared" si="32"/>
        <v>-0.12394560697344416</v>
      </c>
      <c r="N65" s="32">
        <f t="shared" si="32"/>
        <v>-0.12339855021225082</v>
      </c>
      <c r="O65" s="32">
        <f t="shared" si="32"/>
        <v>-0.12285148429682786</v>
      </c>
      <c r="P65" s="32">
        <f t="shared" si="32"/>
        <v>-0.12230441838140489</v>
      </c>
      <c r="Q65" s="32">
        <f t="shared" si="32"/>
        <v>-0.12175735246598193</v>
      </c>
      <c r="R65" s="32">
        <f t="shared" si="32"/>
        <v>-0.12121028655055899</v>
      </c>
      <c r="S65" s="32">
        <f t="shared" si="32"/>
        <v>-0.12066321971971304</v>
      </c>
      <c r="T65" s="32">
        <f t="shared" si="32"/>
        <v>-0.12011615471971306</v>
      </c>
      <c r="U65" s="32">
        <f t="shared" si="32"/>
        <v>-0.11956908971971307</v>
      </c>
      <c r="V65" s="32">
        <f t="shared" si="32"/>
        <v>-0.11902202288886712</v>
      </c>
      <c r="W65" s="32">
        <f t="shared" si="32"/>
        <v>-0.11847495697344418</v>
      </c>
      <c r="X65" s="32">
        <f t="shared" si="32"/>
        <v>-0.11792789105802122</v>
      </c>
      <c r="Y65" s="32">
        <f t="shared" si="32"/>
        <v>-0.11738082514259825</v>
      </c>
      <c r="Z65" s="32">
        <f t="shared" si="32"/>
        <v>-0.11683375922717529</v>
      </c>
      <c r="AA65" s="32">
        <f t="shared" si="32"/>
        <v>-0.11628670246598195</v>
      </c>
      <c r="AB65" s="32">
        <f t="shared" si="32"/>
        <v>-0.11573963655055898</v>
      </c>
      <c r="AC65" s="32">
        <f t="shared" si="32"/>
        <v>-0.11519257063513602</v>
      </c>
      <c r="AD65" s="32"/>
      <c r="AF65" s="6"/>
      <c r="AG65" s="35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34">
        <f t="shared" si="17"/>
        <v>480</v>
      </c>
    </row>
    <row r="66" spans="5:56" x14ac:dyDescent="0.25">
      <c r="F66" s="21"/>
      <c r="G66" s="68"/>
      <c r="H66" s="21"/>
      <c r="K66" s="18"/>
      <c r="L66" s="18"/>
      <c r="M66" s="18"/>
      <c r="N66" s="18"/>
      <c r="AF66" s="6"/>
      <c r="AG66" s="35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34">
        <f t="shared" si="17"/>
        <v>504</v>
      </c>
    </row>
    <row r="67" spans="5:56" x14ac:dyDescent="0.25">
      <c r="F67" s="21"/>
      <c r="G67" s="68"/>
      <c r="H67" s="21"/>
      <c r="K67" s="18"/>
      <c r="L67" s="18"/>
      <c r="M67" s="18"/>
      <c r="N67" s="18"/>
      <c r="AF67" s="6"/>
      <c r="AG67" s="35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34">
        <f t="shared" si="17"/>
        <v>528</v>
      </c>
    </row>
    <row r="68" spans="5:56" x14ac:dyDescent="0.25">
      <c r="F68" s="21"/>
      <c r="G68" s="68"/>
      <c r="H68" s="21"/>
      <c r="K68" s="18"/>
      <c r="L68" s="18"/>
      <c r="M68" s="18"/>
      <c r="N68" s="18"/>
    </row>
    <row r="69" spans="5:56" x14ac:dyDescent="0.25">
      <c r="F69" s="21"/>
      <c r="G69" s="68"/>
      <c r="H69" s="21"/>
      <c r="K69" s="18"/>
      <c r="L69" s="18"/>
      <c r="M69" s="18"/>
      <c r="N69" s="18"/>
      <c r="AG69" s="11"/>
      <c r="AH69" s="25">
        <f t="shared" ref="AH69:BB69" si="33">AH35</f>
        <v>-5.9760899999999999E-2</v>
      </c>
      <c r="AI69" s="25">
        <f t="shared" si="33"/>
        <v>-5.3784800000000001E-2</v>
      </c>
      <c r="AJ69" s="25">
        <f t="shared" si="33"/>
        <v>-4.7808700000000003E-2</v>
      </c>
      <c r="AK69" s="25">
        <f t="shared" si="33"/>
        <v>-4.1832599999999998E-2</v>
      </c>
      <c r="AL69" s="25">
        <f t="shared" si="33"/>
        <v>-3.5856600000000002E-2</v>
      </c>
      <c r="AM69" s="25">
        <f t="shared" si="33"/>
        <v>-2.9880500000000001E-2</v>
      </c>
      <c r="AN69" s="25">
        <f t="shared" si="33"/>
        <v>-2.3904399999999999E-2</v>
      </c>
      <c r="AO69" s="25">
        <f t="shared" si="33"/>
        <v>-1.7928300000000001E-2</v>
      </c>
      <c r="AP69" s="25">
        <f t="shared" si="33"/>
        <v>-1.19522E-2</v>
      </c>
      <c r="AQ69" s="25">
        <f t="shared" si="33"/>
        <v>-5.9760899999999999E-3</v>
      </c>
      <c r="AR69" s="25">
        <f t="shared" si="33"/>
        <v>-8.6736199999999993E-18</v>
      </c>
      <c r="AS69" s="25">
        <f t="shared" si="33"/>
        <v>5.9760899999999999E-3</v>
      </c>
      <c r="AT69" s="25">
        <f t="shared" si="33"/>
        <v>1.19522E-2</v>
      </c>
      <c r="AU69" s="25">
        <f t="shared" si="33"/>
        <v>1.7928300000000001E-2</v>
      </c>
      <c r="AV69" s="25">
        <f t="shared" si="33"/>
        <v>2.3904399999999999E-2</v>
      </c>
      <c r="AW69" s="25">
        <f t="shared" si="33"/>
        <v>2.9880500000000001E-2</v>
      </c>
      <c r="AX69" s="25">
        <f t="shared" si="33"/>
        <v>3.5856600000000002E-2</v>
      </c>
      <c r="AY69" s="25">
        <f t="shared" si="33"/>
        <v>4.1832599999999998E-2</v>
      </c>
      <c r="AZ69" s="25">
        <f t="shared" si="33"/>
        <v>4.7808700000000003E-2</v>
      </c>
      <c r="BA69" s="25">
        <f t="shared" si="33"/>
        <v>5.3784800000000001E-2</v>
      </c>
      <c r="BB69" s="25">
        <f t="shared" si="33"/>
        <v>5.9760899999999999E-2</v>
      </c>
    </row>
    <row r="70" spans="5:56" x14ac:dyDescent="0.25">
      <c r="F70" s="21"/>
      <c r="G70" s="68"/>
      <c r="H70" s="21"/>
      <c r="K70" s="18"/>
      <c r="L70" s="18"/>
      <c r="M70" s="18"/>
      <c r="N70" s="18"/>
      <c r="AF70" s="5" t="s">
        <v>20</v>
      </c>
      <c r="AG70" s="35">
        <v>1.75068</v>
      </c>
      <c r="AH70" s="62">
        <f t="shared" ref="AH70:BB82" si="34">IF(ABS(AH2-AH36) &lt; 1, 0, AH2/AH36-1)</f>
        <v>0</v>
      </c>
      <c r="AI70" s="62">
        <f t="shared" si="34"/>
        <v>0</v>
      </c>
      <c r="AJ70" s="62">
        <f t="shared" si="34"/>
        <v>0</v>
      </c>
      <c r="AK70" s="62">
        <f t="shared" si="34"/>
        <v>0</v>
      </c>
      <c r="AL70" s="62">
        <f t="shared" si="34"/>
        <v>0</v>
      </c>
      <c r="AM70" s="62">
        <f t="shared" si="34"/>
        <v>0</v>
      </c>
      <c r="AN70" s="62">
        <f t="shared" si="34"/>
        <v>0</v>
      </c>
      <c r="AO70" s="62">
        <f t="shared" si="34"/>
        <v>0</v>
      </c>
      <c r="AP70" s="62">
        <f t="shared" si="34"/>
        <v>0</v>
      </c>
      <c r="AQ70" s="62">
        <f t="shared" si="34"/>
        <v>0</v>
      </c>
      <c r="AR70" s="62">
        <f t="shared" si="34"/>
        <v>0</v>
      </c>
      <c r="AS70" s="62">
        <f t="shared" si="34"/>
        <v>0</v>
      </c>
      <c r="AT70" s="62">
        <f t="shared" si="34"/>
        <v>0</v>
      </c>
      <c r="AU70" s="62">
        <f t="shared" si="34"/>
        <v>0</v>
      </c>
      <c r="AV70" s="62">
        <f t="shared" si="34"/>
        <v>0</v>
      </c>
      <c r="AW70" s="62">
        <f t="shared" si="34"/>
        <v>0</v>
      </c>
      <c r="AX70" s="62">
        <f t="shared" si="34"/>
        <v>0</v>
      </c>
      <c r="AY70" s="62">
        <f t="shared" si="34"/>
        <v>0</v>
      </c>
      <c r="AZ70" s="62">
        <f t="shared" si="34"/>
        <v>0</v>
      </c>
      <c r="BA70" s="62">
        <f t="shared" si="34"/>
        <v>0</v>
      </c>
      <c r="BB70" s="62">
        <f t="shared" si="34"/>
        <v>0</v>
      </c>
    </row>
    <row r="71" spans="5:56" x14ac:dyDescent="0.25">
      <c r="F71" s="21"/>
      <c r="G71" s="68"/>
      <c r="H71" s="21"/>
      <c r="J71" s="28"/>
      <c r="K71" s="18"/>
      <c r="L71" s="18"/>
      <c r="M71" s="18"/>
      <c r="N71" s="18"/>
      <c r="AF71" s="4"/>
      <c r="AG71" s="35">
        <v>1.7315100000000001</v>
      </c>
      <c r="AH71" s="62">
        <f t="shared" ca="1" si="34"/>
        <v>0</v>
      </c>
      <c r="AI71" s="62">
        <f t="shared" ca="1" si="34"/>
        <v>0</v>
      </c>
      <c r="AJ71" s="62">
        <f t="shared" ca="1" si="34"/>
        <v>0</v>
      </c>
      <c r="AK71" s="62">
        <f t="shared" ca="1" si="34"/>
        <v>0</v>
      </c>
      <c r="AL71" s="62">
        <f t="shared" ca="1" si="34"/>
        <v>0</v>
      </c>
      <c r="AM71" s="62">
        <f t="shared" ca="1" si="34"/>
        <v>0</v>
      </c>
      <c r="AN71" s="62">
        <f t="shared" ca="1" si="34"/>
        <v>0</v>
      </c>
      <c r="AO71" s="62">
        <f t="shared" ca="1" si="34"/>
        <v>0</v>
      </c>
      <c r="AP71" s="62">
        <f ca="1">IF(ABS(AP3-AP37) &lt; 1, 0, AP3/AP37-1)</f>
        <v>0</v>
      </c>
      <c r="AQ71" s="62">
        <f t="shared" ca="1" si="34"/>
        <v>0</v>
      </c>
      <c r="AR71" s="62">
        <f t="shared" ca="1" si="34"/>
        <v>0</v>
      </c>
      <c r="AS71" s="62">
        <f t="shared" ca="1" si="34"/>
        <v>0</v>
      </c>
      <c r="AT71" s="62">
        <f t="shared" ca="1" si="34"/>
        <v>0</v>
      </c>
      <c r="AU71" s="62">
        <f t="shared" ca="1" si="34"/>
        <v>0</v>
      </c>
      <c r="AV71" s="62">
        <f t="shared" ca="1" si="34"/>
        <v>0</v>
      </c>
      <c r="AW71" s="62">
        <f t="shared" ca="1" si="34"/>
        <v>0</v>
      </c>
      <c r="AX71" s="62">
        <f t="shared" ca="1" si="34"/>
        <v>0</v>
      </c>
      <c r="AY71" s="62">
        <f t="shared" ca="1" si="34"/>
        <v>0</v>
      </c>
      <c r="AZ71" s="62">
        <f t="shared" ca="1" si="34"/>
        <v>0</v>
      </c>
      <c r="BA71" s="62">
        <f t="shared" ca="1" si="34"/>
        <v>0</v>
      </c>
      <c r="BB71" s="62">
        <f t="shared" ca="1" si="34"/>
        <v>0</v>
      </c>
    </row>
    <row r="72" spans="5:56" s="36" customFormat="1" x14ac:dyDescent="0.25">
      <c r="E72" s="50"/>
      <c r="F72" s="51"/>
      <c r="G72" s="69"/>
      <c r="H72" s="51"/>
      <c r="J72" s="28"/>
      <c r="K72" s="37"/>
      <c r="L72" s="37"/>
      <c r="M72" s="37"/>
      <c r="N72" s="37"/>
      <c r="AF72" s="5" t="s">
        <v>20</v>
      </c>
      <c r="AG72" s="35">
        <v>1.7315</v>
      </c>
      <c r="AH72" s="62">
        <f t="shared" si="34"/>
        <v>0</v>
      </c>
      <c r="AI72" s="62">
        <f t="shared" si="34"/>
        <v>0</v>
      </c>
      <c r="AJ72" s="62">
        <f t="shared" si="34"/>
        <v>0</v>
      </c>
      <c r="AK72" s="62">
        <f t="shared" si="34"/>
        <v>0</v>
      </c>
      <c r="AL72" s="62">
        <f t="shared" si="34"/>
        <v>0</v>
      </c>
      <c r="AM72" s="62">
        <f t="shared" si="34"/>
        <v>0</v>
      </c>
      <c r="AN72" s="62">
        <f t="shared" si="34"/>
        <v>0</v>
      </c>
      <c r="AO72" s="62">
        <f t="shared" si="34"/>
        <v>0</v>
      </c>
      <c r="AP72" s="62">
        <f t="shared" si="34"/>
        <v>0</v>
      </c>
      <c r="AQ72" s="62">
        <f t="shared" si="34"/>
        <v>0</v>
      </c>
      <c r="AR72" s="62">
        <f t="shared" si="34"/>
        <v>0</v>
      </c>
      <c r="AS72" s="62">
        <f t="shared" si="34"/>
        <v>0</v>
      </c>
      <c r="AT72" s="62">
        <f t="shared" si="34"/>
        <v>0</v>
      </c>
      <c r="AU72" s="62">
        <f t="shared" si="34"/>
        <v>0</v>
      </c>
      <c r="AV72" s="62">
        <f t="shared" si="34"/>
        <v>0</v>
      </c>
      <c r="AW72" s="62">
        <f t="shared" si="34"/>
        <v>0</v>
      </c>
      <c r="AX72" s="62">
        <f t="shared" si="34"/>
        <v>0</v>
      </c>
      <c r="AY72" s="62">
        <f t="shared" si="34"/>
        <v>0</v>
      </c>
      <c r="AZ72" s="62">
        <f t="shared" si="34"/>
        <v>0</v>
      </c>
      <c r="BA72" s="62">
        <f t="shared" si="34"/>
        <v>0</v>
      </c>
      <c r="BB72" s="62">
        <f t="shared" si="34"/>
        <v>0</v>
      </c>
      <c r="BC72" s="1"/>
      <c r="BD72" s="50"/>
    </row>
    <row r="73" spans="5:56" s="36" customFormat="1" x14ac:dyDescent="0.25">
      <c r="E73" s="50"/>
      <c r="F73" s="51"/>
      <c r="G73" s="69"/>
      <c r="H73" s="51"/>
      <c r="J73" s="28"/>
      <c r="K73" s="37"/>
      <c r="L73" s="37"/>
      <c r="M73" s="37"/>
      <c r="N73" s="37"/>
      <c r="AF73" s="4"/>
      <c r="AG73" s="35">
        <v>1.65479</v>
      </c>
      <c r="AH73" s="62">
        <f t="shared" ca="1" si="34"/>
        <v>0</v>
      </c>
      <c r="AI73" s="62">
        <f t="shared" ca="1" si="34"/>
        <v>0</v>
      </c>
      <c r="AJ73" s="62">
        <f t="shared" ca="1" si="34"/>
        <v>0</v>
      </c>
      <c r="AK73" s="62">
        <f t="shared" ca="1" si="34"/>
        <v>0</v>
      </c>
      <c r="AL73" s="62">
        <f t="shared" ca="1" si="34"/>
        <v>0</v>
      </c>
      <c r="AM73" s="62">
        <f t="shared" ca="1" si="34"/>
        <v>0</v>
      </c>
      <c r="AN73" s="62">
        <f t="shared" ca="1" si="34"/>
        <v>0</v>
      </c>
      <c r="AO73" s="62">
        <f t="shared" ca="1" si="34"/>
        <v>0</v>
      </c>
      <c r="AP73" s="62">
        <f t="shared" ca="1" si="34"/>
        <v>0</v>
      </c>
      <c r="AQ73" s="62">
        <f t="shared" ca="1" si="34"/>
        <v>0</v>
      </c>
      <c r="AR73" s="62">
        <f t="shared" ca="1" si="34"/>
        <v>0</v>
      </c>
      <c r="AS73" s="62">
        <f t="shared" ca="1" si="34"/>
        <v>0</v>
      </c>
      <c r="AT73" s="62">
        <f t="shared" ca="1" si="34"/>
        <v>0</v>
      </c>
      <c r="AU73" s="62">
        <f t="shared" ca="1" si="34"/>
        <v>0</v>
      </c>
      <c r="AV73" s="62">
        <f t="shared" ca="1" si="34"/>
        <v>0</v>
      </c>
      <c r="AW73" s="62">
        <f t="shared" ca="1" si="34"/>
        <v>0</v>
      </c>
      <c r="AX73" s="62">
        <f t="shared" ca="1" si="34"/>
        <v>0</v>
      </c>
      <c r="AY73" s="62">
        <f t="shared" ca="1" si="34"/>
        <v>0</v>
      </c>
      <c r="AZ73" s="62">
        <f t="shared" ca="1" si="34"/>
        <v>0</v>
      </c>
      <c r="BA73" s="62">
        <f t="shared" ca="1" si="34"/>
        <v>0</v>
      </c>
      <c r="BB73" s="62">
        <f t="shared" ca="1" si="34"/>
        <v>0</v>
      </c>
      <c r="BC73" s="1"/>
      <c r="BD73" s="50"/>
    </row>
    <row r="74" spans="5:56" s="36" customFormat="1" x14ac:dyDescent="0.25">
      <c r="E74" s="50"/>
      <c r="F74" s="51"/>
      <c r="G74" s="69"/>
      <c r="H74" s="51"/>
      <c r="J74" s="28"/>
      <c r="K74" s="37"/>
      <c r="L74" s="37"/>
      <c r="M74" s="37"/>
      <c r="N74" s="37"/>
      <c r="AF74" s="4"/>
      <c r="AG74" s="35">
        <v>1.5780799999999999</v>
      </c>
      <c r="AH74" s="62">
        <f t="shared" ca="1" si="34"/>
        <v>0</v>
      </c>
      <c r="AI74" s="62">
        <f t="shared" ca="1" si="34"/>
        <v>0</v>
      </c>
      <c r="AJ74" s="62">
        <f t="shared" ca="1" si="34"/>
        <v>0</v>
      </c>
      <c r="AK74" s="62">
        <f t="shared" ca="1" si="34"/>
        <v>0</v>
      </c>
      <c r="AL74" s="62">
        <f t="shared" ca="1" si="34"/>
        <v>0</v>
      </c>
      <c r="AM74" s="62">
        <f t="shared" ca="1" si="34"/>
        <v>0</v>
      </c>
      <c r="AN74" s="62">
        <f t="shared" ca="1" si="34"/>
        <v>0</v>
      </c>
      <c r="AO74" s="62">
        <f t="shared" ca="1" si="34"/>
        <v>0</v>
      </c>
      <c r="AP74" s="62">
        <f t="shared" ca="1" si="34"/>
        <v>0</v>
      </c>
      <c r="AQ74" s="62">
        <f t="shared" ca="1" si="34"/>
        <v>0</v>
      </c>
      <c r="AR74" s="62">
        <f t="shared" ca="1" si="34"/>
        <v>0</v>
      </c>
      <c r="AS74" s="62">
        <f t="shared" ca="1" si="34"/>
        <v>0</v>
      </c>
      <c r="AT74" s="62">
        <f t="shared" ca="1" si="34"/>
        <v>0</v>
      </c>
      <c r="AU74" s="62">
        <f t="shared" ca="1" si="34"/>
        <v>0</v>
      </c>
      <c r="AV74" s="62">
        <f t="shared" ca="1" si="34"/>
        <v>0</v>
      </c>
      <c r="AW74" s="62">
        <f t="shared" ca="1" si="34"/>
        <v>0</v>
      </c>
      <c r="AX74" s="62">
        <f t="shared" ca="1" si="34"/>
        <v>0</v>
      </c>
      <c r="AY74" s="62">
        <f t="shared" ca="1" si="34"/>
        <v>0</v>
      </c>
      <c r="AZ74" s="62">
        <f t="shared" ca="1" si="34"/>
        <v>0</v>
      </c>
      <c r="BA74" s="62">
        <f t="shared" ca="1" si="34"/>
        <v>0</v>
      </c>
      <c r="BB74" s="62">
        <f t="shared" ca="1" si="34"/>
        <v>0</v>
      </c>
      <c r="BC74" s="1"/>
      <c r="BD74" s="50"/>
    </row>
    <row r="75" spans="5:56" s="36" customFormat="1" x14ac:dyDescent="0.25">
      <c r="E75" s="50"/>
      <c r="F75" s="51"/>
      <c r="G75" s="69"/>
      <c r="H75" s="51"/>
      <c r="J75" s="28"/>
      <c r="K75" s="37"/>
      <c r="L75" s="37"/>
      <c r="M75" s="37"/>
      <c r="N75" s="37"/>
      <c r="AF75" s="4"/>
      <c r="AG75" s="35">
        <v>1.5013700000000001</v>
      </c>
      <c r="AH75" s="62">
        <f t="shared" ca="1" si="34"/>
        <v>0</v>
      </c>
      <c r="AI75" s="62">
        <f t="shared" ca="1" si="34"/>
        <v>0</v>
      </c>
      <c r="AJ75" s="62">
        <f t="shared" ca="1" si="34"/>
        <v>0</v>
      </c>
      <c r="AK75" s="62">
        <f t="shared" ca="1" si="34"/>
        <v>0</v>
      </c>
      <c r="AL75" s="62">
        <f t="shared" ca="1" si="34"/>
        <v>0</v>
      </c>
      <c r="AM75" s="62">
        <f t="shared" ca="1" si="34"/>
        <v>0</v>
      </c>
      <c r="AN75" s="62">
        <f t="shared" ca="1" si="34"/>
        <v>0</v>
      </c>
      <c r="AO75" s="62">
        <f t="shared" ca="1" si="34"/>
        <v>0</v>
      </c>
      <c r="AP75" s="62">
        <f t="shared" ca="1" si="34"/>
        <v>0</v>
      </c>
      <c r="AQ75" s="62">
        <f t="shared" ca="1" si="34"/>
        <v>0</v>
      </c>
      <c r="AR75" s="62">
        <f t="shared" ca="1" si="34"/>
        <v>0</v>
      </c>
      <c r="AS75" s="62">
        <f t="shared" ca="1" si="34"/>
        <v>0</v>
      </c>
      <c r="AT75" s="62">
        <f t="shared" ca="1" si="34"/>
        <v>0</v>
      </c>
      <c r="AU75" s="62">
        <f t="shared" ca="1" si="34"/>
        <v>0</v>
      </c>
      <c r="AV75" s="62">
        <f t="shared" ca="1" si="34"/>
        <v>0</v>
      </c>
      <c r="AW75" s="62">
        <f t="shared" ca="1" si="34"/>
        <v>0</v>
      </c>
      <c r="AX75" s="62">
        <f t="shared" ca="1" si="34"/>
        <v>0</v>
      </c>
      <c r="AY75" s="62">
        <f t="shared" ca="1" si="34"/>
        <v>0</v>
      </c>
      <c r="AZ75" s="62">
        <f t="shared" ca="1" si="34"/>
        <v>0</v>
      </c>
      <c r="BA75" s="62">
        <f t="shared" ca="1" si="34"/>
        <v>0</v>
      </c>
      <c r="BB75" s="62">
        <f t="shared" ca="1" si="34"/>
        <v>0</v>
      </c>
      <c r="BC75" s="1"/>
      <c r="BD75" s="50"/>
    </row>
    <row r="76" spans="5:56" s="36" customFormat="1" x14ac:dyDescent="0.25">
      <c r="E76" s="50"/>
      <c r="F76" s="51"/>
      <c r="G76" s="69"/>
      <c r="H76" s="51"/>
      <c r="J76" s="28"/>
      <c r="K76" s="37"/>
      <c r="L76" s="37"/>
      <c r="M76" s="37"/>
      <c r="N76" s="37"/>
      <c r="AF76" s="5" t="s">
        <v>20</v>
      </c>
      <c r="AG76" s="35">
        <v>1.50136</v>
      </c>
      <c r="AH76" s="62">
        <f t="shared" si="34"/>
        <v>0</v>
      </c>
      <c r="AI76" s="62">
        <f t="shared" si="34"/>
        <v>0</v>
      </c>
      <c r="AJ76" s="62">
        <f t="shared" si="34"/>
        <v>0</v>
      </c>
      <c r="AK76" s="62">
        <f t="shared" si="34"/>
        <v>0</v>
      </c>
      <c r="AL76" s="62">
        <f t="shared" si="34"/>
        <v>0</v>
      </c>
      <c r="AM76" s="62">
        <f t="shared" si="34"/>
        <v>0</v>
      </c>
      <c r="AN76" s="62">
        <f t="shared" si="34"/>
        <v>0</v>
      </c>
      <c r="AO76" s="62">
        <f t="shared" si="34"/>
        <v>0</v>
      </c>
      <c r="AP76" s="62">
        <f t="shared" si="34"/>
        <v>0</v>
      </c>
      <c r="AQ76" s="62">
        <f t="shared" si="34"/>
        <v>0</v>
      </c>
      <c r="AR76" s="62">
        <f t="shared" si="34"/>
        <v>0</v>
      </c>
      <c r="AS76" s="62">
        <f t="shared" si="34"/>
        <v>0</v>
      </c>
      <c r="AT76" s="62">
        <f t="shared" si="34"/>
        <v>0</v>
      </c>
      <c r="AU76" s="62">
        <f t="shared" si="34"/>
        <v>0</v>
      </c>
      <c r="AV76" s="62">
        <f t="shared" si="34"/>
        <v>0</v>
      </c>
      <c r="AW76" s="62">
        <f t="shared" si="34"/>
        <v>0</v>
      </c>
      <c r="AX76" s="62">
        <f t="shared" si="34"/>
        <v>0</v>
      </c>
      <c r="AY76" s="62">
        <f t="shared" si="34"/>
        <v>0</v>
      </c>
      <c r="AZ76" s="62">
        <f t="shared" si="34"/>
        <v>0</v>
      </c>
      <c r="BA76" s="62">
        <f t="shared" si="34"/>
        <v>0</v>
      </c>
      <c r="BB76" s="62">
        <f t="shared" si="34"/>
        <v>0</v>
      </c>
      <c r="BC76" s="1"/>
      <c r="BD76" s="50"/>
    </row>
    <row r="77" spans="5:56" s="36" customFormat="1" x14ac:dyDescent="0.25">
      <c r="E77" s="50"/>
      <c r="F77" s="51"/>
      <c r="G77" s="69"/>
      <c r="H77" s="51"/>
      <c r="J77" s="28"/>
      <c r="K77" s="37"/>
      <c r="L77" s="37"/>
      <c r="M77" s="37"/>
      <c r="N77" s="37"/>
      <c r="AF77" s="4"/>
      <c r="AG77" s="35">
        <v>1.4821899999999999</v>
      </c>
      <c r="AH77" s="62">
        <f t="shared" ca="1" si="34"/>
        <v>0</v>
      </c>
      <c r="AI77" s="62">
        <f t="shared" ca="1" si="34"/>
        <v>0</v>
      </c>
      <c r="AJ77" s="62">
        <f t="shared" ca="1" si="34"/>
        <v>0</v>
      </c>
      <c r="AK77" s="62">
        <f t="shared" ca="1" si="34"/>
        <v>0</v>
      </c>
      <c r="AL77" s="62">
        <f t="shared" ca="1" si="34"/>
        <v>0</v>
      </c>
      <c r="AM77" s="62">
        <f t="shared" ca="1" si="34"/>
        <v>0</v>
      </c>
      <c r="AN77" s="62">
        <f t="shared" ca="1" si="34"/>
        <v>0</v>
      </c>
      <c r="AO77" s="62">
        <f t="shared" ca="1" si="34"/>
        <v>0</v>
      </c>
      <c r="AP77" s="62">
        <f t="shared" ca="1" si="34"/>
        <v>0</v>
      </c>
      <c r="AQ77" s="62">
        <f t="shared" ca="1" si="34"/>
        <v>0</v>
      </c>
      <c r="AR77" s="62">
        <f t="shared" ca="1" si="34"/>
        <v>0</v>
      </c>
      <c r="AS77" s="62">
        <f t="shared" ca="1" si="34"/>
        <v>0</v>
      </c>
      <c r="AT77" s="62">
        <f t="shared" ca="1" si="34"/>
        <v>0</v>
      </c>
      <c r="AU77" s="62">
        <f t="shared" ca="1" si="34"/>
        <v>0</v>
      </c>
      <c r="AV77" s="62">
        <f t="shared" ca="1" si="34"/>
        <v>0</v>
      </c>
      <c r="AW77" s="62">
        <f t="shared" ca="1" si="34"/>
        <v>0</v>
      </c>
      <c r="AX77" s="62">
        <f t="shared" ca="1" si="34"/>
        <v>0</v>
      </c>
      <c r="AY77" s="62">
        <f t="shared" ca="1" si="34"/>
        <v>0</v>
      </c>
      <c r="AZ77" s="62">
        <f t="shared" ca="1" si="34"/>
        <v>0</v>
      </c>
      <c r="BA77" s="62">
        <f t="shared" ca="1" si="34"/>
        <v>0</v>
      </c>
      <c r="BB77" s="62">
        <f t="shared" ca="1" si="34"/>
        <v>0</v>
      </c>
      <c r="BC77" s="1"/>
      <c r="BD77" s="50"/>
    </row>
    <row r="78" spans="5:56" s="36" customFormat="1" x14ac:dyDescent="0.25">
      <c r="E78" s="50"/>
      <c r="F78" s="51"/>
      <c r="G78" s="69"/>
      <c r="H78" s="51"/>
      <c r="J78" s="28"/>
      <c r="K78" s="37"/>
      <c r="L78" s="37"/>
      <c r="M78" s="37"/>
      <c r="N78" s="37"/>
      <c r="AF78" s="5" t="s">
        <v>20</v>
      </c>
      <c r="AG78" s="35">
        <v>1.4821800000000001</v>
      </c>
      <c r="AH78" s="62">
        <f t="shared" si="34"/>
        <v>0</v>
      </c>
      <c r="AI78" s="62">
        <f t="shared" si="34"/>
        <v>0</v>
      </c>
      <c r="AJ78" s="62">
        <f t="shared" si="34"/>
        <v>0</v>
      </c>
      <c r="AK78" s="62">
        <f t="shared" si="34"/>
        <v>0</v>
      </c>
      <c r="AL78" s="62">
        <f t="shared" si="34"/>
        <v>0</v>
      </c>
      <c r="AM78" s="62">
        <f t="shared" si="34"/>
        <v>0</v>
      </c>
      <c r="AN78" s="62">
        <f t="shared" si="34"/>
        <v>0</v>
      </c>
      <c r="AO78" s="62">
        <f t="shared" si="34"/>
        <v>0</v>
      </c>
      <c r="AP78" s="62">
        <f t="shared" si="34"/>
        <v>0</v>
      </c>
      <c r="AQ78" s="62">
        <f t="shared" si="34"/>
        <v>0</v>
      </c>
      <c r="AR78" s="62">
        <f t="shared" si="34"/>
        <v>0</v>
      </c>
      <c r="AS78" s="62">
        <f t="shared" si="34"/>
        <v>0</v>
      </c>
      <c r="AT78" s="62">
        <f t="shared" si="34"/>
        <v>0</v>
      </c>
      <c r="AU78" s="62">
        <f t="shared" si="34"/>
        <v>0</v>
      </c>
      <c r="AV78" s="62">
        <f t="shared" si="34"/>
        <v>0</v>
      </c>
      <c r="AW78" s="62">
        <f t="shared" si="34"/>
        <v>0</v>
      </c>
      <c r="AX78" s="62">
        <f t="shared" si="34"/>
        <v>0</v>
      </c>
      <c r="AY78" s="62">
        <f t="shared" si="34"/>
        <v>0</v>
      </c>
      <c r="AZ78" s="62">
        <f t="shared" si="34"/>
        <v>0</v>
      </c>
      <c r="BA78" s="62">
        <f t="shared" si="34"/>
        <v>0</v>
      </c>
      <c r="BB78" s="62">
        <f t="shared" si="34"/>
        <v>0</v>
      </c>
      <c r="BC78" s="1"/>
      <c r="BD78" s="50"/>
    </row>
    <row r="79" spans="5:56" s="36" customFormat="1" x14ac:dyDescent="0.25">
      <c r="E79" s="50"/>
      <c r="F79" s="51"/>
      <c r="G79" s="69"/>
      <c r="H79" s="51"/>
      <c r="J79" s="28"/>
      <c r="K79" s="37"/>
      <c r="L79" s="37"/>
      <c r="M79" s="37"/>
      <c r="N79" s="37"/>
      <c r="AF79" s="4"/>
      <c r="AG79" s="35">
        <v>1.4054800000000001</v>
      </c>
      <c r="AH79" s="62">
        <f t="shared" ca="1" si="34"/>
        <v>0</v>
      </c>
      <c r="AI79" s="62">
        <f t="shared" ca="1" si="34"/>
        <v>0</v>
      </c>
      <c r="AJ79" s="62">
        <f t="shared" ca="1" si="34"/>
        <v>0</v>
      </c>
      <c r="AK79" s="62">
        <f t="shared" ca="1" si="34"/>
        <v>0</v>
      </c>
      <c r="AL79" s="62">
        <f t="shared" ca="1" si="34"/>
        <v>0</v>
      </c>
      <c r="AM79" s="62">
        <f t="shared" ca="1" si="34"/>
        <v>0</v>
      </c>
      <c r="AN79" s="62">
        <f t="shared" ca="1" si="34"/>
        <v>0</v>
      </c>
      <c r="AO79" s="62">
        <f t="shared" ca="1" si="34"/>
        <v>0</v>
      </c>
      <c r="AP79" s="62">
        <f t="shared" ca="1" si="34"/>
        <v>0</v>
      </c>
      <c r="AQ79" s="62">
        <f t="shared" ca="1" si="34"/>
        <v>0</v>
      </c>
      <c r="AR79" s="62">
        <f t="shared" ca="1" si="34"/>
        <v>0</v>
      </c>
      <c r="AS79" s="62">
        <f t="shared" ca="1" si="34"/>
        <v>0</v>
      </c>
      <c r="AT79" s="62">
        <f t="shared" ca="1" si="34"/>
        <v>0</v>
      </c>
      <c r="AU79" s="62">
        <f t="shared" ca="1" si="34"/>
        <v>0</v>
      </c>
      <c r="AV79" s="62">
        <f t="shared" ca="1" si="34"/>
        <v>0</v>
      </c>
      <c r="AW79" s="62">
        <f t="shared" ca="1" si="34"/>
        <v>0</v>
      </c>
      <c r="AX79" s="62">
        <f t="shared" ca="1" si="34"/>
        <v>0</v>
      </c>
      <c r="AY79" s="62">
        <f t="shared" ca="1" si="34"/>
        <v>0</v>
      </c>
      <c r="AZ79" s="62">
        <f t="shared" ca="1" si="34"/>
        <v>0</v>
      </c>
      <c r="BA79" s="62">
        <f t="shared" ca="1" si="34"/>
        <v>0</v>
      </c>
      <c r="BB79" s="62">
        <f t="shared" ca="1" si="34"/>
        <v>0</v>
      </c>
      <c r="BC79" s="1"/>
      <c r="BD79" s="50"/>
    </row>
    <row r="80" spans="5:56" s="36" customFormat="1" x14ac:dyDescent="0.25">
      <c r="E80" s="50"/>
      <c r="F80" s="51"/>
      <c r="G80" s="69"/>
      <c r="H80" s="51"/>
      <c r="J80" s="28"/>
      <c r="K80" s="37"/>
      <c r="L80" s="37"/>
      <c r="M80" s="37"/>
      <c r="N80" s="37"/>
      <c r="AF80" s="4"/>
      <c r="AG80" s="35">
        <v>1.32877</v>
      </c>
      <c r="AH80" s="62">
        <f t="shared" ca="1" si="34"/>
        <v>0</v>
      </c>
      <c r="AI80" s="62">
        <f t="shared" ca="1" si="34"/>
        <v>0</v>
      </c>
      <c r="AJ80" s="62">
        <f t="shared" ca="1" si="34"/>
        <v>0</v>
      </c>
      <c r="AK80" s="62">
        <f t="shared" ca="1" si="34"/>
        <v>0</v>
      </c>
      <c r="AL80" s="62">
        <f t="shared" ca="1" si="34"/>
        <v>0</v>
      </c>
      <c r="AM80" s="62">
        <f t="shared" ca="1" si="34"/>
        <v>0</v>
      </c>
      <c r="AN80" s="62">
        <f t="shared" ca="1" si="34"/>
        <v>0</v>
      </c>
      <c r="AO80" s="62">
        <f t="shared" ca="1" si="34"/>
        <v>0</v>
      </c>
      <c r="AP80" s="62">
        <f t="shared" ca="1" si="34"/>
        <v>0</v>
      </c>
      <c r="AQ80" s="62">
        <f t="shared" ca="1" si="34"/>
        <v>0</v>
      </c>
      <c r="AR80" s="62">
        <f t="shared" ca="1" si="34"/>
        <v>0</v>
      </c>
      <c r="AS80" s="62">
        <f t="shared" ca="1" si="34"/>
        <v>0</v>
      </c>
      <c r="AT80" s="62">
        <f t="shared" ca="1" si="34"/>
        <v>0</v>
      </c>
      <c r="AU80" s="62">
        <f t="shared" ca="1" si="34"/>
        <v>0</v>
      </c>
      <c r="AV80" s="62">
        <f t="shared" ca="1" si="34"/>
        <v>0</v>
      </c>
      <c r="AW80" s="62">
        <f t="shared" ca="1" si="34"/>
        <v>0</v>
      </c>
      <c r="AX80" s="62">
        <f t="shared" ca="1" si="34"/>
        <v>0</v>
      </c>
      <c r="AY80" s="62">
        <f t="shared" ca="1" si="34"/>
        <v>0</v>
      </c>
      <c r="AZ80" s="62">
        <f t="shared" ca="1" si="34"/>
        <v>0</v>
      </c>
      <c r="BA80" s="62">
        <f t="shared" ca="1" si="34"/>
        <v>0</v>
      </c>
      <c r="BB80" s="62">
        <f t="shared" ca="1" si="34"/>
        <v>-3.1887735163493858E-7</v>
      </c>
      <c r="BC80" s="1"/>
      <c r="BD80" s="50"/>
    </row>
    <row r="81" spans="5:56" s="36" customFormat="1" x14ac:dyDescent="0.25">
      <c r="E81" s="50"/>
      <c r="F81" s="51"/>
      <c r="G81" s="69"/>
      <c r="H81" s="51"/>
      <c r="J81" s="28"/>
      <c r="K81" s="37"/>
      <c r="L81" s="37"/>
      <c r="M81" s="37"/>
      <c r="N81" s="37"/>
      <c r="AF81" s="4"/>
      <c r="AG81" s="35">
        <v>1.2520500000000001</v>
      </c>
      <c r="AH81" s="62">
        <f t="shared" ca="1" si="34"/>
        <v>0</v>
      </c>
      <c r="AI81" s="62">
        <f t="shared" ca="1" si="34"/>
        <v>0</v>
      </c>
      <c r="AJ81" s="62">
        <f t="shared" ca="1" si="34"/>
        <v>0</v>
      </c>
      <c r="AK81" s="62">
        <f t="shared" ca="1" si="34"/>
        <v>0</v>
      </c>
      <c r="AL81" s="62">
        <f t="shared" ca="1" si="34"/>
        <v>0</v>
      </c>
      <c r="AM81" s="62">
        <f t="shared" ca="1" si="34"/>
        <v>0</v>
      </c>
      <c r="AN81" s="62">
        <f t="shared" ca="1" si="34"/>
        <v>0</v>
      </c>
      <c r="AO81" s="62">
        <f t="shared" ca="1" si="34"/>
        <v>0</v>
      </c>
      <c r="AP81" s="62">
        <f t="shared" ca="1" si="34"/>
        <v>0</v>
      </c>
      <c r="AQ81" s="62">
        <f t="shared" ca="1" si="34"/>
        <v>0</v>
      </c>
      <c r="AR81" s="62">
        <f t="shared" ca="1" si="34"/>
        <v>0</v>
      </c>
      <c r="AS81" s="62">
        <f t="shared" ca="1" si="34"/>
        <v>0</v>
      </c>
      <c r="AT81" s="62">
        <f t="shared" ca="1" si="34"/>
        <v>0</v>
      </c>
      <c r="AU81" s="62">
        <f t="shared" ca="1" si="34"/>
        <v>0</v>
      </c>
      <c r="AV81" s="62">
        <f t="shared" ca="1" si="34"/>
        <v>0</v>
      </c>
      <c r="AW81" s="62">
        <f t="shared" ca="1" si="34"/>
        <v>0</v>
      </c>
      <c r="AX81" s="62">
        <f t="shared" ca="1" si="34"/>
        <v>0</v>
      </c>
      <c r="AY81" s="62">
        <f t="shared" ca="1" si="34"/>
        <v>0</v>
      </c>
      <c r="AZ81" s="62">
        <f t="shared" ca="1" si="34"/>
        <v>0</v>
      </c>
      <c r="BA81" s="62">
        <f t="shared" ca="1" si="34"/>
        <v>0</v>
      </c>
      <c r="BB81" s="62">
        <f t="shared" ca="1" si="34"/>
        <v>0</v>
      </c>
      <c r="BC81" s="1"/>
      <c r="BD81" s="50"/>
    </row>
    <row r="82" spans="5:56" s="36" customFormat="1" x14ac:dyDescent="0.25">
      <c r="E82" s="50"/>
      <c r="F82" s="51"/>
      <c r="G82" s="69"/>
      <c r="H82" s="51"/>
      <c r="J82" s="28"/>
      <c r="K82" s="37"/>
      <c r="L82" s="37"/>
      <c r="M82" s="37"/>
      <c r="N82" s="37"/>
      <c r="AF82" s="5" t="s">
        <v>20</v>
      </c>
      <c r="AG82" s="35">
        <v>1.25204</v>
      </c>
      <c r="AH82" s="62">
        <f t="shared" si="34"/>
        <v>0</v>
      </c>
      <c r="AI82" s="62">
        <f t="shared" si="34"/>
        <v>0</v>
      </c>
      <c r="AJ82" s="62">
        <f t="shared" si="34"/>
        <v>0</v>
      </c>
      <c r="AK82" s="62">
        <f t="shared" si="34"/>
        <v>0</v>
      </c>
      <c r="AL82" s="62">
        <f t="shared" ref="AL82:BB82" si="35">IF(ABS(AL14-AL48) &lt; 1, 0, AL14/AL48-1)</f>
        <v>0</v>
      </c>
      <c r="AM82" s="62">
        <f t="shared" si="35"/>
        <v>0</v>
      </c>
      <c r="AN82" s="62">
        <f t="shared" si="35"/>
        <v>0</v>
      </c>
      <c r="AO82" s="62">
        <f t="shared" si="35"/>
        <v>0</v>
      </c>
      <c r="AP82" s="62">
        <f t="shared" si="35"/>
        <v>0</v>
      </c>
      <c r="AQ82" s="62">
        <f t="shared" si="35"/>
        <v>0</v>
      </c>
      <c r="AR82" s="62">
        <f t="shared" si="35"/>
        <v>0</v>
      </c>
      <c r="AS82" s="62">
        <f t="shared" si="35"/>
        <v>0</v>
      </c>
      <c r="AT82" s="62">
        <f t="shared" si="35"/>
        <v>0</v>
      </c>
      <c r="AU82" s="62">
        <f t="shared" si="35"/>
        <v>0</v>
      </c>
      <c r="AV82" s="62">
        <f t="shared" si="35"/>
        <v>0</v>
      </c>
      <c r="AW82" s="62">
        <f t="shared" si="35"/>
        <v>0</v>
      </c>
      <c r="AX82" s="62">
        <f t="shared" si="35"/>
        <v>0</v>
      </c>
      <c r="AY82" s="62">
        <f t="shared" si="35"/>
        <v>0</v>
      </c>
      <c r="AZ82" s="62">
        <f t="shared" si="35"/>
        <v>0</v>
      </c>
      <c r="BA82" s="62">
        <f t="shared" si="35"/>
        <v>0</v>
      </c>
      <c r="BB82" s="62">
        <f t="shared" si="35"/>
        <v>0</v>
      </c>
      <c r="BC82" s="1"/>
      <c r="BD82" s="50"/>
    </row>
    <row r="83" spans="5:56" s="36" customFormat="1" x14ac:dyDescent="0.25">
      <c r="E83" s="50"/>
      <c r="F83" s="51"/>
      <c r="G83" s="69"/>
      <c r="H83" s="51"/>
      <c r="J83" s="28"/>
      <c r="K83" s="37"/>
      <c r="L83" s="37"/>
      <c r="M83" s="37"/>
      <c r="N83" s="37"/>
      <c r="AF83" s="4"/>
      <c r="AG83" s="35">
        <v>1.2188399999999999</v>
      </c>
      <c r="AH83" s="62">
        <f t="shared" ref="AH83:BB95" ca="1" si="36">IF(ABS(AH15-AH49) &lt; 1, 0, AH15/AH49-1)</f>
        <v>0</v>
      </c>
      <c r="AI83" s="62">
        <f t="shared" ca="1" si="36"/>
        <v>0</v>
      </c>
      <c r="AJ83" s="62">
        <f t="shared" ca="1" si="36"/>
        <v>0</v>
      </c>
      <c r="AK83" s="62">
        <f t="shared" ca="1" si="36"/>
        <v>0</v>
      </c>
      <c r="AL83" s="62">
        <f t="shared" ca="1" si="36"/>
        <v>0</v>
      </c>
      <c r="AM83" s="62">
        <f t="shared" ca="1" si="36"/>
        <v>0</v>
      </c>
      <c r="AN83" s="62">
        <f t="shared" ca="1" si="36"/>
        <v>0</v>
      </c>
      <c r="AO83" s="62">
        <f t="shared" ca="1" si="36"/>
        <v>0</v>
      </c>
      <c r="AP83" s="62">
        <f t="shared" ca="1" si="36"/>
        <v>0</v>
      </c>
      <c r="AQ83" s="62">
        <f t="shared" ca="1" si="36"/>
        <v>7.384098345664114E-6</v>
      </c>
      <c r="AR83" s="62">
        <f t="shared" ca="1" si="36"/>
        <v>0</v>
      </c>
      <c r="AS83" s="62">
        <f t="shared" ca="1" si="36"/>
        <v>0</v>
      </c>
      <c r="AT83" s="62">
        <f t="shared" ca="1" si="36"/>
        <v>0</v>
      </c>
      <c r="AU83" s="62">
        <f t="shared" ca="1" si="36"/>
        <v>0</v>
      </c>
      <c r="AV83" s="62">
        <f t="shared" ca="1" si="36"/>
        <v>0</v>
      </c>
      <c r="AW83" s="62">
        <f t="shared" ca="1" si="36"/>
        <v>0</v>
      </c>
      <c r="AX83" s="62">
        <f t="shared" ca="1" si="36"/>
        <v>0</v>
      </c>
      <c r="AY83" s="62">
        <f t="shared" ca="1" si="36"/>
        <v>-4.6734139247384121E-7</v>
      </c>
      <c r="AZ83" s="62">
        <f t="shared" ca="1" si="36"/>
        <v>-5.223040975277371E-7</v>
      </c>
      <c r="BA83" s="62">
        <f t="shared" ca="1" si="36"/>
        <v>-5.7605526593285106E-7</v>
      </c>
      <c r="BB83" s="62">
        <f t="shared" ca="1" si="36"/>
        <v>-6.2700402481130624E-7</v>
      </c>
      <c r="BC83" s="1"/>
      <c r="BD83" s="50"/>
    </row>
    <row r="84" spans="5:56" s="36" customFormat="1" x14ac:dyDescent="0.25">
      <c r="E84" s="50"/>
      <c r="F84" s="51"/>
      <c r="G84" s="69"/>
      <c r="H84" s="51"/>
      <c r="J84" s="28"/>
      <c r="K84" s="37"/>
      <c r="L84" s="37"/>
      <c r="M84" s="37"/>
      <c r="N84" s="37"/>
      <c r="AF84" s="4"/>
      <c r="AG84" s="35">
        <v>1</v>
      </c>
      <c r="AH84" s="62">
        <f t="shared" ca="1" si="36"/>
        <v>0</v>
      </c>
      <c r="AI84" s="62">
        <f t="shared" ca="1" si="36"/>
        <v>0</v>
      </c>
      <c r="AJ84" s="62">
        <f t="shared" ca="1" si="36"/>
        <v>0</v>
      </c>
      <c r="AK84" s="62">
        <f t="shared" ca="1" si="36"/>
        <v>0</v>
      </c>
      <c r="AL84" s="62">
        <f t="shared" ca="1" si="36"/>
        <v>0</v>
      </c>
      <c r="AM84" s="62">
        <f t="shared" ca="1" si="36"/>
        <v>0</v>
      </c>
      <c r="AN84" s="62">
        <f t="shared" ca="1" si="36"/>
        <v>0</v>
      </c>
      <c r="AO84" s="62">
        <f t="shared" ca="1" si="36"/>
        <v>0</v>
      </c>
      <c r="AP84" s="62">
        <f t="shared" ca="1" si="36"/>
        <v>0</v>
      </c>
      <c r="AQ84" s="62">
        <f t="shared" ca="1" si="36"/>
        <v>0</v>
      </c>
      <c r="AR84" s="62">
        <f t="shared" ca="1" si="36"/>
        <v>0</v>
      </c>
      <c r="AS84" s="62">
        <f t="shared" ca="1" si="36"/>
        <v>0</v>
      </c>
      <c r="AT84" s="62">
        <f t="shared" ca="1" si="36"/>
        <v>0</v>
      </c>
      <c r="AU84" s="62">
        <f t="shared" ca="1" si="36"/>
        <v>0</v>
      </c>
      <c r="AV84" s="62">
        <f t="shared" ca="1" si="36"/>
        <v>0</v>
      </c>
      <c r="AW84" s="62">
        <f t="shared" ca="1" si="36"/>
        <v>0</v>
      </c>
      <c r="AX84" s="62">
        <f t="shared" ca="1" si="36"/>
        <v>0</v>
      </c>
      <c r="AY84" s="62">
        <f t="shared" ca="1" si="36"/>
        <v>0</v>
      </c>
      <c r="AZ84" s="62">
        <f t="shared" ca="1" si="36"/>
        <v>0</v>
      </c>
      <c r="BA84" s="62">
        <f t="shared" ca="1" si="36"/>
        <v>0</v>
      </c>
      <c r="BB84" s="62">
        <f t="shared" ca="1" si="36"/>
        <v>-3.3080314398858945E-7</v>
      </c>
      <c r="BC84" s="50"/>
      <c r="BD84" s="50"/>
    </row>
    <row r="85" spans="5:56" s="36" customFormat="1" x14ac:dyDescent="0.25">
      <c r="E85" s="50"/>
      <c r="F85" s="51"/>
      <c r="G85" s="69"/>
      <c r="H85" s="51"/>
      <c r="J85" s="28"/>
      <c r="K85" s="37"/>
      <c r="L85" s="37"/>
      <c r="M85" s="37"/>
      <c r="N85" s="37"/>
      <c r="AF85" s="5" t="s">
        <v>20</v>
      </c>
      <c r="AG85" s="35">
        <v>0.99999000000000005</v>
      </c>
      <c r="AH85" s="62">
        <f t="shared" si="36"/>
        <v>0</v>
      </c>
      <c r="AI85" s="62">
        <f t="shared" si="36"/>
        <v>0</v>
      </c>
      <c r="AJ85" s="62">
        <f t="shared" si="36"/>
        <v>0</v>
      </c>
      <c r="AK85" s="62">
        <f t="shared" si="36"/>
        <v>0</v>
      </c>
      <c r="AL85" s="62">
        <f t="shared" si="36"/>
        <v>0</v>
      </c>
      <c r="AM85" s="62">
        <f t="shared" si="36"/>
        <v>0</v>
      </c>
      <c r="AN85" s="62">
        <f t="shared" si="36"/>
        <v>0</v>
      </c>
      <c r="AO85" s="62">
        <f t="shared" si="36"/>
        <v>0</v>
      </c>
      <c r="AP85" s="62">
        <f t="shared" si="36"/>
        <v>0</v>
      </c>
      <c r="AQ85" s="62">
        <f t="shared" si="36"/>
        <v>0</v>
      </c>
      <c r="AR85" s="62">
        <f t="shared" si="36"/>
        <v>0</v>
      </c>
      <c r="AS85" s="62">
        <f t="shared" si="36"/>
        <v>0</v>
      </c>
      <c r="AT85" s="62">
        <f t="shared" si="36"/>
        <v>0</v>
      </c>
      <c r="AU85" s="62">
        <f t="shared" si="36"/>
        <v>0</v>
      </c>
      <c r="AV85" s="62">
        <f t="shared" si="36"/>
        <v>0</v>
      </c>
      <c r="AW85" s="62">
        <f t="shared" si="36"/>
        <v>0</v>
      </c>
      <c r="AX85" s="62">
        <f t="shared" si="36"/>
        <v>0</v>
      </c>
      <c r="AY85" s="62">
        <f t="shared" si="36"/>
        <v>0</v>
      </c>
      <c r="AZ85" s="62">
        <f t="shared" si="36"/>
        <v>0</v>
      </c>
      <c r="BA85" s="62">
        <f t="shared" si="36"/>
        <v>0</v>
      </c>
      <c r="BB85" s="62">
        <f t="shared" si="36"/>
        <v>0</v>
      </c>
      <c r="BC85" s="50"/>
      <c r="BD85" s="50"/>
    </row>
    <row r="86" spans="5:56" s="36" customFormat="1" x14ac:dyDescent="0.25">
      <c r="E86" s="50"/>
      <c r="F86" s="51"/>
      <c r="G86" s="69"/>
      <c r="H86" s="51"/>
      <c r="J86" s="28"/>
      <c r="K86" s="37"/>
      <c r="L86" s="37"/>
      <c r="M86" s="37"/>
      <c r="N86" s="37"/>
      <c r="AF86" s="4"/>
      <c r="AG86" s="35">
        <v>0.966781</v>
      </c>
      <c r="AH86" s="62">
        <f t="shared" ca="1" si="36"/>
        <v>0</v>
      </c>
      <c r="AI86" s="62">
        <f t="shared" ca="1" si="36"/>
        <v>0</v>
      </c>
      <c r="AJ86" s="62">
        <f t="shared" ca="1" si="36"/>
        <v>0</v>
      </c>
      <c r="AK86" s="62">
        <f t="shared" ca="1" si="36"/>
        <v>0</v>
      </c>
      <c r="AL86" s="62">
        <f t="shared" ca="1" si="36"/>
        <v>0</v>
      </c>
      <c r="AM86" s="62">
        <f t="shared" ca="1" si="36"/>
        <v>0</v>
      </c>
      <c r="AN86" s="62">
        <f t="shared" ca="1" si="36"/>
        <v>0</v>
      </c>
      <c r="AO86" s="62">
        <f t="shared" ca="1" si="36"/>
        <v>0</v>
      </c>
      <c r="AP86" s="62">
        <f t="shared" ca="1" si="36"/>
        <v>0</v>
      </c>
      <c r="AQ86" s="62">
        <f t="shared" ca="1" si="36"/>
        <v>0</v>
      </c>
      <c r="AR86" s="62">
        <f t="shared" ca="1" si="36"/>
        <v>0</v>
      </c>
      <c r="AS86" s="62">
        <f t="shared" ca="1" si="36"/>
        <v>0</v>
      </c>
      <c r="AT86" s="62">
        <f t="shared" ca="1" si="36"/>
        <v>0</v>
      </c>
      <c r="AU86" s="62">
        <f t="shared" ca="1" si="36"/>
        <v>0</v>
      </c>
      <c r="AV86" s="62">
        <f t="shared" ca="1" si="36"/>
        <v>0</v>
      </c>
      <c r="AW86" s="62">
        <f t="shared" ca="1" si="36"/>
        <v>0</v>
      </c>
      <c r="AX86" s="62">
        <f t="shared" ca="1" si="36"/>
        <v>0</v>
      </c>
      <c r="AY86" s="62">
        <f t="shared" ca="1" si="36"/>
        <v>0</v>
      </c>
      <c r="AZ86" s="62">
        <f t="shared" ca="1" si="36"/>
        <v>0</v>
      </c>
      <c r="BA86" s="62">
        <f t="shared" ca="1" si="36"/>
        <v>0</v>
      </c>
      <c r="BB86" s="62">
        <f t="shared" ca="1" si="36"/>
        <v>0</v>
      </c>
      <c r="BC86" s="50"/>
      <c r="BD86" s="50"/>
    </row>
    <row r="87" spans="5:56" s="36" customFormat="1" x14ac:dyDescent="0.25">
      <c r="E87" s="50"/>
      <c r="F87" s="51"/>
      <c r="G87" s="69"/>
      <c r="H87" s="51"/>
      <c r="J87" s="28"/>
      <c r="K87" s="37"/>
      <c r="L87" s="37"/>
      <c r="M87" s="37"/>
      <c r="N87" s="37"/>
      <c r="AF87" s="4"/>
      <c r="AG87" s="35">
        <v>0.74794499999999997</v>
      </c>
      <c r="AH87" s="62">
        <f t="shared" ca="1" si="36"/>
        <v>0</v>
      </c>
      <c r="AI87" s="62">
        <f t="shared" ca="1" si="36"/>
        <v>0</v>
      </c>
      <c r="AJ87" s="62">
        <f t="shared" ca="1" si="36"/>
        <v>0</v>
      </c>
      <c r="AK87" s="62">
        <f t="shared" ca="1" si="36"/>
        <v>0</v>
      </c>
      <c r="AL87" s="62">
        <f t="shared" ca="1" si="36"/>
        <v>0</v>
      </c>
      <c r="AM87" s="62">
        <f t="shared" ca="1" si="36"/>
        <v>0</v>
      </c>
      <c r="AN87" s="62">
        <f t="shared" ca="1" si="36"/>
        <v>0</v>
      </c>
      <c r="AO87" s="62">
        <f t="shared" ca="1" si="36"/>
        <v>0</v>
      </c>
      <c r="AP87" s="62">
        <f t="shared" ca="1" si="36"/>
        <v>0</v>
      </c>
      <c r="AQ87" s="62">
        <f t="shared" ca="1" si="36"/>
        <v>0</v>
      </c>
      <c r="AR87" s="62">
        <f t="shared" ca="1" si="36"/>
        <v>0</v>
      </c>
      <c r="AS87" s="62">
        <f t="shared" ca="1" si="36"/>
        <v>0</v>
      </c>
      <c r="AT87" s="62">
        <f t="shared" ca="1" si="36"/>
        <v>0</v>
      </c>
      <c r="AU87" s="62">
        <f t="shared" ca="1" si="36"/>
        <v>0</v>
      </c>
      <c r="AV87" s="62">
        <f t="shared" ca="1" si="36"/>
        <v>0</v>
      </c>
      <c r="AW87" s="62">
        <f t="shared" ca="1" si="36"/>
        <v>0</v>
      </c>
      <c r="AX87" s="62">
        <f t="shared" ca="1" si="36"/>
        <v>0</v>
      </c>
      <c r="AY87" s="62">
        <f t="shared" ca="1" si="36"/>
        <v>0</v>
      </c>
      <c r="AZ87" s="62">
        <f t="shared" ca="1" si="36"/>
        <v>0</v>
      </c>
      <c r="BA87" s="62">
        <f t="shared" ca="1" si="36"/>
        <v>0</v>
      </c>
      <c r="BB87" s="62">
        <f t="shared" ca="1" si="36"/>
        <v>0</v>
      </c>
      <c r="BC87" s="50"/>
      <c r="BD87" s="50"/>
    </row>
    <row r="88" spans="5:56" s="36" customFormat="1" x14ac:dyDescent="0.25">
      <c r="E88" s="50"/>
      <c r="F88" s="51"/>
      <c r="G88" s="69"/>
      <c r="H88" s="51"/>
      <c r="J88" s="28"/>
      <c r="K88" s="37"/>
      <c r="L88" s="37"/>
      <c r="M88" s="37"/>
      <c r="N88" s="37"/>
      <c r="AF88" s="5" t="s">
        <v>20</v>
      </c>
      <c r="AG88" s="35">
        <v>0.74793500000000002</v>
      </c>
      <c r="AH88" s="62">
        <f t="shared" si="36"/>
        <v>0</v>
      </c>
      <c r="AI88" s="62">
        <f t="shared" si="36"/>
        <v>0</v>
      </c>
      <c r="AJ88" s="62">
        <f t="shared" si="36"/>
        <v>0</v>
      </c>
      <c r="AK88" s="62">
        <f t="shared" si="36"/>
        <v>0</v>
      </c>
      <c r="AL88" s="62">
        <f t="shared" si="36"/>
        <v>0</v>
      </c>
      <c r="AM88" s="62">
        <f t="shared" si="36"/>
        <v>0</v>
      </c>
      <c r="AN88" s="62">
        <f t="shared" si="36"/>
        <v>0</v>
      </c>
      <c r="AO88" s="62">
        <f t="shared" si="36"/>
        <v>0</v>
      </c>
      <c r="AP88" s="62">
        <f t="shared" si="36"/>
        <v>0</v>
      </c>
      <c r="AQ88" s="62">
        <f t="shared" si="36"/>
        <v>0</v>
      </c>
      <c r="AR88" s="62">
        <f t="shared" si="36"/>
        <v>0</v>
      </c>
      <c r="AS88" s="62">
        <f t="shared" si="36"/>
        <v>0</v>
      </c>
      <c r="AT88" s="62">
        <f t="shared" si="36"/>
        <v>0</v>
      </c>
      <c r="AU88" s="62">
        <f t="shared" si="36"/>
        <v>0</v>
      </c>
      <c r="AV88" s="62">
        <f t="shared" si="36"/>
        <v>0</v>
      </c>
      <c r="AW88" s="62">
        <f t="shared" si="36"/>
        <v>0</v>
      </c>
      <c r="AX88" s="62">
        <f t="shared" si="36"/>
        <v>0</v>
      </c>
      <c r="AY88" s="62">
        <f t="shared" si="36"/>
        <v>0</v>
      </c>
      <c r="AZ88" s="62">
        <f t="shared" si="36"/>
        <v>0</v>
      </c>
      <c r="BA88" s="62">
        <f t="shared" si="36"/>
        <v>0</v>
      </c>
      <c r="BB88" s="62">
        <f t="shared" si="36"/>
        <v>0</v>
      </c>
      <c r="BC88" s="50"/>
      <c r="BD88" s="50"/>
    </row>
    <row r="89" spans="5:56" s="36" customFormat="1" x14ac:dyDescent="0.25">
      <c r="E89" s="50"/>
      <c r="F89" s="51"/>
      <c r="G89" s="69"/>
      <c r="H89" s="51"/>
      <c r="J89" s="28"/>
      <c r="K89" s="37"/>
      <c r="L89" s="37"/>
      <c r="M89" s="37"/>
      <c r="N89" s="37"/>
      <c r="AF89" s="4"/>
      <c r="AG89" s="35">
        <v>0.72020499999999998</v>
      </c>
      <c r="AH89" s="62">
        <f t="shared" ca="1" si="36"/>
        <v>0</v>
      </c>
      <c r="AI89" s="62">
        <f t="shared" ca="1" si="36"/>
        <v>0</v>
      </c>
      <c r="AJ89" s="62">
        <f t="shared" ca="1" si="36"/>
        <v>0</v>
      </c>
      <c r="AK89" s="62">
        <f t="shared" ca="1" si="36"/>
        <v>0</v>
      </c>
      <c r="AL89" s="62">
        <f t="shared" ca="1" si="36"/>
        <v>0</v>
      </c>
      <c r="AM89" s="62">
        <f t="shared" ca="1" si="36"/>
        <v>0</v>
      </c>
      <c r="AN89" s="62">
        <f t="shared" ca="1" si="36"/>
        <v>0</v>
      </c>
      <c r="AO89" s="62">
        <f t="shared" ca="1" si="36"/>
        <v>0</v>
      </c>
      <c r="AP89" s="62">
        <f t="shared" ca="1" si="36"/>
        <v>0</v>
      </c>
      <c r="AQ89" s="62">
        <f t="shared" ca="1" si="36"/>
        <v>0</v>
      </c>
      <c r="AR89" s="62">
        <f t="shared" ca="1" si="36"/>
        <v>0</v>
      </c>
      <c r="AS89" s="62">
        <f t="shared" ca="1" si="36"/>
        <v>0</v>
      </c>
      <c r="AT89" s="62">
        <f t="shared" ca="1" si="36"/>
        <v>0</v>
      </c>
      <c r="AU89" s="62">
        <f t="shared" ca="1" si="36"/>
        <v>0</v>
      </c>
      <c r="AV89" s="62">
        <f t="shared" ca="1" si="36"/>
        <v>0</v>
      </c>
      <c r="AW89" s="62">
        <f t="shared" ca="1" si="36"/>
        <v>0</v>
      </c>
      <c r="AX89" s="62">
        <f t="shared" ca="1" si="36"/>
        <v>0</v>
      </c>
      <c r="AY89" s="62">
        <f t="shared" ca="1" si="36"/>
        <v>0</v>
      </c>
      <c r="AZ89" s="62">
        <f t="shared" ca="1" si="36"/>
        <v>0</v>
      </c>
      <c r="BA89" s="62">
        <f t="shared" ca="1" si="36"/>
        <v>0</v>
      </c>
      <c r="BB89" s="62">
        <f t="shared" ca="1" si="36"/>
        <v>0</v>
      </c>
      <c r="BC89" s="50"/>
      <c r="BD89" s="50"/>
    </row>
    <row r="90" spans="5:56" s="36" customFormat="1" x14ac:dyDescent="0.25">
      <c r="E90" s="50"/>
      <c r="F90" s="51"/>
      <c r="G90" s="69"/>
      <c r="H90" s="51"/>
      <c r="J90" s="28"/>
      <c r="K90" s="37"/>
      <c r="L90" s="37"/>
      <c r="M90" s="37"/>
      <c r="N90" s="37"/>
      <c r="AF90" s="4"/>
      <c r="AG90" s="35">
        <v>0.50136999999999998</v>
      </c>
      <c r="AH90" s="62">
        <f t="shared" ca="1" si="36"/>
        <v>0</v>
      </c>
      <c r="AI90" s="62">
        <f t="shared" ca="1" si="36"/>
        <v>0</v>
      </c>
      <c r="AJ90" s="62">
        <f t="shared" ca="1" si="36"/>
        <v>0</v>
      </c>
      <c r="AK90" s="62">
        <f t="shared" ca="1" si="36"/>
        <v>0</v>
      </c>
      <c r="AL90" s="62">
        <f t="shared" ca="1" si="36"/>
        <v>0</v>
      </c>
      <c r="AM90" s="62">
        <f t="shared" ca="1" si="36"/>
        <v>0</v>
      </c>
      <c r="AN90" s="62">
        <f t="shared" ca="1" si="36"/>
        <v>0</v>
      </c>
      <c r="AO90" s="62">
        <f t="shared" ca="1" si="36"/>
        <v>0</v>
      </c>
      <c r="AP90" s="62">
        <f t="shared" ca="1" si="36"/>
        <v>0</v>
      </c>
      <c r="AQ90" s="62">
        <f t="shared" ca="1" si="36"/>
        <v>0</v>
      </c>
      <c r="AR90" s="62">
        <f t="shared" ca="1" si="36"/>
        <v>0</v>
      </c>
      <c r="AS90" s="62">
        <f t="shared" ca="1" si="36"/>
        <v>0</v>
      </c>
      <c r="AT90" s="62">
        <f t="shared" ca="1" si="36"/>
        <v>0</v>
      </c>
      <c r="AU90" s="62">
        <f t="shared" ca="1" si="36"/>
        <v>0</v>
      </c>
      <c r="AV90" s="62">
        <f t="shared" ca="1" si="36"/>
        <v>0</v>
      </c>
      <c r="AW90" s="62">
        <f t="shared" ca="1" si="36"/>
        <v>0</v>
      </c>
      <c r="AX90" s="62">
        <f t="shared" ca="1" si="36"/>
        <v>0</v>
      </c>
      <c r="AY90" s="62">
        <f t="shared" ca="1" si="36"/>
        <v>0</v>
      </c>
      <c r="AZ90" s="62">
        <f t="shared" ca="1" si="36"/>
        <v>0</v>
      </c>
      <c r="BA90" s="62">
        <f t="shared" ca="1" si="36"/>
        <v>0</v>
      </c>
      <c r="BB90" s="62">
        <f t="shared" ca="1" si="36"/>
        <v>0</v>
      </c>
      <c r="BC90" s="50"/>
      <c r="BD90" s="50"/>
    </row>
    <row r="91" spans="5:56" s="36" customFormat="1" x14ac:dyDescent="0.25">
      <c r="E91" s="50"/>
      <c r="F91" s="51"/>
      <c r="G91" s="69"/>
      <c r="H91" s="51"/>
      <c r="J91" s="28"/>
      <c r="K91" s="37"/>
      <c r="L91" s="37"/>
      <c r="M91" s="37"/>
      <c r="N91" s="37"/>
      <c r="AF91" s="5" t="s">
        <v>20</v>
      </c>
      <c r="AG91" s="35">
        <v>0.50136000000000003</v>
      </c>
      <c r="AH91" s="62">
        <f t="shared" si="36"/>
        <v>0</v>
      </c>
      <c r="AI91" s="62">
        <f t="shared" si="36"/>
        <v>0</v>
      </c>
      <c r="AJ91" s="62">
        <f t="shared" si="36"/>
        <v>0</v>
      </c>
      <c r="AK91" s="62">
        <f t="shared" si="36"/>
        <v>0</v>
      </c>
      <c r="AL91" s="62">
        <f t="shared" si="36"/>
        <v>0</v>
      </c>
      <c r="AM91" s="62">
        <f t="shared" si="36"/>
        <v>0</v>
      </c>
      <c r="AN91" s="62">
        <f t="shared" si="36"/>
        <v>0</v>
      </c>
      <c r="AO91" s="62">
        <f t="shared" si="36"/>
        <v>0</v>
      </c>
      <c r="AP91" s="62">
        <f t="shared" si="36"/>
        <v>0</v>
      </c>
      <c r="AQ91" s="62">
        <f t="shared" si="36"/>
        <v>0</v>
      </c>
      <c r="AR91" s="62">
        <f t="shared" si="36"/>
        <v>0</v>
      </c>
      <c r="AS91" s="62">
        <f t="shared" si="36"/>
        <v>0</v>
      </c>
      <c r="AT91" s="62">
        <f t="shared" si="36"/>
        <v>0</v>
      </c>
      <c r="AU91" s="62">
        <f t="shared" si="36"/>
        <v>0</v>
      </c>
      <c r="AV91" s="62">
        <f t="shared" si="36"/>
        <v>0</v>
      </c>
      <c r="AW91" s="62">
        <f t="shared" si="36"/>
        <v>0</v>
      </c>
      <c r="AX91" s="62">
        <f t="shared" si="36"/>
        <v>0</v>
      </c>
      <c r="AY91" s="62">
        <f t="shared" si="36"/>
        <v>0</v>
      </c>
      <c r="AZ91" s="62">
        <f t="shared" si="36"/>
        <v>0</v>
      </c>
      <c r="BA91" s="62">
        <f t="shared" si="36"/>
        <v>0</v>
      </c>
      <c r="BB91" s="62">
        <f t="shared" si="36"/>
        <v>0</v>
      </c>
      <c r="BC91" s="50"/>
      <c r="BD91" s="50"/>
    </row>
    <row r="92" spans="5:56" s="36" customFormat="1" x14ac:dyDescent="0.25">
      <c r="E92" s="50"/>
      <c r="F92" s="51"/>
      <c r="G92" s="69"/>
      <c r="H92" s="51"/>
      <c r="J92" s="28"/>
      <c r="K92" s="37"/>
      <c r="L92" s="37"/>
      <c r="M92" s="37"/>
      <c r="N92" s="37"/>
      <c r="AF92" s="4"/>
      <c r="AG92" s="35">
        <v>0.47088999999999998</v>
      </c>
      <c r="AH92" s="62">
        <f t="shared" ca="1" si="36"/>
        <v>0</v>
      </c>
      <c r="AI92" s="62">
        <f t="shared" ca="1" si="36"/>
        <v>0</v>
      </c>
      <c r="AJ92" s="62">
        <f t="shared" ca="1" si="36"/>
        <v>0</v>
      </c>
      <c r="AK92" s="62">
        <f t="shared" ca="1" si="36"/>
        <v>0</v>
      </c>
      <c r="AL92" s="62">
        <f t="shared" ca="1" si="36"/>
        <v>0</v>
      </c>
      <c r="AM92" s="62">
        <f t="shared" ca="1" si="36"/>
        <v>0</v>
      </c>
      <c r="AN92" s="62">
        <f t="shared" ca="1" si="36"/>
        <v>0</v>
      </c>
      <c r="AO92" s="62">
        <f t="shared" ca="1" si="36"/>
        <v>0</v>
      </c>
      <c r="AP92" s="62">
        <f t="shared" ca="1" si="36"/>
        <v>0</v>
      </c>
      <c r="AQ92" s="62">
        <f t="shared" ca="1" si="36"/>
        <v>0</v>
      </c>
      <c r="AR92" s="62">
        <f t="shared" ca="1" si="36"/>
        <v>0</v>
      </c>
      <c r="AS92" s="62">
        <f t="shared" ca="1" si="36"/>
        <v>0</v>
      </c>
      <c r="AT92" s="62">
        <f t="shared" ca="1" si="36"/>
        <v>0</v>
      </c>
      <c r="AU92" s="62">
        <f t="shared" ca="1" si="36"/>
        <v>0</v>
      </c>
      <c r="AV92" s="62">
        <f t="shared" ca="1" si="36"/>
        <v>0</v>
      </c>
      <c r="AW92" s="62">
        <f t="shared" ca="1" si="36"/>
        <v>0</v>
      </c>
      <c r="AX92" s="62">
        <f t="shared" ca="1" si="36"/>
        <v>0</v>
      </c>
      <c r="AY92" s="62">
        <f t="shared" ca="1" si="36"/>
        <v>0</v>
      </c>
      <c r="AZ92" s="62">
        <f t="shared" ca="1" si="36"/>
        <v>0</v>
      </c>
      <c r="BA92" s="62">
        <f t="shared" ca="1" si="36"/>
        <v>0</v>
      </c>
      <c r="BB92" s="62">
        <f t="shared" ca="1" si="36"/>
        <v>0</v>
      </c>
      <c r="BC92" s="50"/>
      <c r="BD92" s="50"/>
    </row>
    <row r="93" spans="5:56" s="36" customFormat="1" x14ac:dyDescent="0.25">
      <c r="E93" s="50"/>
      <c r="F93" s="51"/>
      <c r="G93" s="69"/>
      <c r="H93" s="51"/>
      <c r="J93" s="28"/>
      <c r="K93" s="37"/>
      <c r="L93" s="37"/>
      <c r="M93" s="37"/>
      <c r="N93" s="37"/>
      <c r="AF93" s="4"/>
      <c r="AG93" s="35">
        <v>0.25205499999999997</v>
      </c>
      <c r="AH93" s="62">
        <f t="shared" ca="1" si="36"/>
        <v>0</v>
      </c>
      <c r="AI93" s="62">
        <f t="shared" ca="1" si="36"/>
        <v>0</v>
      </c>
      <c r="AJ93" s="62">
        <f t="shared" ca="1" si="36"/>
        <v>0</v>
      </c>
      <c r="AK93" s="62">
        <f t="shared" ca="1" si="36"/>
        <v>0</v>
      </c>
      <c r="AL93" s="62">
        <f t="shared" ca="1" si="36"/>
        <v>0</v>
      </c>
      <c r="AM93" s="62">
        <f t="shared" ca="1" si="36"/>
        <v>0</v>
      </c>
      <c r="AN93" s="62">
        <f t="shared" ca="1" si="36"/>
        <v>0</v>
      </c>
      <c r="AO93" s="62">
        <f t="shared" ca="1" si="36"/>
        <v>0</v>
      </c>
      <c r="AP93" s="62">
        <f t="shared" ca="1" si="36"/>
        <v>0</v>
      </c>
      <c r="AQ93" s="62">
        <f t="shared" ca="1" si="36"/>
        <v>0</v>
      </c>
      <c r="AR93" s="62">
        <f t="shared" ca="1" si="36"/>
        <v>0</v>
      </c>
      <c r="AS93" s="62">
        <f t="shared" ca="1" si="36"/>
        <v>0</v>
      </c>
      <c r="AT93" s="62">
        <f t="shared" ca="1" si="36"/>
        <v>0</v>
      </c>
      <c r="AU93" s="62">
        <f t="shared" ca="1" si="36"/>
        <v>0</v>
      </c>
      <c r="AV93" s="62">
        <f t="shared" ca="1" si="36"/>
        <v>0</v>
      </c>
      <c r="AW93" s="62">
        <f t="shared" ca="1" si="36"/>
        <v>0</v>
      </c>
      <c r="AX93" s="62">
        <f t="shared" ca="1" si="36"/>
        <v>0</v>
      </c>
      <c r="AY93" s="62">
        <f t="shared" ca="1" si="36"/>
        <v>0</v>
      </c>
      <c r="AZ93" s="62">
        <f t="shared" ca="1" si="36"/>
        <v>0</v>
      </c>
      <c r="BA93" s="62">
        <f t="shared" ca="1" si="36"/>
        <v>0</v>
      </c>
      <c r="BB93" s="62">
        <f t="shared" ca="1" si="36"/>
        <v>0</v>
      </c>
      <c r="BC93" s="50"/>
      <c r="BD93" s="50"/>
    </row>
    <row r="94" spans="5:56" s="36" customFormat="1" x14ac:dyDescent="0.25">
      <c r="E94" s="50"/>
      <c r="F94" s="51"/>
      <c r="G94" s="69"/>
      <c r="H94" s="51"/>
      <c r="J94" s="28"/>
      <c r="K94" s="37"/>
      <c r="L94" s="37"/>
      <c r="M94" s="37"/>
      <c r="N94" s="37"/>
      <c r="AF94" s="5" t="s">
        <v>20</v>
      </c>
      <c r="AG94" s="35">
        <v>0.25204500000000002</v>
      </c>
      <c r="AH94" s="62">
        <f t="shared" si="36"/>
        <v>0</v>
      </c>
      <c r="AI94" s="62">
        <f t="shared" si="36"/>
        <v>0</v>
      </c>
      <c r="AJ94" s="62">
        <f t="shared" si="36"/>
        <v>0</v>
      </c>
      <c r="AK94" s="62">
        <f t="shared" si="36"/>
        <v>0</v>
      </c>
      <c r="AL94" s="62">
        <f t="shared" si="36"/>
        <v>0</v>
      </c>
      <c r="AM94" s="62">
        <f t="shared" si="36"/>
        <v>0</v>
      </c>
      <c r="AN94" s="62">
        <f t="shared" si="36"/>
        <v>0</v>
      </c>
      <c r="AO94" s="62">
        <f t="shared" si="36"/>
        <v>0</v>
      </c>
      <c r="AP94" s="62">
        <f t="shared" si="36"/>
        <v>0</v>
      </c>
      <c r="AQ94" s="62">
        <f t="shared" si="36"/>
        <v>0</v>
      </c>
      <c r="AR94" s="62">
        <f t="shared" si="36"/>
        <v>0</v>
      </c>
      <c r="AS94" s="62">
        <f t="shared" si="36"/>
        <v>0</v>
      </c>
      <c r="AT94" s="62">
        <f t="shared" si="36"/>
        <v>0</v>
      </c>
      <c r="AU94" s="62">
        <f t="shared" si="36"/>
        <v>0</v>
      </c>
      <c r="AV94" s="62">
        <f t="shared" si="36"/>
        <v>0</v>
      </c>
      <c r="AW94" s="62">
        <f t="shared" si="36"/>
        <v>0</v>
      </c>
      <c r="AX94" s="62">
        <f t="shared" si="36"/>
        <v>0</v>
      </c>
      <c r="AY94" s="62">
        <f t="shared" si="36"/>
        <v>0</v>
      </c>
      <c r="AZ94" s="62">
        <f t="shared" si="36"/>
        <v>0</v>
      </c>
      <c r="BA94" s="62">
        <f t="shared" si="36"/>
        <v>0</v>
      </c>
      <c r="BB94" s="62">
        <f t="shared" si="36"/>
        <v>0</v>
      </c>
      <c r="BC94" s="50"/>
      <c r="BD94" s="50"/>
    </row>
    <row r="95" spans="5:56" s="36" customFormat="1" x14ac:dyDescent="0.25">
      <c r="E95" s="50"/>
      <c r="F95" s="51"/>
      <c r="G95" s="69"/>
      <c r="H95" s="51"/>
      <c r="J95" s="28"/>
      <c r="K95" s="37"/>
      <c r="L95" s="37"/>
      <c r="M95" s="37"/>
      <c r="N95" s="37"/>
      <c r="AF95" s="4"/>
      <c r="AG95" s="35">
        <v>0.218836</v>
      </c>
      <c r="AH95" s="62">
        <f t="shared" ca="1" si="36"/>
        <v>0</v>
      </c>
      <c r="AI95" s="62">
        <f t="shared" ca="1" si="36"/>
        <v>0</v>
      </c>
      <c r="AJ95" s="62">
        <f t="shared" ca="1" si="36"/>
        <v>0</v>
      </c>
      <c r="AK95" s="62">
        <f t="shared" ref="AK95:BB95" ca="1" si="37">IF(ABS(AK27-AK61) &lt; 1, 0, AK27/AK61-1)</f>
        <v>0</v>
      </c>
      <c r="AL95" s="62">
        <f t="shared" ca="1" si="37"/>
        <v>0</v>
      </c>
      <c r="AM95" s="62">
        <f t="shared" ca="1" si="37"/>
        <v>0</v>
      </c>
      <c r="AN95" s="62">
        <f t="shared" ca="1" si="37"/>
        <v>0</v>
      </c>
      <c r="AO95" s="62">
        <f t="shared" ca="1" si="37"/>
        <v>0</v>
      </c>
      <c r="AP95" s="62">
        <f t="shared" ca="1" si="37"/>
        <v>0</v>
      </c>
      <c r="AQ95" s="62">
        <f t="shared" ca="1" si="37"/>
        <v>0</v>
      </c>
      <c r="AR95" s="62">
        <f t="shared" ca="1" si="37"/>
        <v>0</v>
      </c>
      <c r="AS95" s="62">
        <f t="shared" ca="1" si="37"/>
        <v>0</v>
      </c>
      <c r="AT95" s="62">
        <f t="shared" ca="1" si="37"/>
        <v>0</v>
      </c>
      <c r="AU95" s="62">
        <f t="shared" ca="1" si="37"/>
        <v>0</v>
      </c>
      <c r="AV95" s="62">
        <f t="shared" ca="1" si="37"/>
        <v>0</v>
      </c>
      <c r="AW95" s="62">
        <f t="shared" ca="1" si="37"/>
        <v>0</v>
      </c>
      <c r="AX95" s="62">
        <f t="shared" ca="1" si="37"/>
        <v>0</v>
      </c>
      <c r="AY95" s="62">
        <f t="shared" ca="1" si="37"/>
        <v>0</v>
      </c>
      <c r="AZ95" s="62">
        <f t="shared" ca="1" si="37"/>
        <v>0</v>
      </c>
      <c r="BA95" s="62">
        <f t="shared" ca="1" si="37"/>
        <v>0</v>
      </c>
      <c r="BB95" s="62">
        <f t="shared" ca="1" si="37"/>
        <v>0</v>
      </c>
      <c r="BC95" s="50"/>
      <c r="BD95" s="50"/>
    </row>
    <row r="96" spans="5:56" s="36" customFormat="1" x14ac:dyDescent="0.25">
      <c r="E96" s="50"/>
      <c r="F96" s="51"/>
      <c r="G96" s="69"/>
      <c r="H96" s="51"/>
      <c r="J96" s="28"/>
      <c r="K96" s="37"/>
      <c r="L96" s="37"/>
      <c r="M96" s="37"/>
      <c r="N96" s="37"/>
      <c r="AF96" s="4"/>
      <c r="AG96" s="35">
        <v>1.0000000000000001E-5</v>
      </c>
      <c r="AH96" s="62">
        <f t="shared" ref="AH96:BB96" ca="1" si="38">IF(ABS(AH28-AH62) &lt; 1, 0, AH28/AH62-1)</f>
        <v>0</v>
      </c>
      <c r="AI96" s="62">
        <f t="shared" ca="1" si="38"/>
        <v>0</v>
      </c>
      <c r="AJ96" s="62">
        <f t="shared" ca="1" si="38"/>
        <v>0</v>
      </c>
      <c r="AK96" s="62">
        <f t="shared" ca="1" si="38"/>
        <v>0</v>
      </c>
      <c r="AL96" s="62">
        <f t="shared" ca="1" si="38"/>
        <v>0</v>
      </c>
      <c r="AM96" s="62">
        <f t="shared" ca="1" si="38"/>
        <v>0</v>
      </c>
      <c r="AN96" s="62">
        <f t="shared" ca="1" si="38"/>
        <v>0</v>
      </c>
      <c r="AO96" s="62">
        <f t="shared" ca="1" si="38"/>
        <v>0</v>
      </c>
      <c r="AP96" s="62">
        <f t="shared" ca="1" si="38"/>
        <v>0</v>
      </c>
      <c r="AQ96" s="62">
        <f t="shared" ca="1" si="38"/>
        <v>0</v>
      </c>
      <c r="AR96" s="62">
        <f t="shared" ca="1" si="38"/>
        <v>0</v>
      </c>
      <c r="AS96" s="62">
        <f t="shared" ca="1" si="38"/>
        <v>0</v>
      </c>
      <c r="AT96" s="62">
        <f t="shared" ca="1" si="38"/>
        <v>0</v>
      </c>
      <c r="AU96" s="62">
        <f t="shared" ca="1" si="38"/>
        <v>0</v>
      </c>
      <c r="AV96" s="62">
        <f t="shared" ca="1" si="38"/>
        <v>0</v>
      </c>
      <c r="AW96" s="62">
        <f t="shared" ca="1" si="38"/>
        <v>0</v>
      </c>
      <c r="AX96" s="62">
        <f t="shared" ca="1" si="38"/>
        <v>0</v>
      </c>
      <c r="AY96" s="62">
        <f t="shared" ca="1" si="38"/>
        <v>-5.1737935657936163E-7</v>
      </c>
      <c r="AZ96" s="62">
        <f t="shared" ca="1" si="38"/>
        <v>-5.7162466038374049E-7</v>
      </c>
      <c r="BA96" s="62">
        <f t="shared" ca="1" si="38"/>
        <v>-6.2172739390131682E-7</v>
      </c>
      <c r="BB96" s="62">
        <f t="shared" ca="1" si="38"/>
        <v>-6.6727511061070999E-7</v>
      </c>
      <c r="BC96" s="50"/>
      <c r="BD96" s="50"/>
    </row>
    <row r="97" spans="3:438" s="36" customFormat="1" x14ac:dyDescent="0.25">
      <c r="E97" s="50"/>
      <c r="F97" s="51"/>
      <c r="G97" s="69"/>
      <c r="H97" s="51"/>
      <c r="J97" s="28"/>
      <c r="K97" s="37"/>
      <c r="L97" s="37"/>
      <c r="M97" s="37"/>
      <c r="N97" s="37"/>
      <c r="AF97" s="4"/>
      <c r="AG97" s="35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50"/>
      <c r="BD97" s="50"/>
    </row>
    <row r="98" spans="3:438" s="36" customFormat="1" x14ac:dyDescent="0.25">
      <c r="E98" s="50"/>
      <c r="F98" s="51"/>
      <c r="G98" s="69"/>
      <c r="H98" s="51"/>
      <c r="J98" s="28"/>
      <c r="K98" s="37"/>
      <c r="L98" s="37"/>
      <c r="M98" s="37"/>
      <c r="N98" s="37"/>
      <c r="AF98" s="5"/>
      <c r="AG98" s="35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50"/>
      <c r="BD98" s="50"/>
    </row>
    <row r="99" spans="3:438" s="36" customFormat="1" x14ac:dyDescent="0.25">
      <c r="E99" s="50"/>
      <c r="F99" s="51"/>
      <c r="G99" s="69"/>
      <c r="H99" s="51"/>
      <c r="J99" s="28"/>
      <c r="K99" s="37"/>
      <c r="L99" s="37"/>
      <c r="M99" s="37"/>
      <c r="N99" s="37"/>
      <c r="AF99" s="4"/>
      <c r="AG99" s="35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50"/>
      <c r="BD99" s="50"/>
    </row>
    <row r="100" spans="3:438" s="36" customFormat="1" x14ac:dyDescent="0.25">
      <c r="E100" s="50"/>
      <c r="F100" s="51"/>
      <c r="G100" s="69"/>
      <c r="H100" s="51"/>
      <c r="J100" s="28"/>
      <c r="K100" s="37"/>
      <c r="L100" s="37"/>
      <c r="M100" s="37"/>
      <c r="N100" s="37"/>
      <c r="AF100" s="5"/>
      <c r="AG100" s="35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50"/>
      <c r="BD100" s="50"/>
    </row>
    <row r="101" spans="3:438" s="36" customFormat="1" x14ac:dyDescent="0.25">
      <c r="E101" s="50"/>
      <c r="F101" s="51"/>
      <c r="G101" s="69"/>
      <c r="H101" s="51"/>
      <c r="J101" s="28"/>
      <c r="K101" s="37"/>
      <c r="L101" s="37"/>
      <c r="M101" s="37"/>
      <c r="N101" s="37"/>
      <c r="AF101" s="4"/>
      <c r="AG101" s="35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50"/>
      <c r="BD101" s="50"/>
    </row>
    <row r="102" spans="3:438" s="36" customFormat="1" x14ac:dyDescent="0.25">
      <c r="E102" s="50"/>
      <c r="F102" s="51"/>
      <c r="G102" s="69"/>
      <c r="H102" s="51"/>
      <c r="J102" s="28"/>
      <c r="K102" s="37"/>
      <c r="L102" s="37"/>
      <c r="M102" s="37"/>
      <c r="N102" s="37"/>
      <c r="BC102" s="50"/>
      <c r="BD102" s="50"/>
    </row>
    <row r="103" spans="3:438" s="36" customFormat="1" x14ac:dyDescent="0.25">
      <c r="E103" s="50"/>
      <c r="F103" s="51"/>
      <c r="G103" s="69"/>
      <c r="H103" s="51"/>
      <c r="J103" s="28"/>
      <c r="K103" s="37"/>
      <c r="L103" s="37"/>
      <c r="M103" s="37"/>
      <c r="N103" s="37"/>
      <c r="AF103" s="39"/>
      <c r="AG103" s="38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50"/>
      <c r="BD103" s="50"/>
    </row>
    <row r="104" spans="3:438" s="36" customFormat="1" x14ac:dyDescent="0.25">
      <c r="E104" s="50"/>
      <c r="F104" s="51"/>
      <c r="G104" s="69"/>
      <c r="H104" s="51"/>
      <c r="J104" s="28"/>
      <c r="K104" s="37"/>
      <c r="L104" s="37"/>
      <c r="M104" s="37"/>
      <c r="N104" s="37"/>
      <c r="AF104" s="39"/>
      <c r="AG104" s="38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  <c r="AX104" s="61"/>
      <c r="AY104" s="61"/>
      <c r="AZ104" s="61"/>
      <c r="BA104" s="61"/>
      <c r="BB104" s="61"/>
      <c r="BC104" s="50"/>
      <c r="BD104" s="50"/>
    </row>
    <row r="105" spans="3:438" s="36" customFormat="1" x14ac:dyDescent="0.25">
      <c r="E105" s="50"/>
      <c r="F105" s="51"/>
      <c r="G105" s="69"/>
      <c r="H105" s="51"/>
      <c r="J105" s="28"/>
      <c r="K105" s="37"/>
      <c r="L105" s="37"/>
      <c r="M105" s="37"/>
      <c r="N105" s="37"/>
      <c r="AF105" s="39"/>
      <c r="AG105" s="38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  <c r="AX105" s="61"/>
      <c r="AY105" s="61"/>
      <c r="AZ105" s="61"/>
      <c r="BA105" s="61"/>
      <c r="BB105" s="61"/>
      <c r="BC105" s="50"/>
      <c r="BD105" s="50"/>
    </row>
    <row r="106" spans="3:438" s="36" customFormat="1" x14ac:dyDescent="0.25">
      <c r="E106" s="50"/>
      <c r="F106" s="51"/>
      <c r="G106" s="69"/>
      <c r="H106" s="51"/>
      <c r="J106" s="28"/>
      <c r="K106" s="37"/>
      <c r="L106" s="37"/>
      <c r="M106" s="37"/>
      <c r="N106" s="37"/>
      <c r="AF106" s="39"/>
      <c r="AG106" s="38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  <c r="AX106" s="61"/>
      <c r="AY106" s="61"/>
      <c r="AZ106" s="61"/>
      <c r="BA106" s="61"/>
      <c r="BB106" s="61"/>
      <c r="BC106" s="50"/>
      <c r="BD106" s="50"/>
    </row>
    <row r="107" spans="3:438" s="54" customFormat="1" x14ac:dyDescent="0.25">
      <c r="C107" s="52"/>
      <c r="D107" s="52"/>
      <c r="E107" s="52"/>
      <c r="F107" s="53"/>
      <c r="G107" s="70"/>
      <c r="H107" s="53"/>
      <c r="I107" s="54" t="s">
        <v>26</v>
      </c>
      <c r="J107" s="55">
        <f>J109</f>
        <v>2</v>
      </c>
      <c r="K107" s="56">
        <f>J107</f>
        <v>2</v>
      </c>
      <c r="L107" s="56">
        <f t="shared" ref="L107:AD108" si="39">K107</f>
        <v>2</v>
      </c>
      <c r="M107" s="56">
        <f t="shared" si="39"/>
        <v>2</v>
      </c>
      <c r="N107" s="56">
        <f t="shared" si="39"/>
        <v>2</v>
      </c>
      <c r="O107" s="56">
        <f t="shared" si="39"/>
        <v>2</v>
      </c>
      <c r="P107" s="56">
        <f t="shared" si="39"/>
        <v>2</v>
      </c>
      <c r="Q107" s="56">
        <f t="shared" si="39"/>
        <v>2</v>
      </c>
      <c r="R107" s="56">
        <f t="shared" si="39"/>
        <v>2</v>
      </c>
      <c r="S107" s="56">
        <f t="shared" si="39"/>
        <v>2</v>
      </c>
      <c r="T107" s="56">
        <f t="shared" si="39"/>
        <v>2</v>
      </c>
      <c r="U107" s="56">
        <f t="shared" si="39"/>
        <v>2</v>
      </c>
      <c r="V107" s="56">
        <f t="shared" si="39"/>
        <v>2</v>
      </c>
      <c r="W107" s="56">
        <f t="shared" si="39"/>
        <v>2</v>
      </c>
      <c r="X107" s="56">
        <f t="shared" si="39"/>
        <v>2</v>
      </c>
      <c r="Y107" s="56">
        <f t="shared" si="39"/>
        <v>2</v>
      </c>
      <c r="Z107" s="56">
        <f t="shared" si="39"/>
        <v>2</v>
      </c>
      <c r="AA107" s="56">
        <f t="shared" si="39"/>
        <v>2</v>
      </c>
      <c r="AB107" s="56">
        <f t="shared" si="39"/>
        <v>2</v>
      </c>
      <c r="AC107" s="56">
        <f t="shared" si="39"/>
        <v>2</v>
      </c>
      <c r="AD107" s="56">
        <f t="shared" si="39"/>
        <v>2</v>
      </c>
      <c r="AF107" s="57"/>
      <c r="AG107" s="58"/>
      <c r="AH107" s="55">
        <f>AH109</f>
        <v>3</v>
      </c>
      <c r="AI107" s="56">
        <f>AH107</f>
        <v>3</v>
      </c>
      <c r="AJ107" s="56">
        <f t="shared" ref="AJ107:BB108" si="40">AI107</f>
        <v>3</v>
      </c>
      <c r="AK107" s="56">
        <f t="shared" si="40"/>
        <v>3</v>
      </c>
      <c r="AL107" s="56">
        <f t="shared" si="40"/>
        <v>3</v>
      </c>
      <c r="AM107" s="56">
        <f t="shared" si="40"/>
        <v>3</v>
      </c>
      <c r="AN107" s="56">
        <f t="shared" si="40"/>
        <v>3</v>
      </c>
      <c r="AO107" s="56">
        <f t="shared" si="40"/>
        <v>3</v>
      </c>
      <c r="AP107" s="56">
        <f t="shared" si="40"/>
        <v>3</v>
      </c>
      <c r="AQ107" s="56">
        <f t="shared" si="40"/>
        <v>3</v>
      </c>
      <c r="AR107" s="56">
        <f t="shared" si="40"/>
        <v>3</v>
      </c>
      <c r="AS107" s="56">
        <f t="shared" si="40"/>
        <v>3</v>
      </c>
      <c r="AT107" s="56">
        <f t="shared" si="40"/>
        <v>3</v>
      </c>
      <c r="AU107" s="56">
        <f t="shared" si="40"/>
        <v>3</v>
      </c>
      <c r="AV107" s="56">
        <f t="shared" si="40"/>
        <v>3</v>
      </c>
      <c r="AW107" s="56">
        <f t="shared" si="40"/>
        <v>3</v>
      </c>
      <c r="AX107" s="56">
        <f t="shared" si="40"/>
        <v>3</v>
      </c>
      <c r="AY107" s="56">
        <f t="shared" si="40"/>
        <v>3</v>
      </c>
      <c r="AZ107" s="56">
        <f t="shared" si="40"/>
        <v>3</v>
      </c>
      <c r="BA107" s="56">
        <f t="shared" si="40"/>
        <v>3</v>
      </c>
      <c r="BB107" s="56">
        <f t="shared" si="40"/>
        <v>3</v>
      </c>
      <c r="BC107" s="52"/>
      <c r="BD107" s="52"/>
      <c r="BE107" s="58"/>
      <c r="BF107" s="55">
        <f>BF109</f>
        <v>4</v>
      </c>
      <c r="BG107" s="56">
        <f>BF107</f>
        <v>4</v>
      </c>
      <c r="BH107" s="56">
        <f t="shared" ref="BH107:BZ108" si="41">BG107</f>
        <v>4</v>
      </c>
      <c r="BI107" s="56">
        <f t="shared" si="41"/>
        <v>4</v>
      </c>
      <c r="BJ107" s="56">
        <f t="shared" si="41"/>
        <v>4</v>
      </c>
      <c r="BK107" s="56">
        <f t="shared" si="41"/>
        <v>4</v>
      </c>
      <c r="BL107" s="56">
        <f t="shared" si="41"/>
        <v>4</v>
      </c>
      <c r="BM107" s="56">
        <f t="shared" si="41"/>
        <v>4</v>
      </c>
      <c r="BN107" s="56">
        <f t="shared" si="41"/>
        <v>4</v>
      </c>
      <c r="BO107" s="56">
        <f t="shared" si="41"/>
        <v>4</v>
      </c>
      <c r="BP107" s="56">
        <f t="shared" si="41"/>
        <v>4</v>
      </c>
      <c r="BQ107" s="56">
        <f t="shared" si="41"/>
        <v>4</v>
      </c>
      <c r="BR107" s="56">
        <f t="shared" si="41"/>
        <v>4</v>
      </c>
      <c r="BS107" s="56">
        <f t="shared" si="41"/>
        <v>4</v>
      </c>
      <c r="BT107" s="56">
        <f t="shared" si="41"/>
        <v>4</v>
      </c>
      <c r="BU107" s="56">
        <f t="shared" si="41"/>
        <v>4</v>
      </c>
      <c r="BV107" s="56">
        <f t="shared" si="41"/>
        <v>4</v>
      </c>
      <c r="BW107" s="56">
        <f t="shared" si="41"/>
        <v>4</v>
      </c>
      <c r="BX107" s="56">
        <f t="shared" si="41"/>
        <v>4</v>
      </c>
      <c r="BY107" s="56">
        <f t="shared" si="41"/>
        <v>4</v>
      </c>
      <c r="BZ107" s="56">
        <f t="shared" si="41"/>
        <v>4</v>
      </c>
      <c r="CC107" s="58"/>
      <c r="CD107" s="55">
        <f>CD109</f>
        <v>5</v>
      </c>
      <c r="CE107" s="56">
        <f>CD107</f>
        <v>5</v>
      </c>
      <c r="CF107" s="56">
        <f t="shared" ref="CF107:CX108" si="42">CE107</f>
        <v>5</v>
      </c>
      <c r="CG107" s="56">
        <f t="shared" si="42"/>
        <v>5</v>
      </c>
      <c r="CH107" s="56">
        <f t="shared" si="42"/>
        <v>5</v>
      </c>
      <c r="CI107" s="56">
        <f t="shared" si="42"/>
        <v>5</v>
      </c>
      <c r="CJ107" s="56">
        <f t="shared" si="42"/>
        <v>5</v>
      </c>
      <c r="CK107" s="56">
        <f t="shared" si="42"/>
        <v>5</v>
      </c>
      <c r="CL107" s="56">
        <f t="shared" si="42"/>
        <v>5</v>
      </c>
      <c r="CM107" s="56">
        <f t="shared" si="42"/>
        <v>5</v>
      </c>
      <c r="CN107" s="56">
        <f t="shared" si="42"/>
        <v>5</v>
      </c>
      <c r="CO107" s="56">
        <f t="shared" si="42"/>
        <v>5</v>
      </c>
      <c r="CP107" s="56">
        <f t="shared" si="42"/>
        <v>5</v>
      </c>
      <c r="CQ107" s="56">
        <f t="shared" si="42"/>
        <v>5</v>
      </c>
      <c r="CR107" s="56">
        <f t="shared" si="42"/>
        <v>5</v>
      </c>
      <c r="CS107" s="56">
        <f t="shared" si="42"/>
        <v>5</v>
      </c>
      <c r="CT107" s="56">
        <f t="shared" si="42"/>
        <v>5</v>
      </c>
      <c r="CU107" s="56">
        <f t="shared" si="42"/>
        <v>5</v>
      </c>
      <c r="CV107" s="56">
        <f t="shared" si="42"/>
        <v>5</v>
      </c>
      <c r="CW107" s="56">
        <f t="shared" si="42"/>
        <v>5</v>
      </c>
      <c r="CX107" s="56">
        <f t="shared" si="42"/>
        <v>5</v>
      </c>
      <c r="DA107" s="58"/>
      <c r="DB107" s="55">
        <f>DB109</f>
        <v>6</v>
      </c>
      <c r="DC107" s="56">
        <f>DB107</f>
        <v>6</v>
      </c>
      <c r="DD107" s="56">
        <f t="shared" ref="DD107:DV108" si="43">DC107</f>
        <v>6</v>
      </c>
      <c r="DE107" s="56">
        <f t="shared" si="43"/>
        <v>6</v>
      </c>
      <c r="DF107" s="56">
        <f t="shared" si="43"/>
        <v>6</v>
      </c>
      <c r="DG107" s="56">
        <f t="shared" si="43"/>
        <v>6</v>
      </c>
      <c r="DH107" s="56">
        <f t="shared" si="43"/>
        <v>6</v>
      </c>
      <c r="DI107" s="56">
        <f t="shared" si="43"/>
        <v>6</v>
      </c>
      <c r="DJ107" s="56">
        <f t="shared" si="43"/>
        <v>6</v>
      </c>
      <c r="DK107" s="56">
        <f t="shared" si="43"/>
        <v>6</v>
      </c>
      <c r="DL107" s="56">
        <f t="shared" si="43"/>
        <v>6</v>
      </c>
      <c r="DM107" s="56">
        <f t="shared" si="43"/>
        <v>6</v>
      </c>
      <c r="DN107" s="56">
        <f t="shared" si="43"/>
        <v>6</v>
      </c>
      <c r="DO107" s="56">
        <f t="shared" si="43"/>
        <v>6</v>
      </c>
      <c r="DP107" s="56">
        <f t="shared" si="43"/>
        <v>6</v>
      </c>
      <c r="DQ107" s="56">
        <f t="shared" si="43"/>
        <v>6</v>
      </c>
      <c r="DR107" s="56">
        <f t="shared" si="43"/>
        <v>6</v>
      </c>
      <c r="DS107" s="56">
        <f t="shared" si="43"/>
        <v>6</v>
      </c>
      <c r="DT107" s="56">
        <f t="shared" si="43"/>
        <v>6</v>
      </c>
      <c r="DU107" s="56">
        <f t="shared" si="43"/>
        <v>6</v>
      </c>
      <c r="DV107" s="56">
        <f t="shared" si="43"/>
        <v>6</v>
      </c>
      <c r="DY107" s="58"/>
      <c r="DZ107" s="55">
        <f>DZ109</f>
        <v>7</v>
      </c>
      <c r="EA107" s="56">
        <f>DZ107</f>
        <v>7</v>
      </c>
      <c r="EB107" s="56">
        <f t="shared" ref="EB107:ET108" si="44">EA107</f>
        <v>7</v>
      </c>
      <c r="EC107" s="56">
        <f t="shared" si="44"/>
        <v>7</v>
      </c>
      <c r="ED107" s="56">
        <f t="shared" si="44"/>
        <v>7</v>
      </c>
      <c r="EE107" s="56">
        <f t="shared" si="44"/>
        <v>7</v>
      </c>
      <c r="EF107" s="56">
        <f t="shared" si="44"/>
        <v>7</v>
      </c>
      <c r="EG107" s="56">
        <f t="shared" si="44"/>
        <v>7</v>
      </c>
      <c r="EH107" s="56">
        <f t="shared" si="44"/>
        <v>7</v>
      </c>
      <c r="EI107" s="56">
        <f t="shared" si="44"/>
        <v>7</v>
      </c>
      <c r="EJ107" s="56">
        <f t="shared" si="44"/>
        <v>7</v>
      </c>
      <c r="EK107" s="56">
        <f t="shared" si="44"/>
        <v>7</v>
      </c>
      <c r="EL107" s="56">
        <f t="shared" si="44"/>
        <v>7</v>
      </c>
      <c r="EM107" s="56">
        <f t="shared" si="44"/>
        <v>7</v>
      </c>
      <c r="EN107" s="56">
        <f t="shared" si="44"/>
        <v>7</v>
      </c>
      <c r="EO107" s="56">
        <f t="shared" si="44"/>
        <v>7</v>
      </c>
      <c r="EP107" s="56">
        <f t="shared" si="44"/>
        <v>7</v>
      </c>
      <c r="EQ107" s="56">
        <f t="shared" si="44"/>
        <v>7</v>
      </c>
      <c r="ER107" s="56">
        <f t="shared" si="44"/>
        <v>7</v>
      </c>
      <c r="ES107" s="56">
        <f t="shared" si="44"/>
        <v>7</v>
      </c>
      <c r="ET107" s="56">
        <f t="shared" si="44"/>
        <v>7</v>
      </c>
      <c r="EW107" s="58"/>
      <c r="EX107" s="55">
        <f>EX109</f>
        <v>8</v>
      </c>
      <c r="EY107" s="56">
        <f>EX107</f>
        <v>8</v>
      </c>
      <c r="EZ107" s="56">
        <f t="shared" ref="EZ107:FR108" si="45">EY107</f>
        <v>8</v>
      </c>
      <c r="FA107" s="56">
        <f t="shared" si="45"/>
        <v>8</v>
      </c>
      <c r="FB107" s="56">
        <f t="shared" si="45"/>
        <v>8</v>
      </c>
      <c r="FC107" s="56">
        <f t="shared" si="45"/>
        <v>8</v>
      </c>
      <c r="FD107" s="56">
        <f t="shared" si="45"/>
        <v>8</v>
      </c>
      <c r="FE107" s="56">
        <f t="shared" si="45"/>
        <v>8</v>
      </c>
      <c r="FF107" s="56">
        <f t="shared" si="45"/>
        <v>8</v>
      </c>
      <c r="FG107" s="56">
        <f t="shared" si="45"/>
        <v>8</v>
      </c>
      <c r="FH107" s="56">
        <f t="shared" si="45"/>
        <v>8</v>
      </c>
      <c r="FI107" s="56">
        <f t="shared" si="45"/>
        <v>8</v>
      </c>
      <c r="FJ107" s="56">
        <f t="shared" si="45"/>
        <v>8</v>
      </c>
      <c r="FK107" s="56">
        <f t="shared" si="45"/>
        <v>8</v>
      </c>
      <c r="FL107" s="56">
        <f t="shared" si="45"/>
        <v>8</v>
      </c>
      <c r="FM107" s="56">
        <f t="shared" si="45"/>
        <v>8</v>
      </c>
      <c r="FN107" s="56">
        <f t="shared" si="45"/>
        <v>8</v>
      </c>
      <c r="FO107" s="56">
        <f t="shared" si="45"/>
        <v>8</v>
      </c>
      <c r="FP107" s="56">
        <f t="shared" si="45"/>
        <v>8</v>
      </c>
      <c r="FQ107" s="56">
        <f t="shared" si="45"/>
        <v>8</v>
      </c>
      <c r="FR107" s="56">
        <f t="shared" si="45"/>
        <v>8</v>
      </c>
      <c r="FU107" s="58"/>
      <c r="FV107" s="55">
        <f>FV109</f>
        <v>9</v>
      </c>
      <c r="FW107" s="56">
        <f>FV107</f>
        <v>9</v>
      </c>
      <c r="FX107" s="56">
        <f t="shared" ref="FX107:GP108" si="46">FW107</f>
        <v>9</v>
      </c>
      <c r="FY107" s="56">
        <f t="shared" si="46"/>
        <v>9</v>
      </c>
      <c r="FZ107" s="56">
        <f t="shared" si="46"/>
        <v>9</v>
      </c>
      <c r="GA107" s="56">
        <f t="shared" si="46"/>
        <v>9</v>
      </c>
      <c r="GB107" s="56">
        <f t="shared" si="46"/>
        <v>9</v>
      </c>
      <c r="GC107" s="56">
        <f t="shared" si="46"/>
        <v>9</v>
      </c>
      <c r="GD107" s="56">
        <f t="shared" si="46"/>
        <v>9</v>
      </c>
      <c r="GE107" s="56">
        <f t="shared" si="46"/>
        <v>9</v>
      </c>
      <c r="GF107" s="56">
        <f t="shared" si="46"/>
        <v>9</v>
      </c>
      <c r="GG107" s="56">
        <f t="shared" si="46"/>
        <v>9</v>
      </c>
      <c r="GH107" s="56">
        <f t="shared" si="46"/>
        <v>9</v>
      </c>
      <c r="GI107" s="56">
        <f t="shared" si="46"/>
        <v>9</v>
      </c>
      <c r="GJ107" s="56">
        <f t="shared" si="46"/>
        <v>9</v>
      </c>
      <c r="GK107" s="56">
        <f t="shared" si="46"/>
        <v>9</v>
      </c>
      <c r="GL107" s="56">
        <f t="shared" si="46"/>
        <v>9</v>
      </c>
      <c r="GM107" s="56">
        <f t="shared" si="46"/>
        <v>9</v>
      </c>
      <c r="GN107" s="56">
        <f t="shared" si="46"/>
        <v>9</v>
      </c>
      <c r="GO107" s="56">
        <f t="shared" si="46"/>
        <v>9</v>
      </c>
      <c r="GP107" s="56">
        <f t="shared" si="46"/>
        <v>9</v>
      </c>
      <c r="GS107" s="58"/>
      <c r="GT107" s="55">
        <f>GT109</f>
        <v>10</v>
      </c>
      <c r="GU107" s="56">
        <f>GT107</f>
        <v>10</v>
      </c>
      <c r="GV107" s="56">
        <f t="shared" ref="GV107:HN108" si="47">GU107</f>
        <v>10</v>
      </c>
      <c r="GW107" s="56">
        <f t="shared" si="47"/>
        <v>10</v>
      </c>
      <c r="GX107" s="56">
        <f t="shared" si="47"/>
        <v>10</v>
      </c>
      <c r="GY107" s="56">
        <f t="shared" si="47"/>
        <v>10</v>
      </c>
      <c r="GZ107" s="56">
        <f t="shared" si="47"/>
        <v>10</v>
      </c>
      <c r="HA107" s="56">
        <f t="shared" si="47"/>
        <v>10</v>
      </c>
      <c r="HB107" s="56">
        <f t="shared" si="47"/>
        <v>10</v>
      </c>
      <c r="HC107" s="56">
        <f t="shared" si="47"/>
        <v>10</v>
      </c>
      <c r="HD107" s="56">
        <f t="shared" si="47"/>
        <v>10</v>
      </c>
      <c r="HE107" s="56">
        <f t="shared" si="47"/>
        <v>10</v>
      </c>
      <c r="HF107" s="56">
        <f t="shared" si="47"/>
        <v>10</v>
      </c>
      <c r="HG107" s="56">
        <f t="shared" si="47"/>
        <v>10</v>
      </c>
      <c r="HH107" s="56">
        <f t="shared" si="47"/>
        <v>10</v>
      </c>
      <c r="HI107" s="56">
        <f t="shared" si="47"/>
        <v>10</v>
      </c>
      <c r="HJ107" s="56">
        <f t="shared" si="47"/>
        <v>10</v>
      </c>
      <c r="HK107" s="56">
        <f t="shared" si="47"/>
        <v>10</v>
      </c>
      <c r="HL107" s="56">
        <f t="shared" si="47"/>
        <v>10</v>
      </c>
      <c r="HM107" s="56">
        <f t="shared" si="47"/>
        <v>10</v>
      </c>
      <c r="HN107" s="56">
        <f t="shared" si="47"/>
        <v>10</v>
      </c>
      <c r="HQ107" s="58"/>
      <c r="HR107" s="55">
        <f>HR109</f>
        <v>11</v>
      </c>
      <c r="HS107" s="56">
        <f>HR107</f>
        <v>11</v>
      </c>
      <c r="HT107" s="56">
        <f t="shared" ref="HT107:IL108" si="48">HS107</f>
        <v>11</v>
      </c>
      <c r="HU107" s="56">
        <f t="shared" si="48"/>
        <v>11</v>
      </c>
      <c r="HV107" s="56">
        <f t="shared" si="48"/>
        <v>11</v>
      </c>
      <c r="HW107" s="56">
        <f t="shared" si="48"/>
        <v>11</v>
      </c>
      <c r="HX107" s="56">
        <f t="shared" si="48"/>
        <v>11</v>
      </c>
      <c r="HY107" s="56">
        <f t="shared" si="48"/>
        <v>11</v>
      </c>
      <c r="HZ107" s="56">
        <f t="shared" si="48"/>
        <v>11</v>
      </c>
      <c r="IA107" s="56">
        <f t="shared" si="48"/>
        <v>11</v>
      </c>
      <c r="IB107" s="56">
        <f t="shared" si="48"/>
        <v>11</v>
      </c>
      <c r="IC107" s="56">
        <f t="shared" si="48"/>
        <v>11</v>
      </c>
      <c r="ID107" s="56">
        <f t="shared" si="48"/>
        <v>11</v>
      </c>
      <c r="IE107" s="56">
        <f t="shared" si="48"/>
        <v>11</v>
      </c>
      <c r="IF107" s="56">
        <f t="shared" si="48"/>
        <v>11</v>
      </c>
      <c r="IG107" s="56">
        <f t="shared" si="48"/>
        <v>11</v>
      </c>
      <c r="IH107" s="56">
        <f t="shared" si="48"/>
        <v>11</v>
      </c>
      <c r="II107" s="56">
        <f t="shared" si="48"/>
        <v>11</v>
      </c>
      <c r="IJ107" s="56">
        <f t="shared" si="48"/>
        <v>11</v>
      </c>
      <c r="IK107" s="56">
        <f t="shared" si="48"/>
        <v>11</v>
      </c>
      <c r="IL107" s="56">
        <f t="shared" si="48"/>
        <v>11</v>
      </c>
      <c r="IO107" s="58"/>
      <c r="IP107" s="55">
        <f>IP109</f>
        <v>12</v>
      </c>
      <c r="IQ107" s="56">
        <f>IP107</f>
        <v>12</v>
      </c>
      <c r="IR107" s="56">
        <f t="shared" ref="IR107:JJ108" si="49">IQ107</f>
        <v>12</v>
      </c>
      <c r="IS107" s="56">
        <f t="shared" si="49"/>
        <v>12</v>
      </c>
      <c r="IT107" s="56">
        <f t="shared" si="49"/>
        <v>12</v>
      </c>
      <c r="IU107" s="56">
        <f t="shared" si="49"/>
        <v>12</v>
      </c>
      <c r="IV107" s="56">
        <f t="shared" si="49"/>
        <v>12</v>
      </c>
      <c r="IW107" s="56">
        <f t="shared" si="49"/>
        <v>12</v>
      </c>
      <c r="IX107" s="56">
        <f t="shared" si="49"/>
        <v>12</v>
      </c>
      <c r="IY107" s="56">
        <f t="shared" si="49"/>
        <v>12</v>
      </c>
      <c r="IZ107" s="56">
        <f t="shared" si="49"/>
        <v>12</v>
      </c>
      <c r="JA107" s="56">
        <f t="shared" si="49"/>
        <v>12</v>
      </c>
      <c r="JB107" s="56">
        <f t="shared" si="49"/>
        <v>12</v>
      </c>
      <c r="JC107" s="56">
        <f t="shared" si="49"/>
        <v>12</v>
      </c>
      <c r="JD107" s="56">
        <f t="shared" si="49"/>
        <v>12</v>
      </c>
      <c r="JE107" s="56">
        <f t="shared" si="49"/>
        <v>12</v>
      </c>
      <c r="JF107" s="56">
        <f t="shared" si="49"/>
        <v>12</v>
      </c>
      <c r="JG107" s="56">
        <f t="shared" si="49"/>
        <v>12</v>
      </c>
      <c r="JH107" s="56">
        <f t="shared" si="49"/>
        <v>12</v>
      </c>
      <c r="JI107" s="56">
        <f t="shared" si="49"/>
        <v>12</v>
      </c>
      <c r="JJ107" s="56">
        <f t="shared" si="49"/>
        <v>12</v>
      </c>
      <c r="JM107" s="58"/>
      <c r="JN107" s="55">
        <f>JN109</f>
        <v>13</v>
      </c>
      <c r="JO107" s="56">
        <f>JN107</f>
        <v>13</v>
      </c>
      <c r="JP107" s="56">
        <f t="shared" ref="JP107:KH108" si="50">JO107</f>
        <v>13</v>
      </c>
      <c r="JQ107" s="56">
        <f t="shared" si="50"/>
        <v>13</v>
      </c>
      <c r="JR107" s="56">
        <f t="shared" si="50"/>
        <v>13</v>
      </c>
      <c r="JS107" s="56">
        <f t="shared" si="50"/>
        <v>13</v>
      </c>
      <c r="JT107" s="56">
        <f t="shared" si="50"/>
        <v>13</v>
      </c>
      <c r="JU107" s="56">
        <f t="shared" si="50"/>
        <v>13</v>
      </c>
      <c r="JV107" s="56">
        <f t="shared" si="50"/>
        <v>13</v>
      </c>
      <c r="JW107" s="56">
        <f t="shared" si="50"/>
        <v>13</v>
      </c>
      <c r="JX107" s="56">
        <f t="shared" si="50"/>
        <v>13</v>
      </c>
      <c r="JY107" s="56">
        <f t="shared" si="50"/>
        <v>13</v>
      </c>
      <c r="JZ107" s="56">
        <f t="shared" si="50"/>
        <v>13</v>
      </c>
      <c r="KA107" s="56">
        <f t="shared" si="50"/>
        <v>13</v>
      </c>
      <c r="KB107" s="56">
        <f t="shared" si="50"/>
        <v>13</v>
      </c>
      <c r="KC107" s="56">
        <f t="shared" si="50"/>
        <v>13</v>
      </c>
      <c r="KD107" s="56">
        <f t="shared" si="50"/>
        <v>13</v>
      </c>
      <c r="KE107" s="56">
        <f t="shared" si="50"/>
        <v>13</v>
      </c>
      <c r="KF107" s="56">
        <f t="shared" si="50"/>
        <v>13</v>
      </c>
      <c r="KG107" s="56">
        <f t="shared" si="50"/>
        <v>13</v>
      </c>
      <c r="KH107" s="56">
        <f t="shared" si="50"/>
        <v>13</v>
      </c>
      <c r="KK107" s="58"/>
      <c r="KL107" s="55">
        <f>KL109</f>
        <v>14</v>
      </c>
      <c r="KM107" s="56">
        <f>KL107</f>
        <v>14</v>
      </c>
      <c r="KN107" s="56">
        <f t="shared" ref="KN107:LF108" si="51">KM107</f>
        <v>14</v>
      </c>
      <c r="KO107" s="56">
        <f t="shared" si="51"/>
        <v>14</v>
      </c>
      <c r="KP107" s="56">
        <f t="shared" si="51"/>
        <v>14</v>
      </c>
      <c r="KQ107" s="56">
        <f t="shared" si="51"/>
        <v>14</v>
      </c>
      <c r="KR107" s="56">
        <f t="shared" si="51"/>
        <v>14</v>
      </c>
      <c r="KS107" s="56">
        <f t="shared" si="51"/>
        <v>14</v>
      </c>
      <c r="KT107" s="56">
        <f t="shared" si="51"/>
        <v>14</v>
      </c>
      <c r="KU107" s="56">
        <f t="shared" si="51"/>
        <v>14</v>
      </c>
      <c r="KV107" s="56">
        <f t="shared" si="51"/>
        <v>14</v>
      </c>
      <c r="KW107" s="56">
        <f t="shared" si="51"/>
        <v>14</v>
      </c>
      <c r="KX107" s="56">
        <f t="shared" si="51"/>
        <v>14</v>
      </c>
      <c r="KY107" s="56">
        <f t="shared" si="51"/>
        <v>14</v>
      </c>
      <c r="KZ107" s="56">
        <f t="shared" si="51"/>
        <v>14</v>
      </c>
      <c r="LA107" s="56">
        <f t="shared" si="51"/>
        <v>14</v>
      </c>
      <c r="LB107" s="56">
        <f t="shared" si="51"/>
        <v>14</v>
      </c>
      <c r="LC107" s="56">
        <f t="shared" si="51"/>
        <v>14</v>
      </c>
      <c r="LD107" s="56">
        <f t="shared" si="51"/>
        <v>14</v>
      </c>
      <c r="LE107" s="56">
        <f t="shared" si="51"/>
        <v>14</v>
      </c>
      <c r="LF107" s="56">
        <f t="shared" si="51"/>
        <v>14</v>
      </c>
      <c r="LI107" s="58"/>
      <c r="LJ107" s="55">
        <f>LJ109</f>
        <v>15</v>
      </c>
      <c r="LK107" s="56">
        <f>LJ107</f>
        <v>15</v>
      </c>
      <c r="LL107" s="56">
        <f t="shared" ref="LL107:MD108" si="52">LK107</f>
        <v>15</v>
      </c>
      <c r="LM107" s="56">
        <f t="shared" si="52"/>
        <v>15</v>
      </c>
      <c r="LN107" s="56">
        <f t="shared" si="52"/>
        <v>15</v>
      </c>
      <c r="LO107" s="56">
        <f t="shared" si="52"/>
        <v>15</v>
      </c>
      <c r="LP107" s="56">
        <f t="shared" si="52"/>
        <v>15</v>
      </c>
      <c r="LQ107" s="56">
        <f t="shared" si="52"/>
        <v>15</v>
      </c>
      <c r="LR107" s="56">
        <f t="shared" si="52"/>
        <v>15</v>
      </c>
      <c r="LS107" s="56">
        <f t="shared" si="52"/>
        <v>15</v>
      </c>
      <c r="LT107" s="56">
        <f t="shared" si="52"/>
        <v>15</v>
      </c>
      <c r="LU107" s="56">
        <f t="shared" si="52"/>
        <v>15</v>
      </c>
      <c r="LV107" s="56">
        <f t="shared" si="52"/>
        <v>15</v>
      </c>
      <c r="LW107" s="56">
        <f t="shared" si="52"/>
        <v>15</v>
      </c>
      <c r="LX107" s="56">
        <f t="shared" si="52"/>
        <v>15</v>
      </c>
      <c r="LY107" s="56">
        <f t="shared" si="52"/>
        <v>15</v>
      </c>
      <c r="LZ107" s="56">
        <f t="shared" si="52"/>
        <v>15</v>
      </c>
      <c r="MA107" s="56">
        <f t="shared" si="52"/>
        <v>15</v>
      </c>
      <c r="MB107" s="56">
        <f t="shared" si="52"/>
        <v>15</v>
      </c>
      <c r="MC107" s="56">
        <f t="shared" si="52"/>
        <v>15</v>
      </c>
      <c r="MD107" s="56">
        <f t="shared" si="52"/>
        <v>15</v>
      </c>
      <c r="MG107" s="58"/>
      <c r="MH107" s="55">
        <f>MH109</f>
        <v>16</v>
      </c>
      <c r="MI107" s="56">
        <f>MH107</f>
        <v>16</v>
      </c>
      <c r="MJ107" s="56">
        <f t="shared" ref="MJ107:NB108" si="53">MI107</f>
        <v>16</v>
      </c>
      <c r="MK107" s="56">
        <f t="shared" si="53"/>
        <v>16</v>
      </c>
      <c r="ML107" s="56">
        <f t="shared" si="53"/>
        <v>16</v>
      </c>
      <c r="MM107" s="56">
        <f t="shared" si="53"/>
        <v>16</v>
      </c>
      <c r="MN107" s="56">
        <f t="shared" si="53"/>
        <v>16</v>
      </c>
      <c r="MO107" s="56">
        <f t="shared" si="53"/>
        <v>16</v>
      </c>
      <c r="MP107" s="56">
        <f t="shared" si="53"/>
        <v>16</v>
      </c>
      <c r="MQ107" s="56">
        <f t="shared" si="53"/>
        <v>16</v>
      </c>
      <c r="MR107" s="56">
        <f t="shared" si="53"/>
        <v>16</v>
      </c>
      <c r="MS107" s="56">
        <f t="shared" si="53"/>
        <v>16</v>
      </c>
      <c r="MT107" s="56">
        <f t="shared" si="53"/>
        <v>16</v>
      </c>
      <c r="MU107" s="56">
        <f t="shared" si="53"/>
        <v>16</v>
      </c>
      <c r="MV107" s="56">
        <f t="shared" si="53"/>
        <v>16</v>
      </c>
      <c r="MW107" s="56">
        <f t="shared" si="53"/>
        <v>16</v>
      </c>
      <c r="MX107" s="56">
        <f t="shared" si="53"/>
        <v>16</v>
      </c>
      <c r="MY107" s="56">
        <f t="shared" si="53"/>
        <v>16</v>
      </c>
      <c r="MZ107" s="56">
        <f t="shared" si="53"/>
        <v>16</v>
      </c>
      <c r="NA107" s="56">
        <f t="shared" si="53"/>
        <v>16</v>
      </c>
      <c r="NB107" s="56">
        <f t="shared" si="53"/>
        <v>16</v>
      </c>
      <c r="NE107" s="58"/>
      <c r="NF107" s="55">
        <f>NF109</f>
        <v>17</v>
      </c>
      <c r="NG107" s="56">
        <f>NF107</f>
        <v>17</v>
      </c>
      <c r="NH107" s="56">
        <f t="shared" ref="NH107:NZ108" si="54">NG107</f>
        <v>17</v>
      </c>
      <c r="NI107" s="56">
        <f t="shared" si="54"/>
        <v>17</v>
      </c>
      <c r="NJ107" s="56">
        <f t="shared" si="54"/>
        <v>17</v>
      </c>
      <c r="NK107" s="56">
        <f t="shared" si="54"/>
        <v>17</v>
      </c>
      <c r="NL107" s="56">
        <f t="shared" si="54"/>
        <v>17</v>
      </c>
      <c r="NM107" s="56">
        <f t="shared" si="54"/>
        <v>17</v>
      </c>
      <c r="NN107" s="56">
        <f t="shared" si="54"/>
        <v>17</v>
      </c>
      <c r="NO107" s="56">
        <f t="shared" si="54"/>
        <v>17</v>
      </c>
      <c r="NP107" s="56">
        <f t="shared" si="54"/>
        <v>17</v>
      </c>
      <c r="NQ107" s="56">
        <f t="shared" si="54"/>
        <v>17</v>
      </c>
      <c r="NR107" s="56">
        <f t="shared" si="54"/>
        <v>17</v>
      </c>
      <c r="NS107" s="56">
        <f t="shared" si="54"/>
        <v>17</v>
      </c>
      <c r="NT107" s="56">
        <f t="shared" si="54"/>
        <v>17</v>
      </c>
      <c r="NU107" s="56">
        <f t="shared" si="54"/>
        <v>17</v>
      </c>
      <c r="NV107" s="56">
        <f t="shared" si="54"/>
        <v>17</v>
      </c>
      <c r="NW107" s="56">
        <f t="shared" si="54"/>
        <v>17</v>
      </c>
      <c r="NX107" s="56">
        <f t="shared" si="54"/>
        <v>17</v>
      </c>
      <c r="NY107" s="56">
        <f t="shared" si="54"/>
        <v>17</v>
      </c>
      <c r="NZ107" s="56">
        <f t="shared" si="54"/>
        <v>17</v>
      </c>
      <c r="OC107" s="58"/>
      <c r="OD107" s="55">
        <f>OD109</f>
        <v>18</v>
      </c>
      <c r="OE107" s="56">
        <f>OD107</f>
        <v>18</v>
      </c>
      <c r="OF107" s="56">
        <f t="shared" ref="OF107:OX108" si="55">OE107</f>
        <v>18</v>
      </c>
      <c r="OG107" s="56">
        <f t="shared" si="55"/>
        <v>18</v>
      </c>
      <c r="OH107" s="56">
        <f t="shared" si="55"/>
        <v>18</v>
      </c>
      <c r="OI107" s="56">
        <f t="shared" si="55"/>
        <v>18</v>
      </c>
      <c r="OJ107" s="56">
        <f t="shared" si="55"/>
        <v>18</v>
      </c>
      <c r="OK107" s="56">
        <f t="shared" si="55"/>
        <v>18</v>
      </c>
      <c r="OL107" s="56">
        <f t="shared" si="55"/>
        <v>18</v>
      </c>
      <c r="OM107" s="56">
        <f t="shared" si="55"/>
        <v>18</v>
      </c>
      <c r="ON107" s="56">
        <f t="shared" si="55"/>
        <v>18</v>
      </c>
      <c r="OO107" s="56">
        <f t="shared" si="55"/>
        <v>18</v>
      </c>
      <c r="OP107" s="56">
        <f t="shared" si="55"/>
        <v>18</v>
      </c>
      <c r="OQ107" s="56">
        <f t="shared" si="55"/>
        <v>18</v>
      </c>
      <c r="OR107" s="56">
        <f t="shared" si="55"/>
        <v>18</v>
      </c>
      <c r="OS107" s="56">
        <f t="shared" si="55"/>
        <v>18</v>
      </c>
      <c r="OT107" s="56">
        <f t="shared" si="55"/>
        <v>18</v>
      </c>
      <c r="OU107" s="56">
        <f t="shared" si="55"/>
        <v>18</v>
      </c>
      <c r="OV107" s="56">
        <f t="shared" si="55"/>
        <v>18</v>
      </c>
      <c r="OW107" s="56">
        <f t="shared" si="55"/>
        <v>18</v>
      </c>
      <c r="OX107" s="56">
        <f t="shared" si="55"/>
        <v>18</v>
      </c>
      <c r="PA107" s="58"/>
      <c r="PB107" s="55">
        <f>PB109</f>
        <v>19</v>
      </c>
      <c r="PC107" s="56">
        <f>PB107</f>
        <v>19</v>
      </c>
      <c r="PD107" s="56">
        <f t="shared" ref="PD107:PV108" si="56">PC107</f>
        <v>19</v>
      </c>
      <c r="PE107" s="56">
        <f t="shared" si="56"/>
        <v>19</v>
      </c>
      <c r="PF107" s="56">
        <f t="shared" si="56"/>
        <v>19</v>
      </c>
      <c r="PG107" s="56">
        <f t="shared" si="56"/>
        <v>19</v>
      </c>
      <c r="PH107" s="56">
        <f t="shared" si="56"/>
        <v>19</v>
      </c>
      <c r="PI107" s="56">
        <f t="shared" si="56"/>
        <v>19</v>
      </c>
      <c r="PJ107" s="56">
        <f t="shared" si="56"/>
        <v>19</v>
      </c>
      <c r="PK107" s="56">
        <f t="shared" si="56"/>
        <v>19</v>
      </c>
      <c r="PL107" s="56">
        <f t="shared" si="56"/>
        <v>19</v>
      </c>
      <c r="PM107" s="56">
        <f t="shared" si="56"/>
        <v>19</v>
      </c>
      <c r="PN107" s="56">
        <f t="shared" si="56"/>
        <v>19</v>
      </c>
      <c r="PO107" s="56">
        <f t="shared" si="56"/>
        <v>19</v>
      </c>
      <c r="PP107" s="56">
        <f t="shared" si="56"/>
        <v>19</v>
      </c>
      <c r="PQ107" s="56">
        <f t="shared" si="56"/>
        <v>19</v>
      </c>
      <c r="PR107" s="56">
        <f t="shared" si="56"/>
        <v>19</v>
      </c>
      <c r="PS107" s="56">
        <f t="shared" si="56"/>
        <v>19</v>
      </c>
      <c r="PT107" s="56">
        <f t="shared" si="56"/>
        <v>19</v>
      </c>
      <c r="PU107" s="56">
        <f t="shared" si="56"/>
        <v>19</v>
      </c>
      <c r="PV107" s="56">
        <f t="shared" si="56"/>
        <v>19</v>
      </c>
    </row>
    <row r="108" spans="3:438" s="54" customFormat="1" x14ac:dyDescent="0.25">
      <c r="C108" s="52"/>
      <c r="D108" s="52"/>
      <c r="E108" s="52"/>
      <c r="F108" s="53"/>
      <c r="G108" s="70"/>
      <c r="H108" s="53"/>
      <c r="I108" s="54" t="s">
        <v>27</v>
      </c>
      <c r="J108" s="56">
        <f>L109</f>
        <v>1</v>
      </c>
      <c r="K108" s="56">
        <f>J108</f>
        <v>1</v>
      </c>
      <c r="L108" s="56">
        <f t="shared" si="39"/>
        <v>1</v>
      </c>
      <c r="M108" s="56">
        <f t="shared" si="39"/>
        <v>1</v>
      </c>
      <c r="N108" s="56">
        <f t="shared" si="39"/>
        <v>1</v>
      </c>
      <c r="O108" s="56">
        <f t="shared" si="39"/>
        <v>1</v>
      </c>
      <c r="P108" s="56">
        <f t="shared" si="39"/>
        <v>1</v>
      </c>
      <c r="Q108" s="56">
        <f t="shared" si="39"/>
        <v>1</v>
      </c>
      <c r="R108" s="56">
        <f t="shared" si="39"/>
        <v>1</v>
      </c>
      <c r="S108" s="56">
        <f t="shared" si="39"/>
        <v>1</v>
      </c>
      <c r="T108" s="56">
        <f t="shared" si="39"/>
        <v>1</v>
      </c>
      <c r="U108" s="56">
        <f t="shared" si="39"/>
        <v>1</v>
      </c>
      <c r="V108" s="56">
        <f t="shared" si="39"/>
        <v>1</v>
      </c>
      <c r="W108" s="56">
        <f t="shared" si="39"/>
        <v>1</v>
      </c>
      <c r="X108" s="56">
        <f t="shared" si="39"/>
        <v>1</v>
      </c>
      <c r="Y108" s="56">
        <f t="shared" si="39"/>
        <v>1</v>
      </c>
      <c r="Z108" s="56">
        <f t="shared" si="39"/>
        <v>1</v>
      </c>
      <c r="AA108" s="56">
        <f t="shared" si="39"/>
        <v>1</v>
      </c>
      <c r="AB108" s="56">
        <f t="shared" si="39"/>
        <v>1</v>
      </c>
      <c r="AC108" s="56">
        <f t="shared" si="39"/>
        <v>1</v>
      </c>
      <c r="AD108" s="56">
        <f t="shared" si="39"/>
        <v>1</v>
      </c>
      <c r="AF108" s="57"/>
      <c r="AG108" s="58"/>
      <c r="AH108" s="56">
        <f>AJ109</f>
        <v>2</v>
      </c>
      <c r="AI108" s="56">
        <f>AH108</f>
        <v>2</v>
      </c>
      <c r="AJ108" s="56">
        <f t="shared" si="40"/>
        <v>2</v>
      </c>
      <c r="AK108" s="56">
        <f t="shared" si="40"/>
        <v>2</v>
      </c>
      <c r="AL108" s="56">
        <f t="shared" si="40"/>
        <v>2</v>
      </c>
      <c r="AM108" s="56">
        <f t="shared" si="40"/>
        <v>2</v>
      </c>
      <c r="AN108" s="56">
        <f t="shared" si="40"/>
        <v>2</v>
      </c>
      <c r="AO108" s="56">
        <f t="shared" si="40"/>
        <v>2</v>
      </c>
      <c r="AP108" s="56">
        <f t="shared" si="40"/>
        <v>2</v>
      </c>
      <c r="AQ108" s="56">
        <f t="shared" si="40"/>
        <v>2</v>
      </c>
      <c r="AR108" s="56">
        <f t="shared" si="40"/>
        <v>2</v>
      </c>
      <c r="AS108" s="56">
        <f t="shared" si="40"/>
        <v>2</v>
      </c>
      <c r="AT108" s="56">
        <f t="shared" si="40"/>
        <v>2</v>
      </c>
      <c r="AU108" s="56">
        <f t="shared" si="40"/>
        <v>2</v>
      </c>
      <c r="AV108" s="56">
        <f t="shared" si="40"/>
        <v>2</v>
      </c>
      <c r="AW108" s="56">
        <f t="shared" si="40"/>
        <v>2</v>
      </c>
      <c r="AX108" s="56">
        <f t="shared" si="40"/>
        <v>2</v>
      </c>
      <c r="AY108" s="56">
        <f t="shared" si="40"/>
        <v>2</v>
      </c>
      <c r="AZ108" s="56">
        <f t="shared" si="40"/>
        <v>2</v>
      </c>
      <c r="BA108" s="56">
        <f t="shared" si="40"/>
        <v>2</v>
      </c>
      <c r="BB108" s="56">
        <f t="shared" si="40"/>
        <v>2</v>
      </c>
      <c r="BC108" s="52"/>
      <c r="BD108" s="52"/>
      <c r="BE108" s="58"/>
      <c r="BF108" s="56">
        <f>BH109</f>
        <v>2</v>
      </c>
      <c r="BG108" s="56">
        <f>BF108</f>
        <v>2</v>
      </c>
      <c r="BH108" s="56">
        <f t="shared" si="41"/>
        <v>2</v>
      </c>
      <c r="BI108" s="56">
        <f t="shared" si="41"/>
        <v>2</v>
      </c>
      <c r="BJ108" s="56">
        <f t="shared" si="41"/>
        <v>2</v>
      </c>
      <c r="BK108" s="56">
        <f t="shared" si="41"/>
        <v>2</v>
      </c>
      <c r="BL108" s="56">
        <f t="shared" si="41"/>
        <v>2</v>
      </c>
      <c r="BM108" s="56">
        <f t="shared" si="41"/>
        <v>2</v>
      </c>
      <c r="BN108" s="56">
        <f t="shared" si="41"/>
        <v>2</v>
      </c>
      <c r="BO108" s="56">
        <f t="shared" si="41"/>
        <v>2</v>
      </c>
      <c r="BP108" s="56">
        <f t="shared" si="41"/>
        <v>2</v>
      </c>
      <c r="BQ108" s="56">
        <f t="shared" si="41"/>
        <v>2</v>
      </c>
      <c r="BR108" s="56">
        <f t="shared" si="41"/>
        <v>2</v>
      </c>
      <c r="BS108" s="56">
        <f t="shared" si="41"/>
        <v>2</v>
      </c>
      <c r="BT108" s="56">
        <f t="shared" si="41"/>
        <v>2</v>
      </c>
      <c r="BU108" s="56">
        <f t="shared" si="41"/>
        <v>2</v>
      </c>
      <c r="BV108" s="56">
        <f t="shared" si="41"/>
        <v>2</v>
      </c>
      <c r="BW108" s="56">
        <f t="shared" si="41"/>
        <v>2</v>
      </c>
      <c r="BX108" s="56">
        <f t="shared" si="41"/>
        <v>2</v>
      </c>
      <c r="BY108" s="56">
        <f t="shared" si="41"/>
        <v>2</v>
      </c>
      <c r="BZ108" s="56">
        <f t="shared" si="41"/>
        <v>2</v>
      </c>
      <c r="CC108" s="58"/>
      <c r="CD108" s="56">
        <f>CF109</f>
        <v>2</v>
      </c>
      <c r="CE108" s="56">
        <f>CD108</f>
        <v>2</v>
      </c>
      <c r="CF108" s="56">
        <f t="shared" si="42"/>
        <v>2</v>
      </c>
      <c r="CG108" s="56">
        <f t="shared" si="42"/>
        <v>2</v>
      </c>
      <c r="CH108" s="56">
        <f t="shared" si="42"/>
        <v>2</v>
      </c>
      <c r="CI108" s="56">
        <f t="shared" si="42"/>
        <v>2</v>
      </c>
      <c r="CJ108" s="56">
        <f t="shared" si="42"/>
        <v>2</v>
      </c>
      <c r="CK108" s="56">
        <f t="shared" si="42"/>
        <v>2</v>
      </c>
      <c r="CL108" s="56">
        <f t="shared" si="42"/>
        <v>2</v>
      </c>
      <c r="CM108" s="56">
        <f t="shared" si="42"/>
        <v>2</v>
      </c>
      <c r="CN108" s="56">
        <f t="shared" si="42"/>
        <v>2</v>
      </c>
      <c r="CO108" s="56">
        <f t="shared" si="42"/>
        <v>2</v>
      </c>
      <c r="CP108" s="56">
        <f t="shared" si="42"/>
        <v>2</v>
      </c>
      <c r="CQ108" s="56">
        <f t="shared" si="42"/>
        <v>2</v>
      </c>
      <c r="CR108" s="56">
        <f t="shared" si="42"/>
        <v>2</v>
      </c>
      <c r="CS108" s="56">
        <f t="shared" si="42"/>
        <v>2</v>
      </c>
      <c r="CT108" s="56">
        <f t="shared" si="42"/>
        <v>2</v>
      </c>
      <c r="CU108" s="56">
        <f t="shared" si="42"/>
        <v>2</v>
      </c>
      <c r="CV108" s="56">
        <f t="shared" si="42"/>
        <v>2</v>
      </c>
      <c r="CW108" s="56">
        <f t="shared" si="42"/>
        <v>2</v>
      </c>
      <c r="CX108" s="56">
        <f t="shared" si="42"/>
        <v>2</v>
      </c>
      <c r="DA108" s="58"/>
      <c r="DB108" s="56">
        <f>DD109</f>
        <v>1</v>
      </c>
      <c r="DC108" s="56">
        <f>DB108</f>
        <v>1</v>
      </c>
      <c r="DD108" s="56">
        <f t="shared" si="43"/>
        <v>1</v>
      </c>
      <c r="DE108" s="56">
        <f t="shared" si="43"/>
        <v>1</v>
      </c>
      <c r="DF108" s="56">
        <f t="shared" si="43"/>
        <v>1</v>
      </c>
      <c r="DG108" s="56">
        <f t="shared" si="43"/>
        <v>1</v>
      </c>
      <c r="DH108" s="56">
        <f t="shared" si="43"/>
        <v>1</v>
      </c>
      <c r="DI108" s="56">
        <f t="shared" si="43"/>
        <v>1</v>
      </c>
      <c r="DJ108" s="56">
        <f t="shared" si="43"/>
        <v>1</v>
      </c>
      <c r="DK108" s="56">
        <f t="shared" si="43"/>
        <v>1</v>
      </c>
      <c r="DL108" s="56">
        <f t="shared" si="43"/>
        <v>1</v>
      </c>
      <c r="DM108" s="56">
        <f t="shared" si="43"/>
        <v>1</v>
      </c>
      <c r="DN108" s="56">
        <f t="shared" si="43"/>
        <v>1</v>
      </c>
      <c r="DO108" s="56">
        <f t="shared" si="43"/>
        <v>1</v>
      </c>
      <c r="DP108" s="56">
        <f t="shared" si="43"/>
        <v>1</v>
      </c>
      <c r="DQ108" s="56">
        <f t="shared" si="43"/>
        <v>1</v>
      </c>
      <c r="DR108" s="56">
        <f t="shared" si="43"/>
        <v>1</v>
      </c>
      <c r="DS108" s="56">
        <f t="shared" si="43"/>
        <v>1</v>
      </c>
      <c r="DT108" s="56">
        <f t="shared" si="43"/>
        <v>1</v>
      </c>
      <c r="DU108" s="56">
        <f t="shared" si="43"/>
        <v>1</v>
      </c>
      <c r="DV108" s="56">
        <f t="shared" si="43"/>
        <v>1</v>
      </c>
      <c r="DY108" s="58"/>
      <c r="DZ108" s="56">
        <f>EB109</f>
        <v>2</v>
      </c>
      <c r="EA108" s="56">
        <f>DZ108</f>
        <v>2</v>
      </c>
      <c r="EB108" s="56">
        <f t="shared" si="44"/>
        <v>2</v>
      </c>
      <c r="EC108" s="56">
        <f t="shared" si="44"/>
        <v>2</v>
      </c>
      <c r="ED108" s="56">
        <f t="shared" si="44"/>
        <v>2</v>
      </c>
      <c r="EE108" s="56">
        <f t="shared" si="44"/>
        <v>2</v>
      </c>
      <c r="EF108" s="56">
        <f t="shared" si="44"/>
        <v>2</v>
      </c>
      <c r="EG108" s="56">
        <f t="shared" si="44"/>
        <v>2</v>
      </c>
      <c r="EH108" s="56">
        <f t="shared" si="44"/>
        <v>2</v>
      </c>
      <c r="EI108" s="56">
        <f t="shared" si="44"/>
        <v>2</v>
      </c>
      <c r="EJ108" s="56">
        <f t="shared" si="44"/>
        <v>2</v>
      </c>
      <c r="EK108" s="56">
        <f t="shared" si="44"/>
        <v>2</v>
      </c>
      <c r="EL108" s="56">
        <f t="shared" si="44"/>
        <v>2</v>
      </c>
      <c r="EM108" s="56">
        <f t="shared" si="44"/>
        <v>2</v>
      </c>
      <c r="EN108" s="56">
        <f t="shared" si="44"/>
        <v>2</v>
      </c>
      <c r="EO108" s="56">
        <f t="shared" si="44"/>
        <v>2</v>
      </c>
      <c r="EP108" s="56">
        <f t="shared" si="44"/>
        <v>2</v>
      </c>
      <c r="EQ108" s="56">
        <f t="shared" si="44"/>
        <v>2</v>
      </c>
      <c r="ER108" s="56">
        <f t="shared" si="44"/>
        <v>2</v>
      </c>
      <c r="ES108" s="56">
        <f t="shared" si="44"/>
        <v>2</v>
      </c>
      <c r="ET108" s="56">
        <f t="shared" si="44"/>
        <v>2</v>
      </c>
      <c r="EW108" s="58"/>
      <c r="EX108" s="56">
        <f>EZ109</f>
        <v>2</v>
      </c>
      <c r="EY108" s="56">
        <f>EX108</f>
        <v>2</v>
      </c>
      <c r="EZ108" s="56">
        <f t="shared" si="45"/>
        <v>2</v>
      </c>
      <c r="FA108" s="56">
        <f t="shared" si="45"/>
        <v>2</v>
      </c>
      <c r="FB108" s="56">
        <f t="shared" si="45"/>
        <v>2</v>
      </c>
      <c r="FC108" s="56">
        <f t="shared" si="45"/>
        <v>2</v>
      </c>
      <c r="FD108" s="56">
        <f t="shared" si="45"/>
        <v>2</v>
      </c>
      <c r="FE108" s="56">
        <f t="shared" si="45"/>
        <v>2</v>
      </c>
      <c r="FF108" s="56">
        <f t="shared" si="45"/>
        <v>2</v>
      </c>
      <c r="FG108" s="56">
        <f t="shared" si="45"/>
        <v>2</v>
      </c>
      <c r="FH108" s="56">
        <f t="shared" si="45"/>
        <v>2</v>
      </c>
      <c r="FI108" s="56">
        <f t="shared" si="45"/>
        <v>2</v>
      </c>
      <c r="FJ108" s="56">
        <f t="shared" si="45"/>
        <v>2</v>
      </c>
      <c r="FK108" s="56">
        <f t="shared" si="45"/>
        <v>2</v>
      </c>
      <c r="FL108" s="56">
        <f t="shared" si="45"/>
        <v>2</v>
      </c>
      <c r="FM108" s="56">
        <f t="shared" si="45"/>
        <v>2</v>
      </c>
      <c r="FN108" s="56">
        <f t="shared" si="45"/>
        <v>2</v>
      </c>
      <c r="FO108" s="56">
        <f t="shared" si="45"/>
        <v>2</v>
      </c>
      <c r="FP108" s="56">
        <f t="shared" si="45"/>
        <v>2</v>
      </c>
      <c r="FQ108" s="56">
        <f t="shared" si="45"/>
        <v>2</v>
      </c>
      <c r="FR108" s="56">
        <f t="shared" si="45"/>
        <v>2</v>
      </c>
      <c r="FU108" s="58"/>
      <c r="FV108" s="56">
        <f>FX109</f>
        <v>2</v>
      </c>
      <c r="FW108" s="56">
        <f>FV108</f>
        <v>2</v>
      </c>
      <c r="FX108" s="56">
        <f t="shared" si="46"/>
        <v>2</v>
      </c>
      <c r="FY108" s="56">
        <f t="shared" si="46"/>
        <v>2</v>
      </c>
      <c r="FZ108" s="56">
        <f t="shared" si="46"/>
        <v>2</v>
      </c>
      <c r="GA108" s="56">
        <f t="shared" si="46"/>
        <v>2</v>
      </c>
      <c r="GB108" s="56">
        <f t="shared" si="46"/>
        <v>2</v>
      </c>
      <c r="GC108" s="56">
        <f t="shared" si="46"/>
        <v>2</v>
      </c>
      <c r="GD108" s="56">
        <f t="shared" si="46"/>
        <v>2</v>
      </c>
      <c r="GE108" s="56">
        <f t="shared" si="46"/>
        <v>2</v>
      </c>
      <c r="GF108" s="56">
        <f t="shared" si="46"/>
        <v>2</v>
      </c>
      <c r="GG108" s="56">
        <f t="shared" si="46"/>
        <v>2</v>
      </c>
      <c r="GH108" s="56">
        <f t="shared" si="46"/>
        <v>2</v>
      </c>
      <c r="GI108" s="56">
        <f t="shared" si="46"/>
        <v>2</v>
      </c>
      <c r="GJ108" s="56">
        <f t="shared" si="46"/>
        <v>2</v>
      </c>
      <c r="GK108" s="56">
        <f t="shared" si="46"/>
        <v>2</v>
      </c>
      <c r="GL108" s="56">
        <f t="shared" si="46"/>
        <v>2</v>
      </c>
      <c r="GM108" s="56">
        <f t="shared" si="46"/>
        <v>2</v>
      </c>
      <c r="GN108" s="56">
        <f t="shared" si="46"/>
        <v>2</v>
      </c>
      <c r="GO108" s="56">
        <f t="shared" si="46"/>
        <v>2</v>
      </c>
      <c r="GP108" s="56">
        <f t="shared" si="46"/>
        <v>2</v>
      </c>
      <c r="GS108" s="58"/>
      <c r="GT108" s="56">
        <f>GV109</f>
        <v>1</v>
      </c>
      <c r="GU108" s="56">
        <f>GT108</f>
        <v>1</v>
      </c>
      <c r="GV108" s="56">
        <f t="shared" si="47"/>
        <v>1</v>
      </c>
      <c r="GW108" s="56">
        <f t="shared" si="47"/>
        <v>1</v>
      </c>
      <c r="GX108" s="56">
        <f t="shared" si="47"/>
        <v>1</v>
      </c>
      <c r="GY108" s="56">
        <f t="shared" si="47"/>
        <v>1</v>
      </c>
      <c r="GZ108" s="56">
        <f t="shared" si="47"/>
        <v>1</v>
      </c>
      <c r="HA108" s="56">
        <f t="shared" si="47"/>
        <v>1</v>
      </c>
      <c r="HB108" s="56">
        <f t="shared" si="47"/>
        <v>1</v>
      </c>
      <c r="HC108" s="56">
        <f t="shared" si="47"/>
        <v>1</v>
      </c>
      <c r="HD108" s="56">
        <f t="shared" si="47"/>
        <v>1</v>
      </c>
      <c r="HE108" s="56">
        <f t="shared" si="47"/>
        <v>1</v>
      </c>
      <c r="HF108" s="56">
        <f t="shared" si="47"/>
        <v>1</v>
      </c>
      <c r="HG108" s="56">
        <f t="shared" si="47"/>
        <v>1</v>
      </c>
      <c r="HH108" s="56">
        <f t="shared" si="47"/>
        <v>1</v>
      </c>
      <c r="HI108" s="56">
        <f t="shared" si="47"/>
        <v>1</v>
      </c>
      <c r="HJ108" s="56">
        <f t="shared" si="47"/>
        <v>1</v>
      </c>
      <c r="HK108" s="56">
        <f t="shared" si="47"/>
        <v>1</v>
      </c>
      <c r="HL108" s="56">
        <f t="shared" si="47"/>
        <v>1</v>
      </c>
      <c r="HM108" s="56">
        <f t="shared" si="47"/>
        <v>1</v>
      </c>
      <c r="HN108" s="56">
        <f t="shared" si="47"/>
        <v>1</v>
      </c>
      <c r="HQ108" s="58"/>
      <c r="HR108" s="56">
        <f>HT109</f>
        <v>1</v>
      </c>
      <c r="HS108" s="56">
        <f>HR108</f>
        <v>1</v>
      </c>
      <c r="HT108" s="56">
        <f t="shared" si="48"/>
        <v>1</v>
      </c>
      <c r="HU108" s="56">
        <f t="shared" si="48"/>
        <v>1</v>
      </c>
      <c r="HV108" s="56">
        <f t="shared" si="48"/>
        <v>1</v>
      </c>
      <c r="HW108" s="56">
        <f t="shared" si="48"/>
        <v>1</v>
      </c>
      <c r="HX108" s="56">
        <f t="shared" si="48"/>
        <v>1</v>
      </c>
      <c r="HY108" s="56">
        <f t="shared" si="48"/>
        <v>1</v>
      </c>
      <c r="HZ108" s="56">
        <f t="shared" si="48"/>
        <v>1</v>
      </c>
      <c r="IA108" s="56">
        <f t="shared" si="48"/>
        <v>1</v>
      </c>
      <c r="IB108" s="56">
        <f t="shared" si="48"/>
        <v>1</v>
      </c>
      <c r="IC108" s="56">
        <f t="shared" si="48"/>
        <v>1</v>
      </c>
      <c r="ID108" s="56">
        <f t="shared" si="48"/>
        <v>1</v>
      </c>
      <c r="IE108" s="56">
        <f t="shared" si="48"/>
        <v>1</v>
      </c>
      <c r="IF108" s="56">
        <f t="shared" si="48"/>
        <v>1</v>
      </c>
      <c r="IG108" s="56">
        <f t="shared" si="48"/>
        <v>1</v>
      </c>
      <c r="IH108" s="56">
        <f t="shared" si="48"/>
        <v>1</v>
      </c>
      <c r="II108" s="56">
        <f t="shared" si="48"/>
        <v>1</v>
      </c>
      <c r="IJ108" s="56">
        <f t="shared" si="48"/>
        <v>1</v>
      </c>
      <c r="IK108" s="56">
        <f t="shared" si="48"/>
        <v>1</v>
      </c>
      <c r="IL108" s="56">
        <f t="shared" si="48"/>
        <v>1</v>
      </c>
      <c r="IO108" s="58"/>
      <c r="IP108" s="56">
        <f>IR109</f>
        <v>1</v>
      </c>
      <c r="IQ108" s="56">
        <f>IP108</f>
        <v>1</v>
      </c>
      <c r="IR108" s="56">
        <f t="shared" si="49"/>
        <v>1</v>
      </c>
      <c r="IS108" s="56">
        <f t="shared" si="49"/>
        <v>1</v>
      </c>
      <c r="IT108" s="56">
        <f t="shared" si="49"/>
        <v>1</v>
      </c>
      <c r="IU108" s="56">
        <f t="shared" si="49"/>
        <v>1</v>
      </c>
      <c r="IV108" s="56">
        <f t="shared" si="49"/>
        <v>1</v>
      </c>
      <c r="IW108" s="56">
        <f t="shared" si="49"/>
        <v>1</v>
      </c>
      <c r="IX108" s="56">
        <f t="shared" si="49"/>
        <v>1</v>
      </c>
      <c r="IY108" s="56">
        <f t="shared" si="49"/>
        <v>1</v>
      </c>
      <c r="IZ108" s="56">
        <f t="shared" si="49"/>
        <v>1</v>
      </c>
      <c r="JA108" s="56">
        <f t="shared" si="49"/>
        <v>1</v>
      </c>
      <c r="JB108" s="56">
        <f t="shared" si="49"/>
        <v>1</v>
      </c>
      <c r="JC108" s="56">
        <f t="shared" si="49"/>
        <v>1</v>
      </c>
      <c r="JD108" s="56">
        <f t="shared" si="49"/>
        <v>1</v>
      </c>
      <c r="JE108" s="56">
        <f t="shared" si="49"/>
        <v>1</v>
      </c>
      <c r="JF108" s="56">
        <f t="shared" si="49"/>
        <v>1</v>
      </c>
      <c r="JG108" s="56">
        <f t="shared" si="49"/>
        <v>1</v>
      </c>
      <c r="JH108" s="56">
        <f t="shared" si="49"/>
        <v>1</v>
      </c>
      <c r="JI108" s="56">
        <f t="shared" si="49"/>
        <v>1</v>
      </c>
      <c r="JJ108" s="56">
        <f t="shared" si="49"/>
        <v>1</v>
      </c>
      <c r="JM108" s="58"/>
      <c r="JN108" s="56">
        <f>JP109</f>
        <v>1</v>
      </c>
      <c r="JO108" s="56">
        <f>JN108</f>
        <v>1</v>
      </c>
      <c r="JP108" s="56">
        <f t="shared" si="50"/>
        <v>1</v>
      </c>
      <c r="JQ108" s="56">
        <f t="shared" si="50"/>
        <v>1</v>
      </c>
      <c r="JR108" s="56">
        <f t="shared" si="50"/>
        <v>1</v>
      </c>
      <c r="JS108" s="56">
        <f t="shared" si="50"/>
        <v>1</v>
      </c>
      <c r="JT108" s="56">
        <f t="shared" si="50"/>
        <v>1</v>
      </c>
      <c r="JU108" s="56">
        <f t="shared" si="50"/>
        <v>1</v>
      </c>
      <c r="JV108" s="56">
        <f t="shared" si="50"/>
        <v>1</v>
      </c>
      <c r="JW108" s="56">
        <f t="shared" si="50"/>
        <v>1</v>
      </c>
      <c r="JX108" s="56">
        <f t="shared" si="50"/>
        <v>1</v>
      </c>
      <c r="JY108" s="56">
        <f t="shared" si="50"/>
        <v>1</v>
      </c>
      <c r="JZ108" s="56">
        <f t="shared" si="50"/>
        <v>1</v>
      </c>
      <c r="KA108" s="56">
        <f t="shared" si="50"/>
        <v>1</v>
      </c>
      <c r="KB108" s="56">
        <f t="shared" si="50"/>
        <v>1</v>
      </c>
      <c r="KC108" s="56">
        <f t="shared" si="50"/>
        <v>1</v>
      </c>
      <c r="KD108" s="56">
        <f t="shared" si="50"/>
        <v>1</v>
      </c>
      <c r="KE108" s="56">
        <f t="shared" si="50"/>
        <v>1</v>
      </c>
      <c r="KF108" s="56">
        <f t="shared" si="50"/>
        <v>1</v>
      </c>
      <c r="KG108" s="56">
        <f t="shared" si="50"/>
        <v>1</v>
      </c>
      <c r="KH108" s="56">
        <f t="shared" si="50"/>
        <v>1</v>
      </c>
      <c r="KK108" s="58"/>
      <c r="KL108" s="56">
        <f>KN109</f>
        <v>1</v>
      </c>
      <c r="KM108" s="56">
        <f>KL108</f>
        <v>1</v>
      </c>
      <c r="KN108" s="56">
        <f t="shared" si="51"/>
        <v>1</v>
      </c>
      <c r="KO108" s="56">
        <f t="shared" si="51"/>
        <v>1</v>
      </c>
      <c r="KP108" s="56">
        <f t="shared" si="51"/>
        <v>1</v>
      </c>
      <c r="KQ108" s="56">
        <f t="shared" si="51"/>
        <v>1</v>
      </c>
      <c r="KR108" s="56">
        <f t="shared" si="51"/>
        <v>1</v>
      </c>
      <c r="KS108" s="56">
        <f t="shared" si="51"/>
        <v>1</v>
      </c>
      <c r="KT108" s="56">
        <f t="shared" si="51"/>
        <v>1</v>
      </c>
      <c r="KU108" s="56">
        <f t="shared" si="51"/>
        <v>1</v>
      </c>
      <c r="KV108" s="56">
        <f t="shared" si="51"/>
        <v>1</v>
      </c>
      <c r="KW108" s="56">
        <f t="shared" si="51"/>
        <v>1</v>
      </c>
      <c r="KX108" s="56">
        <f t="shared" si="51"/>
        <v>1</v>
      </c>
      <c r="KY108" s="56">
        <f t="shared" si="51"/>
        <v>1</v>
      </c>
      <c r="KZ108" s="56">
        <f t="shared" si="51"/>
        <v>1</v>
      </c>
      <c r="LA108" s="56">
        <f t="shared" si="51"/>
        <v>1</v>
      </c>
      <c r="LB108" s="56">
        <f t="shared" si="51"/>
        <v>1</v>
      </c>
      <c r="LC108" s="56">
        <f t="shared" si="51"/>
        <v>1</v>
      </c>
      <c r="LD108" s="56">
        <f t="shared" si="51"/>
        <v>1</v>
      </c>
      <c r="LE108" s="56">
        <f t="shared" si="51"/>
        <v>1</v>
      </c>
      <c r="LF108" s="56">
        <f t="shared" si="51"/>
        <v>1</v>
      </c>
      <c r="LI108" s="58"/>
      <c r="LJ108" s="56">
        <f>LL109</f>
        <v>1</v>
      </c>
      <c r="LK108" s="56">
        <f>LJ108</f>
        <v>1</v>
      </c>
      <c r="LL108" s="56">
        <f t="shared" si="52"/>
        <v>1</v>
      </c>
      <c r="LM108" s="56">
        <f t="shared" si="52"/>
        <v>1</v>
      </c>
      <c r="LN108" s="56">
        <f t="shared" si="52"/>
        <v>1</v>
      </c>
      <c r="LO108" s="56">
        <f t="shared" si="52"/>
        <v>1</v>
      </c>
      <c r="LP108" s="56">
        <f t="shared" si="52"/>
        <v>1</v>
      </c>
      <c r="LQ108" s="56">
        <f t="shared" si="52"/>
        <v>1</v>
      </c>
      <c r="LR108" s="56">
        <f t="shared" si="52"/>
        <v>1</v>
      </c>
      <c r="LS108" s="56">
        <f t="shared" si="52"/>
        <v>1</v>
      </c>
      <c r="LT108" s="56">
        <f t="shared" si="52"/>
        <v>1</v>
      </c>
      <c r="LU108" s="56">
        <f t="shared" si="52"/>
        <v>1</v>
      </c>
      <c r="LV108" s="56">
        <f t="shared" si="52"/>
        <v>1</v>
      </c>
      <c r="LW108" s="56">
        <f t="shared" si="52"/>
        <v>1</v>
      </c>
      <c r="LX108" s="56">
        <f t="shared" si="52"/>
        <v>1</v>
      </c>
      <c r="LY108" s="56">
        <f t="shared" si="52"/>
        <v>1</v>
      </c>
      <c r="LZ108" s="56">
        <f t="shared" si="52"/>
        <v>1</v>
      </c>
      <c r="MA108" s="56">
        <f t="shared" si="52"/>
        <v>1</v>
      </c>
      <c r="MB108" s="56">
        <f t="shared" si="52"/>
        <v>1</v>
      </c>
      <c r="MC108" s="56">
        <f t="shared" si="52"/>
        <v>1</v>
      </c>
      <c r="MD108" s="56">
        <f t="shared" si="52"/>
        <v>1</v>
      </c>
      <c r="MG108" s="58"/>
      <c r="MH108" s="56">
        <f>MJ109</f>
        <v>1</v>
      </c>
      <c r="MI108" s="56">
        <f>MH108</f>
        <v>1</v>
      </c>
      <c r="MJ108" s="56">
        <f t="shared" si="53"/>
        <v>1</v>
      </c>
      <c r="MK108" s="56">
        <f t="shared" si="53"/>
        <v>1</v>
      </c>
      <c r="ML108" s="56">
        <f t="shared" si="53"/>
        <v>1</v>
      </c>
      <c r="MM108" s="56">
        <f t="shared" si="53"/>
        <v>1</v>
      </c>
      <c r="MN108" s="56">
        <f t="shared" si="53"/>
        <v>1</v>
      </c>
      <c r="MO108" s="56">
        <f t="shared" si="53"/>
        <v>1</v>
      </c>
      <c r="MP108" s="56">
        <f t="shared" si="53"/>
        <v>1</v>
      </c>
      <c r="MQ108" s="56">
        <f t="shared" si="53"/>
        <v>1</v>
      </c>
      <c r="MR108" s="56">
        <f t="shared" si="53"/>
        <v>1</v>
      </c>
      <c r="MS108" s="56">
        <f t="shared" si="53"/>
        <v>1</v>
      </c>
      <c r="MT108" s="56">
        <f t="shared" si="53"/>
        <v>1</v>
      </c>
      <c r="MU108" s="56">
        <f t="shared" si="53"/>
        <v>1</v>
      </c>
      <c r="MV108" s="56">
        <f t="shared" si="53"/>
        <v>1</v>
      </c>
      <c r="MW108" s="56">
        <f t="shared" si="53"/>
        <v>1</v>
      </c>
      <c r="MX108" s="56">
        <f t="shared" si="53"/>
        <v>1</v>
      </c>
      <c r="MY108" s="56">
        <f t="shared" si="53"/>
        <v>1</v>
      </c>
      <c r="MZ108" s="56">
        <f t="shared" si="53"/>
        <v>1</v>
      </c>
      <c r="NA108" s="56">
        <f t="shared" si="53"/>
        <v>1</v>
      </c>
      <c r="NB108" s="56">
        <f t="shared" si="53"/>
        <v>1</v>
      </c>
      <c r="NE108" s="58"/>
      <c r="NF108" s="56">
        <f>NH109</f>
        <v>1</v>
      </c>
      <c r="NG108" s="56">
        <f>NF108</f>
        <v>1</v>
      </c>
      <c r="NH108" s="56">
        <f t="shared" si="54"/>
        <v>1</v>
      </c>
      <c r="NI108" s="56">
        <f t="shared" si="54"/>
        <v>1</v>
      </c>
      <c r="NJ108" s="56">
        <f t="shared" si="54"/>
        <v>1</v>
      </c>
      <c r="NK108" s="56">
        <f t="shared" si="54"/>
        <v>1</v>
      </c>
      <c r="NL108" s="56">
        <f t="shared" si="54"/>
        <v>1</v>
      </c>
      <c r="NM108" s="56">
        <f t="shared" si="54"/>
        <v>1</v>
      </c>
      <c r="NN108" s="56">
        <f t="shared" si="54"/>
        <v>1</v>
      </c>
      <c r="NO108" s="56">
        <f t="shared" si="54"/>
        <v>1</v>
      </c>
      <c r="NP108" s="56">
        <f t="shared" si="54"/>
        <v>1</v>
      </c>
      <c r="NQ108" s="56">
        <f t="shared" si="54"/>
        <v>1</v>
      </c>
      <c r="NR108" s="56">
        <f t="shared" si="54"/>
        <v>1</v>
      </c>
      <c r="NS108" s="56">
        <f t="shared" si="54"/>
        <v>1</v>
      </c>
      <c r="NT108" s="56">
        <f t="shared" si="54"/>
        <v>1</v>
      </c>
      <c r="NU108" s="56">
        <f t="shared" si="54"/>
        <v>1</v>
      </c>
      <c r="NV108" s="56">
        <f t="shared" si="54"/>
        <v>1</v>
      </c>
      <c r="NW108" s="56">
        <f t="shared" si="54"/>
        <v>1</v>
      </c>
      <c r="NX108" s="56">
        <f t="shared" si="54"/>
        <v>1</v>
      </c>
      <c r="NY108" s="56">
        <f t="shared" si="54"/>
        <v>1</v>
      </c>
      <c r="NZ108" s="56">
        <f t="shared" si="54"/>
        <v>1</v>
      </c>
      <c r="OC108" s="58"/>
      <c r="OD108" s="56">
        <f>OF109</f>
        <v>1</v>
      </c>
      <c r="OE108" s="56">
        <f>OD108</f>
        <v>1</v>
      </c>
      <c r="OF108" s="56">
        <f t="shared" si="55"/>
        <v>1</v>
      </c>
      <c r="OG108" s="56">
        <f t="shared" si="55"/>
        <v>1</v>
      </c>
      <c r="OH108" s="56">
        <f t="shared" si="55"/>
        <v>1</v>
      </c>
      <c r="OI108" s="56">
        <f t="shared" si="55"/>
        <v>1</v>
      </c>
      <c r="OJ108" s="56">
        <f t="shared" si="55"/>
        <v>1</v>
      </c>
      <c r="OK108" s="56">
        <f t="shared" si="55"/>
        <v>1</v>
      </c>
      <c r="OL108" s="56">
        <f t="shared" si="55"/>
        <v>1</v>
      </c>
      <c r="OM108" s="56">
        <f t="shared" si="55"/>
        <v>1</v>
      </c>
      <c r="ON108" s="56">
        <f t="shared" si="55"/>
        <v>1</v>
      </c>
      <c r="OO108" s="56">
        <f t="shared" si="55"/>
        <v>1</v>
      </c>
      <c r="OP108" s="56">
        <f t="shared" si="55"/>
        <v>1</v>
      </c>
      <c r="OQ108" s="56">
        <f t="shared" si="55"/>
        <v>1</v>
      </c>
      <c r="OR108" s="56">
        <f t="shared" si="55"/>
        <v>1</v>
      </c>
      <c r="OS108" s="56">
        <f t="shared" si="55"/>
        <v>1</v>
      </c>
      <c r="OT108" s="56">
        <f t="shared" si="55"/>
        <v>1</v>
      </c>
      <c r="OU108" s="56">
        <f t="shared" si="55"/>
        <v>1</v>
      </c>
      <c r="OV108" s="56">
        <f t="shared" si="55"/>
        <v>1</v>
      </c>
      <c r="OW108" s="56">
        <f t="shared" si="55"/>
        <v>1</v>
      </c>
      <c r="OX108" s="56">
        <f t="shared" si="55"/>
        <v>1</v>
      </c>
      <c r="PA108" s="58"/>
      <c r="PB108" s="56">
        <f>PD109</f>
        <v>1</v>
      </c>
      <c r="PC108" s="56">
        <f>PB108</f>
        <v>1</v>
      </c>
      <c r="PD108" s="56">
        <f t="shared" si="56"/>
        <v>1</v>
      </c>
      <c r="PE108" s="56">
        <f t="shared" si="56"/>
        <v>1</v>
      </c>
      <c r="PF108" s="56">
        <f t="shared" si="56"/>
        <v>1</v>
      </c>
      <c r="PG108" s="56">
        <f t="shared" si="56"/>
        <v>1</v>
      </c>
      <c r="PH108" s="56">
        <f t="shared" si="56"/>
        <v>1</v>
      </c>
      <c r="PI108" s="56">
        <f t="shared" si="56"/>
        <v>1</v>
      </c>
      <c r="PJ108" s="56">
        <f t="shared" si="56"/>
        <v>1</v>
      </c>
      <c r="PK108" s="56">
        <f t="shared" si="56"/>
        <v>1</v>
      </c>
      <c r="PL108" s="56">
        <f t="shared" si="56"/>
        <v>1</v>
      </c>
      <c r="PM108" s="56">
        <f t="shared" si="56"/>
        <v>1</v>
      </c>
      <c r="PN108" s="56">
        <f t="shared" si="56"/>
        <v>1</v>
      </c>
      <c r="PO108" s="56">
        <f t="shared" si="56"/>
        <v>1</v>
      </c>
      <c r="PP108" s="56">
        <f t="shared" si="56"/>
        <v>1</v>
      </c>
      <c r="PQ108" s="56">
        <f t="shared" si="56"/>
        <v>1</v>
      </c>
      <c r="PR108" s="56">
        <f t="shared" si="56"/>
        <v>1</v>
      </c>
      <c r="PS108" s="56">
        <f t="shared" si="56"/>
        <v>1</v>
      </c>
      <c r="PT108" s="56">
        <f t="shared" si="56"/>
        <v>1</v>
      </c>
      <c r="PU108" s="56">
        <f t="shared" si="56"/>
        <v>1</v>
      </c>
      <c r="PV108" s="56">
        <f t="shared" si="56"/>
        <v>1</v>
      </c>
    </row>
    <row r="109" spans="3:438" s="54" customFormat="1" x14ac:dyDescent="0.25">
      <c r="C109" s="52"/>
      <c r="D109" s="52"/>
      <c r="E109" s="52"/>
      <c r="F109" s="53"/>
      <c r="G109" s="70"/>
      <c r="H109" s="53"/>
      <c r="I109" s="59"/>
      <c r="J109" s="52">
        <v>2</v>
      </c>
      <c r="K109" s="60" t="str">
        <f>VLOOKUP(J109,$A:$B,2,FALSE)</f>
        <v>Crank Nicolson</v>
      </c>
      <c r="L109" s="52">
        <f>IF(K109="Implicit",2,1)</f>
        <v>1</v>
      </c>
      <c r="M109" s="60"/>
      <c r="N109" s="60"/>
      <c r="AH109" s="52">
        <f>J109+1</f>
        <v>3</v>
      </c>
      <c r="AI109" s="52" t="str">
        <f>VLOOKUP(AH109,$A:$B,2,FALSE)</f>
        <v>Implicit</v>
      </c>
      <c r="AJ109" s="52">
        <f>IF(AI109="Implicit",2,1)</f>
        <v>2</v>
      </c>
      <c r="BC109" s="52"/>
      <c r="BD109" s="52"/>
      <c r="BF109" s="52">
        <f>AH109+1</f>
        <v>4</v>
      </c>
      <c r="BG109" s="52" t="str">
        <f>VLOOKUP(BF109,$A:$B,2,FALSE)</f>
        <v>Implicit</v>
      </c>
      <c r="BH109" s="52">
        <f>IF(BG109="Implicit",2,1)</f>
        <v>2</v>
      </c>
      <c r="CD109" s="52">
        <f>BF109+1</f>
        <v>5</v>
      </c>
      <c r="CE109" s="52" t="str">
        <f>VLOOKUP(CD109,$A:$B,2,FALSE)</f>
        <v>Implicit</v>
      </c>
      <c r="CF109" s="52">
        <f>IF(CE109="Implicit",2,1)</f>
        <v>2</v>
      </c>
      <c r="DB109" s="52">
        <f>CD109+1</f>
        <v>6</v>
      </c>
      <c r="DC109" s="52" t="str">
        <f>VLOOKUP(DB109,$A:$B,2,FALSE)</f>
        <v>Crank Nicolson</v>
      </c>
      <c r="DD109" s="52">
        <f>IF(DC109="Implicit",2,1)</f>
        <v>1</v>
      </c>
      <c r="DZ109" s="52">
        <f>DB109+1</f>
        <v>7</v>
      </c>
      <c r="EA109" s="52" t="str">
        <f>VLOOKUP(DZ109,$A:$B,2,FALSE)</f>
        <v>Implicit</v>
      </c>
      <c r="EB109" s="52">
        <f>IF(EA109="Implicit",2,1)</f>
        <v>2</v>
      </c>
      <c r="EX109" s="52">
        <f>DZ109+1</f>
        <v>8</v>
      </c>
      <c r="EY109" s="52" t="str">
        <f>VLOOKUP(EX109,$A:$B,2,FALSE)</f>
        <v>Implicit</v>
      </c>
      <c r="EZ109" s="52">
        <f>IF(EY109="Implicit",2,1)</f>
        <v>2</v>
      </c>
      <c r="FV109" s="52">
        <f>EX109+1</f>
        <v>9</v>
      </c>
      <c r="FW109" s="52" t="str">
        <f>VLOOKUP(FV109,$A:$B,2,FALSE)</f>
        <v>Implicit</v>
      </c>
      <c r="FX109" s="52">
        <f>IF(FW109="Implicit",2,1)</f>
        <v>2</v>
      </c>
      <c r="GT109" s="52">
        <f>FV109+1</f>
        <v>10</v>
      </c>
      <c r="GU109" s="52" t="str">
        <f>VLOOKUP(GT109,$A:$B,2,FALSE)</f>
        <v>Crank Nicolson</v>
      </c>
      <c r="GV109" s="52">
        <f>IF(GU109="Implicit",2,1)</f>
        <v>1</v>
      </c>
      <c r="HR109" s="52">
        <f>GT109+1</f>
        <v>11</v>
      </c>
      <c r="HS109" s="52" t="str">
        <f>VLOOKUP(HR109,$A:$B,2,FALSE)</f>
        <v>Crank Nicolson</v>
      </c>
      <c r="HT109" s="52">
        <f>IF(HS109="Implicit",2,1)</f>
        <v>1</v>
      </c>
      <c r="IP109" s="52">
        <f>HR109+1</f>
        <v>12</v>
      </c>
      <c r="IQ109" s="52" t="str">
        <f>VLOOKUP(IP109,$A:$B,2,FALSE)</f>
        <v>Crank Nicolson</v>
      </c>
      <c r="IR109" s="52">
        <f>IF(IQ109="Implicit",2,1)</f>
        <v>1</v>
      </c>
      <c r="JN109" s="52">
        <f>IP109+1</f>
        <v>13</v>
      </c>
      <c r="JO109" s="52" t="str">
        <f>VLOOKUP(JN109,$A:$B,2,FALSE)</f>
        <v>Crank Nicolson</v>
      </c>
      <c r="JP109" s="52">
        <f>IF(JO109="Implicit",2,1)</f>
        <v>1</v>
      </c>
      <c r="KL109" s="52">
        <f>JN109+1</f>
        <v>14</v>
      </c>
      <c r="KM109" s="52" t="str">
        <f>VLOOKUP(KL109,$A:$B,2,FALSE)</f>
        <v>Crank Nicolson</v>
      </c>
      <c r="KN109" s="52">
        <f>IF(KM109="Implicit",2,1)</f>
        <v>1</v>
      </c>
      <c r="LJ109" s="52">
        <f>KL109+1</f>
        <v>15</v>
      </c>
      <c r="LK109" s="52" t="str">
        <f>VLOOKUP(LJ109,$A:$B,2,FALSE)</f>
        <v>Crank Nicolson</v>
      </c>
      <c r="LL109" s="52">
        <f>IF(LK109="Implicit",2,1)</f>
        <v>1</v>
      </c>
      <c r="MH109" s="52">
        <f>LJ109+1</f>
        <v>16</v>
      </c>
      <c r="MI109" s="52" t="str">
        <f>VLOOKUP(MH109,$A:$B,2,FALSE)</f>
        <v>Crank Nicolson</v>
      </c>
      <c r="MJ109" s="52">
        <f>IF(MI109="Implicit",2,1)</f>
        <v>1</v>
      </c>
      <c r="NF109" s="52">
        <f>MH109+1</f>
        <v>17</v>
      </c>
      <c r="NG109" s="52" t="str">
        <f>VLOOKUP(NF109,$A:$B,2,FALSE)</f>
        <v>Crank Nicolson</v>
      </c>
      <c r="NH109" s="52">
        <f>IF(NG109="Implicit",2,1)</f>
        <v>1</v>
      </c>
      <c r="OD109" s="52">
        <f>NF109+1</f>
        <v>18</v>
      </c>
      <c r="OE109" s="52" t="str">
        <f>VLOOKUP(OD109,$A:$B,2,FALSE)</f>
        <v>Crank Nicolson</v>
      </c>
      <c r="OF109" s="52">
        <f>IF(OE109="Implicit",2,1)</f>
        <v>1</v>
      </c>
      <c r="PB109" s="52">
        <f>OD109+1</f>
        <v>19</v>
      </c>
      <c r="PC109" s="52" t="str">
        <f>VLOOKUP(PB109,$A:$B,2,FALSE)</f>
        <v>Crank Nicolson</v>
      </c>
      <c r="PD109" s="52">
        <f>IF(PC109="Implicit",2,1)</f>
        <v>1</v>
      </c>
    </row>
    <row r="110" spans="3:438" x14ac:dyDescent="0.25">
      <c r="C110" s="1"/>
      <c r="D110" s="1"/>
      <c r="F110" s="21"/>
      <c r="G110" s="68"/>
      <c r="H110" s="21"/>
      <c r="I110" s="11" t="s">
        <v>2</v>
      </c>
      <c r="J110" s="11">
        <f t="shared" ref="J110:AD110" si="57">J47</f>
        <v>20</v>
      </c>
      <c r="K110" s="11">
        <f t="shared" si="57"/>
        <v>19</v>
      </c>
      <c r="L110" s="11">
        <f t="shared" si="57"/>
        <v>18</v>
      </c>
      <c r="M110" s="11">
        <f t="shared" si="57"/>
        <v>17</v>
      </c>
      <c r="N110" s="11">
        <f t="shared" si="57"/>
        <v>16</v>
      </c>
      <c r="O110" s="11">
        <f t="shared" si="57"/>
        <v>15</v>
      </c>
      <c r="P110" s="11">
        <f t="shared" si="57"/>
        <v>14</v>
      </c>
      <c r="Q110" s="11">
        <f t="shared" si="57"/>
        <v>13</v>
      </c>
      <c r="R110" s="11">
        <f t="shared" si="57"/>
        <v>12</v>
      </c>
      <c r="S110" s="11">
        <f t="shared" si="57"/>
        <v>11</v>
      </c>
      <c r="T110" s="11">
        <f t="shared" si="57"/>
        <v>10</v>
      </c>
      <c r="U110" s="11">
        <f t="shared" si="57"/>
        <v>9</v>
      </c>
      <c r="V110" s="11">
        <f t="shared" si="57"/>
        <v>8</v>
      </c>
      <c r="W110" s="11">
        <f t="shared" si="57"/>
        <v>7</v>
      </c>
      <c r="X110" s="11">
        <f t="shared" si="57"/>
        <v>6</v>
      </c>
      <c r="Y110" s="11">
        <f t="shared" si="57"/>
        <v>5</v>
      </c>
      <c r="Z110" s="11">
        <f t="shared" si="57"/>
        <v>4</v>
      </c>
      <c r="AA110" s="11">
        <f t="shared" si="57"/>
        <v>3</v>
      </c>
      <c r="AB110" s="11">
        <f t="shared" si="57"/>
        <v>2</v>
      </c>
      <c r="AC110" s="11">
        <f t="shared" si="57"/>
        <v>1</v>
      </c>
      <c r="AD110" s="11">
        <f t="shared" si="57"/>
        <v>0</v>
      </c>
      <c r="AG110" s="11" t="s">
        <v>2</v>
      </c>
      <c r="AH110" s="11">
        <f>J110</f>
        <v>20</v>
      </c>
      <c r="AI110" s="11">
        <f>K110</f>
        <v>19</v>
      </c>
      <c r="AJ110" s="11">
        <f>L110</f>
        <v>18</v>
      </c>
      <c r="AK110" s="11">
        <f>M110</f>
        <v>17</v>
      </c>
      <c r="AL110" s="11">
        <f>N110</f>
        <v>16</v>
      </c>
      <c r="AM110" s="11">
        <f t="shared" ref="AM110:BB110" si="58">O110</f>
        <v>15</v>
      </c>
      <c r="AN110" s="11">
        <f t="shared" si="58"/>
        <v>14</v>
      </c>
      <c r="AO110" s="11">
        <f t="shared" si="58"/>
        <v>13</v>
      </c>
      <c r="AP110" s="11">
        <f t="shared" si="58"/>
        <v>12</v>
      </c>
      <c r="AQ110" s="11">
        <f t="shared" si="58"/>
        <v>11</v>
      </c>
      <c r="AR110" s="11">
        <f t="shared" si="58"/>
        <v>10</v>
      </c>
      <c r="AS110" s="11">
        <f t="shared" si="58"/>
        <v>9</v>
      </c>
      <c r="AT110" s="11">
        <f t="shared" si="58"/>
        <v>8</v>
      </c>
      <c r="AU110" s="11">
        <f t="shared" si="58"/>
        <v>7</v>
      </c>
      <c r="AV110" s="11">
        <f t="shared" si="58"/>
        <v>6</v>
      </c>
      <c r="AW110" s="11">
        <f t="shared" si="58"/>
        <v>5</v>
      </c>
      <c r="AX110" s="11">
        <f t="shared" si="58"/>
        <v>4</v>
      </c>
      <c r="AY110" s="11">
        <f t="shared" si="58"/>
        <v>3</v>
      </c>
      <c r="AZ110" s="11">
        <f t="shared" si="58"/>
        <v>2</v>
      </c>
      <c r="BA110" s="11">
        <f t="shared" si="58"/>
        <v>1</v>
      </c>
      <c r="BB110" s="11">
        <f t="shared" si="58"/>
        <v>0</v>
      </c>
      <c r="BE110" s="11" t="s">
        <v>2</v>
      </c>
      <c r="BF110" s="11">
        <f>AH110</f>
        <v>20</v>
      </c>
      <c r="BG110" s="11">
        <f>AI110</f>
        <v>19</v>
      </c>
      <c r="BH110" s="11">
        <f>AJ110</f>
        <v>18</v>
      </c>
      <c r="BI110" s="11">
        <f>AK110</f>
        <v>17</v>
      </c>
      <c r="BJ110" s="11">
        <f>AL110</f>
        <v>16</v>
      </c>
      <c r="BK110" s="11">
        <f t="shared" ref="BK110:BZ110" si="59">AM110</f>
        <v>15</v>
      </c>
      <c r="BL110" s="11">
        <f t="shared" si="59"/>
        <v>14</v>
      </c>
      <c r="BM110" s="11">
        <f t="shared" si="59"/>
        <v>13</v>
      </c>
      <c r="BN110" s="11">
        <f t="shared" si="59"/>
        <v>12</v>
      </c>
      <c r="BO110" s="11">
        <f t="shared" si="59"/>
        <v>11</v>
      </c>
      <c r="BP110" s="11">
        <f t="shared" si="59"/>
        <v>10</v>
      </c>
      <c r="BQ110" s="11">
        <f t="shared" si="59"/>
        <v>9</v>
      </c>
      <c r="BR110" s="11">
        <f t="shared" si="59"/>
        <v>8</v>
      </c>
      <c r="BS110" s="11">
        <f t="shared" si="59"/>
        <v>7</v>
      </c>
      <c r="BT110" s="11">
        <f t="shared" si="59"/>
        <v>6</v>
      </c>
      <c r="BU110" s="11">
        <f t="shared" si="59"/>
        <v>5</v>
      </c>
      <c r="BV110" s="11">
        <f t="shared" si="59"/>
        <v>4</v>
      </c>
      <c r="BW110" s="11">
        <f t="shared" si="59"/>
        <v>3</v>
      </c>
      <c r="BX110" s="11">
        <f t="shared" si="59"/>
        <v>2</v>
      </c>
      <c r="BY110" s="11">
        <f t="shared" si="59"/>
        <v>1</v>
      </c>
      <c r="BZ110" s="11">
        <f t="shared" si="59"/>
        <v>0</v>
      </c>
      <c r="CC110" s="11" t="s">
        <v>2</v>
      </c>
      <c r="CD110" s="11">
        <f>BF110</f>
        <v>20</v>
      </c>
      <c r="CE110" s="11">
        <f>BG110</f>
        <v>19</v>
      </c>
      <c r="CF110" s="11">
        <f>BH110</f>
        <v>18</v>
      </c>
      <c r="CG110" s="11">
        <f>BI110</f>
        <v>17</v>
      </c>
      <c r="CH110" s="11">
        <f>BJ110</f>
        <v>16</v>
      </c>
      <c r="CI110" s="11">
        <f t="shared" ref="CI110:CX110" si="60">BK110</f>
        <v>15</v>
      </c>
      <c r="CJ110" s="11">
        <f t="shared" si="60"/>
        <v>14</v>
      </c>
      <c r="CK110" s="11">
        <f t="shared" si="60"/>
        <v>13</v>
      </c>
      <c r="CL110" s="11">
        <f t="shared" si="60"/>
        <v>12</v>
      </c>
      <c r="CM110" s="11">
        <f t="shared" si="60"/>
        <v>11</v>
      </c>
      <c r="CN110" s="11">
        <f t="shared" si="60"/>
        <v>10</v>
      </c>
      <c r="CO110" s="11">
        <f t="shared" si="60"/>
        <v>9</v>
      </c>
      <c r="CP110" s="11">
        <f t="shared" si="60"/>
        <v>8</v>
      </c>
      <c r="CQ110" s="11">
        <f t="shared" si="60"/>
        <v>7</v>
      </c>
      <c r="CR110" s="11">
        <f t="shared" si="60"/>
        <v>6</v>
      </c>
      <c r="CS110" s="11">
        <f t="shared" si="60"/>
        <v>5</v>
      </c>
      <c r="CT110" s="11">
        <f t="shared" si="60"/>
        <v>4</v>
      </c>
      <c r="CU110" s="11">
        <f t="shared" si="60"/>
        <v>3</v>
      </c>
      <c r="CV110" s="11">
        <f t="shared" si="60"/>
        <v>2</v>
      </c>
      <c r="CW110" s="11">
        <f t="shared" si="60"/>
        <v>1</v>
      </c>
      <c r="CX110" s="11">
        <f t="shared" si="60"/>
        <v>0</v>
      </c>
      <c r="DA110" s="11" t="s">
        <v>2</v>
      </c>
      <c r="DB110" s="11">
        <f>CD110</f>
        <v>20</v>
      </c>
      <c r="DC110" s="11">
        <f>CE110</f>
        <v>19</v>
      </c>
      <c r="DD110" s="11">
        <f>CF110</f>
        <v>18</v>
      </c>
      <c r="DE110" s="11">
        <f>CG110</f>
        <v>17</v>
      </c>
      <c r="DF110" s="11">
        <f>CH110</f>
        <v>16</v>
      </c>
      <c r="DG110" s="11">
        <f t="shared" ref="DG110:DV110" si="61">CI110</f>
        <v>15</v>
      </c>
      <c r="DH110" s="11">
        <f t="shared" si="61"/>
        <v>14</v>
      </c>
      <c r="DI110" s="11">
        <f t="shared" si="61"/>
        <v>13</v>
      </c>
      <c r="DJ110" s="11">
        <f t="shared" si="61"/>
        <v>12</v>
      </c>
      <c r="DK110" s="11">
        <f t="shared" si="61"/>
        <v>11</v>
      </c>
      <c r="DL110" s="11">
        <f t="shared" si="61"/>
        <v>10</v>
      </c>
      <c r="DM110" s="11">
        <f t="shared" si="61"/>
        <v>9</v>
      </c>
      <c r="DN110" s="11">
        <f t="shared" si="61"/>
        <v>8</v>
      </c>
      <c r="DO110" s="11">
        <f t="shared" si="61"/>
        <v>7</v>
      </c>
      <c r="DP110" s="11">
        <f t="shared" si="61"/>
        <v>6</v>
      </c>
      <c r="DQ110" s="11">
        <f t="shared" si="61"/>
        <v>5</v>
      </c>
      <c r="DR110" s="11">
        <f t="shared" si="61"/>
        <v>4</v>
      </c>
      <c r="DS110" s="11">
        <f t="shared" si="61"/>
        <v>3</v>
      </c>
      <c r="DT110" s="11">
        <f t="shared" si="61"/>
        <v>2</v>
      </c>
      <c r="DU110" s="11">
        <f t="shared" si="61"/>
        <v>1</v>
      </c>
      <c r="DV110" s="11">
        <f t="shared" si="61"/>
        <v>0</v>
      </c>
      <c r="DY110" s="11" t="s">
        <v>2</v>
      </c>
      <c r="DZ110" s="11">
        <f>DB110</f>
        <v>20</v>
      </c>
      <c r="EA110" s="11">
        <f>DC110</f>
        <v>19</v>
      </c>
      <c r="EB110" s="11">
        <f>DD110</f>
        <v>18</v>
      </c>
      <c r="EC110" s="11">
        <f>DE110</f>
        <v>17</v>
      </c>
      <c r="ED110" s="11">
        <f>DF110</f>
        <v>16</v>
      </c>
      <c r="EE110" s="11">
        <f t="shared" ref="EE110:ET110" si="62">DG110</f>
        <v>15</v>
      </c>
      <c r="EF110" s="11">
        <f t="shared" si="62"/>
        <v>14</v>
      </c>
      <c r="EG110" s="11">
        <f t="shared" si="62"/>
        <v>13</v>
      </c>
      <c r="EH110" s="11">
        <f t="shared" si="62"/>
        <v>12</v>
      </c>
      <c r="EI110" s="11">
        <f t="shared" si="62"/>
        <v>11</v>
      </c>
      <c r="EJ110" s="11">
        <f t="shared" si="62"/>
        <v>10</v>
      </c>
      <c r="EK110" s="11">
        <f t="shared" si="62"/>
        <v>9</v>
      </c>
      <c r="EL110" s="11">
        <f t="shared" si="62"/>
        <v>8</v>
      </c>
      <c r="EM110" s="11">
        <f t="shared" si="62"/>
        <v>7</v>
      </c>
      <c r="EN110" s="11">
        <f t="shared" si="62"/>
        <v>6</v>
      </c>
      <c r="EO110" s="11">
        <f t="shared" si="62"/>
        <v>5</v>
      </c>
      <c r="EP110" s="11">
        <f t="shared" si="62"/>
        <v>4</v>
      </c>
      <c r="EQ110" s="11">
        <f t="shared" si="62"/>
        <v>3</v>
      </c>
      <c r="ER110" s="11">
        <f t="shared" si="62"/>
        <v>2</v>
      </c>
      <c r="ES110" s="11">
        <f t="shared" si="62"/>
        <v>1</v>
      </c>
      <c r="ET110" s="11">
        <f t="shared" si="62"/>
        <v>0</v>
      </c>
      <c r="EW110" s="11" t="s">
        <v>2</v>
      </c>
      <c r="EX110" s="11">
        <f>DZ110</f>
        <v>20</v>
      </c>
      <c r="EY110" s="11">
        <f>EA110</f>
        <v>19</v>
      </c>
      <c r="EZ110" s="11">
        <f>EB110</f>
        <v>18</v>
      </c>
      <c r="FA110" s="11">
        <f>EC110</f>
        <v>17</v>
      </c>
      <c r="FB110" s="11">
        <f>ED110</f>
        <v>16</v>
      </c>
      <c r="FC110" s="11">
        <f t="shared" ref="FC110:FR110" si="63">EE110</f>
        <v>15</v>
      </c>
      <c r="FD110" s="11">
        <f t="shared" si="63"/>
        <v>14</v>
      </c>
      <c r="FE110" s="11">
        <f t="shared" si="63"/>
        <v>13</v>
      </c>
      <c r="FF110" s="11">
        <f t="shared" si="63"/>
        <v>12</v>
      </c>
      <c r="FG110" s="11">
        <f t="shared" si="63"/>
        <v>11</v>
      </c>
      <c r="FH110" s="11">
        <f t="shared" si="63"/>
        <v>10</v>
      </c>
      <c r="FI110" s="11">
        <f t="shared" si="63"/>
        <v>9</v>
      </c>
      <c r="FJ110" s="11">
        <f t="shared" si="63"/>
        <v>8</v>
      </c>
      <c r="FK110" s="11">
        <f t="shared" si="63"/>
        <v>7</v>
      </c>
      <c r="FL110" s="11">
        <f t="shared" si="63"/>
        <v>6</v>
      </c>
      <c r="FM110" s="11">
        <f t="shared" si="63"/>
        <v>5</v>
      </c>
      <c r="FN110" s="11">
        <f t="shared" si="63"/>
        <v>4</v>
      </c>
      <c r="FO110" s="11">
        <f t="shared" si="63"/>
        <v>3</v>
      </c>
      <c r="FP110" s="11">
        <f t="shared" si="63"/>
        <v>2</v>
      </c>
      <c r="FQ110" s="11">
        <f t="shared" si="63"/>
        <v>1</v>
      </c>
      <c r="FR110" s="11">
        <f t="shared" si="63"/>
        <v>0</v>
      </c>
      <c r="FU110" s="11" t="s">
        <v>2</v>
      </c>
      <c r="FV110" s="11">
        <f>EX110</f>
        <v>20</v>
      </c>
      <c r="FW110" s="11">
        <f>EY110</f>
        <v>19</v>
      </c>
      <c r="FX110" s="11">
        <f>EZ110</f>
        <v>18</v>
      </c>
      <c r="FY110" s="11">
        <f>FA110</f>
        <v>17</v>
      </c>
      <c r="FZ110" s="11">
        <f>FB110</f>
        <v>16</v>
      </c>
      <c r="GA110" s="11">
        <f t="shared" ref="GA110:GP110" si="64">FC110</f>
        <v>15</v>
      </c>
      <c r="GB110" s="11">
        <f t="shared" si="64"/>
        <v>14</v>
      </c>
      <c r="GC110" s="11">
        <f t="shared" si="64"/>
        <v>13</v>
      </c>
      <c r="GD110" s="11">
        <f t="shared" si="64"/>
        <v>12</v>
      </c>
      <c r="GE110" s="11">
        <f t="shared" si="64"/>
        <v>11</v>
      </c>
      <c r="GF110" s="11">
        <f t="shared" si="64"/>
        <v>10</v>
      </c>
      <c r="GG110" s="11">
        <f t="shared" si="64"/>
        <v>9</v>
      </c>
      <c r="GH110" s="11">
        <f t="shared" si="64"/>
        <v>8</v>
      </c>
      <c r="GI110" s="11">
        <f t="shared" si="64"/>
        <v>7</v>
      </c>
      <c r="GJ110" s="11">
        <f t="shared" si="64"/>
        <v>6</v>
      </c>
      <c r="GK110" s="11">
        <f t="shared" si="64"/>
        <v>5</v>
      </c>
      <c r="GL110" s="11">
        <f t="shared" si="64"/>
        <v>4</v>
      </c>
      <c r="GM110" s="11">
        <f t="shared" si="64"/>
        <v>3</v>
      </c>
      <c r="GN110" s="11">
        <f t="shared" si="64"/>
        <v>2</v>
      </c>
      <c r="GO110" s="11">
        <f t="shared" si="64"/>
        <v>1</v>
      </c>
      <c r="GP110" s="11">
        <f t="shared" si="64"/>
        <v>0</v>
      </c>
      <c r="GS110" s="11" t="s">
        <v>2</v>
      </c>
      <c r="GT110" s="11">
        <f>FV110</f>
        <v>20</v>
      </c>
      <c r="GU110" s="11">
        <f>FW110</f>
        <v>19</v>
      </c>
      <c r="GV110" s="11">
        <f>FX110</f>
        <v>18</v>
      </c>
      <c r="GW110" s="11">
        <f>FY110</f>
        <v>17</v>
      </c>
      <c r="GX110" s="11">
        <f>FZ110</f>
        <v>16</v>
      </c>
      <c r="GY110" s="11">
        <f t="shared" ref="GY110:HN110" si="65">GA110</f>
        <v>15</v>
      </c>
      <c r="GZ110" s="11">
        <f t="shared" si="65"/>
        <v>14</v>
      </c>
      <c r="HA110" s="11">
        <f t="shared" si="65"/>
        <v>13</v>
      </c>
      <c r="HB110" s="11">
        <f t="shared" si="65"/>
        <v>12</v>
      </c>
      <c r="HC110" s="11">
        <f t="shared" si="65"/>
        <v>11</v>
      </c>
      <c r="HD110" s="11">
        <f t="shared" si="65"/>
        <v>10</v>
      </c>
      <c r="HE110" s="11">
        <f t="shared" si="65"/>
        <v>9</v>
      </c>
      <c r="HF110" s="11">
        <f t="shared" si="65"/>
        <v>8</v>
      </c>
      <c r="HG110" s="11">
        <f t="shared" si="65"/>
        <v>7</v>
      </c>
      <c r="HH110" s="11">
        <f t="shared" si="65"/>
        <v>6</v>
      </c>
      <c r="HI110" s="11">
        <f t="shared" si="65"/>
        <v>5</v>
      </c>
      <c r="HJ110" s="11">
        <f t="shared" si="65"/>
        <v>4</v>
      </c>
      <c r="HK110" s="11">
        <f t="shared" si="65"/>
        <v>3</v>
      </c>
      <c r="HL110" s="11">
        <f t="shared" si="65"/>
        <v>2</v>
      </c>
      <c r="HM110" s="11">
        <f t="shared" si="65"/>
        <v>1</v>
      </c>
      <c r="HN110" s="11">
        <f t="shared" si="65"/>
        <v>0</v>
      </c>
      <c r="HQ110" s="11" t="s">
        <v>2</v>
      </c>
      <c r="HR110" s="11">
        <f>GT110</f>
        <v>20</v>
      </c>
      <c r="HS110" s="11">
        <f>GU110</f>
        <v>19</v>
      </c>
      <c r="HT110" s="11">
        <f>GV110</f>
        <v>18</v>
      </c>
      <c r="HU110" s="11">
        <f>GW110</f>
        <v>17</v>
      </c>
      <c r="HV110" s="11">
        <f>GX110</f>
        <v>16</v>
      </c>
      <c r="HW110" s="11">
        <f t="shared" ref="HW110:IL110" si="66">GY110</f>
        <v>15</v>
      </c>
      <c r="HX110" s="11">
        <f t="shared" si="66"/>
        <v>14</v>
      </c>
      <c r="HY110" s="11">
        <f t="shared" si="66"/>
        <v>13</v>
      </c>
      <c r="HZ110" s="11">
        <f t="shared" si="66"/>
        <v>12</v>
      </c>
      <c r="IA110" s="11">
        <f t="shared" si="66"/>
        <v>11</v>
      </c>
      <c r="IB110" s="11">
        <f t="shared" si="66"/>
        <v>10</v>
      </c>
      <c r="IC110" s="11">
        <f t="shared" si="66"/>
        <v>9</v>
      </c>
      <c r="ID110" s="11">
        <f t="shared" si="66"/>
        <v>8</v>
      </c>
      <c r="IE110" s="11">
        <f t="shared" si="66"/>
        <v>7</v>
      </c>
      <c r="IF110" s="11">
        <f t="shared" si="66"/>
        <v>6</v>
      </c>
      <c r="IG110" s="11">
        <f t="shared" si="66"/>
        <v>5</v>
      </c>
      <c r="IH110" s="11">
        <f t="shared" si="66"/>
        <v>4</v>
      </c>
      <c r="II110" s="11">
        <f t="shared" si="66"/>
        <v>3</v>
      </c>
      <c r="IJ110" s="11">
        <f t="shared" si="66"/>
        <v>2</v>
      </c>
      <c r="IK110" s="11">
        <f t="shared" si="66"/>
        <v>1</v>
      </c>
      <c r="IL110" s="11">
        <f t="shared" si="66"/>
        <v>0</v>
      </c>
      <c r="IO110" s="11" t="s">
        <v>2</v>
      </c>
      <c r="IP110" s="11">
        <f>HR110</f>
        <v>20</v>
      </c>
      <c r="IQ110" s="11">
        <f>HS110</f>
        <v>19</v>
      </c>
      <c r="IR110" s="11">
        <f>HT110</f>
        <v>18</v>
      </c>
      <c r="IS110" s="11">
        <f>HU110</f>
        <v>17</v>
      </c>
      <c r="IT110" s="11">
        <f>HV110</f>
        <v>16</v>
      </c>
      <c r="IU110" s="11">
        <f t="shared" ref="IU110:JJ110" si="67">HW110</f>
        <v>15</v>
      </c>
      <c r="IV110" s="11">
        <f t="shared" si="67"/>
        <v>14</v>
      </c>
      <c r="IW110" s="11">
        <f t="shared" si="67"/>
        <v>13</v>
      </c>
      <c r="IX110" s="11">
        <f t="shared" si="67"/>
        <v>12</v>
      </c>
      <c r="IY110" s="11">
        <f t="shared" si="67"/>
        <v>11</v>
      </c>
      <c r="IZ110" s="11">
        <f t="shared" si="67"/>
        <v>10</v>
      </c>
      <c r="JA110" s="11">
        <f t="shared" si="67"/>
        <v>9</v>
      </c>
      <c r="JB110" s="11">
        <f t="shared" si="67"/>
        <v>8</v>
      </c>
      <c r="JC110" s="11">
        <f t="shared" si="67"/>
        <v>7</v>
      </c>
      <c r="JD110" s="11">
        <f t="shared" si="67"/>
        <v>6</v>
      </c>
      <c r="JE110" s="11">
        <f t="shared" si="67"/>
        <v>5</v>
      </c>
      <c r="JF110" s="11">
        <f t="shared" si="67"/>
        <v>4</v>
      </c>
      <c r="JG110" s="11">
        <f t="shared" si="67"/>
        <v>3</v>
      </c>
      <c r="JH110" s="11">
        <f t="shared" si="67"/>
        <v>2</v>
      </c>
      <c r="JI110" s="11">
        <f t="shared" si="67"/>
        <v>1</v>
      </c>
      <c r="JJ110" s="11">
        <f t="shared" si="67"/>
        <v>0</v>
      </c>
      <c r="JM110" s="11" t="s">
        <v>2</v>
      </c>
      <c r="JN110" s="11">
        <f>IP110</f>
        <v>20</v>
      </c>
      <c r="JO110" s="11">
        <f>IQ110</f>
        <v>19</v>
      </c>
      <c r="JP110" s="11">
        <f>IR110</f>
        <v>18</v>
      </c>
      <c r="JQ110" s="11">
        <f>IS110</f>
        <v>17</v>
      </c>
      <c r="JR110" s="11">
        <f>IT110</f>
        <v>16</v>
      </c>
      <c r="JS110" s="11">
        <f t="shared" ref="JS110:KH110" si="68">IU110</f>
        <v>15</v>
      </c>
      <c r="JT110" s="11">
        <f t="shared" si="68"/>
        <v>14</v>
      </c>
      <c r="JU110" s="11">
        <f t="shared" si="68"/>
        <v>13</v>
      </c>
      <c r="JV110" s="11">
        <f t="shared" si="68"/>
        <v>12</v>
      </c>
      <c r="JW110" s="11">
        <f t="shared" si="68"/>
        <v>11</v>
      </c>
      <c r="JX110" s="11">
        <f t="shared" si="68"/>
        <v>10</v>
      </c>
      <c r="JY110" s="11">
        <f t="shared" si="68"/>
        <v>9</v>
      </c>
      <c r="JZ110" s="11">
        <f t="shared" si="68"/>
        <v>8</v>
      </c>
      <c r="KA110" s="11">
        <f t="shared" si="68"/>
        <v>7</v>
      </c>
      <c r="KB110" s="11">
        <f t="shared" si="68"/>
        <v>6</v>
      </c>
      <c r="KC110" s="11">
        <f t="shared" si="68"/>
        <v>5</v>
      </c>
      <c r="KD110" s="11">
        <f t="shared" si="68"/>
        <v>4</v>
      </c>
      <c r="KE110" s="11">
        <f t="shared" si="68"/>
        <v>3</v>
      </c>
      <c r="KF110" s="11">
        <f t="shared" si="68"/>
        <v>2</v>
      </c>
      <c r="KG110" s="11">
        <f t="shared" si="68"/>
        <v>1</v>
      </c>
      <c r="KH110" s="11">
        <f t="shared" si="68"/>
        <v>0</v>
      </c>
      <c r="KK110" s="11" t="s">
        <v>2</v>
      </c>
      <c r="KL110" s="11">
        <f>JN110</f>
        <v>20</v>
      </c>
      <c r="KM110" s="11">
        <f>JO110</f>
        <v>19</v>
      </c>
      <c r="KN110" s="11">
        <f>JP110</f>
        <v>18</v>
      </c>
      <c r="KO110" s="11">
        <f>JQ110</f>
        <v>17</v>
      </c>
      <c r="KP110" s="11">
        <f>JR110</f>
        <v>16</v>
      </c>
      <c r="KQ110" s="11">
        <f t="shared" ref="KQ110:LF110" si="69">JS110</f>
        <v>15</v>
      </c>
      <c r="KR110" s="11">
        <f t="shared" si="69"/>
        <v>14</v>
      </c>
      <c r="KS110" s="11">
        <f t="shared" si="69"/>
        <v>13</v>
      </c>
      <c r="KT110" s="11">
        <f t="shared" si="69"/>
        <v>12</v>
      </c>
      <c r="KU110" s="11">
        <f t="shared" si="69"/>
        <v>11</v>
      </c>
      <c r="KV110" s="11">
        <f t="shared" si="69"/>
        <v>10</v>
      </c>
      <c r="KW110" s="11">
        <f t="shared" si="69"/>
        <v>9</v>
      </c>
      <c r="KX110" s="11">
        <f t="shared" si="69"/>
        <v>8</v>
      </c>
      <c r="KY110" s="11">
        <f t="shared" si="69"/>
        <v>7</v>
      </c>
      <c r="KZ110" s="11">
        <f t="shared" si="69"/>
        <v>6</v>
      </c>
      <c r="LA110" s="11">
        <f t="shared" si="69"/>
        <v>5</v>
      </c>
      <c r="LB110" s="11">
        <f t="shared" si="69"/>
        <v>4</v>
      </c>
      <c r="LC110" s="11">
        <f t="shared" si="69"/>
        <v>3</v>
      </c>
      <c r="LD110" s="11">
        <f t="shared" si="69"/>
        <v>2</v>
      </c>
      <c r="LE110" s="11">
        <f t="shared" si="69"/>
        <v>1</v>
      </c>
      <c r="LF110" s="11">
        <f t="shared" si="69"/>
        <v>0</v>
      </c>
      <c r="LI110" s="11" t="s">
        <v>2</v>
      </c>
      <c r="LJ110" s="11">
        <f>KL110</f>
        <v>20</v>
      </c>
      <c r="LK110" s="11">
        <f>KM110</f>
        <v>19</v>
      </c>
      <c r="LL110" s="11">
        <f>KN110</f>
        <v>18</v>
      </c>
      <c r="LM110" s="11">
        <f>KO110</f>
        <v>17</v>
      </c>
      <c r="LN110" s="11">
        <f>KP110</f>
        <v>16</v>
      </c>
      <c r="LO110" s="11">
        <f t="shared" ref="LO110:MD110" si="70">KQ110</f>
        <v>15</v>
      </c>
      <c r="LP110" s="11">
        <f t="shared" si="70"/>
        <v>14</v>
      </c>
      <c r="LQ110" s="11">
        <f t="shared" si="70"/>
        <v>13</v>
      </c>
      <c r="LR110" s="11">
        <f t="shared" si="70"/>
        <v>12</v>
      </c>
      <c r="LS110" s="11">
        <f t="shared" si="70"/>
        <v>11</v>
      </c>
      <c r="LT110" s="11">
        <f t="shared" si="70"/>
        <v>10</v>
      </c>
      <c r="LU110" s="11">
        <f t="shared" si="70"/>
        <v>9</v>
      </c>
      <c r="LV110" s="11">
        <f t="shared" si="70"/>
        <v>8</v>
      </c>
      <c r="LW110" s="11">
        <f t="shared" si="70"/>
        <v>7</v>
      </c>
      <c r="LX110" s="11">
        <f t="shared" si="70"/>
        <v>6</v>
      </c>
      <c r="LY110" s="11">
        <f t="shared" si="70"/>
        <v>5</v>
      </c>
      <c r="LZ110" s="11">
        <f t="shared" si="70"/>
        <v>4</v>
      </c>
      <c r="MA110" s="11">
        <f t="shared" si="70"/>
        <v>3</v>
      </c>
      <c r="MB110" s="11">
        <f t="shared" si="70"/>
        <v>2</v>
      </c>
      <c r="MC110" s="11">
        <f t="shared" si="70"/>
        <v>1</v>
      </c>
      <c r="MD110" s="11">
        <f t="shared" si="70"/>
        <v>0</v>
      </c>
      <c r="MG110" s="11" t="s">
        <v>2</v>
      </c>
      <c r="MH110" s="11">
        <f>LJ110</f>
        <v>20</v>
      </c>
      <c r="MI110" s="11">
        <f>LK110</f>
        <v>19</v>
      </c>
      <c r="MJ110" s="11">
        <f>LL110</f>
        <v>18</v>
      </c>
      <c r="MK110" s="11">
        <f>LM110</f>
        <v>17</v>
      </c>
      <c r="ML110" s="11">
        <f>LN110</f>
        <v>16</v>
      </c>
      <c r="MM110" s="11">
        <f t="shared" ref="MM110:NB110" si="71">LO110</f>
        <v>15</v>
      </c>
      <c r="MN110" s="11">
        <f t="shared" si="71"/>
        <v>14</v>
      </c>
      <c r="MO110" s="11">
        <f t="shared" si="71"/>
        <v>13</v>
      </c>
      <c r="MP110" s="11">
        <f t="shared" si="71"/>
        <v>12</v>
      </c>
      <c r="MQ110" s="11">
        <f t="shared" si="71"/>
        <v>11</v>
      </c>
      <c r="MR110" s="11">
        <f t="shared" si="71"/>
        <v>10</v>
      </c>
      <c r="MS110" s="11">
        <f t="shared" si="71"/>
        <v>9</v>
      </c>
      <c r="MT110" s="11">
        <f t="shared" si="71"/>
        <v>8</v>
      </c>
      <c r="MU110" s="11">
        <f t="shared" si="71"/>
        <v>7</v>
      </c>
      <c r="MV110" s="11">
        <f t="shared" si="71"/>
        <v>6</v>
      </c>
      <c r="MW110" s="11">
        <f t="shared" si="71"/>
        <v>5</v>
      </c>
      <c r="MX110" s="11">
        <f t="shared" si="71"/>
        <v>4</v>
      </c>
      <c r="MY110" s="11">
        <f t="shared" si="71"/>
        <v>3</v>
      </c>
      <c r="MZ110" s="11">
        <f t="shared" si="71"/>
        <v>2</v>
      </c>
      <c r="NA110" s="11">
        <f t="shared" si="71"/>
        <v>1</v>
      </c>
      <c r="NB110" s="11">
        <f t="shared" si="71"/>
        <v>0</v>
      </c>
      <c r="NE110" s="11" t="s">
        <v>2</v>
      </c>
      <c r="NF110" s="11">
        <f>MH110</f>
        <v>20</v>
      </c>
      <c r="NG110" s="11">
        <f>MI110</f>
        <v>19</v>
      </c>
      <c r="NH110" s="11">
        <f>MJ110</f>
        <v>18</v>
      </c>
      <c r="NI110" s="11">
        <f>MK110</f>
        <v>17</v>
      </c>
      <c r="NJ110" s="11">
        <f>ML110</f>
        <v>16</v>
      </c>
      <c r="NK110" s="11">
        <f t="shared" ref="NK110:NZ110" si="72">MM110</f>
        <v>15</v>
      </c>
      <c r="NL110" s="11">
        <f t="shared" si="72"/>
        <v>14</v>
      </c>
      <c r="NM110" s="11">
        <f t="shared" si="72"/>
        <v>13</v>
      </c>
      <c r="NN110" s="11">
        <f t="shared" si="72"/>
        <v>12</v>
      </c>
      <c r="NO110" s="11">
        <f t="shared" si="72"/>
        <v>11</v>
      </c>
      <c r="NP110" s="11">
        <f t="shared" si="72"/>
        <v>10</v>
      </c>
      <c r="NQ110" s="11">
        <f t="shared" si="72"/>
        <v>9</v>
      </c>
      <c r="NR110" s="11">
        <f t="shared" si="72"/>
        <v>8</v>
      </c>
      <c r="NS110" s="11">
        <f t="shared" si="72"/>
        <v>7</v>
      </c>
      <c r="NT110" s="11">
        <f t="shared" si="72"/>
        <v>6</v>
      </c>
      <c r="NU110" s="11">
        <f t="shared" si="72"/>
        <v>5</v>
      </c>
      <c r="NV110" s="11">
        <f t="shared" si="72"/>
        <v>4</v>
      </c>
      <c r="NW110" s="11">
        <f t="shared" si="72"/>
        <v>3</v>
      </c>
      <c r="NX110" s="11">
        <f t="shared" si="72"/>
        <v>2</v>
      </c>
      <c r="NY110" s="11">
        <f t="shared" si="72"/>
        <v>1</v>
      </c>
      <c r="NZ110" s="11">
        <f t="shared" si="72"/>
        <v>0</v>
      </c>
      <c r="OC110" s="11" t="s">
        <v>2</v>
      </c>
      <c r="OD110" s="11">
        <f>NF110</f>
        <v>20</v>
      </c>
      <c r="OE110" s="11">
        <f>NG110</f>
        <v>19</v>
      </c>
      <c r="OF110" s="11">
        <f>NH110</f>
        <v>18</v>
      </c>
      <c r="OG110" s="11">
        <f>NI110</f>
        <v>17</v>
      </c>
      <c r="OH110" s="11">
        <f>NJ110</f>
        <v>16</v>
      </c>
      <c r="OI110" s="11">
        <f t="shared" ref="OI110:OX110" si="73">NK110</f>
        <v>15</v>
      </c>
      <c r="OJ110" s="11">
        <f t="shared" si="73"/>
        <v>14</v>
      </c>
      <c r="OK110" s="11">
        <f t="shared" si="73"/>
        <v>13</v>
      </c>
      <c r="OL110" s="11">
        <f t="shared" si="73"/>
        <v>12</v>
      </c>
      <c r="OM110" s="11">
        <f t="shared" si="73"/>
        <v>11</v>
      </c>
      <c r="ON110" s="11">
        <f t="shared" si="73"/>
        <v>10</v>
      </c>
      <c r="OO110" s="11">
        <f t="shared" si="73"/>
        <v>9</v>
      </c>
      <c r="OP110" s="11">
        <f t="shared" si="73"/>
        <v>8</v>
      </c>
      <c r="OQ110" s="11">
        <f t="shared" si="73"/>
        <v>7</v>
      </c>
      <c r="OR110" s="11">
        <f t="shared" si="73"/>
        <v>6</v>
      </c>
      <c r="OS110" s="11">
        <f t="shared" si="73"/>
        <v>5</v>
      </c>
      <c r="OT110" s="11">
        <f t="shared" si="73"/>
        <v>4</v>
      </c>
      <c r="OU110" s="11">
        <f t="shared" si="73"/>
        <v>3</v>
      </c>
      <c r="OV110" s="11">
        <f t="shared" si="73"/>
        <v>2</v>
      </c>
      <c r="OW110" s="11">
        <f t="shared" si="73"/>
        <v>1</v>
      </c>
      <c r="OX110" s="11">
        <f t="shared" si="73"/>
        <v>0</v>
      </c>
      <c r="PA110" s="11" t="s">
        <v>2</v>
      </c>
      <c r="PB110" s="11">
        <f>OD110</f>
        <v>20</v>
      </c>
      <c r="PC110" s="11">
        <f>OE110</f>
        <v>19</v>
      </c>
      <c r="PD110" s="11">
        <f>OF110</f>
        <v>18</v>
      </c>
      <c r="PE110" s="11">
        <f>OG110</f>
        <v>17</v>
      </c>
      <c r="PF110" s="11">
        <f>OH110</f>
        <v>16</v>
      </c>
      <c r="PG110" s="11">
        <f t="shared" ref="PG110:PV110" si="74">OI110</f>
        <v>15</v>
      </c>
      <c r="PH110" s="11">
        <f t="shared" si="74"/>
        <v>14</v>
      </c>
      <c r="PI110" s="11">
        <f t="shared" si="74"/>
        <v>13</v>
      </c>
      <c r="PJ110" s="11">
        <f t="shared" si="74"/>
        <v>12</v>
      </c>
      <c r="PK110" s="11">
        <f t="shared" si="74"/>
        <v>11</v>
      </c>
      <c r="PL110" s="11">
        <f t="shared" si="74"/>
        <v>10</v>
      </c>
      <c r="PM110" s="11">
        <f t="shared" si="74"/>
        <v>9</v>
      </c>
      <c r="PN110" s="11">
        <f t="shared" si="74"/>
        <v>8</v>
      </c>
      <c r="PO110" s="11">
        <f t="shared" si="74"/>
        <v>7</v>
      </c>
      <c r="PP110" s="11">
        <f t="shared" si="74"/>
        <v>6</v>
      </c>
      <c r="PQ110" s="11">
        <f t="shared" si="74"/>
        <v>5</v>
      </c>
      <c r="PR110" s="11">
        <f t="shared" si="74"/>
        <v>4</v>
      </c>
      <c r="PS110" s="11">
        <f t="shared" si="74"/>
        <v>3</v>
      </c>
      <c r="PT110" s="11">
        <f t="shared" si="74"/>
        <v>2</v>
      </c>
      <c r="PU110" s="11">
        <f t="shared" si="74"/>
        <v>1</v>
      </c>
      <c r="PV110" s="11">
        <f t="shared" si="74"/>
        <v>0</v>
      </c>
    </row>
    <row r="111" spans="3:438" x14ac:dyDescent="0.25">
      <c r="C111" s="1"/>
      <c r="D111" s="1"/>
      <c r="F111" s="1"/>
      <c r="H111" s="1"/>
      <c r="I111" s="9">
        <f>J110</f>
        <v>20</v>
      </c>
      <c r="J111" s="16">
        <f>IF(J$110=$I111,J$108*HLOOKUP($I111,$I$27:$AD$45,J$107,0)+1,IF(J$110-$I111=1,J$108*HLOOKUP($I111,$I$7:$AD$25,J$107,0),IF(J$110-$I111=-1,J$108*HLOOKUP($I111,$I$47:$AD$65,J$107,0),0)))</f>
        <v>1.0003856917734999</v>
      </c>
      <c r="K111" s="16">
        <f t="shared" ref="K111:AD123" si="75">IF(K$110=$I111,K$108*HLOOKUP($I111,$I$27:$AD$45,K$107,0)+1,IF(K$110-$I111=1,K$108*HLOOKUP($I111,$I$7:$AD$25,K$107,0),IF(K$110-$I111=-1,K$108*HLOOKUP($I111,$I$47:$AD$65,K$107,0),0)))</f>
        <v>-9.5849999999999549E-4</v>
      </c>
      <c r="L111" s="16">
        <f t="shared" si="75"/>
        <v>0</v>
      </c>
      <c r="M111" s="16">
        <f t="shared" si="75"/>
        <v>0</v>
      </c>
      <c r="N111" s="16">
        <f t="shared" si="75"/>
        <v>0</v>
      </c>
      <c r="O111" s="16">
        <f t="shared" si="75"/>
        <v>0</v>
      </c>
      <c r="P111" s="16">
        <f t="shared" si="75"/>
        <v>0</v>
      </c>
      <c r="Q111" s="16">
        <f t="shared" si="75"/>
        <v>0</v>
      </c>
      <c r="R111" s="16">
        <f t="shared" si="75"/>
        <v>0</v>
      </c>
      <c r="S111" s="16">
        <f t="shared" si="75"/>
        <v>0</v>
      </c>
      <c r="T111" s="16">
        <f t="shared" si="75"/>
        <v>0</v>
      </c>
      <c r="U111" s="16">
        <f t="shared" si="75"/>
        <v>0</v>
      </c>
      <c r="V111" s="16">
        <f t="shared" si="75"/>
        <v>0</v>
      </c>
      <c r="W111" s="16">
        <f t="shared" si="75"/>
        <v>0</v>
      </c>
      <c r="X111" s="16">
        <f t="shared" si="75"/>
        <v>0</v>
      </c>
      <c r="Y111" s="16">
        <f t="shared" si="75"/>
        <v>0</v>
      </c>
      <c r="Z111" s="16">
        <f t="shared" si="75"/>
        <v>0</v>
      </c>
      <c r="AA111" s="16">
        <f t="shared" si="75"/>
        <v>0</v>
      </c>
      <c r="AB111" s="16">
        <f t="shared" si="75"/>
        <v>0</v>
      </c>
      <c r="AC111" s="16">
        <f t="shared" si="75"/>
        <v>0</v>
      </c>
      <c r="AD111" s="16">
        <f t="shared" si="75"/>
        <v>0</v>
      </c>
      <c r="AE111" s="1"/>
      <c r="AF111" s="1"/>
      <c r="AG111" s="9">
        <f>AH110</f>
        <v>20</v>
      </c>
      <c r="AH111" s="16">
        <f t="shared" ref="AH111:AQ120" si="76">IF(AH$110=$I111,AH$108*HLOOKUP($I111,$I$27:$AD$45,AH$107,0)+1,IF(AH$110-$I111=1,AH$108*HLOOKUP($I111,$I$7:$AD$25,AH$107,0),IF(AH$110-$I111=-1,AH$108*HLOOKUP($I111,$I$47:$AD$65,AH$107,0),0)))</f>
        <v>1.0030871437519999</v>
      </c>
      <c r="AI111" s="16">
        <f t="shared" si="76"/>
        <v>-7.6720000000000121E-3</v>
      </c>
      <c r="AJ111" s="16">
        <f t="shared" si="76"/>
        <v>0</v>
      </c>
      <c r="AK111" s="16">
        <f t="shared" si="76"/>
        <v>0</v>
      </c>
      <c r="AL111" s="16">
        <f t="shared" si="76"/>
        <v>0</v>
      </c>
      <c r="AM111" s="16">
        <f t="shared" si="76"/>
        <v>0</v>
      </c>
      <c r="AN111" s="16">
        <f t="shared" si="76"/>
        <v>0</v>
      </c>
      <c r="AO111" s="16">
        <f t="shared" si="76"/>
        <v>0</v>
      </c>
      <c r="AP111" s="16">
        <f t="shared" si="76"/>
        <v>0</v>
      </c>
      <c r="AQ111" s="16">
        <f t="shared" si="76"/>
        <v>0</v>
      </c>
      <c r="AR111" s="16">
        <f t="shared" ref="AR111:BB120" si="77">IF(AR$110=$I111,AR$108*HLOOKUP($I111,$I$27:$AD$45,AR$107,0)+1,IF(AR$110-$I111=1,AR$108*HLOOKUP($I111,$I$7:$AD$25,AR$107,0),IF(AR$110-$I111=-1,AR$108*HLOOKUP($I111,$I$47:$AD$65,AR$107,0),0)))</f>
        <v>0</v>
      </c>
      <c r="AS111" s="16">
        <f t="shared" si="77"/>
        <v>0</v>
      </c>
      <c r="AT111" s="16">
        <f t="shared" si="77"/>
        <v>0</v>
      </c>
      <c r="AU111" s="16">
        <f t="shared" si="77"/>
        <v>0</v>
      </c>
      <c r="AV111" s="16">
        <f t="shared" si="77"/>
        <v>0</v>
      </c>
      <c r="AW111" s="16">
        <f t="shared" si="77"/>
        <v>0</v>
      </c>
      <c r="AX111" s="16">
        <f t="shared" si="77"/>
        <v>0</v>
      </c>
      <c r="AY111" s="16">
        <f t="shared" si="77"/>
        <v>0</v>
      </c>
      <c r="AZ111" s="16">
        <f t="shared" si="77"/>
        <v>0</v>
      </c>
      <c r="BA111" s="16">
        <f t="shared" si="77"/>
        <v>0</v>
      </c>
      <c r="BB111" s="16">
        <f t="shared" si="77"/>
        <v>0</v>
      </c>
      <c r="BE111" s="9">
        <f>BF110</f>
        <v>20</v>
      </c>
      <c r="BF111" s="16">
        <f t="shared" ref="BF111:BO120" si="78">IF(BF$110=$I111,BF$108*HLOOKUP($I111,$I$27:$AD$45,BF$107,0)+1,IF(BF$110-$I111=1,BF$108*HLOOKUP($I111,$I$7:$AD$25,BF$107,0),IF(BF$110-$I111=-1,BF$108*HLOOKUP($I111,$I$47:$AD$65,BF$107,0),0)))</f>
        <v>1.0030867413610001</v>
      </c>
      <c r="BG111" s="16">
        <f t="shared" si="78"/>
        <v>-7.6710000000000059E-3</v>
      </c>
      <c r="BH111" s="16">
        <f t="shared" si="78"/>
        <v>0</v>
      </c>
      <c r="BI111" s="16">
        <f t="shared" si="78"/>
        <v>0</v>
      </c>
      <c r="BJ111" s="16">
        <f t="shared" si="78"/>
        <v>0</v>
      </c>
      <c r="BK111" s="16">
        <f t="shared" si="78"/>
        <v>0</v>
      </c>
      <c r="BL111" s="16">
        <f t="shared" si="78"/>
        <v>0</v>
      </c>
      <c r="BM111" s="16">
        <f t="shared" si="78"/>
        <v>0</v>
      </c>
      <c r="BN111" s="16">
        <f t="shared" si="78"/>
        <v>0</v>
      </c>
      <c r="BO111" s="16">
        <f t="shared" si="78"/>
        <v>0</v>
      </c>
      <c r="BP111" s="16">
        <f t="shared" ref="BP111:BZ120" si="79">IF(BP$110=$I111,BP$108*HLOOKUP($I111,$I$27:$AD$45,BP$107,0)+1,IF(BP$110-$I111=1,BP$108*HLOOKUP($I111,$I$7:$AD$25,BP$107,0),IF(BP$110-$I111=-1,BP$108*HLOOKUP($I111,$I$47:$AD$65,BP$107,0),0)))</f>
        <v>0</v>
      </c>
      <c r="BQ111" s="16">
        <f t="shared" si="79"/>
        <v>0</v>
      </c>
      <c r="BR111" s="16">
        <f t="shared" si="79"/>
        <v>0</v>
      </c>
      <c r="BS111" s="16">
        <f t="shared" si="79"/>
        <v>0</v>
      </c>
      <c r="BT111" s="16">
        <f t="shared" si="79"/>
        <v>0</v>
      </c>
      <c r="BU111" s="16">
        <f t="shared" si="79"/>
        <v>0</v>
      </c>
      <c r="BV111" s="16">
        <f t="shared" si="79"/>
        <v>0</v>
      </c>
      <c r="BW111" s="16">
        <f t="shared" si="79"/>
        <v>0</v>
      </c>
      <c r="BX111" s="16">
        <f t="shared" si="79"/>
        <v>0</v>
      </c>
      <c r="BY111" s="16">
        <f t="shared" si="79"/>
        <v>0</v>
      </c>
      <c r="BZ111" s="16">
        <f t="shared" si="79"/>
        <v>0</v>
      </c>
      <c r="CC111" s="9">
        <f>CD110</f>
        <v>20</v>
      </c>
      <c r="CD111" s="16">
        <f t="shared" ref="CD111:CM120" si="80">IF(CD$110=$I111,CD$108*HLOOKUP($I111,$I$27:$AD$45,CD$107,0)+1,IF(CD$110-$I111=1,CD$108*HLOOKUP($I111,$I$7:$AD$25,CD$107,0),IF(CD$110-$I111=-1,CD$108*HLOOKUP($I111,$I$47:$AD$65,CD$107,0),0)))</f>
        <v>1.0030867413610001</v>
      </c>
      <c r="CE111" s="16">
        <f t="shared" si="80"/>
        <v>-7.6709999999999834E-3</v>
      </c>
      <c r="CF111" s="16">
        <f t="shared" si="80"/>
        <v>0</v>
      </c>
      <c r="CG111" s="16">
        <f t="shared" si="80"/>
        <v>0</v>
      </c>
      <c r="CH111" s="16">
        <f t="shared" si="80"/>
        <v>0</v>
      </c>
      <c r="CI111" s="16">
        <f t="shared" si="80"/>
        <v>0</v>
      </c>
      <c r="CJ111" s="16">
        <f t="shared" si="80"/>
        <v>0</v>
      </c>
      <c r="CK111" s="16">
        <f t="shared" si="80"/>
        <v>0</v>
      </c>
      <c r="CL111" s="16">
        <f t="shared" si="80"/>
        <v>0</v>
      </c>
      <c r="CM111" s="16">
        <f t="shared" si="80"/>
        <v>0</v>
      </c>
      <c r="CN111" s="16">
        <f t="shared" ref="CN111:CX120" si="81">IF(CN$110=$I111,CN$108*HLOOKUP($I111,$I$27:$AD$45,CN$107,0)+1,IF(CN$110-$I111=1,CN$108*HLOOKUP($I111,$I$7:$AD$25,CN$107,0),IF(CN$110-$I111=-1,CN$108*HLOOKUP($I111,$I$47:$AD$65,CN$107,0),0)))</f>
        <v>0</v>
      </c>
      <c r="CO111" s="16">
        <f t="shared" si="81"/>
        <v>0</v>
      </c>
      <c r="CP111" s="16">
        <f t="shared" si="81"/>
        <v>0</v>
      </c>
      <c r="CQ111" s="16">
        <f t="shared" si="81"/>
        <v>0</v>
      </c>
      <c r="CR111" s="16">
        <f t="shared" si="81"/>
        <v>0</v>
      </c>
      <c r="CS111" s="16">
        <f t="shared" si="81"/>
        <v>0</v>
      </c>
      <c r="CT111" s="16">
        <f t="shared" si="81"/>
        <v>0</v>
      </c>
      <c r="CU111" s="16">
        <f t="shared" si="81"/>
        <v>0</v>
      </c>
      <c r="CV111" s="16">
        <f t="shared" si="81"/>
        <v>0</v>
      </c>
      <c r="CW111" s="16">
        <f t="shared" si="81"/>
        <v>0</v>
      </c>
      <c r="CX111" s="16">
        <f t="shared" si="81"/>
        <v>0</v>
      </c>
      <c r="DA111" s="9">
        <f>DB110</f>
        <v>20</v>
      </c>
      <c r="DB111" s="16">
        <f t="shared" ref="DB111:DK120" si="82">IF(DB$110=$I111,DB$108*HLOOKUP($I111,$I$27:$AD$45,DB$107,0)+1,IF(DB$110-$I111=1,DB$108*HLOOKUP($I111,$I$7:$AD$25,DB$107,0),IF(DB$110-$I111=-1,DB$108*HLOOKUP($I111,$I$47:$AD$65,DB$107,0),0)))</f>
        <v>1.0003858929689999</v>
      </c>
      <c r="DC111" s="16">
        <f t="shared" si="82"/>
        <v>-9.5900000000000987E-4</v>
      </c>
      <c r="DD111" s="16">
        <f t="shared" si="82"/>
        <v>0</v>
      </c>
      <c r="DE111" s="16">
        <f t="shared" si="82"/>
        <v>0</v>
      </c>
      <c r="DF111" s="16">
        <f t="shared" si="82"/>
        <v>0</v>
      </c>
      <c r="DG111" s="16">
        <f t="shared" si="82"/>
        <v>0</v>
      </c>
      <c r="DH111" s="16">
        <f t="shared" si="82"/>
        <v>0</v>
      </c>
      <c r="DI111" s="16">
        <f t="shared" si="82"/>
        <v>0</v>
      </c>
      <c r="DJ111" s="16">
        <f t="shared" si="82"/>
        <v>0</v>
      </c>
      <c r="DK111" s="16">
        <f t="shared" si="82"/>
        <v>0</v>
      </c>
      <c r="DL111" s="16">
        <f t="shared" ref="DL111:DV120" si="83">IF(DL$110=$I111,DL$108*HLOOKUP($I111,$I$27:$AD$45,DL$107,0)+1,IF(DL$110-$I111=1,DL$108*HLOOKUP($I111,$I$7:$AD$25,DL$107,0),IF(DL$110-$I111=-1,DL$108*HLOOKUP($I111,$I$47:$AD$65,DL$107,0),0)))</f>
        <v>0</v>
      </c>
      <c r="DM111" s="16">
        <f t="shared" si="83"/>
        <v>0</v>
      </c>
      <c r="DN111" s="16">
        <f t="shared" si="83"/>
        <v>0</v>
      </c>
      <c r="DO111" s="16">
        <f t="shared" si="83"/>
        <v>0</v>
      </c>
      <c r="DP111" s="16">
        <f t="shared" si="83"/>
        <v>0</v>
      </c>
      <c r="DQ111" s="16">
        <f t="shared" si="83"/>
        <v>0</v>
      </c>
      <c r="DR111" s="16">
        <f t="shared" si="83"/>
        <v>0</v>
      </c>
      <c r="DS111" s="16">
        <f t="shared" si="83"/>
        <v>0</v>
      </c>
      <c r="DT111" s="16">
        <f t="shared" si="83"/>
        <v>0</v>
      </c>
      <c r="DU111" s="16">
        <f t="shared" si="83"/>
        <v>0</v>
      </c>
      <c r="DV111" s="16">
        <f t="shared" si="83"/>
        <v>0</v>
      </c>
      <c r="DY111" s="9">
        <f>DZ110</f>
        <v>20</v>
      </c>
      <c r="DZ111" s="16">
        <f t="shared" ref="DZ111:EI120" si="84">IF(DZ$110=$I111,DZ$108*HLOOKUP($I111,$I$27:$AD$45,DZ$107,0)+1,IF(DZ$110-$I111=1,DZ$108*HLOOKUP($I111,$I$7:$AD$25,DZ$107,0),IF(DZ$110-$I111=-1,DZ$108*HLOOKUP($I111,$I$47:$AD$65,DZ$107,0),0)))</f>
        <v>1.0030867413610001</v>
      </c>
      <c r="EA111" s="16">
        <f t="shared" si="84"/>
        <v>-7.6709999999999834E-3</v>
      </c>
      <c r="EB111" s="16">
        <f t="shared" si="84"/>
        <v>0</v>
      </c>
      <c r="EC111" s="16">
        <f t="shared" si="84"/>
        <v>0</v>
      </c>
      <c r="ED111" s="16">
        <f t="shared" si="84"/>
        <v>0</v>
      </c>
      <c r="EE111" s="16">
        <f t="shared" si="84"/>
        <v>0</v>
      </c>
      <c r="EF111" s="16">
        <f t="shared" si="84"/>
        <v>0</v>
      </c>
      <c r="EG111" s="16">
        <f t="shared" si="84"/>
        <v>0</v>
      </c>
      <c r="EH111" s="16">
        <f t="shared" si="84"/>
        <v>0</v>
      </c>
      <c r="EI111" s="16">
        <f t="shared" si="84"/>
        <v>0</v>
      </c>
      <c r="EJ111" s="16">
        <f t="shared" ref="EJ111:ET120" si="85">IF(EJ$110=$I111,EJ$108*HLOOKUP($I111,$I$27:$AD$45,EJ$107,0)+1,IF(EJ$110-$I111=1,EJ$108*HLOOKUP($I111,$I$7:$AD$25,EJ$107,0),IF(EJ$110-$I111=-1,EJ$108*HLOOKUP($I111,$I$47:$AD$65,EJ$107,0),0)))</f>
        <v>0</v>
      </c>
      <c r="EK111" s="16">
        <f t="shared" si="85"/>
        <v>0</v>
      </c>
      <c r="EL111" s="16">
        <f t="shared" si="85"/>
        <v>0</v>
      </c>
      <c r="EM111" s="16">
        <f t="shared" si="85"/>
        <v>0</v>
      </c>
      <c r="EN111" s="16">
        <f t="shared" si="85"/>
        <v>0</v>
      </c>
      <c r="EO111" s="16">
        <f t="shared" si="85"/>
        <v>0</v>
      </c>
      <c r="EP111" s="16">
        <f t="shared" si="85"/>
        <v>0</v>
      </c>
      <c r="EQ111" s="16">
        <f t="shared" si="85"/>
        <v>0</v>
      </c>
      <c r="ER111" s="16">
        <f t="shared" si="85"/>
        <v>0</v>
      </c>
      <c r="ES111" s="16">
        <f t="shared" si="85"/>
        <v>0</v>
      </c>
      <c r="ET111" s="16">
        <f t="shared" si="85"/>
        <v>0</v>
      </c>
      <c r="EW111" s="9">
        <f>EX110</f>
        <v>20</v>
      </c>
      <c r="EX111" s="16">
        <f t="shared" ref="EX111:FG120" si="86">IF(EX$110=$I111,EX$108*HLOOKUP($I111,$I$27:$AD$45,EX$107,0)+1,IF(EX$110-$I111=1,EX$108*HLOOKUP($I111,$I$7:$AD$25,EX$107,0),IF(EX$110-$I111=-1,EX$108*HLOOKUP($I111,$I$47:$AD$65,EX$107,0),0)))</f>
        <v>1.0030867413610001</v>
      </c>
      <c r="EY111" s="16">
        <f t="shared" si="86"/>
        <v>-7.6710000000000059E-3</v>
      </c>
      <c r="EZ111" s="16">
        <f t="shared" si="86"/>
        <v>0</v>
      </c>
      <c r="FA111" s="16">
        <f t="shared" si="86"/>
        <v>0</v>
      </c>
      <c r="FB111" s="16">
        <f t="shared" si="86"/>
        <v>0</v>
      </c>
      <c r="FC111" s="16">
        <f t="shared" si="86"/>
        <v>0</v>
      </c>
      <c r="FD111" s="16">
        <f t="shared" si="86"/>
        <v>0</v>
      </c>
      <c r="FE111" s="16">
        <f t="shared" si="86"/>
        <v>0</v>
      </c>
      <c r="FF111" s="16">
        <f t="shared" si="86"/>
        <v>0</v>
      </c>
      <c r="FG111" s="16">
        <f t="shared" si="86"/>
        <v>0</v>
      </c>
      <c r="FH111" s="16">
        <f t="shared" ref="FH111:FR120" si="87">IF(FH$110=$I111,FH$108*HLOOKUP($I111,$I$27:$AD$45,FH$107,0)+1,IF(FH$110-$I111=1,FH$108*HLOOKUP($I111,$I$7:$AD$25,FH$107,0),IF(FH$110-$I111=-1,FH$108*HLOOKUP($I111,$I$47:$AD$65,FH$107,0),0)))</f>
        <v>0</v>
      </c>
      <c r="FI111" s="16">
        <f t="shared" si="87"/>
        <v>0</v>
      </c>
      <c r="FJ111" s="16">
        <f t="shared" si="87"/>
        <v>0</v>
      </c>
      <c r="FK111" s="16">
        <f t="shared" si="87"/>
        <v>0</v>
      </c>
      <c r="FL111" s="16">
        <f t="shared" si="87"/>
        <v>0</v>
      </c>
      <c r="FM111" s="16">
        <f t="shared" si="87"/>
        <v>0</v>
      </c>
      <c r="FN111" s="16">
        <f t="shared" si="87"/>
        <v>0</v>
      </c>
      <c r="FO111" s="16">
        <f t="shared" si="87"/>
        <v>0</v>
      </c>
      <c r="FP111" s="16">
        <f t="shared" si="87"/>
        <v>0</v>
      </c>
      <c r="FQ111" s="16">
        <f t="shared" si="87"/>
        <v>0</v>
      </c>
      <c r="FR111" s="16">
        <f t="shared" si="87"/>
        <v>0</v>
      </c>
      <c r="FU111" s="9">
        <f>FV110</f>
        <v>20</v>
      </c>
      <c r="FV111" s="16">
        <f t="shared" ref="FV111:GE120" si="88">IF(FV$110=$I111,FV$108*HLOOKUP($I111,$I$27:$AD$45,FV$107,0)+1,IF(FV$110-$I111=1,FV$108*HLOOKUP($I111,$I$7:$AD$25,FV$107,0),IF(FV$110-$I111=-1,FV$108*HLOOKUP($I111,$I$47:$AD$65,FV$107,0),0)))</f>
        <v>1.0030871437519999</v>
      </c>
      <c r="FW111" s="16">
        <f t="shared" si="88"/>
        <v>-7.6719999999999905E-3</v>
      </c>
      <c r="FX111" s="16">
        <f t="shared" si="88"/>
        <v>0</v>
      </c>
      <c r="FY111" s="16">
        <f t="shared" si="88"/>
        <v>0</v>
      </c>
      <c r="FZ111" s="16">
        <f t="shared" si="88"/>
        <v>0</v>
      </c>
      <c r="GA111" s="16">
        <f t="shared" si="88"/>
        <v>0</v>
      </c>
      <c r="GB111" s="16">
        <f t="shared" si="88"/>
        <v>0</v>
      </c>
      <c r="GC111" s="16">
        <f t="shared" si="88"/>
        <v>0</v>
      </c>
      <c r="GD111" s="16">
        <f t="shared" si="88"/>
        <v>0</v>
      </c>
      <c r="GE111" s="16">
        <f t="shared" si="88"/>
        <v>0</v>
      </c>
      <c r="GF111" s="16">
        <f t="shared" ref="GF111:GP120" si="89">IF(GF$110=$I111,GF$108*HLOOKUP($I111,$I$27:$AD$45,GF$107,0)+1,IF(GF$110-$I111=1,GF$108*HLOOKUP($I111,$I$7:$AD$25,GF$107,0),IF(GF$110-$I111=-1,GF$108*HLOOKUP($I111,$I$47:$AD$65,GF$107,0),0)))</f>
        <v>0</v>
      </c>
      <c r="GG111" s="16">
        <f t="shared" si="89"/>
        <v>0</v>
      </c>
      <c r="GH111" s="16">
        <f t="shared" si="89"/>
        <v>0</v>
      </c>
      <c r="GI111" s="16">
        <f t="shared" si="89"/>
        <v>0</v>
      </c>
      <c r="GJ111" s="16">
        <f t="shared" si="89"/>
        <v>0</v>
      </c>
      <c r="GK111" s="16">
        <f t="shared" si="89"/>
        <v>0</v>
      </c>
      <c r="GL111" s="16">
        <f t="shared" si="89"/>
        <v>0</v>
      </c>
      <c r="GM111" s="16">
        <f t="shared" si="89"/>
        <v>0</v>
      </c>
      <c r="GN111" s="16">
        <f t="shared" si="89"/>
        <v>0</v>
      </c>
      <c r="GO111" s="16">
        <f t="shared" si="89"/>
        <v>0</v>
      </c>
      <c r="GP111" s="16">
        <f t="shared" si="89"/>
        <v>0</v>
      </c>
      <c r="GS111" s="9">
        <f>GT110</f>
        <v>20</v>
      </c>
      <c r="GT111" s="16">
        <f t="shared" ref="GT111:HC120" si="90">IF(GT$110=$I111,GT$108*HLOOKUP($I111,$I$27:$AD$45,GT$107,0)+1,IF(GT$110-$I111=1,GT$108*HLOOKUP($I111,$I$7:$AD$25,GT$107,0),IF(GT$110-$I111=-1,GT$108*HLOOKUP($I111,$I$47:$AD$65,GT$107,0),0)))</f>
        <v>1.0006681702555</v>
      </c>
      <c r="GU111" s="16">
        <f t="shared" si="90"/>
        <v>-1.6605000000000092E-3</v>
      </c>
      <c r="GV111" s="16">
        <f t="shared" si="90"/>
        <v>0</v>
      </c>
      <c r="GW111" s="16">
        <f t="shared" si="90"/>
        <v>0</v>
      </c>
      <c r="GX111" s="16">
        <f t="shared" si="90"/>
        <v>0</v>
      </c>
      <c r="GY111" s="16">
        <f t="shared" si="90"/>
        <v>0</v>
      </c>
      <c r="GZ111" s="16">
        <f t="shared" si="90"/>
        <v>0</v>
      </c>
      <c r="HA111" s="16">
        <f t="shared" si="90"/>
        <v>0</v>
      </c>
      <c r="HB111" s="16">
        <f t="shared" si="90"/>
        <v>0</v>
      </c>
      <c r="HC111" s="16">
        <f t="shared" si="90"/>
        <v>0</v>
      </c>
      <c r="HD111" s="16">
        <f t="shared" ref="HD111:HN120" si="91">IF(HD$110=$I111,HD$108*HLOOKUP($I111,$I$27:$AD$45,HD$107,0)+1,IF(HD$110-$I111=1,HD$108*HLOOKUP($I111,$I$7:$AD$25,HD$107,0),IF(HD$110-$I111=-1,HD$108*HLOOKUP($I111,$I$47:$AD$65,HD$107,0),0)))</f>
        <v>0</v>
      </c>
      <c r="HE111" s="16">
        <f t="shared" si="91"/>
        <v>0</v>
      </c>
      <c r="HF111" s="16">
        <f t="shared" si="91"/>
        <v>0</v>
      </c>
      <c r="HG111" s="16">
        <f t="shared" si="91"/>
        <v>0</v>
      </c>
      <c r="HH111" s="16">
        <f t="shared" si="91"/>
        <v>0</v>
      </c>
      <c r="HI111" s="16">
        <f t="shared" si="91"/>
        <v>0</v>
      </c>
      <c r="HJ111" s="16">
        <f t="shared" si="91"/>
        <v>0</v>
      </c>
      <c r="HK111" s="16">
        <f t="shared" si="91"/>
        <v>0</v>
      </c>
      <c r="HL111" s="16">
        <f t="shared" si="91"/>
        <v>0</v>
      </c>
      <c r="HM111" s="16">
        <f t="shared" si="91"/>
        <v>0</v>
      </c>
      <c r="HN111" s="16">
        <f t="shared" si="91"/>
        <v>0</v>
      </c>
      <c r="HQ111" s="9">
        <f>HR110</f>
        <v>20</v>
      </c>
      <c r="HR111" s="16">
        <f t="shared" ref="HR111:IA120" si="92">IF(HR$110=$I111,HR$108*HLOOKUP($I111,$I$27:$AD$45,HR$107,0)+1,IF(HR$110-$I111=1,HR$108*HLOOKUP($I111,$I$7:$AD$25,HR$107,0),IF(HR$110-$I111=-1,HR$108*HLOOKUP($I111,$I$47:$AD$65,HR$107,0),0)))</f>
        <v>1.0044029623220001</v>
      </c>
      <c r="HS111" s="16">
        <f t="shared" si="92"/>
        <v>-1.0941999999999997E-2</v>
      </c>
      <c r="HT111" s="16">
        <f t="shared" si="92"/>
        <v>0</v>
      </c>
      <c r="HU111" s="16">
        <f t="shared" si="92"/>
        <v>0</v>
      </c>
      <c r="HV111" s="16">
        <f t="shared" si="92"/>
        <v>0</v>
      </c>
      <c r="HW111" s="16">
        <f t="shared" si="92"/>
        <v>0</v>
      </c>
      <c r="HX111" s="16">
        <f t="shared" si="92"/>
        <v>0</v>
      </c>
      <c r="HY111" s="16">
        <f t="shared" si="92"/>
        <v>0</v>
      </c>
      <c r="HZ111" s="16">
        <f t="shared" si="92"/>
        <v>0</v>
      </c>
      <c r="IA111" s="16">
        <f t="shared" si="92"/>
        <v>0</v>
      </c>
      <c r="IB111" s="16">
        <f t="shared" ref="IB111:IL120" si="93">IF(IB$110=$I111,IB$108*HLOOKUP($I111,$I$27:$AD$45,IB$107,0)+1,IF(IB$110-$I111=1,IB$108*HLOOKUP($I111,$I$7:$AD$25,IB$107,0),IF(IB$110-$I111=-1,IB$108*HLOOKUP($I111,$I$47:$AD$65,IB$107,0),0)))</f>
        <v>0</v>
      </c>
      <c r="IC111" s="16">
        <f t="shared" si="93"/>
        <v>0</v>
      </c>
      <c r="ID111" s="16">
        <f t="shared" si="93"/>
        <v>0</v>
      </c>
      <c r="IE111" s="16">
        <f t="shared" si="93"/>
        <v>0</v>
      </c>
      <c r="IF111" s="16">
        <f t="shared" si="93"/>
        <v>0</v>
      </c>
      <c r="IG111" s="16">
        <f t="shared" si="93"/>
        <v>0</v>
      </c>
      <c r="IH111" s="16">
        <f t="shared" si="93"/>
        <v>0</v>
      </c>
      <c r="II111" s="16">
        <f t="shared" si="93"/>
        <v>0</v>
      </c>
      <c r="IJ111" s="16">
        <f t="shared" si="93"/>
        <v>0</v>
      </c>
      <c r="IK111" s="16">
        <f t="shared" si="93"/>
        <v>0</v>
      </c>
      <c r="IL111" s="16">
        <f t="shared" si="93"/>
        <v>0</v>
      </c>
      <c r="IO111" s="9">
        <f>IP110</f>
        <v>20</v>
      </c>
      <c r="IP111" s="16">
        <f t="shared" ref="IP111:IY120" si="94">IF(IP$110=$I111,IP$108*HLOOKUP($I111,$I$27:$AD$45,IP$107,0)+1,IF(IP$110-$I111=1,IP$108*HLOOKUP($I111,$I$7:$AD$25,IP$107,0),IF(IP$110-$I111=-1,IP$108*HLOOKUP($I111,$I$47:$AD$65,IP$107,0),0)))</f>
        <v>1.00066835133145</v>
      </c>
      <c r="IQ111" s="16">
        <f t="shared" si="94"/>
        <v>-1.66095E-3</v>
      </c>
      <c r="IR111" s="16">
        <f t="shared" si="94"/>
        <v>0</v>
      </c>
      <c r="IS111" s="16">
        <f t="shared" si="94"/>
        <v>0</v>
      </c>
      <c r="IT111" s="16">
        <f t="shared" si="94"/>
        <v>0</v>
      </c>
      <c r="IU111" s="16">
        <f t="shared" si="94"/>
        <v>0</v>
      </c>
      <c r="IV111" s="16">
        <f t="shared" si="94"/>
        <v>0</v>
      </c>
      <c r="IW111" s="16">
        <f t="shared" si="94"/>
        <v>0</v>
      </c>
      <c r="IX111" s="16">
        <f t="shared" si="94"/>
        <v>0</v>
      </c>
      <c r="IY111" s="16">
        <f t="shared" si="94"/>
        <v>0</v>
      </c>
      <c r="IZ111" s="16">
        <f t="shared" ref="IZ111:JJ120" si="95">IF(IZ$110=$I111,IZ$108*HLOOKUP($I111,$I$27:$AD$45,IZ$107,0)+1,IF(IZ$110-$I111=1,IZ$108*HLOOKUP($I111,$I$7:$AD$25,IZ$107,0),IF(IZ$110-$I111=-1,IZ$108*HLOOKUP($I111,$I$47:$AD$65,IZ$107,0),0)))</f>
        <v>0</v>
      </c>
      <c r="JA111" s="16">
        <f t="shared" si="95"/>
        <v>0</v>
      </c>
      <c r="JB111" s="16">
        <f t="shared" si="95"/>
        <v>0</v>
      </c>
      <c r="JC111" s="16">
        <f t="shared" si="95"/>
        <v>0</v>
      </c>
      <c r="JD111" s="16">
        <f t="shared" si="95"/>
        <v>0</v>
      </c>
      <c r="JE111" s="16">
        <f t="shared" si="95"/>
        <v>0</v>
      </c>
      <c r="JF111" s="16">
        <f t="shared" si="95"/>
        <v>0</v>
      </c>
      <c r="JG111" s="16">
        <f t="shared" si="95"/>
        <v>0</v>
      </c>
      <c r="JH111" s="16">
        <f t="shared" si="95"/>
        <v>0</v>
      </c>
      <c r="JI111" s="16">
        <f t="shared" si="95"/>
        <v>0</v>
      </c>
      <c r="JJ111" s="16">
        <f t="shared" si="95"/>
        <v>0</v>
      </c>
      <c r="JM111" s="9">
        <f>JN110</f>
        <v>20</v>
      </c>
      <c r="JN111" s="16">
        <f t="shared" ref="JN111:JW120" si="96">IF(JN$110=$I111,JN$108*HLOOKUP($I111,$I$27:$AD$45,JN$107,0)+1,IF(JN$110-$I111=1,JN$108*HLOOKUP($I111,$I$7:$AD$25,JN$107,0),IF(JN$110-$I111=-1,JN$108*HLOOKUP($I111,$I$47:$AD$65,JN$107,0),0)))</f>
        <v>1.0044028818438</v>
      </c>
      <c r="JO111" s="16">
        <f t="shared" si="96"/>
        <v>-1.0941800000000002E-2</v>
      </c>
      <c r="JP111" s="16">
        <f t="shared" si="96"/>
        <v>0</v>
      </c>
      <c r="JQ111" s="16">
        <f t="shared" si="96"/>
        <v>0</v>
      </c>
      <c r="JR111" s="16">
        <f t="shared" si="96"/>
        <v>0</v>
      </c>
      <c r="JS111" s="16">
        <f t="shared" si="96"/>
        <v>0</v>
      </c>
      <c r="JT111" s="16">
        <f t="shared" si="96"/>
        <v>0</v>
      </c>
      <c r="JU111" s="16">
        <f t="shared" si="96"/>
        <v>0</v>
      </c>
      <c r="JV111" s="16">
        <f t="shared" si="96"/>
        <v>0</v>
      </c>
      <c r="JW111" s="16">
        <f t="shared" si="96"/>
        <v>0</v>
      </c>
      <c r="JX111" s="16">
        <f t="shared" ref="JX111:KH120" si="97">IF(JX$110=$I111,JX$108*HLOOKUP($I111,$I$27:$AD$45,JX$107,0)+1,IF(JX$110-$I111=1,JX$108*HLOOKUP($I111,$I$7:$AD$25,JX$107,0),IF(JX$110-$I111=-1,JX$108*HLOOKUP($I111,$I$47:$AD$65,JX$107,0),0)))</f>
        <v>0</v>
      </c>
      <c r="JY111" s="16">
        <f t="shared" si="97"/>
        <v>0</v>
      </c>
      <c r="JZ111" s="16">
        <f t="shared" si="97"/>
        <v>0</v>
      </c>
      <c r="KA111" s="16">
        <f t="shared" si="97"/>
        <v>0</v>
      </c>
      <c r="KB111" s="16">
        <f t="shared" si="97"/>
        <v>0</v>
      </c>
      <c r="KC111" s="16">
        <f t="shared" si="97"/>
        <v>0</v>
      </c>
      <c r="KD111" s="16">
        <f t="shared" si="97"/>
        <v>0</v>
      </c>
      <c r="KE111" s="16">
        <f t="shared" si="97"/>
        <v>0</v>
      </c>
      <c r="KF111" s="16">
        <f t="shared" si="97"/>
        <v>0</v>
      </c>
      <c r="KG111" s="16">
        <f t="shared" si="97"/>
        <v>0</v>
      </c>
      <c r="KH111" s="16">
        <f t="shared" si="97"/>
        <v>0</v>
      </c>
      <c r="KK111" s="9">
        <f>KL110</f>
        <v>20</v>
      </c>
      <c r="KL111" s="16">
        <f t="shared" ref="KL111:KU120" si="98">IF(KL$110=$I111,KL$108*HLOOKUP($I111,$I$27:$AD$45,KL$107,0)+1,IF(KL$110-$I111=1,KL$108*HLOOKUP($I111,$I$7:$AD$25,KL$107,0),IF(KL$110-$I111=-1,KL$108*HLOOKUP($I111,$I$47:$AD$65,KL$107,0),0)))</f>
        <v>1.0005581163170001</v>
      </c>
      <c r="KM111" s="16">
        <f t="shared" si="98"/>
        <v>-1.3869999999999993E-3</v>
      </c>
      <c r="KN111" s="16">
        <f t="shared" si="98"/>
        <v>0</v>
      </c>
      <c r="KO111" s="16">
        <f t="shared" si="98"/>
        <v>0</v>
      </c>
      <c r="KP111" s="16">
        <f t="shared" si="98"/>
        <v>0</v>
      </c>
      <c r="KQ111" s="16">
        <f t="shared" si="98"/>
        <v>0</v>
      </c>
      <c r="KR111" s="16">
        <f t="shared" si="98"/>
        <v>0</v>
      </c>
      <c r="KS111" s="16">
        <f t="shared" si="98"/>
        <v>0</v>
      </c>
      <c r="KT111" s="16">
        <f t="shared" si="98"/>
        <v>0</v>
      </c>
      <c r="KU111" s="16">
        <f t="shared" si="98"/>
        <v>0</v>
      </c>
      <c r="KV111" s="16">
        <f t="shared" ref="KV111:LF120" si="99">IF(KV$110=$I111,KV$108*HLOOKUP($I111,$I$27:$AD$45,KV$107,0)+1,IF(KV$110-$I111=1,KV$108*HLOOKUP($I111,$I$7:$AD$25,KV$107,0),IF(KV$110-$I111=-1,KV$108*HLOOKUP($I111,$I$47:$AD$65,KV$107,0),0)))</f>
        <v>0</v>
      </c>
      <c r="KW111" s="16">
        <f t="shared" si="99"/>
        <v>0</v>
      </c>
      <c r="KX111" s="16">
        <f t="shared" si="99"/>
        <v>0</v>
      </c>
      <c r="KY111" s="16">
        <f t="shared" si="99"/>
        <v>0</v>
      </c>
      <c r="KZ111" s="16">
        <f t="shared" si="99"/>
        <v>0</v>
      </c>
      <c r="LA111" s="16">
        <f t="shared" si="99"/>
        <v>0</v>
      </c>
      <c r="LB111" s="16">
        <f t="shared" si="99"/>
        <v>0</v>
      </c>
      <c r="LC111" s="16">
        <f t="shared" si="99"/>
        <v>0</v>
      </c>
      <c r="LD111" s="16">
        <f t="shared" si="99"/>
        <v>0</v>
      </c>
      <c r="LE111" s="16">
        <f t="shared" si="99"/>
        <v>0</v>
      </c>
      <c r="LF111" s="16">
        <f t="shared" si="99"/>
        <v>0</v>
      </c>
      <c r="LI111" s="9">
        <f>LJ110</f>
        <v>20</v>
      </c>
      <c r="LJ111" s="16">
        <f t="shared" ref="LJ111:LS120" si="100">IF(LJ$110=$I111,LJ$108*HLOOKUP($I111,$I$27:$AD$45,LJ$107,0)+1,IF(LJ$110-$I111=1,LJ$108*HLOOKUP($I111,$I$7:$AD$25,LJ$107,0),IF(LJ$110-$I111=-1,LJ$108*HLOOKUP($I111,$I$47:$AD$65,LJ$107,0),0)))</f>
        <v>1.00440286172425</v>
      </c>
      <c r="LK111" s="16">
        <f t="shared" si="100"/>
        <v>-1.094175E-2</v>
      </c>
      <c r="LL111" s="16">
        <f t="shared" si="100"/>
        <v>0</v>
      </c>
      <c r="LM111" s="16">
        <f t="shared" si="100"/>
        <v>0</v>
      </c>
      <c r="LN111" s="16">
        <f t="shared" si="100"/>
        <v>0</v>
      </c>
      <c r="LO111" s="16">
        <f t="shared" si="100"/>
        <v>0</v>
      </c>
      <c r="LP111" s="16">
        <f t="shared" si="100"/>
        <v>0</v>
      </c>
      <c r="LQ111" s="16">
        <f t="shared" si="100"/>
        <v>0</v>
      </c>
      <c r="LR111" s="16">
        <f t="shared" si="100"/>
        <v>0</v>
      </c>
      <c r="LS111" s="16">
        <f t="shared" si="100"/>
        <v>0</v>
      </c>
      <c r="LT111" s="16">
        <f t="shared" ref="LT111:MD120" si="101">IF(LT$110=$I111,LT$108*HLOOKUP($I111,$I$27:$AD$45,LT$107,0)+1,IF(LT$110-$I111=1,LT$108*HLOOKUP($I111,$I$7:$AD$25,LT$107,0),IF(LT$110-$I111=-1,LT$108*HLOOKUP($I111,$I$47:$AD$65,LT$107,0),0)))</f>
        <v>0</v>
      </c>
      <c r="LU111" s="16">
        <f t="shared" si="101"/>
        <v>0</v>
      </c>
      <c r="LV111" s="16">
        <f t="shared" si="101"/>
        <v>0</v>
      </c>
      <c r="LW111" s="16">
        <f t="shared" si="101"/>
        <v>0</v>
      </c>
      <c r="LX111" s="16">
        <f t="shared" si="101"/>
        <v>0</v>
      </c>
      <c r="LY111" s="16">
        <f t="shared" si="101"/>
        <v>0</v>
      </c>
      <c r="LZ111" s="16">
        <f t="shared" si="101"/>
        <v>0</v>
      </c>
      <c r="MA111" s="16">
        <f t="shared" si="101"/>
        <v>0</v>
      </c>
      <c r="MB111" s="16">
        <f t="shared" si="101"/>
        <v>0</v>
      </c>
      <c r="MC111" s="16">
        <f t="shared" si="101"/>
        <v>0</v>
      </c>
      <c r="MD111" s="16">
        <f t="shared" si="101"/>
        <v>0</v>
      </c>
      <c r="MG111" s="9">
        <f>MH110</f>
        <v>20</v>
      </c>
      <c r="MH111" s="16">
        <f t="shared" ref="MH111:MQ120" si="102">IF(MH$110=$I111,MH$108*HLOOKUP($I111,$I$27:$AD$45,MH$107,0)+1,IF(MH$110-$I111=1,MH$108*HLOOKUP($I111,$I$7:$AD$25,MH$107,0),IF(MH$110-$I111=-1,MH$108*HLOOKUP($I111,$I$47:$AD$65,MH$107,0),0)))</f>
        <v>1.0006132438840001</v>
      </c>
      <c r="MI111" s="16">
        <f t="shared" si="102"/>
        <v>-1.5240000000000004E-3</v>
      </c>
      <c r="MJ111" s="16">
        <f t="shared" si="102"/>
        <v>0</v>
      </c>
      <c r="MK111" s="16">
        <f t="shared" si="102"/>
        <v>0</v>
      </c>
      <c r="ML111" s="16">
        <f t="shared" si="102"/>
        <v>0</v>
      </c>
      <c r="MM111" s="16">
        <f t="shared" si="102"/>
        <v>0</v>
      </c>
      <c r="MN111" s="16">
        <f t="shared" si="102"/>
        <v>0</v>
      </c>
      <c r="MO111" s="16">
        <f t="shared" si="102"/>
        <v>0</v>
      </c>
      <c r="MP111" s="16">
        <f t="shared" si="102"/>
        <v>0</v>
      </c>
      <c r="MQ111" s="16">
        <f t="shared" si="102"/>
        <v>0</v>
      </c>
      <c r="MR111" s="16">
        <f t="shared" ref="MR111:NB120" si="103">IF(MR$110=$I111,MR$108*HLOOKUP($I111,$I$27:$AD$45,MR$107,0)+1,IF(MR$110-$I111=1,MR$108*HLOOKUP($I111,$I$7:$AD$25,MR$107,0),IF(MR$110-$I111=-1,MR$108*HLOOKUP($I111,$I$47:$AD$65,MR$107,0),0)))</f>
        <v>0</v>
      </c>
      <c r="MS111" s="16">
        <f t="shared" si="103"/>
        <v>0</v>
      </c>
      <c r="MT111" s="16">
        <f t="shared" si="103"/>
        <v>0</v>
      </c>
      <c r="MU111" s="16">
        <f t="shared" si="103"/>
        <v>0</v>
      </c>
      <c r="MV111" s="16">
        <f t="shared" si="103"/>
        <v>0</v>
      </c>
      <c r="MW111" s="16">
        <f t="shared" si="103"/>
        <v>0</v>
      </c>
      <c r="MX111" s="16">
        <f t="shared" si="103"/>
        <v>0</v>
      </c>
      <c r="MY111" s="16">
        <f t="shared" si="103"/>
        <v>0</v>
      </c>
      <c r="MZ111" s="16">
        <f t="shared" si="103"/>
        <v>0</v>
      </c>
      <c r="NA111" s="16">
        <f t="shared" si="103"/>
        <v>0</v>
      </c>
      <c r="NB111" s="16">
        <f t="shared" si="103"/>
        <v>0</v>
      </c>
      <c r="NE111" s="9">
        <f>NF110</f>
        <v>20</v>
      </c>
      <c r="NF111" s="16">
        <f t="shared" ref="NF111:NO120" si="104">IF(NF$110=$I111,NF$108*HLOOKUP($I111,$I$27:$AD$45,NF$107,0)+1,IF(NF$110-$I111=1,NF$108*HLOOKUP($I111,$I$7:$AD$25,NF$107,0),IF(NF$110-$I111=-1,NF$108*HLOOKUP($I111,$I$47:$AD$65,NF$107,0),0)))</f>
        <v>1.00440286172425</v>
      </c>
      <c r="NG111" s="16">
        <f t="shared" si="104"/>
        <v>-1.094175E-2</v>
      </c>
      <c r="NH111" s="16">
        <f t="shared" si="104"/>
        <v>0</v>
      </c>
      <c r="NI111" s="16">
        <f t="shared" si="104"/>
        <v>0</v>
      </c>
      <c r="NJ111" s="16">
        <f t="shared" si="104"/>
        <v>0</v>
      </c>
      <c r="NK111" s="16">
        <f t="shared" si="104"/>
        <v>0</v>
      </c>
      <c r="NL111" s="16">
        <f t="shared" si="104"/>
        <v>0</v>
      </c>
      <c r="NM111" s="16">
        <f t="shared" si="104"/>
        <v>0</v>
      </c>
      <c r="NN111" s="16">
        <f t="shared" si="104"/>
        <v>0</v>
      </c>
      <c r="NO111" s="16">
        <f t="shared" si="104"/>
        <v>0</v>
      </c>
      <c r="NP111" s="16">
        <f t="shared" ref="NP111:NZ120" si="105">IF(NP$110=$I111,NP$108*HLOOKUP($I111,$I$27:$AD$45,NP$107,0)+1,IF(NP$110-$I111=1,NP$108*HLOOKUP($I111,$I$7:$AD$25,NP$107,0),IF(NP$110-$I111=-1,NP$108*HLOOKUP($I111,$I$47:$AD$65,NP$107,0),0)))</f>
        <v>0</v>
      </c>
      <c r="NQ111" s="16">
        <f t="shared" si="105"/>
        <v>0</v>
      </c>
      <c r="NR111" s="16">
        <f t="shared" si="105"/>
        <v>0</v>
      </c>
      <c r="NS111" s="16">
        <f t="shared" si="105"/>
        <v>0</v>
      </c>
      <c r="NT111" s="16">
        <f t="shared" si="105"/>
        <v>0</v>
      </c>
      <c r="NU111" s="16">
        <f t="shared" si="105"/>
        <v>0</v>
      </c>
      <c r="NV111" s="16">
        <f t="shared" si="105"/>
        <v>0</v>
      </c>
      <c r="NW111" s="16">
        <f t="shared" si="105"/>
        <v>0</v>
      </c>
      <c r="NX111" s="16">
        <f t="shared" si="105"/>
        <v>0</v>
      </c>
      <c r="NY111" s="16">
        <f t="shared" si="105"/>
        <v>0</v>
      </c>
      <c r="NZ111" s="16">
        <f t="shared" si="105"/>
        <v>0</v>
      </c>
      <c r="OC111" s="9">
        <f>OD110</f>
        <v>20</v>
      </c>
      <c r="OD111" s="16">
        <f t="shared" ref="OD111:OM120" si="106">IF(OD$110=$I111,OD$108*HLOOKUP($I111,$I$27:$AD$45,OD$107,0)+1,IF(OD$110-$I111=1,OD$108*HLOOKUP($I111,$I$7:$AD$25,OD$107,0),IF(OD$110-$I111=-1,OD$108*HLOOKUP($I111,$I$47:$AD$65,OD$107,0),0)))</f>
        <v>1.00066835133145</v>
      </c>
      <c r="OE111" s="16">
        <f t="shared" si="106"/>
        <v>-1.6609499999999987E-3</v>
      </c>
      <c r="OF111" s="16">
        <f t="shared" si="106"/>
        <v>0</v>
      </c>
      <c r="OG111" s="16">
        <f t="shared" si="106"/>
        <v>0</v>
      </c>
      <c r="OH111" s="16">
        <f t="shared" si="106"/>
        <v>0</v>
      </c>
      <c r="OI111" s="16">
        <f t="shared" si="106"/>
        <v>0</v>
      </c>
      <c r="OJ111" s="16">
        <f t="shared" si="106"/>
        <v>0</v>
      </c>
      <c r="OK111" s="16">
        <f t="shared" si="106"/>
        <v>0</v>
      </c>
      <c r="OL111" s="16">
        <f t="shared" si="106"/>
        <v>0</v>
      </c>
      <c r="OM111" s="16">
        <f t="shared" si="106"/>
        <v>0</v>
      </c>
      <c r="ON111" s="16">
        <f t="shared" ref="ON111:OX120" si="107">IF(ON$110=$I111,ON$108*HLOOKUP($I111,$I$27:$AD$45,ON$107,0)+1,IF(ON$110-$I111=1,ON$108*HLOOKUP($I111,$I$7:$AD$25,ON$107,0),IF(ON$110-$I111=-1,ON$108*HLOOKUP($I111,$I$47:$AD$65,ON$107,0),0)))</f>
        <v>0</v>
      </c>
      <c r="OO111" s="16">
        <f t="shared" si="107"/>
        <v>0</v>
      </c>
      <c r="OP111" s="16">
        <f t="shared" si="107"/>
        <v>0</v>
      </c>
      <c r="OQ111" s="16">
        <f t="shared" si="107"/>
        <v>0</v>
      </c>
      <c r="OR111" s="16">
        <f t="shared" si="107"/>
        <v>0</v>
      </c>
      <c r="OS111" s="16">
        <f t="shared" si="107"/>
        <v>0</v>
      </c>
      <c r="OT111" s="16">
        <f t="shared" si="107"/>
        <v>0</v>
      </c>
      <c r="OU111" s="16">
        <f t="shared" si="107"/>
        <v>0</v>
      </c>
      <c r="OV111" s="16">
        <f t="shared" si="107"/>
        <v>0</v>
      </c>
      <c r="OW111" s="16">
        <f t="shared" si="107"/>
        <v>0</v>
      </c>
      <c r="OX111" s="16">
        <f t="shared" si="107"/>
        <v>0</v>
      </c>
      <c r="PA111" s="9">
        <f>PB110</f>
        <v>20</v>
      </c>
      <c r="PB111" s="16">
        <f t="shared" ref="PB111:PK120" si="108">IF(PB$110=$I111,PB$108*HLOOKUP($I111,$I$27:$AD$45,PB$107,0)+1,IF(PB$110-$I111=1,PB$108*HLOOKUP($I111,$I$7:$AD$25,PB$107,0),IF(PB$110-$I111=-1,PB$108*HLOOKUP($I111,$I$47:$AD$65,PB$107,0),0)))</f>
        <v>1.0044026806483</v>
      </c>
      <c r="PC111" s="16">
        <f t="shared" si="108"/>
        <v>-1.0941300000000001E-2</v>
      </c>
      <c r="PD111" s="16">
        <f t="shared" si="108"/>
        <v>0</v>
      </c>
      <c r="PE111" s="16">
        <f t="shared" si="108"/>
        <v>0</v>
      </c>
      <c r="PF111" s="16">
        <f t="shared" si="108"/>
        <v>0</v>
      </c>
      <c r="PG111" s="16">
        <f t="shared" si="108"/>
        <v>0</v>
      </c>
      <c r="PH111" s="16">
        <f t="shared" si="108"/>
        <v>0</v>
      </c>
      <c r="PI111" s="16">
        <f t="shared" si="108"/>
        <v>0</v>
      </c>
      <c r="PJ111" s="16">
        <f t="shared" si="108"/>
        <v>0</v>
      </c>
      <c r="PK111" s="16">
        <f t="shared" si="108"/>
        <v>0</v>
      </c>
      <c r="PL111" s="16">
        <f t="shared" ref="PL111:PV120" si="109">IF(PL$110=$I111,PL$108*HLOOKUP($I111,$I$27:$AD$45,PL$107,0)+1,IF(PL$110-$I111=1,PL$108*HLOOKUP($I111,$I$7:$AD$25,PL$107,0),IF(PL$110-$I111=-1,PL$108*HLOOKUP($I111,$I$47:$AD$65,PL$107,0),0)))</f>
        <v>0</v>
      </c>
      <c r="PM111" s="16">
        <f t="shared" si="109"/>
        <v>0</v>
      </c>
      <c r="PN111" s="16">
        <f t="shared" si="109"/>
        <v>0</v>
      </c>
      <c r="PO111" s="16">
        <f t="shared" si="109"/>
        <v>0</v>
      </c>
      <c r="PP111" s="16">
        <f t="shared" si="109"/>
        <v>0</v>
      </c>
      <c r="PQ111" s="16">
        <f t="shared" si="109"/>
        <v>0</v>
      </c>
      <c r="PR111" s="16">
        <f t="shared" si="109"/>
        <v>0</v>
      </c>
      <c r="PS111" s="16">
        <f t="shared" si="109"/>
        <v>0</v>
      </c>
      <c r="PT111" s="16">
        <f t="shared" si="109"/>
        <v>0</v>
      </c>
      <c r="PU111" s="16">
        <f t="shared" si="109"/>
        <v>0</v>
      </c>
      <c r="PV111" s="16">
        <f t="shared" si="109"/>
        <v>0</v>
      </c>
    </row>
    <row r="112" spans="3:438" x14ac:dyDescent="0.25">
      <c r="C112" s="1"/>
      <c r="D112" s="1"/>
      <c r="F112" s="1"/>
      <c r="H112" s="1"/>
      <c r="I112" s="9">
        <f>I111-1</f>
        <v>19</v>
      </c>
      <c r="J112" s="16">
        <f t="shared" ref="J112:Y131" si="110">IF(J$110=$I112,J$108*HLOOKUP($I112,$I$27:$AD$45,J$107,0)+1,IF(J$110-$I112=1,J$108*HLOOKUP($I112,$I$7:$AD$25,J$107,0),IF(J$110-$I112=-1,J$108*HLOOKUP($I112,$I$47:$AD$65,J$107,0),0)))</f>
        <v>-1.4075890172033688E-2</v>
      </c>
      <c r="K112" s="16">
        <f t="shared" si="75"/>
        <v>1.0284989028756781</v>
      </c>
      <c r="L112" s="16">
        <f t="shared" si="75"/>
        <v>-1.4938540011644533E-2</v>
      </c>
      <c r="M112" s="16">
        <f t="shared" si="75"/>
        <v>0</v>
      </c>
      <c r="N112" s="16">
        <f t="shared" si="75"/>
        <v>0</v>
      </c>
      <c r="O112" s="16">
        <f t="shared" si="75"/>
        <v>0</v>
      </c>
      <c r="P112" s="16">
        <f t="shared" si="75"/>
        <v>0</v>
      </c>
      <c r="Q112" s="16">
        <f t="shared" si="75"/>
        <v>0</v>
      </c>
      <c r="R112" s="16">
        <f t="shared" si="75"/>
        <v>0</v>
      </c>
      <c r="S112" s="16">
        <f t="shared" si="75"/>
        <v>0</v>
      </c>
      <c r="T112" s="16">
        <f t="shared" si="75"/>
        <v>0</v>
      </c>
      <c r="U112" s="16">
        <f t="shared" si="75"/>
        <v>0</v>
      </c>
      <c r="V112" s="16">
        <f t="shared" si="75"/>
        <v>0</v>
      </c>
      <c r="W112" s="16">
        <f t="shared" si="75"/>
        <v>0</v>
      </c>
      <c r="X112" s="16">
        <f t="shared" si="75"/>
        <v>0</v>
      </c>
      <c r="Y112" s="16">
        <f t="shared" si="75"/>
        <v>0</v>
      </c>
      <c r="Z112" s="16">
        <f t="shared" si="75"/>
        <v>0</v>
      </c>
      <c r="AA112" s="16">
        <f t="shared" si="75"/>
        <v>0</v>
      </c>
      <c r="AB112" s="16">
        <f t="shared" si="75"/>
        <v>0</v>
      </c>
      <c r="AC112" s="16">
        <f t="shared" si="75"/>
        <v>0</v>
      </c>
      <c r="AD112" s="16">
        <f t="shared" si="75"/>
        <v>0</v>
      </c>
      <c r="AE112" s="1"/>
      <c r="AF112" s="1"/>
      <c r="AG112" s="9">
        <f>AG111-1</f>
        <v>19</v>
      </c>
      <c r="AH112" s="16">
        <f t="shared" si="76"/>
        <v>-0.11266586270197509</v>
      </c>
      <c r="AI112" s="16">
        <f t="shared" si="76"/>
        <v>1.2281101542641677</v>
      </c>
      <c r="AJ112" s="16">
        <f t="shared" si="76"/>
        <v>-0.11957066141819257</v>
      </c>
      <c r="AK112" s="16">
        <f t="shared" si="76"/>
        <v>0</v>
      </c>
      <c r="AL112" s="16">
        <f t="shared" si="76"/>
        <v>0</v>
      </c>
      <c r="AM112" s="16">
        <f t="shared" si="76"/>
        <v>0</v>
      </c>
      <c r="AN112" s="16">
        <f t="shared" si="76"/>
        <v>0</v>
      </c>
      <c r="AO112" s="16">
        <f t="shared" si="76"/>
        <v>0</v>
      </c>
      <c r="AP112" s="16">
        <f t="shared" si="76"/>
        <v>0</v>
      </c>
      <c r="AQ112" s="16">
        <f t="shared" si="76"/>
        <v>0</v>
      </c>
      <c r="AR112" s="16">
        <f t="shared" si="77"/>
        <v>0</v>
      </c>
      <c r="AS112" s="16">
        <f t="shared" si="77"/>
        <v>0</v>
      </c>
      <c r="AT112" s="16">
        <f t="shared" si="77"/>
        <v>0</v>
      </c>
      <c r="AU112" s="16">
        <f t="shared" si="77"/>
        <v>0</v>
      </c>
      <c r="AV112" s="16">
        <f t="shared" si="77"/>
        <v>0</v>
      </c>
      <c r="AW112" s="16">
        <f t="shared" si="77"/>
        <v>0</v>
      </c>
      <c r="AX112" s="16">
        <f t="shared" si="77"/>
        <v>0</v>
      </c>
      <c r="AY112" s="16">
        <f t="shared" si="77"/>
        <v>0</v>
      </c>
      <c r="AZ112" s="16">
        <f t="shared" si="77"/>
        <v>0</v>
      </c>
      <c r="BA112" s="16">
        <f t="shared" si="77"/>
        <v>0</v>
      </c>
      <c r="BB112" s="16">
        <f t="shared" si="77"/>
        <v>0</v>
      </c>
      <c r="BE112" s="9">
        <f>BE111-1</f>
        <v>19</v>
      </c>
      <c r="BF112" s="16">
        <f t="shared" si="78"/>
        <v>-0.11265117737054878</v>
      </c>
      <c r="BG112" s="16">
        <f t="shared" si="78"/>
        <v>1.2280804214494823</v>
      </c>
      <c r="BH112" s="16">
        <f t="shared" si="78"/>
        <v>-0.11955507608693358</v>
      </c>
      <c r="BI112" s="16">
        <f t="shared" si="78"/>
        <v>0</v>
      </c>
      <c r="BJ112" s="16">
        <f t="shared" si="78"/>
        <v>0</v>
      </c>
      <c r="BK112" s="16">
        <f t="shared" si="78"/>
        <v>0</v>
      </c>
      <c r="BL112" s="16">
        <f t="shared" si="78"/>
        <v>0</v>
      </c>
      <c r="BM112" s="16">
        <f t="shared" si="78"/>
        <v>0</v>
      </c>
      <c r="BN112" s="16">
        <f t="shared" si="78"/>
        <v>0</v>
      </c>
      <c r="BO112" s="16">
        <f t="shared" si="78"/>
        <v>0</v>
      </c>
      <c r="BP112" s="16">
        <f t="shared" si="79"/>
        <v>0</v>
      </c>
      <c r="BQ112" s="16">
        <f t="shared" si="79"/>
        <v>0</v>
      </c>
      <c r="BR112" s="16">
        <f t="shared" si="79"/>
        <v>0</v>
      </c>
      <c r="BS112" s="16">
        <f t="shared" si="79"/>
        <v>0</v>
      </c>
      <c r="BT112" s="16">
        <f t="shared" si="79"/>
        <v>0</v>
      </c>
      <c r="BU112" s="16">
        <f t="shared" si="79"/>
        <v>0</v>
      </c>
      <c r="BV112" s="16">
        <f t="shared" si="79"/>
        <v>0</v>
      </c>
      <c r="BW112" s="16">
        <f t="shared" si="79"/>
        <v>0</v>
      </c>
      <c r="BX112" s="16">
        <f t="shared" si="79"/>
        <v>0</v>
      </c>
      <c r="BY112" s="16">
        <f t="shared" si="79"/>
        <v>0</v>
      </c>
      <c r="BZ112" s="16">
        <f t="shared" si="79"/>
        <v>0</v>
      </c>
      <c r="CC112" s="9">
        <f>CC111-1</f>
        <v>19</v>
      </c>
      <c r="CD112" s="16">
        <f t="shared" si="80"/>
        <v>-0.11265117737054846</v>
      </c>
      <c r="CE112" s="16">
        <f t="shared" si="80"/>
        <v>1.2280804214494818</v>
      </c>
      <c r="CF112" s="16">
        <f t="shared" si="80"/>
        <v>-0.11955507608693323</v>
      </c>
      <c r="CG112" s="16">
        <f t="shared" si="80"/>
        <v>0</v>
      </c>
      <c r="CH112" s="16">
        <f t="shared" si="80"/>
        <v>0</v>
      </c>
      <c r="CI112" s="16">
        <f t="shared" si="80"/>
        <v>0</v>
      </c>
      <c r="CJ112" s="16">
        <f t="shared" si="80"/>
        <v>0</v>
      </c>
      <c r="CK112" s="16">
        <f t="shared" si="80"/>
        <v>0</v>
      </c>
      <c r="CL112" s="16">
        <f t="shared" si="80"/>
        <v>0</v>
      </c>
      <c r="CM112" s="16">
        <f t="shared" si="80"/>
        <v>0</v>
      </c>
      <c r="CN112" s="16">
        <f t="shared" si="81"/>
        <v>0</v>
      </c>
      <c r="CO112" s="16">
        <f t="shared" si="81"/>
        <v>0</v>
      </c>
      <c r="CP112" s="16">
        <f t="shared" si="81"/>
        <v>0</v>
      </c>
      <c r="CQ112" s="16">
        <f t="shared" si="81"/>
        <v>0</v>
      </c>
      <c r="CR112" s="16">
        <f t="shared" si="81"/>
        <v>0</v>
      </c>
      <c r="CS112" s="16">
        <f t="shared" si="81"/>
        <v>0</v>
      </c>
      <c r="CT112" s="16">
        <f t="shared" si="81"/>
        <v>0</v>
      </c>
      <c r="CU112" s="16">
        <f t="shared" si="81"/>
        <v>0</v>
      </c>
      <c r="CV112" s="16">
        <f t="shared" si="81"/>
        <v>0</v>
      </c>
      <c r="CW112" s="16">
        <f t="shared" si="81"/>
        <v>0</v>
      </c>
      <c r="CX112" s="16">
        <f t="shared" si="81"/>
        <v>0</v>
      </c>
      <c r="DA112" s="9">
        <f>DA111-1</f>
        <v>19</v>
      </c>
      <c r="DB112" s="16">
        <f t="shared" si="82"/>
        <v>-1.408323283774701E-2</v>
      </c>
      <c r="DC112" s="16">
        <f t="shared" si="82"/>
        <v>1.0285137692830213</v>
      </c>
      <c r="DD112" s="16">
        <f t="shared" si="82"/>
        <v>-1.4946332677274202E-2</v>
      </c>
      <c r="DE112" s="16">
        <f t="shared" si="82"/>
        <v>0</v>
      </c>
      <c r="DF112" s="16">
        <f t="shared" si="82"/>
        <v>0</v>
      </c>
      <c r="DG112" s="16">
        <f t="shared" si="82"/>
        <v>0</v>
      </c>
      <c r="DH112" s="16">
        <f t="shared" si="82"/>
        <v>0</v>
      </c>
      <c r="DI112" s="16">
        <f t="shared" si="82"/>
        <v>0</v>
      </c>
      <c r="DJ112" s="16">
        <f t="shared" si="82"/>
        <v>0</v>
      </c>
      <c r="DK112" s="16">
        <f t="shared" si="82"/>
        <v>0</v>
      </c>
      <c r="DL112" s="16">
        <f t="shared" si="83"/>
        <v>0</v>
      </c>
      <c r="DM112" s="16">
        <f t="shared" si="83"/>
        <v>0</v>
      </c>
      <c r="DN112" s="16">
        <f t="shared" si="83"/>
        <v>0</v>
      </c>
      <c r="DO112" s="16">
        <f t="shared" si="83"/>
        <v>0</v>
      </c>
      <c r="DP112" s="16">
        <f t="shared" si="83"/>
        <v>0</v>
      </c>
      <c r="DQ112" s="16">
        <f t="shared" si="83"/>
        <v>0</v>
      </c>
      <c r="DR112" s="16">
        <f t="shared" si="83"/>
        <v>0</v>
      </c>
      <c r="DS112" s="16">
        <f t="shared" si="83"/>
        <v>0</v>
      </c>
      <c r="DT112" s="16">
        <f t="shared" si="83"/>
        <v>0</v>
      </c>
      <c r="DU112" s="16">
        <f t="shared" si="83"/>
        <v>0</v>
      </c>
      <c r="DV112" s="16">
        <f t="shared" si="83"/>
        <v>0</v>
      </c>
      <c r="DY112" s="9">
        <f>DY111-1</f>
        <v>19</v>
      </c>
      <c r="DZ112" s="16">
        <f t="shared" si="84"/>
        <v>-8.0762085798042879E-2</v>
      </c>
      <c r="EA112" s="16">
        <f t="shared" si="84"/>
        <v>1.1643022383044705</v>
      </c>
      <c r="EB112" s="16">
        <f t="shared" si="84"/>
        <v>-8.7665984514427656E-2</v>
      </c>
      <c r="EC112" s="16">
        <f t="shared" si="84"/>
        <v>0</v>
      </c>
      <c r="ED112" s="16">
        <f t="shared" si="84"/>
        <v>0</v>
      </c>
      <c r="EE112" s="16">
        <f t="shared" si="84"/>
        <v>0</v>
      </c>
      <c r="EF112" s="16">
        <f t="shared" si="84"/>
        <v>0</v>
      </c>
      <c r="EG112" s="16">
        <f t="shared" si="84"/>
        <v>0</v>
      </c>
      <c r="EH112" s="16">
        <f t="shared" si="84"/>
        <v>0</v>
      </c>
      <c r="EI112" s="16">
        <f t="shared" si="84"/>
        <v>0</v>
      </c>
      <c r="EJ112" s="16">
        <f t="shared" si="85"/>
        <v>0</v>
      </c>
      <c r="EK112" s="16">
        <f t="shared" si="85"/>
        <v>0</v>
      </c>
      <c r="EL112" s="16">
        <f t="shared" si="85"/>
        <v>0</v>
      </c>
      <c r="EM112" s="16">
        <f t="shared" si="85"/>
        <v>0</v>
      </c>
      <c r="EN112" s="16">
        <f t="shared" si="85"/>
        <v>0</v>
      </c>
      <c r="EO112" s="16">
        <f t="shared" si="85"/>
        <v>0</v>
      </c>
      <c r="EP112" s="16">
        <f t="shared" si="85"/>
        <v>0</v>
      </c>
      <c r="EQ112" s="16">
        <f t="shared" si="85"/>
        <v>0</v>
      </c>
      <c r="ER112" s="16">
        <f t="shared" si="85"/>
        <v>0</v>
      </c>
      <c r="ES112" s="16">
        <f t="shared" si="85"/>
        <v>0</v>
      </c>
      <c r="ET112" s="16">
        <f t="shared" si="85"/>
        <v>0</v>
      </c>
      <c r="EW112" s="9">
        <f>EW111-1</f>
        <v>19</v>
      </c>
      <c r="EX112" s="16">
        <f t="shared" si="86"/>
        <v>-8.0762085798043101E-2</v>
      </c>
      <c r="EY112" s="16">
        <f t="shared" si="86"/>
        <v>1.164302238304471</v>
      </c>
      <c r="EZ112" s="16">
        <f t="shared" si="86"/>
        <v>-8.7665984514427905E-2</v>
      </c>
      <c r="FA112" s="16">
        <f t="shared" si="86"/>
        <v>0</v>
      </c>
      <c r="FB112" s="16">
        <f t="shared" si="86"/>
        <v>0</v>
      </c>
      <c r="FC112" s="16">
        <f t="shared" si="86"/>
        <v>0</v>
      </c>
      <c r="FD112" s="16">
        <f t="shared" si="86"/>
        <v>0</v>
      </c>
      <c r="FE112" s="16">
        <f t="shared" si="86"/>
        <v>0</v>
      </c>
      <c r="FF112" s="16">
        <f t="shared" si="86"/>
        <v>0</v>
      </c>
      <c r="FG112" s="16">
        <f t="shared" si="86"/>
        <v>0</v>
      </c>
      <c r="FH112" s="16">
        <f t="shared" si="87"/>
        <v>0</v>
      </c>
      <c r="FI112" s="16">
        <f t="shared" si="87"/>
        <v>0</v>
      </c>
      <c r="FJ112" s="16">
        <f t="shared" si="87"/>
        <v>0</v>
      </c>
      <c r="FK112" s="16">
        <f t="shared" si="87"/>
        <v>0</v>
      </c>
      <c r="FL112" s="16">
        <f t="shared" si="87"/>
        <v>0</v>
      </c>
      <c r="FM112" s="16">
        <f t="shared" si="87"/>
        <v>0</v>
      </c>
      <c r="FN112" s="16">
        <f t="shared" si="87"/>
        <v>0</v>
      </c>
      <c r="FO112" s="16">
        <f t="shared" si="87"/>
        <v>0</v>
      </c>
      <c r="FP112" s="16">
        <f t="shared" si="87"/>
        <v>0</v>
      </c>
      <c r="FQ112" s="16">
        <f t="shared" si="87"/>
        <v>0</v>
      </c>
      <c r="FR112" s="16">
        <f t="shared" si="87"/>
        <v>0</v>
      </c>
      <c r="FU112" s="9">
        <f>FU111-1</f>
        <v>19</v>
      </c>
      <c r="FV112" s="16">
        <f t="shared" si="88"/>
        <v>-8.0772614032405876E-2</v>
      </c>
      <c r="FW112" s="16">
        <f t="shared" si="88"/>
        <v>1.1643236569250293</v>
      </c>
      <c r="FX112" s="16">
        <f t="shared" si="88"/>
        <v>-8.7677412748623326E-2</v>
      </c>
      <c r="FY112" s="16">
        <f t="shared" si="88"/>
        <v>0</v>
      </c>
      <c r="FZ112" s="16">
        <f t="shared" si="88"/>
        <v>0</v>
      </c>
      <c r="GA112" s="16">
        <f t="shared" si="88"/>
        <v>0</v>
      </c>
      <c r="GB112" s="16">
        <f t="shared" si="88"/>
        <v>0</v>
      </c>
      <c r="GC112" s="16">
        <f t="shared" si="88"/>
        <v>0</v>
      </c>
      <c r="GD112" s="16">
        <f t="shared" si="88"/>
        <v>0</v>
      </c>
      <c r="GE112" s="16">
        <f t="shared" si="88"/>
        <v>0</v>
      </c>
      <c r="GF112" s="16">
        <f t="shared" si="89"/>
        <v>0</v>
      </c>
      <c r="GG112" s="16">
        <f t="shared" si="89"/>
        <v>0</v>
      </c>
      <c r="GH112" s="16">
        <f t="shared" si="89"/>
        <v>0</v>
      </c>
      <c r="GI112" s="16">
        <f t="shared" si="89"/>
        <v>0</v>
      </c>
      <c r="GJ112" s="16">
        <f t="shared" si="89"/>
        <v>0</v>
      </c>
      <c r="GK112" s="16">
        <f t="shared" si="89"/>
        <v>0</v>
      </c>
      <c r="GL112" s="16">
        <f t="shared" si="89"/>
        <v>0</v>
      </c>
      <c r="GM112" s="16">
        <f t="shared" si="89"/>
        <v>0</v>
      </c>
      <c r="GN112" s="16">
        <f t="shared" si="89"/>
        <v>0</v>
      </c>
      <c r="GO112" s="16">
        <f t="shared" si="89"/>
        <v>0</v>
      </c>
      <c r="GP112" s="16">
        <f t="shared" si="89"/>
        <v>0</v>
      </c>
      <c r="GS112" s="9">
        <f>GS111-1</f>
        <v>19</v>
      </c>
      <c r="GT112" s="16">
        <f t="shared" si="90"/>
        <v>-1.7482133159646879E-2</v>
      </c>
      <c r="GU112" s="16">
        <f t="shared" si="90"/>
        <v>1.0355656194374365</v>
      </c>
      <c r="GV112" s="16">
        <f t="shared" si="90"/>
        <v>-1.897658288178963E-2</v>
      </c>
      <c r="GW112" s="16">
        <f t="shared" si="90"/>
        <v>0</v>
      </c>
      <c r="GX112" s="16">
        <f t="shared" si="90"/>
        <v>0</v>
      </c>
      <c r="GY112" s="16">
        <f t="shared" si="90"/>
        <v>0</v>
      </c>
      <c r="GZ112" s="16">
        <f t="shared" si="90"/>
        <v>0</v>
      </c>
      <c r="HA112" s="16">
        <f t="shared" si="90"/>
        <v>0</v>
      </c>
      <c r="HB112" s="16">
        <f t="shared" si="90"/>
        <v>0</v>
      </c>
      <c r="HC112" s="16">
        <f t="shared" si="90"/>
        <v>0</v>
      </c>
      <c r="HD112" s="16">
        <f t="shared" si="91"/>
        <v>0</v>
      </c>
      <c r="HE112" s="16">
        <f t="shared" si="91"/>
        <v>0</v>
      </c>
      <c r="HF112" s="16">
        <f t="shared" si="91"/>
        <v>0</v>
      </c>
      <c r="HG112" s="16">
        <f t="shared" si="91"/>
        <v>0</v>
      </c>
      <c r="HH112" s="16">
        <f t="shared" si="91"/>
        <v>0</v>
      </c>
      <c r="HI112" s="16">
        <f t="shared" si="91"/>
        <v>0</v>
      </c>
      <c r="HJ112" s="16">
        <f t="shared" si="91"/>
        <v>0</v>
      </c>
      <c r="HK112" s="16">
        <f t="shared" si="91"/>
        <v>0</v>
      </c>
      <c r="HL112" s="16">
        <f t="shared" si="91"/>
        <v>0</v>
      </c>
      <c r="HM112" s="16">
        <f t="shared" si="91"/>
        <v>0</v>
      </c>
      <c r="HN112" s="16">
        <f t="shared" si="91"/>
        <v>0</v>
      </c>
      <c r="HQ112" s="9">
        <f>HQ111-1</f>
        <v>19</v>
      </c>
      <c r="HR112" s="16">
        <f t="shared" si="92"/>
        <v>-0.11519994039919003</v>
      </c>
      <c r="HS112" s="16">
        <f t="shared" si="92"/>
        <v>1.2343625461514169</v>
      </c>
      <c r="HT112" s="16">
        <f t="shared" si="92"/>
        <v>-0.12504773856822698</v>
      </c>
      <c r="HU112" s="16">
        <f t="shared" si="92"/>
        <v>0</v>
      </c>
      <c r="HV112" s="16">
        <f t="shared" si="92"/>
        <v>0</v>
      </c>
      <c r="HW112" s="16">
        <f t="shared" si="92"/>
        <v>0</v>
      </c>
      <c r="HX112" s="16">
        <f t="shared" si="92"/>
        <v>0</v>
      </c>
      <c r="HY112" s="16">
        <f t="shared" si="92"/>
        <v>0</v>
      </c>
      <c r="HZ112" s="16">
        <f t="shared" si="92"/>
        <v>0</v>
      </c>
      <c r="IA112" s="16">
        <f t="shared" si="92"/>
        <v>0</v>
      </c>
      <c r="IB112" s="16">
        <f t="shared" si="93"/>
        <v>0</v>
      </c>
      <c r="IC112" s="16">
        <f t="shared" si="93"/>
        <v>0</v>
      </c>
      <c r="ID112" s="16">
        <f t="shared" si="93"/>
        <v>0</v>
      </c>
      <c r="IE112" s="16">
        <f t="shared" si="93"/>
        <v>0</v>
      </c>
      <c r="IF112" s="16">
        <f t="shared" si="93"/>
        <v>0</v>
      </c>
      <c r="IG112" s="16">
        <f t="shared" si="93"/>
        <v>0</v>
      </c>
      <c r="IH112" s="16">
        <f t="shared" si="93"/>
        <v>0</v>
      </c>
      <c r="II112" s="16">
        <f t="shared" si="93"/>
        <v>0</v>
      </c>
      <c r="IJ112" s="16">
        <f t="shared" si="93"/>
        <v>0</v>
      </c>
      <c r="IK112" s="16">
        <f t="shared" si="93"/>
        <v>0</v>
      </c>
      <c r="IL112" s="16">
        <f t="shared" si="93"/>
        <v>0</v>
      </c>
      <c r="IO112" s="9">
        <f>IO111-1</f>
        <v>19</v>
      </c>
      <c r="IP112" s="16">
        <f t="shared" si="94"/>
        <v>-1.7486870865110103E-2</v>
      </c>
      <c r="IQ112" s="16">
        <f t="shared" si="94"/>
        <v>1.0355752578166877</v>
      </c>
      <c r="IR112" s="16">
        <f t="shared" si="94"/>
        <v>-1.8981725587177541E-2</v>
      </c>
      <c r="IS112" s="16">
        <f t="shared" si="94"/>
        <v>0</v>
      </c>
      <c r="IT112" s="16">
        <f t="shared" si="94"/>
        <v>0</v>
      </c>
      <c r="IU112" s="16">
        <f t="shared" si="94"/>
        <v>0</v>
      </c>
      <c r="IV112" s="16">
        <f t="shared" si="94"/>
        <v>0</v>
      </c>
      <c r="IW112" s="16">
        <f t="shared" si="94"/>
        <v>0</v>
      </c>
      <c r="IX112" s="16">
        <f t="shared" si="94"/>
        <v>0</v>
      </c>
      <c r="IY112" s="16">
        <f t="shared" si="94"/>
        <v>0</v>
      </c>
      <c r="IZ112" s="16">
        <f t="shared" si="95"/>
        <v>0</v>
      </c>
      <c r="JA112" s="16">
        <f t="shared" si="95"/>
        <v>0</v>
      </c>
      <c r="JB112" s="16">
        <f t="shared" si="95"/>
        <v>0</v>
      </c>
      <c r="JC112" s="16">
        <f t="shared" si="95"/>
        <v>0</v>
      </c>
      <c r="JD112" s="16">
        <f t="shared" si="95"/>
        <v>0</v>
      </c>
      <c r="JE112" s="16">
        <f t="shared" si="95"/>
        <v>0</v>
      </c>
      <c r="JF112" s="16">
        <f t="shared" si="95"/>
        <v>0</v>
      </c>
      <c r="JG112" s="16">
        <f t="shared" si="95"/>
        <v>0</v>
      </c>
      <c r="JH112" s="16">
        <f t="shared" si="95"/>
        <v>0</v>
      </c>
      <c r="JI112" s="16">
        <f t="shared" si="95"/>
        <v>0</v>
      </c>
      <c r="JJ112" s="16">
        <f t="shared" si="95"/>
        <v>0</v>
      </c>
      <c r="JM112" s="9">
        <f>JM111-1</f>
        <v>19</v>
      </c>
      <c r="JN112" s="16">
        <f t="shared" si="96"/>
        <v>-0.1151978347523175</v>
      </c>
      <c r="JO112" s="16">
        <f t="shared" si="96"/>
        <v>1.2343582624273055</v>
      </c>
      <c r="JP112" s="16">
        <f t="shared" si="96"/>
        <v>-0.12504545292138791</v>
      </c>
      <c r="JQ112" s="16">
        <f t="shared" si="96"/>
        <v>0</v>
      </c>
      <c r="JR112" s="16">
        <f t="shared" si="96"/>
        <v>0</v>
      </c>
      <c r="JS112" s="16">
        <f t="shared" si="96"/>
        <v>0</v>
      </c>
      <c r="JT112" s="16">
        <f t="shared" si="96"/>
        <v>0</v>
      </c>
      <c r="JU112" s="16">
        <f t="shared" si="96"/>
        <v>0</v>
      </c>
      <c r="JV112" s="16">
        <f t="shared" si="96"/>
        <v>0</v>
      </c>
      <c r="JW112" s="16">
        <f t="shared" si="96"/>
        <v>0</v>
      </c>
      <c r="JX112" s="16">
        <f t="shared" si="97"/>
        <v>0</v>
      </c>
      <c r="JY112" s="16">
        <f t="shared" si="97"/>
        <v>0</v>
      </c>
      <c r="JZ112" s="16">
        <f t="shared" si="97"/>
        <v>0</v>
      </c>
      <c r="KA112" s="16">
        <f t="shared" si="97"/>
        <v>0</v>
      </c>
      <c r="KB112" s="16">
        <f t="shared" si="97"/>
        <v>0</v>
      </c>
      <c r="KC112" s="16">
        <f t="shared" si="97"/>
        <v>0</v>
      </c>
      <c r="KD112" s="16">
        <f t="shared" si="97"/>
        <v>0</v>
      </c>
      <c r="KE112" s="16">
        <f t="shared" si="97"/>
        <v>0</v>
      </c>
      <c r="KF112" s="16">
        <f t="shared" si="97"/>
        <v>0</v>
      </c>
      <c r="KG112" s="16">
        <f t="shared" si="97"/>
        <v>0</v>
      </c>
      <c r="KH112" s="16">
        <f t="shared" si="97"/>
        <v>0</v>
      </c>
      <c r="KK112" s="9">
        <f>KK111-1</f>
        <v>19</v>
      </c>
      <c r="KL112" s="16">
        <f t="shared" si="98"/>
        <v>-1.4602661061385172E-2</v>
      </c>
      <c r="KM112" s="16">
        <f t="shared" si="98"/>
        <v>1.0297076267146787</v>
      </c>
      <c r="KN112" s="16">
        <f t="shared" si="98"/>
        <v>-1.5850960829293621E-2</v>
      </c>
      <c r="KO112" s="16">
        <f t="shared" si="98"/>
        <v>0</v>
      </c>
      <c r="KP112" s="16">
        <f t="shared" si="98"/>
        <v>0</v>
      </c>
      <c r="KQ112" s="16">
        <f t="shared" si="98"/>
        <v>0</v>
      </c>
      <c r="KR112" s="16">
        <f t="shared" si="98"/>
        <v>0</v>
      </c>
      <c r="KS112" s="16">
        <f t="shared" si="98"/>
        <v>0</v>
      </c>
      <c r="KT112" s="16">
        <f t="shared" si="98"/>
        <v>0</v>
      </c>
      <c r="KU112" s="16">
        <f t="shared" si="98"/>
        <v>0</v>
      </c>
      <c r="KV112" s="16">
        <f t="shared" si="99"/>
        <v>0</v>
      </c>
      <c r="KW112" s="16">
        <f t="shared" si="99"/>
        <v>0</v>
      </c>
      <c r="KX112" s="16">
        <f t="shared" si="99"/>
        <v>0</v>
      </c>
      <c r="KY112" s="16">
        <f t="shared" si="99"/>
        <v>0</v>
      </c>
      <c r="KZ112" s="16">
        <f t="shared" si="99"/>
        <v>0</v>
      </c>
      <c r="LA112" s="16">
        <f t="shared" si="99"/>
        <v>0</v>
      </c>
      <c r="LB112" s="16">
        <f t="shared" si="99"/>
        <v>0</v>
      </c>
      <c r="LC112" s="16">
        <f t="shared" si="99"/>
        <v>0</v>
      </c>
      <c r="LD112" s="16">
        <f t="shared" si="99"/>
        <v>0</v>
      </c>
      <c r="LE112" s="16">
        <f t="shared" si="99"/>
        <v>0</v>
      </c>
      <c r="LF112" s="16">
        <f t="shared" si="99"/>
        <v>0</v>
      </c>
      <c r="LI112" s="9">
        <f>LI111-1</f>
        <v>19</v>
      </c>
      <c r="LJ112" s="16">
        <f t="shared" si="100"/>
        <v>-0.11519730834059934</v>
      </c>
      <c r="LK112" s="16">
        <f t="shared" si="100"/>
        <v>1.2343571914962774</v>
      </c>
      <c r="LL112" s="16">
        <f t="shared" si="100"/>
        <v>-0.12504488150967813</v>
      </c>
      <c r="LM112" s="16">
        <f t="shared" si="100"/>
        <v>0</v>
      </c>
      <c r="LN112" s="16">
        <f t="shared" si="100"/>
        <v>0</v>
      </c>
      <c r="LO112" s="16">
        <f t="shared" si="100"/>
        <v>0</v>
      </c>
      <c r="LP112" s="16">
        <f t="shared" si="100"/>
        <v>0</v>
      </c>
      <c r="LQ112" s="16">
        <f t="shared" si="100"/>
        <v>0</v>
      </c>
      <c r="LR112" s="16">
        <f t="shared" si="100"/>
        <v>0</v>
      </c>
      <c r="LS112" s="16">
        <f t="shared" si="100"/>
        <v>0</v>
      </c>
      <c r="LT112" s="16">
        <f t="shared" si="101"/>
        <v>0</v>
      </c>
      <c r="LU112" s="16">
        <f t="shared" si="101"/>
        <v>0</v>
      </c>
      <c r="LV112" s="16">
        <f t="shared" si="101"/>
        <v>0</v>
      </c>
      <c r="LW112" s="16">
        <f t="shared" si="101"/>
        <v>0</v>
      </c>
      <c r="LX112" s="16">
        <f t="shared" si="101"/>
        <v>0</v>
      </c>
      <c r="LY112" s="16">
        <f t="shared" si="101"/>
        <v>0</v>
      </c>
      <c r="LZ112" s="16">
        <f t="shared" si="101"/>
        <v>0</v>
      </c>
      <c r="MA112" s="16">
        <f t="shared" si="101"/>
        <v>0</v>
      </c>
      <c r="MB112" s="16">
        <f t="shared" si="101"/>
        <v>0</v>
      </c>
      <c r="MC112" s="16">
        <f t="shared" si="101"/>
        <v>0</v>
      </c>
      <c r="MD112" s="16">
        <f t="shared" si="101"/>
        <v>0</v>
      </c>
      <c r="MG112" s="9">
        <f>MG111-1</f>
        <v>19</v>
      </c>
      <c r="MH112" s="16">
        <f t="shared" si="102"/>
        <v>-1.6045029169106717E-2</v>
      </c>
      <c r="MI112" s="16">
        <f t="shared" si="102"/>
        <v>1.0326419777311973</v>
      </c>
      <c r="MJ112" s="16">
        <f t="shared" si="102"/>
        <v>-1.7416628914090477E-2</v>
      </c>
      <c r="MK112" s="16">
        <f t="shared" si="102"/>
        <v>0</v>
      </c>
      <c r="ML112" s="16">
        <f t="shared" si="102"/>
        <v>0</v>
      </c>
      <c r="MM112" s="16">
        <f t="shared" si="102"/>
        <v>0</v>
      </c>
      <c r="MN112" s="16">
        <f t="shared" si="102"/>
        <v>0</v>
      </c>
      <c r="MO112" s="16">
        <f t="shared" si="102"/>
        <v>0</v>
      </c>
      <c r="MP112" s="16">
        <f t="shared" si="102"/>
        <v>0</v>
      </c>
      <c r="MQ112" s="16">
        <f t="shared" si="102"/>
        <v>0</v>
      </c>
      <c r="MR112" s="16">
        <f t="shared" si="103"/>
        <v>0</v>
      </c>
      <c r="MS112" s="16">
        <f t="shared" si="103"/>
        <v>0</v>
      </c>
      <c r="MT112" s="16">
        <f t="shared" si="103"/>
        <v>0</v>
      </c>
      <c r="MU112" s="16">
        <f t="shared" si="103"/>
        <v>0</v>
      </c>
      <c r="MV112" s="16">
        <f t="shared" si="103"/>
        <v>0</v>
      </c>
      <c r="MW112" s="16">
        <f t="shared" si="103"/>
        <v>0</v>
      </c>
      <c r="MX112" s="16">
        <f t="shared" si="103"/>
        <v>0</v>
      </c>
      <c r="MY112" s="16">
        <f t="shared" si="103"/>
        <v>0</v>
      </c>
      <c r="MZ112" s="16">
        <f t="shared" si="103"/>
        <v>0</v>
      </c>
      <c r="NA112" s="16">
        <f t="shared" si="103"/>
        <v>0</v>
      </c>
      <c r="NB112" s="16">
        <f t="shared" si="103"/>
        <v>0</v>
      </c>
      <c r="NE112" s="9">
        <f>NE111-1</f>
        <v>19</v>
      </c>
      <c r="NF112" s="16">
        <f t="shared" si="104"/>
        <v>-0.11519730834059934</v>
      </c>
      <c r="NG112" s="16">
        <f t="shared" si="104"/>
        <v>1.2343571914962774</v>
      </c>
      <c r="NH112" s="16">
        <f t="shared" si="104"/>
        <v>-0.12504488150967813</v>
      </c>
      <c r="NI112" s="16">
        <f t="shared" si="104"/>
        <v>0</v>
      </c>
      <c r="NJ112" s="16">
        <f t="shared" si="104"/>
        <v>0</v>
      </c>
      <c r="NK112" s="16">
        <f t="shared" si="104"/>
        <v>0</v>
      </c>
      <c r="NL112" s="16">
        <f t="shared" si="104"/>
        <v>0</v>
      </c>
      <c r="NM112" s="16">
        <f t="shared" si="104"/>
        <v>0</v>
      </c>
      <c r="NN112" s="16">
        <f t="shared" si="104"/>
        <v>0</v>
      </c>
      <c r="NO112" s="16">
        <f t="shared" si="104"/>
        <v>0</v>
      </c>
      <c r="NP112" s="16">
        <f t="shared" si="105"/>
        <v>0</v>
      </c>
      <c r="NQ112" s="16">
        <f t="shared" si="105"/>
        <v>0</v>
      </c>
      <c r="NR112" s="16">
        <f t="shared" si="105"/>
        <v>0</v>
      </c>
      <c r="NS112" s="16">
        <f t="shared" si="105"/>
        <v>0</v>
      </c>
      <c r="NT112" s="16">
        <f t="shared" si="105"/>
        <v>0</v>
      </c>
      <c r="NU112" s="16">
        <f t="shared" si="105"/>
        <v>0</v>
      </c>
      <c r="NV112" s="16">
        <f t="shared" si="105"/>
        <v>0</v>
      </c>
      <c r="NW112" s="16">
        <f t="shared" si="105"/>
        <v>0</v>
      </c>
      <c r="NX112" s="16">
        <f t="shared" si="105"/>
        <v>0</v>
      </c>
      <c r="NY112" s="16">
        <f t="shared" si="105"/>
        <v>0</v>
      </c>
      <c r="NZ112" s="16">
        <f t="shared" si="105"/>
        <v>0</v>
      </c>
      <c r="OC112" s="9">
        <f>OC111-1</f>
        <v>19</v>
      </c>
      <c r="OD112" s="16">
        <f t="shared" si="106"/>
        <v>-1.7486870865110089E-2</v>
      </c>
      <c r="OE112" s="16">
        <f t="shared" si="106"/>
        <v>1.0355752578166877</v>
      </c>
      <c r="OF112" s="16">
        <f t="shared" si="106"/>
        <v>-1.8981725587177527E-2</v>
      </c>
      <c r="OG112" s="16">
        <f t="shared" si="106"/>
        <v>0</v>
      </c>
      <c r="OH112" s="16">
        <f t="shared" si="106"/>
        <v>0</v>
      </c>
      <c r="OI112" s="16">
        <f t="shared" si="106"/>
        <v>0</v>
      </c>
      <c r="OJ112" s="16">
        <f t="shared" si="106"/>
        <v>0</v>
      </c>
      <c r="OK112" s="16">
        <f t="shared" si="106"/>
        <v>0</v>
      </c>
      <c r="OL112" s="16">
        <f t="shared" si="106"/>
        <v>0</v>
      </c>
      <c r="OM112" s="16">
        <f t="shared" si="106"/>
        <v>0</v>
      </c>
      <c r="ON112" s="16">
        <f t="shared" si="107"/>
        <v>0</v>
      </c>
      <c r="OO112" s="16">
        <f t="shared" si="107"/>
        <v>0</v>
      </c>
      <c r="OP112" s="16">
        <f t="shared" si="107"/>
        <v>0</v>
      </c>
      <c r="OQ112" s="16">
        <f t="shared" si="107"/>
        <v>0</v>
      </c>
      <c r="OR112" s="16">
        <f t="shared" si="107"/>
        <v>0</v>
      </c>
      <c r="OS112" s="16">
        <f t="shared" si="107"/>
        <v>0</v>
      </c>
      <c r="OT112" s="16">
        <f t="shared" si="107"/>
        <v>0</v>
      </c>
      <c r="OU112" s="16">
        <f t="shared" si="107"/>
        <v>0</v>
      </c>
      <c r="OV112" s="16">
        <f t="shared" si="107"/>
        <v>0</v>
      </c>
      <c r="OW112" s="16">
        <f t="shared" si="107"/>
        <v>0</v>
      </c>
      <c r="OX112" s="16">
        <f t="shared" si="107"/>
        <v>0</v>
      </c>
      <c r="PA112" s="9">
        <f>PA111-1</f>
        <v>19</v>
      </c>
      <c r="PB112" s="16">
        <f t="shared" si="108"/>
        <v>-0.11519257063513602</v>
      </c>
      <c r="PC112" s="16">
        <f t="shared" si="108"/>
        <v>1.234347553117026</v>
      </c>
      <c r="PD112" s="16">
        <f t="shared" si="108"/>
        <v>-0.12503973880429009</v>
      </c>
      <c r="PE112" s="16">
        <f t="shared" si="108"/>
        <v>0</v>
      </c>
      <c r="PF112" s="16">
        <f t="shared" si="108"/>
        <v>0</v>
      </c>
      <c r="PG112" s="16">
        <f t="shared" si="108"/>
        <v>0</v>
      </c>
      <c r="PH112" s="16">
        <f t="shared" si="108"/>
        <v>0</v>
      </c>
      <c r="PI112" s="16">
        <f t="shared" si="108"/>
        <v>0</v>
      </c>
      <c r="PJ112" s="16">
        <f t="shared" si="108"/>
        <v>0</v>
      </c>
      <c r="PK112" s="16">
        <f t="shared" si="108"/>
        <v>0</v>
      </c>
      <c r="PL112" s="16">
        <f t="shared" si="109"/>
        <v>0</v>
      </c>
      <c r="PM112" s="16">
        <f t="shared" si="109"/>
        <v>0</v>
      </c>
      <c r="PN112" s="16">
        <f t="shared" si="109"/>
        <v>0</v>
      </c>
      <c r="PO112" s="16">
        <f t="shared" si="109"/>
        <v>0</v>
      </c>
      <c r="PP112" s="16">
        <f t="shared" si="109"/>
        <v>0</v>
      </c>
      <c r="PQ112" s="16">
        <f t="shared" si="109"/>
        <v>0</v>
      </c>
      <c r="PR112" s="16">
        <f t="shared" si="109"/>
        <v>0</v>
      </c>
      <c r="PS112" s="16">
        <f t="shared" si="109"/>
        <v>0</v>
      </c>
      <c r="PT112" s="16">
        <f t="shared" si="109"/>
        <v>0</v>
      </c>
      <c r="PU112" s="16">
        <f t="shared" si="109"/>
        <v>0</v>
      </c>
      <c r="PV112" s="16">
        <f t="shared" si="109"/>
        <v>0</v>
      </c>
    </row>
    <row r="113" spans="3:438" x14ac:dyDescent="0.25">
      <c r="C113" s="1"/>
      <c r="D113" s="1"/>
      <c r="F113" s="1"/>
      <c r="H113" s="1"/>
      <c r="I113" s="9">
        <f t="shared" ref="I113:I131" si="111">I112-1</f>
        <v>18</v>
      </c>
      <c r="J113" s="16">
        <f t="shared" si="110"/>
        <v>0</v>
      </c>
      <c r="K113" s="16">
        <f t="shared" si="75"/>
        <v>-1.4123815252228264E-2</v>
      </c>
      <c r="L113" s="16">
        <f t="shared" si="75"/>
        <v>1.0285561837941781</v>
      </c>
      <c r="M113" s="16">
        <f t="shared" si="75"/>
        <v>-1.4890614931449957E-2</v>
      </c>
      <c r="N113" s="16">
        <f t="shared" si="75"/>
        <v>0</v>
      </c>
      <c r="O113" s="16">
        <f t="shared" si="75"/>
        <v>0</v>
      </c>
      <c r="P113" s="16">
        <f t="shared" si="75"/>
        <v>0</v>
      </c>
      <c r="Q113" s="16">
        <f t="shared" si="75"/>
        <v>0</v>
      </c>
      <c r="R113" s="16">
        <f t="shared" si="75"/>
        <v>0</v>
      </c>
      <c r="S113" s="16">
        <f t="shared" si="75"/>
        <v>0</v>
      </c>
      <c r="T113" s="16">
        <f t="shared" si="75"/>
        <v>0</v>
      </c>
      <c r="U113" s="16">
        <f t="shared" si="75"/>
        <v>0</v>
      </c>
      <c r="V113" s="16">
        <f t="shared" si="75"/>
        <v>0</v>
      </c>
      <c r="W113" s="16">
        <f t="shared" si="75"/>
        <v>0</v>
      </c>
      <c r="X113" s="16">
        <f t="shared" si="75"/>
        <v>0</v>
      </c>
      <c r="Y113" s="16">
        <f t="shared" si="75"/>
        <v>0</v>
      </c>
      <c r="Z113" s="16">
        <f t="shared" si="75"/>
        <v>0</v>
      </c>
      <c r="AA113" s="16">
        <f t="shared" si="75"/>
        <v>0</v>
      </c>
      <c r="AB113" s="16">
        <f t="shared" si="75"/>
        <v>0</v>
      </c>
      <c r="AC113" s="16">
        <f t="shared" si="75"/>
        <v>0</v>
      </c>
      <c r="AD113" s="16">
        <f t="shared" si="75"/>
        <v>0</v>
      </c>
      <c r="AE113" s="1"/>
      <c r="AF113" s="1"/>
      <c r="AG113" s="9">
        <f t="shared" ref="AG113:AG131" si="112">AG112-1</f>
        <v>18</v>
      </c>
      <c r="AH113" s="16">
        <f t="shared" si="76"/>
        <v>0</v>
      </c>
      <c r="AI113" s="16">
        <f t="shared" si="76"/>
        <v>-0.11304946334386637</v>
      </c>
      <c r="AJ113" s="16">
        <f t="shared" si="76"/>
        <v>1.2285686406561678</v>
      </c>
      <c r="AK113" s="16">
        <f t="shared" si="76"/>
        <v>-0.1191870607763013</v>
      </c>
      <c r="AL113" s="16">
        <f t="shared" si="76"/>
        <v>0</v>
      </c>
      <c r="AM113" s="16">
        <f t="shared" si="76"/>
        <v>0</v>
      </c>
      <c r="AN113" s="16">
        <f t="shared" si="76"/>
        <v>0</v>
      </c>
      <c r="AO113" s="16">
        <f t="shared" si="76"/>
        <v>0</v>
      </c>
      <c r="AP113" s="16">
        <f t="shared" si="76"/>
        <v>0</v>
      </c>
      <c r="AQ113" s="16">
        <f t="shared" si="76"/>
        <v>0</v>
      </c>
      <c r="AR113" s="16">
        <f t="shared" si="77"/>
        <v>0</v>
      </c>
      <c r="AS113" s="16">
        <f t="shared" si="77"/>
        <v>0</v>
      </c>
      <c r="AT113" s="16">
        <f t="shared" si="77"/>
        <v>0</v>
      </c>
      <c r="AU113" s="16">
        <f t="shared" si="77"/>
        <v>0</v>
      </c>
      <c r="AV113" s="16">
        <f t="shared" si="77"/>
        <v>0</v>
      </c>
      <c r="AW113" s="16">
        <f t="shared" si="77"/>
        <v>0</v>
      </c>
      <c r="AX113" s="16">
        <f t="shared" si="77"/>
        <v>0</v>
      </c>
      <c r="AY113" s="16">
        <f t="shared" si="77"/>
        <v>0</v>
      </c>
      <c r="AZ113" s="16">
        <f t="shared" si="77"/>
        <v>0</v>
      </c>
      <c r="BA113" s="16">
        <f t="shared" si="77"/>
        <v>0</v>
      </c>
      <c r="BB113" s="16">
        <f t="shared" si="77"/>
        <v>0</v>
      </c>
      <c r="BE113" s="9">
        <f t="shared" ref="BE113:BE131" si="113">BE112-1</f>
        <v>18</v>
      </c>
      <c r="BF113" s="16">
        <f t="shared" si="78"/>
        <v>0</v>
      </c>
      <c r="BG113" s="16">
        <f t="shared" si="78"/>
        <v>-0.11303472801235639</v>
      </c>
      <c r="BH113" s="16">
        <f t="shared" si="78"/>
        <v>1.2285388480804824</v>
      </c>
      <c r="BI113" s="16">
        <f t="shared" si="78"/>
        <v>-0.11917152544512598</v>
      </c>
      <c r="BJ113" s="16">
        <f t="shared" si="78"/>
        <v>0</v>
      </c>
      <c r="BK113" s="16">
        <f t="shared" si="78"/>
        <v>0</v>
      </c>
      <c r="BL113" s="16">
        <f t="shared" si="78"/>
        <v>0</v>
      </c>
      <c r="BM113" s="16">
        <f t="shared" si="78"/>
        <v>0</v>
      </c>
      <c r="BN113" s="16">
        <f t="shared" si="78"/>
        <v>0</v>
      </c>
      <c r="BO113" s="16">
        <f t="shared" si="78"/>
        <v>0</v>
      </c>
      <c r="BP113" s="16">
        <f t="shared" si="79"/>
        <v>0</v>
      </c>
      <c r="BQ113" s="16">
        <f t="shared" si="79"/>
        <v>0</v>
      </c>
      <c r="BR113" s="16">
        <f t="shared" si="79"/>
        <v>0</v>
      </c>
      <c r="BS113" s="16">
        <f t="shared" si="79"/>
        <v>0</v>
      </c>
      <c r="BT113" s="16">
        <f t="shared" si="79"/>
        <v>0</v>
      </c>
      <c r="BU113" s="16">
        <f t="shared" si="79"/>
        <v>0</v>
      </c>
      <c r="BV113" s="16">
        <f t="shared" si="79"/>
        <v>0</v>
      </c>
      <c r="BW113" s="16">
        <f t="shared" si="79"/>
        <v>0</v>
      </c>
      <c r="BX113" s="16">
        <f t="shared" si="79"/>
        <v>0</v>
      </c>
      <c r="BY113" s="16">
        <f t="shared" si="79"/>
        <v>0</v>
      </c>
      <c r="BZ113" s="16">
        <f t="shared" si="79"/>
        <v>0</v>
      </c>
      <c r="CC113" s="9">
        <f t="shared" ref="CC113:CC131" si="114">CC112-1</f>
        <v>18</v>
      </c>
      <c r="CD113" s="16">
        <f t="shared" si="80"/>
        <v>0</v>
      </c>
      <c r="CE113" s="16">
        <f t="shared" si="80"/>
        <v>-0.11303472801235606</v>
      </c>
      <c r="CF113" s="16">
        <f t="shared" si="80"/>
        <v>1.2285388480804817</v>
      </c>
      <c r="CG113" s="16">
        <f t="shared" si="80"/>
        <v>-0.11917152544512563</v>
      </c>
      <c r="CH113" s="16">
        <f t="shared" si="80"/>
        <v>0</v>
      </c>
      <c r="CI113" s="16">
        <f t="shared" si="80"/>
        <v>0</v>
      </c>
      <c r="CJ113" s="16">
        <f t="shared" si="80"/>
        <v>0</v>
      </c>
      <c r="CK113" s="16">
        <f t="shared" si="80"/>
        <v>0</v>
      </c>
      <c r="CL113" s="16">
        <f t="shared" si="80"/>
        <v>0</v>
      </c>
      <c r="CM113" s="16">
        <f t="shared" si="80"/>
        <v>0</v>
      </c>
      <c r="CN113" s="16">
        <f t="shared" si="81"/>
        <v>0</v>
      </c>
      <c r="CO113" s="16">
        <f t="shared" si="81"/>
        <v>0</v>
      </c>
      <c r="CP113" s="16">
        <f t="shared" si="81"/>
        <v>0</v>
      </c>
      <c r="CQ113" s="16">
        <f t="shared" si="81"/>
        <v>0</v>
      </c>
      <c r="CR113" s="16">
        <f t="shared" si="81"/>
        <v>0</v>
      </c>
      <c r="CS113" s="16">
        <f t="shared" si="81"/>
        <v>0</v>
      </c>
      <c r="CT113" s="16">
        <f t="shared" si="81"/>
        <v>0</v>
      </c>
      <c r="CU113" s="16">
        <f t="shared" si="81"/>
        <v>0</v>
      </c>
      <c r="CV113" s="16">
        <f t="shared" si="81"/>
        <v>0</v>
      </c>
      <c r="CW113" s="16">
        <f t="shared" si="81"/>
        <v>0</v>
      </c>
      <c r="CX113" s="16">
        <f t="shared" si="81"/>
        <v>0</v>
      </c>
      <c r="DA113" s="9">
        <f t="shared" ref="DA113:DA131" si="115">DA112-1</f>
        <v>18</v>
      </c>
      <c r="DB113" s="16">
        <f t="shared" si="82"/>
        <v>0</v>
      </c>
      <c r="DC113" s="16">
        <f t="shared" si="82"/>
        <v>-1.4131182917983419E-2</v>
      </c>
      <c r="DD113" s="16">
        <f t="shared" si="82"/>
        <v>1.0285710800820211</v>
      </c>
      <c r="DE113" s="16">
        <f t="shared" si="82"/>
        <v>-1.4898382597037791E-2</v>
      </c>
      <c r="DF113" s="16">
        <f t="shared" si="82"/>
        <v>0</v>
      </c>
      <c r="DG113" s="16">
        <f t="shared" si="82"/>
        <v>0</v>
      </c>
      <c r="DH113" s="16">
        <f t="shared" si="82"/>
        <v>0</v>
      </c>
      <c r="DI113" s="16">
        <f t="shared" si="82"/>
        <v>0</v>
      </c>
      <c r="DJ113" s="16">
        <f t="shared" si="82"/>
        <v>0</v>
      </c>
      <c r="DK113" s="16">
        <f t="shared" si="82"/>
        <v>0</v>
      </c>
      <c r="DL113" s="16">
        <f t="shared" si="83"/>
        <v>0</v>
      </c>
      <c r="DM113" s="16">
        <f t="shared" si="83"/>
        <v>0</v>
      </c>
      <c r="DN113" s="16">
        <f t="shared" si="83"/>
        <v>0</v>
      </c>
      <c r="DO113" s="16">
        <f t="shared" si="83"/>
        <v>0</v>
      </c>
      <c r="DP113" s="16">
        <f t="shared" si="83"/>
        <v>0</v>
      </c>
      <c r="DQ113" s="16">
        <f t="shared" si="83"/>
        <v>0</v>
      </c>
      <c r="DR113" s="16">
        <f t="shared" si="83"/>
        <v>0</v>
      </c>
      <c r="DS113" s="16">
        <f t="shared" si="83"/>
        <v>0</v>
      </c>
      <c r="DT113" s="16">
        <f t="shared" si="83"/>
        <v>0</v>
      </c>
      <c r="DU113" s="16">
        <f t="shared" si="83"/>
        <v>0</v>
      </c>
      <c r="DV113" s="16">
        <f t="shared" si="83"/>
        <v>0</v>
      </c>
      <c r="DY113" s="9">
        <f t="shared" ref="DY113:DY131" si="116">DY112-1</f>
        <v>18</v>
      </c>
      <c r="DZ113" s="16">
        <f t="shared" si="84"/>
        <v>0</v>
      </c>
      <c r="EA113" s="16">
        <f t="shared" si="84"/>
        <v>-8.1145636439850483E-2</v>
      </c>
      <c r="EB113" s="16">
        <f t="shared" si="84"/>
        <v>1.1647606649354705</v>
      </c>
      <c r="EC113" s="16">
        <f t="shared" si="84"/>
        <v>-8.7282433872620052E-2</v>
      </c>
      <c r="ED113" s="16">
        <f t="shared" si="84"/>
        <v>0</v>
      </c>
      <c r="EE113" s="16">
        <f t="shared" si="84"/>
        <v>0</v>
      </c>
      <c r="EF113" s="16">
        <f t="shared" si="84"/>
        <v>0</v>
      </c>
      <c r="EG113" s="16">
        <f t="shared" si="84"/>
        <v>0</v>
      </c>
      <c r="EH113" s="16">
        <f t="shared" si="84"/>
        <v>0</v>
      </c>
      <c r="EI113" s="16">
        <f t="shared" si="84"/>
        <v>0</v>
      </c>
      <c r="EJ113" s="16">
        <f t="shared" si="85"/>
        <v>0</v>
      </c>
      <c r="EK113" s="16">
        <f t="shared" si="85"/>
        <v>0</v>
      </c>
      <c r="EL113" s="16">
        <f t="shared" si="85"/>
        <v>0</v>
      </c>
      <c r="EM113" s="16">
        <f t="shared" si="85"/>
        <v>0</v>
      </c>
      <c r="EN113" s="16">
        <f t="shared" si="85"/>
        <v>0</v>
      </c>
      <c r="EO113" s="16">
        <f t="shared" si="85"/>
        <v>0</v>
      </c>
      <c r="EP113" s="16">
        <f t="shared" si="85"/>
        <v>0</v>
      </c>
      <c r="EQ113" s="16">
        <f t="shared" si="85"/>
        <v>0</v>
      </c>
      <c r="ER113" s="16">
        <f t="shared" si="85"/>
        <v>0</v>
      </c>
      <c r="ES113" s="16">
        <f t="shared" si="85"/>
        <v>0</v>
      </c>
      <c r="ET113" s="16">
        <f t="shared" si="85"/>
        <v>0</v>
      </c>
      <c r="EW113" s="9">
        <f t="shared" ref="EW113:EW131" si="117">EW112-1</f>
        <v>18</v>
      </c>
      <c r="EX113" s="16">
        <f t="shared" si="86"/>
        <v>0</v>
      </c>
      <c r="EY113" s="16">
        <f t="shared" si="86"/>
        <v>-8.1145636439850719E-2</v>
      </c>
      <c r="EZ113" s="16">
        <f t="shared" si="86"/>
        <v>1.1647606649354709</v>
      </c>
      <c r="FA113" s="16">
        <f t="shared" si="86"/>
        <v>-8.7282433872620302E-2</v>
      </c>
      <c r="FB113" s="16">
        <f t="shared" si="86"/>
        <v>0</v>
      </c>
      <c r="FC113" s="16">
        <f t="shared" si="86"/>
        <v>0</v>
      </c>
      <c r="FD113" s="16">
        <f t="shared" si="86"/>
        <v>0</v>
      </c>
      <c r="FE113" s="16">
        <f t="shared" si="86"/>
        <v>0</v>
      </c>
      <c r="FF113" s="16">
        <f t="shared" si="86"/>
        <v>0</v>
      </c>
      <c r="FG113" s="16">
        <f t="shared" si="86"/>
        <v>0</v>
      </c>
      <c r="FH113" s="16">
        <f t="shared" si="87"/>
        <v>0</v>
      </c>
      <c r="FI113" s="16">
        <f t="shared" si="87"/>
        <v>0</v>
      </c>
      <c r="FJ113" s="16">
        <f t="shared" si="87"/>
        <v>0</v>
      </c>
      <c r="FK113" s="16">
        <f t="shared" si="87"/>
        <v>0</v>
      </c>
      <c r="FL113" s="16">
        <f t="shared" si="87"/>
        <v>0</v>
      </c>
      <c r="FM113" s="16">
        <f t="shared" si="87"/>
        <v>0</v>
      </c>
      <c r="FN113" s="16">
        <f t="shared" si="87"/>
        <v>0</v>
      </c>
      <c r="FO113" s="16">
        <f t="shared" si="87"/>
        <v>0</v>
      </c>
      <c r="FP113" s="16">
        <f t="shared" si="87"/>
        <v>0</v>
      </c>
      <c r="FQ113" s="16">
        <f t="shared" si="87"/>
        <v>0</v>
      </c>
      <c r="FR113" s="16">
        <f t="shared" si="87"/>
        <v>0</v>
      </c>
      <c r="FU113" s="9">
        <f t="shared" ref="FU113:FU131" si="118">FU112-1</f>
        <v>18</v>
      </c>
      <c r="FV113" s="16">
        <f t="shared" si="88"/>
        <v>0</v>
      </c>
      <c r="FW113" s="16">
        <f t="shared" si="88"/>
        <v>-8.115621467429715E-2</v>
      </c>
      <c r="FX113" s="16">
        <f t="shared" si="88"/>
        <v>1.1647821433170291</v>
      </c>
      <c r="FY113" s="16">
        <f t="shared" si="88"/>
        <v>-8.7293812106732052E-2</v>
      </c>
      <c r="FZ113" s="16">
        <f t="shared" si="88"/>
        <v>0</v>
      </c>
      <c r="GA113" s="16">
        <f t="shared" si="88"/>
        <v>0</v>
      </c>
      <c r="GB113" s="16">
        <f t="shared" si="88"/>
        <v>0</v>
      </c>
      <c r="GC113" s="16">
        <f t="shared" si="88"/>
        <v>0</v>
      </c>
      <c r="GD113" s="16">
        <f t="shared" si="88"/>
        <v>0</v>
      </c>
      <c r="GE113" s="16">
        <f t="shared" si="88"/>
        <v>0</v>
      </c>
      <c r="GF113" s="16">
        <f t="shared" si="89"/>
        <v>0</v>
      </c>
      <c r="GG113" s="16">
        <f t="shared" si="89"/>
        <v>0</v>
      </c>
      <c r="GH113" s="16">
        <f t="shared" si="89"/>
        <v>0</v>
      </c>
      <c r="GI113" s="16">
        <f t="shared" si="89"/>
        <v>0</v>
      </c>
      <c r="GJ113" s="16">
        <f t="shared" si="89"/>
        <v>0</v>
      </c>
      <c r="GK113" s="16">
        <f t="shared" si="89"/>
        <v>0</v>
      </c>
      <c r="GL113" s="16">
        <f t="shared" si="89"/>
        <v>0</v>
      </c>
      <c r="GM113" s="16">
        <f t="shared" si="89"/>
        <v>0</v>
      </c>
      <c r="GN113" s="16">
        <f t="shared" si="89"/>
        <v>0</v>
      </c>
      <c r="GO113" s="16">
        <f t="shared" si="89"/>
        <v>0</v>
      </c>
      <c r="GP113" s="16">
        <f t="shared" si="89"/>
        <v>0</v>
      </c>
      <c r="GS113" s="9">
        <f t="shared" ref="GS113:GS131" si="119">GS112-1</f>
        <v>18</v>
      </c>
      <c r="GT113" s="16">
        <f t="shared" si="90"/>
        <v>0</v>
      </c>
      <c r="GU113" s="16">
        <f t="shared" si="90"/>
        <v>-1.7565158298575512E-2</v>
      </c>
      <c r="GV113" s="16">
        <f t="shared" si="90"/>
        <v>1.0356648525779364</v>
      </c>
      <c r="GW113" s="16">
        <f t="shared" si="90"/>
        <v>-1.8893557742860997E-2</v>
      </c>
      <c r="GX113" s="16">
        <f t="shared" si="90"/>
        <v>0</v>
      </c>
      <c r="GY113" s="16">
        <f t="shared" si="90"/>
        <v>0</v>
      </c>
      <c r="GZ113" s="16">
        <f t="shared" si="90"/>
        <v>0</v>
      </c>
      <c r="HA113" s="16">
        <f t="shared" si="90"/>
        <v>0</v>
      </c>
      <c r="HB113" s="16">
        <f t="shared" si="90"/>
        <v>0</v>
      </c>
      <c r="HC113" s="16">
        <f t="shared" si="90"/>
        <v>0</v>
      </c>
      <c r="HD113" s="16">
        <f t="shared" si="91"/>
        <v>0</v>
      </c>
      <c r="HE113" s="16">
        <f t="shared" si="91"/>
        <v>0</v>
      </c>
      <c r="HF113" s="16">
        <f t="shared" si="91"/>
        <v>0</v>
      </c>
      <c r="HG113" s="16">
        <f t="shared" si="91"/>
        <v>0</v>
      </c>
      <c r="HH113" s="16">
        <f t="shared" si="91"/>
        <v>0</v>
      </c>
      <c r="HI113" s="16">
        <f t="shared" si="91"/>
        <v>0</v>
      </c>
      <c r="HJ113" s="16">
        <f t="shared" si="91"/>
        <v>0</v>
      </c>
      <c r="HK113" s="16">
        <f t="shared" si="91"/>
        <v>0</v>
      </c>
      <c r="HL113" s="16">
        <f t="shared" si="91"/>
        <v>0</v>
      </c>
      <c r="HM113" s="16">
        <f t="shared" si="91"/>
        <v>0</v>
      </c>
      <c r="HN113" s="16">
        <f t="shared" si="91"/>
        <v>0</v>
      </c>
      <c r="HQ113" s="9">
        <f t="shared" ref="HQ113:HQ131" si="120">HQ112-1</f>
        <v>18</v>
      </c>
      <c r="HR113" s="16">
        <f t="shared" si="92"/>
        <v>0</v>
      </c>
      <c r="HS113" s="16">
        <f t="shared" si="92"/>
        <v>-0.11574704131467156</v>
      </c>
      <c r="HT113" s="16">
        <f t="shared" si="92"/>
        <v>1.2350164510134169</v>
      </c>
      <c r="HU113" s="16">
        <f t="shared" si="92"/>
        <v>-0.12450063765274544</v>
      </c>
      <c r="HV113" s="16">
        <f t="shared" si="92"/>
        <v>0</v>
      </c>
      <c r="HW113" s="16">
        <f t="shared" si="92"/>
        <v>0</v>
      </c>
      <c r="HX113" s="16">
        <f t="shared" si="92"/>
        <v>0</v>
      </c>
      <c r="HY113" s="16">
        <f t="shared" si="92"/>
        <v>0</v>
      </c>
      <c r="HZ113" s="16">
        <f t="shared" si="92"/>
        <v>0</v>
      </c>
      <c r="IA113" s="16">
        <f t="shared" si="92"/>
        <v>0</v>
      </c>
      <c r="IB113" s="16">
        <f t="shared" si="93"/>
        <v>0</v>
      </c>
      <c r="IC113" s="16">
        <f t="shared" si="93"/>
        <v>0</v>
      </c>
      <c r="ID113" s="16">
        <f t="shared" si="93"/>
        <v>0</v>
      </c>
      <c r="IE113" s="16">
        <f t="shared" si="93"/>
        <v>0</v>
      </c>
      <c r="IF113" s="16">
        <f t="shared" si="93"/>
        <v>0</v>
      </c>
      <c r="IG113" s="16">
        <f t="shared" si="93"/>
        <v>0</v>
      </c>
      <c r="IH113" s="16">
        <f t="shared" si="93"/>
        <v>0</v>
      </c>
      <c r="II113" s="16">
        <f t="shared" si="93"/>
        <v>0</v>
      </c>
      <c r="IJ113" s="16">
        <f t="shared" si="93"/>
        <v>0</v>
      </c>
      <c r="IK113" s="16">
        <f t="shared" si="93"/>
        <v>0</v>
      </c>
      <c r="IL113" s="16">
        <f t="shared" si="93"/>
        <v>0</v>
      </c>
      <c r="IO113" s="9">
        <f t="shared" ref="IO113:IO131" si="121">IO112-1</f>
        <v>18</v>
      </c>
      <c r="IP113" s="16">
        <f t="shared" si="94"/>
        <v>0</v>
      </c>
      <c r="IQ113" s="16">
        <f t="shared" si="94"/>
        <v>-1.7569918504076385E-2</v>
      </c>
      <c r="IR113" s="16">
        <f t="shared" si="94"/>
        <v>1.0356745178496376</v>
      </c>
      <c r="IS113" s="16">
        <f t="shared" si="94"/>
        <v>-1.8898677948211259E-2</v>
      </c>
      <c r="IT113" s="16">
        <f t="shared" si="94"/>
        <v>0</v>
      </c>
      <c r="IU113" s="16">
        <f t="shared" si="94"/>
        <v>0</v>
      </c>
      <c r="IV113" s="16">
        <f t="shared" si="94"/>
        <v>0</v>
      </c>
      <c r="IW113" s="16">
        <f t="shared" si="94"/>
        <v>0</v>
      </c>
      <c r="IX113" s="16">
        <f t="shared" si="94"/>
        <v>0</v>
      </c>
      <c r="IY113" s="16">
        <f t="shared" si="94"/>
        <v>0</v>
      </c>
      <c r="IZ113" s="16">
        <f t="shared" si="95"/>
        <v>0</v>
      </c>
      <c r="JA113" s="16">
        <f t="shared" si="95"/>
        <v>0</v>
      </c>
      <c r="JB113" s="16">
        <f t="shared" si="95"/>
        <v>0</v>
      </c>
      <c r="JC113" s="16">
        <f t="shared" si="95"/>
        <v>0</v>
      </c>
      <c r="JD113" s="16">
        <f t="shared" si="95"/>
        <v>0</v>
      </c>
      <c r="JE113" s="16">
        <f t="shared" si="95"/>
        <v>0</v>
      </c>
      <c r="JF113" s="16">
        <f t="shared" si="95"/>
        <v>0</v>
      </c>
      <c r="JG113" s="16">
        <f t="shared" si="95"/>
        <v>0</v>
      </c>
      <c r="JH113" s="16">
        <f t="shared" si="95"/>
        <v>0</v>
      </c>
      <c r="JI113" s="16">
        <f t="shared" si="95"/>
        <v>0</v>
      </c>
      <c r="JJ113" s="16">
        <f t="shared" si="95"/>
        <v>0</v>
      </c>
      <c r="JM113" s="9">
        <f t="shared" ref="JM113:JM131" si="122">JM112-1</f>
        <v>18</v>
      </c>
      <c r="JN113" s="16">
        <f t="shared" si="96"/>
        <v>0</v>
      </c>
      <c r="JO113" s="16">
        <f t="shared" si="96"/>
        <v>-0.1157449256677823</v>
      </c>
      <c r="JP113" s="16">
        <f t="shared" si="96"/>
        <v>1.2350121553371054</v>
      </c>
      <c r="JQ113" s="16">
        <f t="shared" si="96"/>
        <v>-0.12449836200592311</v>
      </c>
      <c r="JR113" s="16">
        <f t="shared" si="96"/>
        <v>0</v>
      </c>
      <c r="JS113" s="16">
        <f t="shared" si="96"/>
        <v>0</v>
      </c>
      <c r="JT113" s="16">
        <f t="shared" si="96"/>
        <v>0</v>
      </c>
      <c r="JU113" s="16">
        <f t="shared" si="96"/>
        <v>0</v>
      </c>
      <c r="JV113" s="16">
        <f t="shared" si="96"/>
        <v>0</v>
      </c>
      <c r="JW113" s="16">
        <f t="shared" si="96"/>
        <v>0</v>
      </c>
      <c r="JX113" s="16">
        <f t="shared" si="97"/>
        <v>0</v>
      </c>
      <c r="JY113" s="16">
        <f t="shared" si="97"/>
        <v>0</v>
      </c>
      <c r="JZ113" s="16">
        <f t="shared" si="97"/>
        <v>0</v>
      </c>
      <c r="KA113" s="16">
        <f t="shared" si="97"/>
        <v>0</v>
      </c>
      <c r="KB113" s="16">
        <f t="shared" si="97"/>
        <v>0</v>
      </c>
      <c r="KC113" s="16">
        <f t="shared" si="97"/>
        <v>0</v>
      </c>
      <c r="KD113" s="16">
        <f t="shared" si="97"/>
        <v>0</v>
      </c>
      <c r="KE113" s="16">
        <f t="shared" si="97"/>
        <v>0</v>
      </c>
      <c r="KF113" s="16">
        <f t="shared" si="97"/>
        <v>0</v>
      </c>
      <c r="KG113" s="16">
        <f t="shared" si="97"/>
        <v>0</v>
      </c>
      <c r="KH113" s="16">
        <f t="shared" si="97"/>
        <v>0</v>
      </c>
      <c r="KK113" s="9">
        <f t="shared" ref="KK113:KK131" si="123">KK112-1</f>
        <v>18</v>
      </c>
      <c r="KL113" s="16">
        <f t="shared" si="98"/>
        <v>0</v>
      </c>
      <c r="KM113" s="16">
        <f t="shared" si="98"/>
        <v>-1.4672011177430949E-2</v>
      </c>
      <c r="KN113" s="16">
        <f t="shared" si="98"/>
        <v>1.0297905152216789</v>
      </c>
      <c r="KO113" s="16">
        <f t="shared" si="98"/>
        <v>-1.5781610713247844E-2</v>
      </c>
      <c r="KP113" s="16">
        <f t="shared" si="98"/>
        <v>0</v>
      </c>
      <c r="KQ113" s="16">
        <f t="shared" si="98"/>
        <v>0</v>
      </c>
      <c r="KR113" s="16">
        <f t="shared" si="98"/>
        <v>0</v>
      </c>
      <c r="KS113" s="16">
        <f t="shared" si="98"/>
        <v>0</v>
      </c>
      <c r="KT113" s="16">
        <f t="shared" si="98"/>
        <v>0</v>
      </c>
      <c r="KU113" s="16">
        <f t="shared" si="98"/>
        <v>0</v>
      </c>
      <c r="KV113" s="16">
        <f t="shared" si="99"/>
        <v>0</v>
      </c>
      <c r="KW113" s="16">
        <f t="shared" si="99"/>
        <v>0</v>
      </c>
      <c r="KX113" s="16">
        <f t="shared" si="99"/>
        <v>0</v>
      </c>
      <c r="KY113" s="16">
        <f t="shared" si="99"/>
        <v>0</v>
      </c>
      <c r="KZ113" s="16">
        <f t="shared" si="99"/>
        <v>0</v>
      </c>
      <c r="LA113" s="16">
        <f t="shared" si="99"/>
        <v>0</v>
      </c>
      <c r="LB113" s="16">
        <f t="shared" si="99"/>
        <v>0</v>
      </c>
      <c r="LC113" s="16">
        <f t="shared" si="99"/>
        <v>0</v>
      </c>
      <c r="LD113" s="16">
        <f t="shared" si="99"/>
        <v>0</v>
      </c>
      <c r="LE113" s="16">
        <f t="shared" si="99"/>
        <v>0</v>
      </c>
      <c r="LF113" s="16">
        <f t="shared" si="99"/>
        <v>0</v>
      </c>
      <c r="LI113" s="9">
        <f t="shared" ref="LI113:LI131" si="124">LI112-1</f>
        <v>18</v>
      </c>
      <c r="LJ113" s="16">
        <f t="shared" si="100"/>
        <v>0</v>
      </c>
      <c r="LK113" s="16">
        <f t="shared" si="100"/>
        <v>-0.11574439675605995</v>
      </c>
      <c r="LL113" s="16">
        <f t="shared" si="100"/>
        <v>1.2350110814180275</v>
      </c>
      <c r="LM113" s="16">
        <f t="shared" si="100"/>
        <v>-0.1244977930942175</v>
      </c>
      <c r="LN113" s="16">
        <f t="shared" si="100"/>
        <v>0</v>
      </c>
      <c r="LO113" s="16">
        <f t="shared" si="100"/>
        <v>0</v>
      </c>
      <c r="LP113" s="16">
        <f t="shared" si="100"/>
        <v>0</v>
      </c>
      <c r="LQ113" s="16">
        <f t="shared" si="100"/>
        <v>0</v>
      </c>
      <c r="LR113" s="16">
        <f t="shared" si="100"/>
        <v>0</v>
      </c>
      <c r="LS113" s="16">
        <f t="shared" si="100"/>
        <v>0</v>
      </c>
      <c r="LT113" s="16">
        <f t="shared" si="101"/>
        <v>0</v>
      </c>
      <c r="LU113" s="16">
        <f t="shared" si="101"/>
        <v>0</v>
      </c>
      <c r="LV113" s="16">
        <f t="shared" si="101"/>
        <v>0</v>
      </c>
      <c r="LW113" s="16">
        <f t="shared" si="101"/>
        <v>0</v>
      </c>
      <c r="LX113" s="16">
        <f t="shared" si="101"/>
        <v>0</v>
      </c>
      <c r="LY113" s="16">
        <f t="shared" si="101"/>
        <v>0</v>
      </c>
      <c r="LZ113" s="16">
        <f t="shared" si="101"/>
        <v>0</v>
      </c>
      <c r="MA113" s="16">
        <f t="shared" si="101"/>
        <v>0</v>
      </c>
      <c r="MB113" s="16">
        <f t="shared" si="101"/>
        <v>0</v>
      </c>
      <c r="MC113" s="16">
        <f t="shared" si="101"/>
        <v>0</v>
      </c>
      <c r="MD113" s="16">
        <f t="shared" si="101"/>
        <v>0</v>
      </c>
      <c r="MG113" s="9">
        <f t="shared" ref="MG113:MG131" si="125">MG112-1</f>
        <v>18</v>
      </c>
      <c r="MH113" s="16">
        <f t="shared" si="102"/>
        <v>0</v>
      </c>
      <c r="MI113" s="16">
        <f t="shared" si="102"/>
        <v>-1.6121229296614838E-2</v>
      </c>
      <c r="MJ113" s="16">
        <f t="shared" si="102"/>
        <v>1.0327330534951973</v>
      </c>
      <c r="MK113" s="16">
        <f t="shared" si="102"/>
        <v>-1.7340428786582356E-2</v>
      </c>
      <c r="ML113" s="16">
        <f t="shared" si="102"/>
        <v>0</v>
      </c>
      <c r="MM113" s="16">
        <f t="shared" si="102"/>
        <v>0</v>
      </c>
      <c r="MN113" s="16">
        <f t="shared" si="102"/>
        <v>0</v>
      </c>
      <c r="MO113" s="16">
        <f t="shared" si="102"/>
        <v>0</v>
      </c>
      <c r="MP113" s="16">
        <f t="shared" si="102"/>
        <v>0</v>
      </c>
      <c r="MQ113" s="16">
        <f t="shared" si="102"/>
        <v>0</v>
      </c>
      <c r="MR113" s="16">
        <f t="shared" si="103"/>
        <v>0</v>
      </c>
      <c r="MS113" s="16">
        <f t="shared" si="103"/>
        <v>0</v>
      </c>
      <c r="MT113" s="16">
        <f t="shared" si="103"/>
        <v>0</v>
      </c>
      <c r="MU113" s="16">
        <f t="shared" si="103"/>
        <v>0</v>
      </c>
      <c r="MV113" s="16">
        <f t="shared" si="103"/>
        <v>0</v>
      </c>
      <c r="MW113" s="16">
        <f t="shared" si="103"/>
        <v>0</v>
      </c>
      <c r="MX113" s="16">
        <f t="shared" si="103"/>
        <v>0</v>
      </c>
      <c r="MY113" s="16">
        <f t="shared" si="103"/>
        <v>0</v>
      </c>
      <c r="MZ113" s="16">
        <f t="shared" si="103"/>
        <v>0</v>
      </c>
      <c r="NA113" s="16">
        <f t="shared" si="103"/>
        <v>0</v>
      </c>
      <c r="NB113" s="16">
        <f t="shared" si="103"/>
        <v>0</v>
      </c>
      <c r="NE113" s="9">
        <f t="shared" ref="NE113:NE131" si="126">NE112-1</f>
        <v>18</v>
      </c>
      <c r="NF113" s="16">
        <f t="shared" si="104"/>
        <v>0</v>
      </c>
      <c r="NG113" s="16">
        <f t="shared" si="104"/>
        <v>-0.11574439675605995</v>
      </c>
      <c r="NH113" s="16">
        <f t="shared" si="104"/>
        <v>1.2350110814180275</v>
      </c>
      <c r="NI113" s="16">
        <f t="shared" si="104"/>
        <v>-0.1244977930942175</v>
      </c>
      <c r="NJ113" s="16">
        <f t="shared" si="104"/>
        <v>0</v>
      </c>
      <c r="NK113" s="16">
        <f t="shared" si="104"/>
        <v>0</v>
      </c>
      <c r="NL113" s="16">
        <f t="shared" si="104"/>
        <v>0</v>
      </c>
      <c r="NM113" s="16">
        <f t="shared" si="104"/>
        <v>0</v>
      </c>
      <c r="NN113" s="16">
        <f t="shared" si="104"/>
        <v>0</v>
      </c>
      <c r="NO113" s="16">
        <f t="shared" si="104"/>
        <v>0</v>
      </c>
      <c r="NP113" s="16">
        <f t="shared" si="105"/>
        <v>0</v>
      </c>
      <c r="NQ113" s="16">
        <f t="shared" si="105"/>
        <v>0</v>
      </c>
      <c r="NR113" s="16">
        <f t="shared" si="105"/>
        <v>0</v>
      </c>
      <c r="NS113" s="16">
        <f t="shared" si="105"/>
        <v>0</v>
      </c>
      <c r="NT113" s="16">
        <f t="shared" si="105"/>
        <v>0</v>
      </c>
      <c r="NU113" s="16">
        <f t="shared" si="105"/>
        <v>0</v>
      </c>
      <c r="NV113" s="16">
        <f t="shared" si="105"/>
        <v>0</v>
      </c>
      <c r="NW113" s="16">
        <f t="shared" si="105"/>
        <v>0</v>
      </c>
      <c r="NX113" s="16">
        <f t="shared" si="105"/>
        <v>0</v>
      </c>
      <c r="NY113" s="16">
        <f t="shared" si="105"/>
        <v>0</v>
      </c>
      <c r="NZ113" s="16">
        <f t="shared" si="105"/>
        <v>0</v>
      </c>
      <c r="OC113" s="9">
        <f t="shared" ref="OC113:OC131" si="127">OC112-1</f>
        <v>18</v>
      </c>
      <c r="OD113" s="16">
        <f t="shared" si="106"/>
        <v>0</v>
      </c>
      <c r="OE113" s="16">
        <f t="shared" si="106"/>
        <v>-1.7569918504076368E-2</v>
      </c>
      <c r="OF113" s="16">
        <f t="shared" si="106"/>
        <v>1.0356745178496376</v>
      </c>
      <c r="OG113" s="16">
        <f t="shared" si="106"/>
        <v>-1.8898677948211245E-2</v>
      </c>
      <c r="OH113" s="16">
        <f t="shared" si="106"/>
        <v>0</v>
      </c>
      <c r="OI113" s="16">
        <f t="shared" si="106"/>
        <v>0</v>
      </c>
      <c r="OJ113" s="16">
        <f t="shared" si="106"/>
        <v>0</v>
      </c>
      <c r="OK113" s="16">
        <f t="shared" si="106"/>
        <v>0</v>
      </c>
      <c r="OL113" s="16">
        <f t="shared" si="106"/>
        <v>0</v>
      </c>
      <c r="OM113" s="16">
        <f t="shared" si="106"/>
        <v>0</v>
      </c>
      <c r="ON113" s="16">
        <f t="shared" si="107"/>
        <v>0</v>
      </c>
      <c r="OO113" s="16">
        <f t="shared" si="107"/>
        <v>0</v>
      </c>
      <c r="OP113" s="16">
        <f t="shared" si="107"/>
        <v>0</v>
      </c>
      <c r="OQ113" s="16">
        <f t="shared" si="107"/>
        <v>0</v>
      </c>
      <c r="OR113" s="16">
        <f t="shared" si="107"/>
        <v>0</v>
      </c>
      <c r="OS113" s="16">
        <f t="shared" si="107"/>
        <v>0</v>
      </c>
      <c r="OT113" s="16">
        <f t="shared" si="107"/>
        <v>0</v>
      </c>
      <c r="OU113" s="16">
        <f t="shared" si="107"/>
        <v>0</v>
      </c>
      <c r="OV113" s="16">
        <f t="shared" si="107"/>
        <v>0</v>
      </c>
      <c r="OW113" s="16">
        <f t="shared" si="107"/>
        <v>0</v>
      </c>
      <c r="OX113" s="16">
        <f t="shared" si="107"/>
        <v>0</v>
      </c>
      <c r="PA113" s="9">
        <f t="shared" ref="PA113:PA131" si="128">PA112-1</f>
        <v>18</v>
      </c>
      <c r="PB113" s="16">
        <f t="shared" si="108"/>
        <v>0</v>
      </c>
      <c r="PC113" s="16">
        <f t="shared" si="108"/>
        <v>-0.11573963655055898</v>
      </c>
      <c r="PD113" s="16">
        <f t="shared" si="108"/>
        <v>1.2350014161463261</v>
      </c>
      <c r="PE113" s="16">
        <f t="shared" si="108"/>
        <v>-0.12449267288886713</v>
      </c>
      <c r="PF113" s="16">
        <f t="shared" si="108"/>
        <v>0</v>
      </c>
      <c r="PG113" s="16">
        <f t="shared" si="108"/>
        <v>0</v>
      </c>
      <c r="PH113" s="16">
        <f t="shared" si="108"/>
        <v>0</v>
      </c>
      <c r="PI113" s="16">
        <f t="shared" si="108"/>
        <v>0</v>
      </c>
      <c r="PJ113" s="16">
        <f t="shared" si="108"/>
        <v>0</v>
      </c>
      <c r="PK113" s="16">
        <f t="shared" si="108"/>
        <v>0</v>
      </c>
      <c r="PL113" s="16">
        <f t="shared" si="109"/>
        <v>0</v>
      </c>
      <c r="PM113" s="16">
        <f t="shared" si="109"/>
        <v>0</v>
      </c>
      <c r="PN113" s="16">
        <f t="shared" si="109"/>
        <v>0</v>
      </c>
      <c r="PO113" s="16">
        <f t="shared" si="109"/>
        <v>0</v>
      </c>
      <c r="PP113" s="16">
        <f t="shared" si="109"/>
        <v>0</v>
      </c>
      <c r="PQ113" s="16">
        <f t="shared" si="109"/>
        <v>0</v>
      </c>
      <c r="PR113" s="16">
        <f t="shared" si="109"/>
        <v>0</v>
      </c>
      <c r="PS113" s="16">
        <f t="shared" si="109"/>
        <v>0</v>
      </c>
      <c r="PT113" s="16">
        <f t="shared" si="109"/>
        <v>0</v>
      </c>
      <c r="PU113" s="16">
        <f t="shared" si="109"/>
        <v>0</v>
      </c>
      <c r="PV113" s="16">
        <f t="shared" si="109"/>
        <v>0</v>
      </c>
    </row>
    <row r="114" spans="3:438" x14ac:dyDescent="0.25">
      <c r="C114" s="1"/>
      <c r="D114" s="1"/>
      <c r="F114" s="1"/>
      <c r="H114" s="1"/>
      <c r="I114" s="9">
        <f t="shared" si="111"/>
        <v>17</v>
      </c>
      <c r="J114" s="16">
        <f t="shared" si="110"/>
        <v>0</v>
      </c>
      <c r="K114" s="16">
        <f t="shared" si="75"/>
        <v>0</v>
      </c>
      <c r="L114" s="16">
        <f t="shared" si="75"/>
        <v>-1.417174033242284E-2</v>
      </c>
      <c r="M114" s="16">
        <f t="shared" si="75"/>
        <v>1.0286134647126781</v>
      </c>
      <c r="N114" s="16">
        <f t="shared" si="75"/>
        <v>-1.4842689851255381E-2</v>
      </c>
      <c r="O114" s="16">
        <f t="shared" si="75"/>
        <v>0</v>
      </c>
      <c r="P114" s="16">
        <f t="shared" si="75"/>
        <v>0</v>
      </c>
      <c r="Q114" s="16">
        <f t="shared" si="75"/>
        <v>0</v>
      </c>
      <c r="R114" s="16">
        <f t="shared" si="75"/>
        <v>0</v>
      </c>
      <c r="S114" s="16">
        <f t="shared" si="75"/>
        <v>0</v>
      </c>
      <c r="T114" s="16">
        <f t="shared" si="75"/>
        <v>0</v>
      </c>
      <c r="U114" s="16">
        <f t="shared" si="75"/>
        <v>0</v>
      </c>
      <c r="V114" s="16">
        <f t="shared" si="75"/>
        <v>0</v>
      </c>
      <c r="W114" s="16">
        <f t="shared" si="75"/>
        <v>0</v>
      </c>
      <c r="X114" s="16">
        <f t="shared" si="75"/>
        <v>0</v>
      </c>
      <c r="Y114" s="16">
        <f t="shared" si="75"/>
        <v>0</v>
      </c>
      <c r="Z114" s="16">
        <f t="shared" si="75"/>
        <v>0</v>
      </c>
      <c r="AA114" s="16">
        <f t="shared" si="75"/>
        <v>0</v>
      </c>
      <c r="AB114" s="16">
        <f t="shared" si="75"/>
        <v>0</v>
      </c>
      <c r="AC114" s="16">
        <f t="shared" si="75"/>
        <v>0</v>
      </c>
      <c r="AD114" s="16">
        <f t="shared" si="75"/>
        <v>0</v>
      </c>
      <c r="AE114" s="1"/>
      <c r="AF114" s="1"/>
      <c r="AG114" s="9">
        <f t="shared" si="112"/>
        <v>17</v>
      </c>
      <c r="AH114" s="16">
        <f t="shared" si="76"/>
        <v>0</v>
      </c>
      <c r="AI114" s="16">
        <f t="shared" si="76"/>
        <v>0</v>
      </c>
      <c r="AJ114" s="16">
        <f t="shared" si="76"/>
        <v>-0.11343306398575764</v>
      </c>
      <c r="AK114" s="16">
        <f t="shared" si="76"/>
        <v>1.2290271270481676</v>
      </c>
      <c r="AL114" s="16">
        <f t="shared" si="76"/>
        <v>-0.11880346013441002</v>
      </c>
      <c r="AM114" s="16">
        <f t="shared" si="76"/>
        <v>0</v>
      </c>
      <c r="AN114" s="16">
        <f t="shared" si="76"/>
        <v>0</v>
      </c>
      <c r="AO114" s="16">
        <f t="shared" si="76"/>
        <v>0</v>
      </c>
      <c r="AP114" s="16">
        <f t="shared" si="76"/>
        <v>0</v>
      </c>
      <c r="AQ114" s="16">
        <f t="shared" si="76"/>
        <v>0</v>
      </c>
      <c r="AR114" s="16">
        <f t="shared" si="77"/>
        <v>0</v>
      </c>
      <c r="AS114" s="16">
        <f t="shared" si="77"/>
        <v>0</v>
      </c>
      <c r="AT114" s="16">
        <f t="shared" si="77"/>
        <v>0</v>
      </c>
      <c r="AU114" s="16">
        <f t="shared" si="77"/>
        <v>0</v>
      </c>
      <c r="AV114" s="16">
        <f t="shared" si="77"/>
        <v>0</v>
      </c>
      <c r="AW114" s="16">
        <f t="shared" si="77"/>
        <v>0</v>
      </c>
      <c r="AX114" s="16">
        <f t="shared" si="77"/>
        <v>0</v>
      </c>
      <c r="AY114" s="16">
        <f t="shared" si="77"/>
        <v>0</v>
      </c>
      <c r="AZ114" s="16">
        <f t="shared" si="77"/>
        <v>0</v>
      </c>
      <c r="BA114" s="16">
        <f t="shared" si="77"/>
        <v>0</v>
      </c>
      <c r="BB114" s="16">
        <f t="shared" si="77"/>
        <v>0</v>
      </c>
      <c r="BE114" s="9">
        <f t="shared" si="113"/>
        <v>17</v>
      </c>
      <c r="BF114" s="16">
        <f t="shared" si="78"/>
        <v>0</v>
      </c>
      <c r="BG114" s="16">
        <f t="shared" si="78"/>
        <v>0</v>
      </c>
      <c r="BH114" s="16">
        <f t="shared" si="78"/>
        <v>-0.113418278654164</v>
      </c>
      <c r="BI114" s="16">
        <f t="shared" si="78"/>
        <v>1.2289972747114823</v>
      </c>
      <c r="BJ114" s="16">
        <f t="shared" si="78"/>
        <v>-0.11878797480331836</v>
      </c>
      <c r="BK114" s="16">
        <f t="shared" si="78"/>
        <v>0</v>
      </c>
      <c r="BL114" s="16">
        <f t="shared" si="78"/>
        <v>0</v>
      </c>
      <c r="BM114" s="16">
        <f t="shared" si="78"/>
        <v>0</v>
      </c>
      <c r="BN114" s="16">
        <f t="shared" si="78"/>
        <v>0</v>
      </c>
      <c r="BO114" s="16">
        <f t="shared" si="78"/>
        <v>0</v>
      </c>
      <c r="BP114" s="16">
        <f t="shared" si="79"/>
        <v>0</v>
      </c>
      <c r="BQ114" s="16">
        <f t="shared" si="79"/>
        <v>0</v>
      </c>
      <c r="BR114" s="16">
        <f t="shared" si="79"/>
        <v>0</v>
      </c>
      <c r="BS114" s="16">
        <f t="shared" si="79"/>
        <v>0</v>
      </c>
      <c r="BT114" s="16">
        <f t="shared" si="79"/>
        <v>0</v>
      </c>
      <c r="BU114" s="16">
        <f t="shared" si="79"/>
        <v>0</v>
      </c>
      <c r="BV114" s="16">
        <f t="shared" si="79"/>
        <v>0</v>
      </c>
      <c r="BW114" s="16">
        <f t="shared" si="79"/>
        <v>0</v>
      </c>
      <c r="BX114" s="16">
        <f t="shared" si="79"/>
        <v>0</v>
      </c>
      <c r="BY114" s="16">
        <f t="shared" si="79"/>
        <v>0</v>
      </c>
      <c r="BZ114" s="16">
        <f t="shared" si="79"/>
        <v>0</v>
      </c>
      <c r="CC114" s="9">
        <f t="shared" si="114"/>
        <v>17</v>
      </c>
      <c r="CD114" s="16">
        <f t="shared" si="80"/>
        <v>0</v>
      </c>
      <c r="CE114" s="16">
        <f t="shared" si="80"/>
        <v>0</v>
      </c>
      <c r="CF114" s="16">
        <f t="shared" si="80"/>
        <v>-0.11341827865416367</v>
      </c>
      <c r="CG114" s="16">
        <f t="shared" si="80"/>
        <v>1.2289972747114817</v>
      </c>
      <c r="CH114" s="16">
        <f t="shared" si="80"/>
        <v>-0.11878797480331803</v>
      </c>
      <c r="CI114" s="16">
        <f t="shared" si="80"/>
        <v>0</v>
      </c>
      <c r="CJ114" s="16">
        <f t="shared" si="80"/>
        <v>0</v>
      </c>
      <c r="CK114" s="16">
        <f t="shared" si="80"/>
        <v>0</v>
      </c>
      <c r="CL114" s="16">
        <f t="shared" si="80"/>
        <v>0</v>
      </c>
      <c r="CM114" s="16">
        <f t="shared" si="80"/>
        <v>0</v>
      </c>
      <c r="CN114" s="16">
        <f t="shared" si="81"/>
        <v>0</v>
      </c>
      <c r="CO114" s="16">
        <f t="shared" si="81"/>
        <v>0</v>
      </c>
      <c r="CP114" s="16">
        <f t="shared" si="81"/>
        <v>0</v>
      </c>
      <c r="CQ114" s="16">
        <f t="shared" si="81"/>
        <v>0</v>
      </c>
      <c r="CR114" s="16">
        <f t="shared" si="81"/>
        <v>0</v>
      </c>
      <c r="CS114" s="16">
        <f t="shared" si="81"/>
        <v>0</v>
      </c>
      <c r="CT114" s="16">
        <f t="shared" si="81"/>
        <v>0</v>
      </c>
      <c r="CU114" s="16">
        <f t="shared" si="81"/>
        <v>0</v>
      </c>
      <c r="CV114" s="16">
        <f t="shared" si="81"/>
        <v>0</v>
      </c>
      <c r="CW114" s="16">
        <f t="shared" si="81"/>
        <v>0</v>
      </c>
      <c r="CX114" s="16">
        <f t="shared" si="81"/>
        <v>0</v>
      </c>
      <c r="DA114" s="9">
        <f t="shared" si="115"/>
        <v>17</v>
      </c>
      <c r="DB114" s="16">
        <f t="shared" si="82"/>
        <v>0</v>
      </c>
      <c r="DC114" s="16">
        <f t="shared" si="82"/>
        <v>0</v>
      </c>
      <c r="DD114" s="16">
        <f t="shared" si="82"/>
        <v>-1.4179132998219829E-2</v>
      </c>
      <c r="DE114" s="16">
        <f t="shared" si="82"/>
        <v>1.0286283908810212</v>
      </c>
      <c r="DF114" s="16">
        <f t="shared" si="82"/>
        <v>-1.4850432516801381E-2</v>
      </c>
      <c r="DG114" s="16">
        <f t="shared" si="82"/>
        <v>0</v>
      </c>
      <c r="DH114" s="16">
        <f t="shared" si="82"/>
        <v>0</v>
      </c>
      <c r="DI114" s="16">
        <f t="shared" si="82"/>
        <v>0</v>
      </c>
      <c r="DJ114" s="16">
        <f t="shared" si="82"/>
        <v>0</v>
      </c>
      <c r="DK114" s="16">
        <f t="shared" si="82"/>
        <v>0</v>
      </c>
      <c r="DL114" s="16">
        <f t="shared" si="83"/>
        <v>0</v>
      </c>
      <c r="DM114" s="16">
        <f t="shared" si="83"/>
        <v>0</v>
      </c>
      <c r="DN114" s="16">
        <f t="shared" si="83"/>
        <v>0</v>
      </c>
      <c r="DO114" s="16">
        <f t="shared" si="83"/>
        <v>0</v>
      </c>
      <c r="DP114" s="16">
        <f t="shared" si="83"/>
        <v>0</v>
      </c>
      <c r="DQ114" s="16">
        <f t="shared" si="83"/>
        <v>0</v>
      </c>
      <c r="DR114" s="16">
        <f t="shared" si="83"/>
        <v>0</v>
      </c>
      <c r="DS114" s="16">
        <f t="shared" si="83"/>
        <v>0</v>
      </c>
      <c r="DT114" s="16">
        <f t="shared" si="83"/>
        <v>0</v>
      </c>
      <c r="DU114" s="16">
        <f t="shared" si="83"/>
        <v>0</v>
      </c>
      <c r="DV114" s="16">
        <f t="shared" si="83"/>
        <v>0</v>
      </c>
      <c r="DY114" s="9">
        <f t="shared" si="116"/>
        <v>17</v>
      </c>
      <c r="DZ114" s="16">
        <f t="shared" si="84"/>
        <v>0</v>
      </c>
      <c r="EA114" s="16">
        <f t="shared" si="84"/>
        <v>0</v>
      </c>
      <c r="EB114" s="16">
        <f t="shared" si="84"/>
        <v>-8.1529187081658086E-2</v>
      </c>
      <c r="EC114" s="16">
        <f t="shared" si="84"/>
        <v>1.1652190915664704</v>
      </c>
      <c r="ED114" s="16">
        <f t="shared" si="84"/>
        <v>-8.6898883230812435E-2</v>
      </c>
      <c r="EE114" s="16">
        <f t="shared" si="84"/>
        <v>0</v>
      </c>
      <c r="EF114" s="16">
        <f t="shared" si="84"/>
        <v>0</v>
      </c>
      <c r="EG114" s="16">
        <f t="shared" si="84"/>
        <v>0</v>
      </c>
      <c r="EH114" s="16">
        <f t="shared" si="84"/>
        <v>0</v>
      </c>
      <c r="EI114" s="16">
        <f t="shared" si="84"/>
        <v>0</v>
      </c>
      <c r="EJ114" s="16">
        <f t="shared" si="85"/>
        <v>0</v>
      </c>
      <c r="EK114" s="16">
        <f t="shared" si="85"/>
        <v>0</v>
      </c>
      <c r="EL114" s="16">
        <f t="shared" si="85"/>
        <v>0</v>
      </c>
      <c r="EM114" s="16">
        <f t="shared" si="85"/>
        <v>0</v>
      </c>
      <c r="EN114" s="16">
        <f t="shared" si="85"/>
        <v>0</v>
      </c>
      <c r="EO114" s="16">
        <f t="shared" si="85"/>
        <v>0</v>
      </c>
      <c r="EP114" s="16">
        <f t="shared" si="85"/>
        <v>0</v>
      </c>
      <c r="EQ114" s="16">
        <f t="shared" si="85"/>
        <v>0</v>
      </c>
      <c r="ER114" s="16">
        <f t="shared" si="85"/>
        <v>0</v>
      </c>
      <c r="ES114" s="16">
        <f t="shared" si="85"/>
        <v>0</v>
      </c>
      <c r="ET114" s="16">
        <f t="shared" si="85"/>
        <v>0</v>
      </c>
      <c r="EW114" s="9">
        <f t="shared" si="117"/>
        <v>17</v>
      </c>
      <c r="EX114" s="16">
        <f t="shared" si="86"/>
        <v>0</v>
      </c>
      <c r="EY114" s="16">
        <f t="shared" si="86"/>
        <v>0</v>
      </c>
      <c r="EZ114" s="16">
        <f t="shared" si="86"/>
        <v>-8.1529187081658322E-2</v>
      </c>
      <c r="FA114" s="16">
        <f t="shared" si="86"/>
        <v>1.1652190915664711</v>
      </c>
      <c r="FB114" s="16">
        <f t="shared" si="86"/>
        <v>-8.6898883230812685E-2</v>
      </c>
      <c r="FC114" s="16">
        <f t="shared" si="86"/>
        <v>0</v>
      </c>
      <c r="FD114" s="16">
        <f t="shared" si="86"/>
        <v>0</v>
      </c>
      <c r="FE114" s="16">
        <f t="shared" si="86"/>
        <v>0</v>
      </c>
      <c r="FF114" s="16">
        <f t="shared" si="86"/>
        <v>0</v>
      </c>
      <c r="FG114" s="16">
        <f t="shared" si="86"/>
        <v>0</v>
      </c>
      <c r="FH114" s="16">
        <f t="shared" si="87"/>
        <v>0</v>
      </c>
      <c r="FI114" s="16">
        <f t="shared" si="87"/>
        <v>0</v>
      </c>
      <c r="FJ114" s="16">
        <f t="shared" si="87"/>
        <v>0</v>
      </c>
      <c r="FK114" s="16">
        <f t="shared" si="87"/>
        <v>0</v>
      </c>
      <c r="FL114" s="16">
        <f t="shared" si="87"/>
        <v>0</v>
      </c>
      <c r="FM114" s="16">
        <f t="shared" si="87"/>
        <v>0</v>
      </c>
      <c r="FN114" s="16">
        <f t="shared" si="87"/>
        <v>0</v>
      </c>
      <c r="FO114" s="16">
        <f t="shared" si="87"/>
        <v>0</v>
      </c>
      <c r="FP114" s="16">
        <f t="shared" si="87"/>
        <v>0</v>
      </c>
      <c r="FQ114" s="16">
        <f t="shared" si="87"/>
        <v>0</v>
      </c>
      <c r="FR114" s="16">
        <f t="shared" si="87"/>
        <v>0</v>
      </c>
      <c r="FU114" s="9">
        <f t="shared" si="118"/>
        <v>17</v>
      </c>
      <c r="FV114" s="16">
        <f t="shared" si="88"/>
        <v>0</v>
      </c>
      <c r="FW114" s="16">
        <f t="shared" si="88"/>
        <v>0</v>
      </c>
      <c r="FX114" s="16">
        <f t="shared" si="88"/>
        <v>-8.1539815316188424E-2</v>
      </c>
      <c r="FY114" s="16">
        <f t="shared" si="88"/>
        <v>1.1652406297090292</v>
      </c>
      <c r="FZ114" s="16">
        <f t="shared" si="88"/>
        <v>-8.6910211464840778E-2</v>
      </c>
      <c r="GA114" s="16">
        <f t="shared" si="88"/>
        <v>0</v>
      </c>
      <c r="GB114" s="16">
        <f t="shared" si="88"/>
        <v>0</v>
      </c>
      <c r="GC114" s="16">
        <f t="shared" si="88"/>
        <v>0</v>
      </c>
      <c r="GD114" s="16">
        <f t="shared" si="88"/>
        <v>0</v>
      </c>
      <c r="GE114" s="16">
        <f t="shared" si="88"/>
        <v>0</v>
      </c>
      <c r="GF114" s="16">
        <f t="shared" si="89"/>
        <v>0</v>
      </c>
      <c r="GG114" s="16">
        <f t="shared" si="89"/>
        <v>0</v>
      </c>
      <c r="GH114" s="16">
        <f t="shared" si="89"/>
        <v>0</v>
      </c>
      <c r="GI114" s="16">
        <f t="shared" si="89"/>
        <v>0</v>
      </c>
      <c r="GJ114" s="16">
        <f t="shared" si="89"/>
        <v>0</v>
      </c>
      <c r="GK114" s="16">
        <f t="shared" si="89"/>
        <v>0</v>
      </c>
      <c r="GL114" s="16">
        <f t="shared" si="89"/>
        <v>0</v>
      </c>
      <c r="GM114" s="16">
        <f t="shared" si="89"/>
        <v>0</v>
      </c>
      <c r="GN114" s="16">
        <f t="shared" si="89"/>
        <v>0</v>
      </c>
      <c r="GO114" s="16">
        <f t="shared" si="89"/>
        <v>0</v>
      </c>
      <c r="GP114" s="16">
        <f t="shared" si="89"/>
        <v>0</v>
      </c>
      <c r="GS114" s="9">
        <f t="shared" si="119"/>
        <v>17</v>
      </c>
      <c r="GT114" s="16">
        <f t="shared" si="90"/>
        <v>0</v>
      </c>
      <c r="GU114" s="16">
        <f t="shared" si="90"/>
        <v>0</v>
      </c>
      <c r="GV114" s="16">
        <f t="shared" si="90"/>
        <v>-1.7648183437504145E-2</v>
      </c>
      <c r="GW114" s="16">
        <f t="shared" si="90"/>
        <v>1.0357640857184365</v>
      </c>
      <c r="GX114" s="16">
        <f t="shared" si="90"/>
        <v>-1.8810532603932364E-2</v>
      </c>
      <c r="GY114" s="16">
        <f t="shared" si="90"/>
        <v>0</v>
      </c>
      <c r="GZ114" s="16">
        <f t="shared" si="90"/>
        <v>0</v>
      </c>
      <c r="HA114" s="16">
        <f t="shared" si="90"/>
        <v>0</v>
      </c>
      <c r="HB114" s="16">
        <f t="shared" si="90"/>
        <v>0</v>
      </c>
      <c r="HC114" s="16">
        <f t="shared" si="90"/>
        <v>0</v>
      </c>
      <c r="HD114" s="16">
        <f t="shared" si="91"/>
        <v>0</v>
      </c>
      <c r="HE114" s="16">
        <f t="shared" si="91"/>
        <v>0</v>
      </c>
      <c r="HF114" s="16">
        <f t="shared" si="91"/>
        <v>0</v>
      </c>
      <c r="HG114" s="16">
        <f t="shared" si="91"/>
        <v>0</v>
      </c>
      <c r="HH114" s="16">
        <f t="shared" si="91"/>
        <v>0</v>
      </c>
      <c r="HI114" s="16">
        <f t="shared" si="91"/>
        <v>0</v>
      </c>
      <c r="HJ114" s="16">
        <f t="shared" si="91"/>
        <v>0</v>
      </c>
      <c r="HK114" s="16">
        <f t="shared" si="91"/>
        <v>0</v>
      </c>
      <c r="HL114" s="16">
        <f t="shared" si="91"/>
        <v>0</v>
      </c>
      <c r="HM114" s="16">
        <f t="shared" si="91"/>
        <v>0</v>
      </c>
      <c r="HN114" s="16">
        <f t="shared" si="91"/>
        <v>0</v>
      </c>
      <c r="HQ114" s="9">
        <f t="shared" si="120"/>
        <v>17</v>
      </c>
      <c r="HR114" s="16">
        <f t="shared" si="92"/>
        <v>0</v>
      </c>
      <c r="HS114" s="16">
        <f t="shared" si="92"/>
        <v>0</v>
      </c>
      <c r="HT114" s="16">
        <f t="shared" si="92"/>
        <v>-0.11629414223015309</v>
      </c>
      <c r="HU114" s="16">
        <f t="shared" si="92"/>
        <v>1.235670355875417</v>
      </c>
      <c r="HV114" s="16">
        <f t="shared" si="92"/>
        <v>-0.12395353673726391</v>
      </c>
      <c r="HW114" s="16">
        <f t="shared" si="92"/>
        <v>0</v>
      </c>
      <c r="HX114" s="16">
        <f t="shared" si="92"/>
        <v>0</v>
      </c>
      <c r="HY114" s="16">
        <f t="shared" si="92"/>
        <v>0</v>
      </c>
      <c r="HZ114" s="16">
        <f t="shared" si="92"/>
        <v>0</v>
      </c>
      <c r="IA114" s="16">
        <f t="shared" si="92"/>
        <v>0</v>
      </c>
      <c r="IB114" s="16">
        <f t="shared" si="93"/>
        <v>0</v>
      </c>
      <c r="IC114" s="16">
        <f t="shared" si="93"/>
        <v>0</v>
      </c>
      <c r="ID114" s="16">
        <f t="shared" si="93"/>
        <v>0</v>
      </c>
      <c r="IE114" s="16">
        <f t="shared" si="93"/>
        <v>0</v>
      </c>
      <c r="IF114" s="16">
        <f t="shared" si="93"/>
        <v>0</v>
      </c>
      <c r="IG114" s="16">
        <f t="shared" si="93"/>
        <v>0</v>
      </c>
      <c r="IH114" s="16">
        <f t="shared" si="93"/>
        <v>0</v>
      </c>
      <c r="II114" s="16">
        <f t="shared" si="93"/>
        <v>0</v>
      </c>
      <c r="IJ114" s="16">
        <f t="shared" si="93"/>
        <v>0</v>
      </c>
      <c r="IK114" s="16">
        <f t="shared" si="93"/>
        <v>0</v>
      </c>
      <c r="IL114" s="16">
        <f t="shared" si="93"/>
        <v>0</v>
      </c>
      <c r="IO114" s="9">
        <f t="shared" si="121"/>
        <v>17</v>
      </c>
      <c r="IP114" s="16">
        <f t="shared" si="94"/>
        <v>0</v>
      </c>
      <c r="IQ114" s="16">
        <f t="shared" si="94"/>
        <v>0</v>
      </c>
      <c r="IR114" s="16">
        <f t="shared" si="94"/>
        <v>-1.7652966143042664E-2</v>
      </c>
      <c r="IS114" s="16">
        <f t="shared" si="94"/>
        <v>1.0357737778825877</v>
      </c>
      <c r="IT114" s="16">
        <f t="shared" si="94"/>
        <v>-1.8815630309244977E-2</v>
      </c>
      <c r="IU114" s="16">
        <f t="shared" si="94"/>
        <v>0</v>
      </c>
      <c r="IV114" s="16">
        <f t="shared" si="94"/>
        <v>0</v>
      </c>
      <c r="IW114" s="16">
        <f t="shared" si="94"/>
        <v>0</v>
      </c>
      <c r="IX114" s="16">
        <f t="shared" si="94"/>
        <v>0</v>
      </c>
      <c r="IY114" s="16">
        <f t="shared" si="94"/>
        <v>0</v>
      </c>
      <c r="IZ114" s="16">
        <f t="shared" si="95"/>
        <v>0</v>
      </c>
      <c r="JA114" s="16">
        <f t="shared" si="95"/>
        <v>0</v>
      </c>
      <c r="JB114" s="16">
        <f t="shared" si="95"/>
        <v>0</v>
      </c>
      <c r="JC114" s="16">
        <f t="shared" si="95"/>
        <v>0</v>
      </c>
      <c r="JD114" s="16">
        <f t="shared" si="95"/>
        <v>0</v>
      </c>
      <c r="JE114" s="16">
        <f t="shared" si="95"/>
        <v>0</v>
      </c>
      <c r="JF114" s="16">
        <f t="shared" si="95"/>
        <v>0</v>
      </c>
      <c r="JG114" s="16">
        <f t="shared" si="95"/>
        <v>0</v>
      </c>
      <c r="JH114" s="16">
        <f t="shared" si="95"/>
        <v>0</v>
      </c>
      <c r="JI114" s="16">
        <f t="shared" si="95"/>
        <v>0</v>
      </c>
      <c r="JJ114" s="16">
        <f t="shared" si="95"/>
        <v>0</v>
      </c>
      <c r="JM114" s="9">
        <f t="shared" si="122"/>
        <v>17</v>
      </c>
      <c r="JN114" s="16">
        <f t="shared" si="96"/>
        <v>0</v>
      </c>
      <c r="JO114" s="16">
        <f t="shared" si="96"/>
        <v>0</v>
      </c>
      <c r="JP114" s="16">
        <f t="shared" si="96"/>
        <v>-0.1162920165832471</v>
      </c>
      <c r="JQ114" s="16">
        <f t="shared" si="96"/>
        <v>1.2356660482469053</v>
      </c>
      <c r="JR114" s="16">
        <f t="shared" si="96"/>
        <v>-0.12395127109045831</v>
      </c>
      <c r="JS114" s="16">
        <f t="shared" si="96"/>
        <v>0</v>
      </c>
      <c r="JT114" s="16">
        <f t="shared" si="96"/>
        <v>0</v>
      </c>
      <c r="JU114" s="16">
        <f t="shared" si="96"/>
        <v>0</v>
      </c>
      <c r="JV114" s="16">
        <f t="shared" si="96"/>
        <v>0</v>
      </c>
      <c r="JW114" s="16">
        <f t="shared" si="96"/>
        <v>0</v>
      </c>
      <c r="JX114" s="16">
        <f t="shared" si="97"/>
        <v>0</v>
      </c>
      <c r="JY114" s="16">
        <f t="shared" si="97"/>
        <v>0</v>
      </c>
      <c r="JZ114" s="16">
        <f t="shared" si="97"/>
        <v>0</v>
      </c>
      <c r="KA114" s="16">
        <f t="shared" si="97"/>
        <v>0</v>
      </c>
      <c r="KB114" s="16">
        <f t="shared" si="97"/>
        <v>0</v>
      </c>
      <c r="KC114" s="16">
        <f t="shared" si="97"/>
        <v>0</v>
      </c>
      <c r="KD114" s="16">
        <f t="shared" si="97"/>
        <v>0</v>
      </c>
      <c r="KE114" s="16">
        <f t="shared" si="97"/>
        <v>0</v>
      </c>
      <c r="KF114" s="16">
        <f t="shared" si="97"/>
        <v>0</v>
      </c>
      <c r="KG114" s="16">
        <f t="shared" si="97"/>
        <v>0</v>
      </c>
      <c r="KH114" s="16">
        <f t="shared" si="97"/>
        <v>0</v>
      </c>
      <c r="KK114" s="9">
        <f t="shared" si="123"/>
        <v>17</v>
      </c>
      <c r="KL114" s="16">
        <f t="shared" si="98"/>
        <v>0</v>
      </c>
      <c r="KM114" s="16">
        <f t="shared" si="98"/>
        <v>0</v>
      </c>
      <c r="KN114" s="16">
        <f t="shared" si="98"/>
        <v>-1.4741361293476725E-2</v>
      </c>
      <c r="KO114" s="16">
        <f t="shared" si="98"/>
        <v>1.0298734037286787</v>
      </c>
      <c r="KP114" s="16">
        <f t="shared" si="98"/>
        <v>-1.5712260597202068E-2</v>
      </c>
      <c r="KQ114" s="16">
        <f t="shared" si="98"/>
        <v>0</v>
      </c>
      <c r="KR114" s="16">
        <f t="shared" si="98"/>
        <v>0</v>
      </c>
      <c r="KS114" s="16">
        <f t="shared" si="98"/>
        <v>0</v>
      </c>
      <c r="KT114" s="16">
        <f t="shared" si="98"/>
        <v>0</v>
      </c>
      <c r="KU114" s="16">
        <f t="shared" si="98"/>
        <v>0</v>
      </c>
      <c r="KV114" s="16">
        <f t="shared" si="99"/>
        <v>0</v>
      </c>
      <c r="KW114" s="16">
        <f t="shared" si="99"/>
        <v>0</v>
      </c>
      <c r="KX114" s="16">
        <f t="shared" si="99"/>
        <v>0</v>
      </c>
      <c r="KY114" s="16">
        <f t="shared" si="99"/>
        <v>0</v>
      </c>
      <c r="KZ114" s="16">
        <f t="shared" si="99"/>
        <v>0</v>
      </c>
      <c r="LA114" s="16">
        <f t="shared" si="99"/>
        <v>0</v>
      </c>
      <c r="LB114" s="16">
        <f t="shared" si="99"/>
        <v>0</v>
      </c>
      <c r="LC114" s="16">
        <f t="shared" si="99"/>
        <v>0</v>
      </c>
      <c r="LD114" s="16">
        <f t="shared" si="99"/>
        <v>0</v>
      </c>
      <c r="LE114" s="16">
        <f t="shared" si="99"/>
        <v>0</v>
      </c>
      <c r="LF114" s="16">
        <f t="shared" si="99"/>
        <v>0</v>
      </c>
      <c r="LI114" s="9">
        <f t="shared" si="124"/>
        <v>17</v>
      </c>
      <c r="LJ114" s="16">
        <f t="shared" si="100"/>
        <v>0</v>
      </c>
      <c r="LK114" s="16">
        <f t="shared" si="100"/>
        <v>0</v>
      </c>
      <c r="LL114" s="16">
        <f t="shared" si="100"/>
        <v>-0.11629148517152058</v>
      </c>
      <c r="LM114" s="16">
        <f t="shared" si="100"/>
        <v>1.2356649713397774</v>
      </c>
      <c r="LN114" s="16">
        <f t="shared" si="100"/>
        <v>-0.12395070467875689</v>
      </c>
      <c r="LO114" s="16">
        <f t="shared" si="100"/>
        <v>0</v>
      </c>
      <c r="LP114" s="16">
        <f t="shared" si="100"/>
        <v>0</v>
      </c>
      <c r="LQ114" s="16">
        <f t="shared" si="100"/>
        <v>0</v>
      </c>
      <c r="LR114" s="16">
        <f t="shared" si="100"/>
        <v>0</v>
      </c>
      <c r="LS114" s="16">
        <f t="shared" si="100"/>
        <v>0</v>
      </c>
      <c r="LT114" s="16">
        <f t="shared" si="101"/>
        <v>0</v>
      </c>
      <c r="LU114" s="16">
        <f t="shared" si="101"/>
        <v>0</v>
      </c>
      <c r="LV114" s="16">
        <f t="shared" si="101"/>
        <v>0</v>
      </c>
      <c r="LW114" s="16">
        <f t="shared" si="101"/>
        <v>0</v>
      </c>
      <c r="LX114" s="16">
        <f t="shared" si="101"/>
        <v>0</v>
      </c>
      <c r="LY114" s="16">
        <f t="shared" si="101"/>
        <v>0</v>
      </c>
      <c r="LZ114" s="16">
        <f t="shared" si="101"/>
        <v>0</v>
      </c>
      <c r="MA114" s="16">
        <f t="shared" si="101"/>
        <v>0</v>
      </c>
      <c r="MB114" s="16">
        <f t="shared" si="101"/>
        <v>0</v>
      </c>
      <c r="MC114" s="16">
        <f t="shared" si="101"/>
        <v>0</v>
      </c>
      <c r="MD114" s="16">
        <f t="shared" si="101"/>
        <v>0</v>
      </c>
      <c r="MG114" s="9">
        <f t="shared" si="125"/>
        <v>17</v>
      </c>
      <c r="MH114" s="16">
        <f t="shared" si="102"/>
        <v>0</v>
      </c>
      <c r="MI114" s="16">
        <f t="shared" si="102"/>
        <v>0</v>
      </c>
      <c r="MJ114" s="16">
        <f t="shared" si="102"/>
        <v>-1.6197429424122958E-2</v>
      </c>
      <c r="MK114" s="16">
        <f t="shared" si="102"/>
        <v>1.0328241292591971</v>
      </c>
      <c r="ML114" s="16">
        <f t="shared" si="102"/>
        <v>-1.7264228659074236E-2</v>
      </c>
      <c r="MM114" s="16">
        <f t="shared" si="102"/>
        <v>0</v>
      </c>
      <c r="MN114" s="16">
        <f t="shared" si="102"/>
        <v>0</v>
      </c>
      <c r="MO114" s="16">
        <f t="shared" si="102"/>
        <v>0</v>
      </c>
      <c r="MP114" s="16">
        <f t="shared" si="102"/>
        <v>0</v>
      </c>
      <c r="MQ114" s="16">
        <f t="shared" si="102"/>
        <v>0</v>
      </c>
      <c r="MR114" s="16">
        <f t="shared" si="103"/>
        <v>0</v>
      </c>
      <c r="MS114" s="16">
        <f t="shared" si="103"/>
        <v>0</v>
      </c>
      <c r="MT114" s="16">
        <f t="shared" si="103"/>
        <v>0</v>
      </c>
      <c r="MU114" s="16">
        <f t="shared" si="103"/>
        <v>0</v>
      </c>
      <c r="MV114" s="16">
        <f t="shared" si="103"/>
        <v>0</v>
      </c>
      <c r="MW114" s="16">
        <f t="shared" si="103"/>
        <v>0</v>
      </c>
      <c r="MX114" s="16">
        <f t="shared" si="103"/>
        <v>0</v>
      </c>
      <c r="MY114" s="16">
        <f t="shared" si="103"/>
        <v>0</v>
      </c>
      <c r="MZ114" s="16">
        <f t="shared" si="103"/>
        <v>0</v>
      </c>
      <c r="NA114" s="16">
        <f t="shared" si="103"/>
        <v>0</v>
      </c>
      <c r="NB114" s="16">
        <f t="shared" si="103"/>
        <v>0</v>
      </c>
      <c r="NE114" s="9">
        <f t="shared" si="126"/>
        <v>17</v>
      </c>
      <c r="NF114" s="16">
        <f t="shared" si="104"/>
        <v>0</v>
      </c>
      <c r="NG114" s="16">
        <f t="shared" si="104"/>
        <v>0</v>
      </c>
      <c r="NH114" s="16">
        <f t="shared" si="104"/>
        <v>-0.11629148517152058</v>
      </c>
      <c r="NI114" s="16">
        <f t="shared" si="104"/>
        <v>1.2356649713397774</v>
      </c>
      <c r="NJ114" s="16">
        <f t="shared" si="104"/>
        <v>-0.12395070467875689</v>
      </c>
      <c r="NK114" s="16">
        <f t="shared" si="104"/>
        <v>0</v>
      </c>
      <c r="NL114" s="16">
        <f t="shared" si="104"/>
        <v>0</v>
      </c>
      <c r="NM114" s="16">
        <f t="shared" si="104"/>
        <v>0</v>
      </c>
      <c r="NN114" s="16">
        <f t="shared" si="104"/>
        <v>0</v>
      </c>
      <c r="NO114" s="16">
        <f t="shared" si="104"/>
        <v>0</v>
      </c>
      <c r="NP114" s="16">
        <f t="shared" si="105"/>
        <v>0</v>
      </c>
      <c r="NQ114" s="16">
        <f t="shared" si="105"/>
        <v>0</v>
      </c>
      <c r="NR114" s="16">
        <f t="shared" si="105"/>
        <v>0</v>
      </c>
      <c r="NS114" s="16">
        <f t="shared" si="105"/>
        <v>0</v>
      </c>
      <c r="NT114" s="16">
        <f t="shared" si="105"/>
        <v>0</v>
      </c>
      <c r="NU114" s="16">
        <f t="shared" si="105"/>
        <v>0</v>
      </c>
      <c r="NV114" s="16">
        <f t="shared" si="105"/>
        <v>0</v>
      </c>
      <c r="NW114" s="16">
        <f t="shared" si="105"/>
        <v>0</v>
      </c>
      <c r="NX114" s="16">
        <f t="shared" si="105"/>
        <v>0</v>
      </c>
      <c r="NY114" s="16">
        <f t="shared" si="105"/>
        <v>0</v>
      </c>
      <c r="NZ114" s="16">
        <f t="shared" si="105"/>
        <v>0</v>
      </c>
      <c r="OC114" s="9">
        <f t="shared" si="127"/>
        <v>17</v>
      </c>
      <c r="OD114" s="16">
        <f t="shared" si="106"/>
        <v>0</v>
      </c>
      <c r="OE114" s="16">
        <f t="shared" si="106"/>
        <v>0</v>
      </c>
      <c r="OF114" s="16">
        <f t="shared" si="106"/>
        <v>-1.765296614304265E-2</v>
      </c>
      <c r="OG114" s="16">
        <f t="shared" si="106"/>
        <v>1.0357737778825875</v>
      </c>
      <c r="OH114" s="16">
        <f t="shared" si="106"/>
        <v>-1.8815630309244963E-2</v>
      </c>
      <c r="OI114" s="16">
        <f t="shared" si="106"/>
        <v>0</v>
      </c>
      <c r="OJ114" s="16">
        <f t="shared" si="106"/>
        <v>0</v>
      </c>
      <c r="OK114" s="16">
        <f t="shared" si="106"/>
        <v>0</v>
      </c>
      <c r="OL114" s="16">
        <f t="shared" si="106"/>
        <v>0</v>
      </c>
      <c r="OM114" s="16">
        <f t="shared" si="106"/>
        <v>0</v>
      </c>
      <c r="ON114" s="16">
        <f t="shared" si="107"/>
        <v>0</v>
      </c>
      <c r="OO114" s="16">
        <f t="shared" si="107"/>
        <v>0</v>
      </c>
      <c r="OP114" s="16">
        <f t="shared" si="107"/>
        <v>0</v>
      </c>
      <c r="OQ114" s="16">
        <f t="shared" si="107"/>
        <v>0</v>
      </c>
      <c r="OR114" s="16">
        <f t="shared" si="107"/>
        <v>0</v>
      </c>
      <c r="OS114" s="16">
        <f t="shared" si="107"/>
        <v>0</v>
      </c>
      <c r="OT114" s="16">
        <f t="shared" si="107"/>
        <v>0</v>
      </c>
      <c r="OU114" s="16">
        <f t="shared" si="107"/>
        <v>0</v>
      </c>
      <c r="OV114" s="16">
        <f t="shared" si="107"/>
        <v>0</v>
      </c>
      <c r="OW114" s="16">
        <f t="shared" si="107"/>
        <v>0</v>
      </c>
      <c r="OX114" s="16">
        <f t="shared" si="107"/>
        <v>0</v>
      </c>
      <c r="PA114" s="9">
        <f t="shared" si="128"/>
        <v>17</v>
      </c>
      <c r="PB114" s="16">
        <f t="shared" si="108"/>
        <v>0</v>
      </c>
      <c r="PC114" s="16">
        <f t="shared" si="108"/>
        <v>0</v>
      </c>
      <c r="PD114" s="16">
        <f t="shared" si="108"/>
        <v>-0.11628670246598195</v>
      </c>
      <c r="PE114" s="16">
        <f t="shared" si="108"/>
        <v>1.2356552791756261</v>
      </c>
      <c r="PF114" s="16">
        <f t="shared" si="108"/>
        <v>-0.12394560697344416</v>
      </c>
      <c r="PG114" s="16">
        <f t="shared" si="108"/>
        <v>0</v>
      </c>
      <c r="PH114" s="16">
        <f t="shared" si="108"/>
        <v>0</v>
      </c>
      <c r="PI114" s="16">
        <f t="shared" si="108"/>
        <v>0</v>
      </c>
      <c r="PJ114" s="16">
        <f t="shared" si="108"/>
        <v>0</v>
      </c>
      <c r="PK114" s="16">
        <f t="shared" si="108"/>
        <v>0</v>
      </c>
      <c r="PL114" s="16">
        <f t="shared" si="109"/>
        <v>0</v>
      </c>
      <c r="PM114" s="16">
        <f t="shared" si="109"/>
        <v>0</v>
      </c>
      <c r="PN114" s="16">
        <f t="shared" si="109"/>
        <v>0</v>
      </c>
      <c r="PO114" s="16">
        <f t="shared" si="109"/>
        <v>0</v>
      </c>
      <c r="PP114" s="16">
        <f t="shared" si="109"/>
        <v>0</v>
      </c>
      <c r="PQ114" s="16">
        <f t="shared" si="109"/>
        <v>0</v>
      </c>
      <c r="PR114" s="16">
        <f t="shared" si="109"/>
        <v>0</v>
      </c>
      <c r="PS114" s="16">
        <f t="shared" si="109"/>
        <v>0</v>
      </c>
      <c r="PT114" s="16">
        <f t="shared" si="109"/>
        <v>0</v>
      </c>
      <c r="PU114" s="16">
        <f t="shared" si="109"/>
        <v>0</v>
      </c>
      <c r="PV114" s="16">
        <f t="shared" si="109"/>
        <v>0</v>
      </c>
    </row>
    <row r="115" spans="3:438" x14ac:dyDescent="0.25">
      <c r="C115" s="1"/>
      <c r="D115" s="1"/>
      <c r="F115" s="1"/>
      <c r="H115" s="1"/>
      <c r="I115" s="9">
        <f t="shared" si="111"/>
        <v>16</v>
      </c>
      <c r="J115" s="16">
        <f t="shared" si="110"/>
        <v>0</v>
      </c>
      <c r="K115" s="16">
        <f t="shared" si="75"/>
        <v>0</v>
      </c>
      <c r="L115" s="16">
        <f t="shared" si="75"/>
        <v>0</v>
      </c>
      <c r="M115" s="16">
        <f t="shared" si="75"/>
        <v>-1.4219664610671659E-2</v>
      </c>
      <c r="N115" s="16">
        <f t="shared" si="75"/>
        <v>1.0286707446726782</v>
      </c>
      <c r="O115" s="16">
        <f t="shared" si="75"/>
        <v>-1.4794765573006562E-2</v>
      </c>
      <c r="P115" s="16">
        <f t="shared" si="75"/>
        <v>0</v>
      </c>
      <c r="Q115" s="16">
        <f t="shared" si="75"/>
        <v>0</v>
      </c>
      <c r="R115" s="16">
        <f t="shared" si="75"/>
        <v>0</v>
      </c>
      <c r="S115" s="16">
        <f t="shared" si="75"/>
        <v>0</v>
      </c>
      <c r="T115" s="16">
        <f t="shared" si="75"/>
        <v>0</v>
      </c>
      <c r="U115" s="16">
        <f t="shared" si="75"/>
        <v>0</v>
      </c>
      <c r="V115" s="16">
        <f t="shared" si="75"/>
        <v>0</v>
      </c>
      <c r="W115" s="16">
        <f t="shared" si="75"/>
        <v>0</v>
      </c>
      <c r="X115" s="16">
        <f t="shared" si="75"/>
        <v>0</v>
      </c>
      <c r="Y115" s="16">
        <f t="shared" si="75"/>
        <v>0</v>
      </c>
      <c r="Z115" s="16">
        <f t="shared" si="75"/>
        <v>0</v>
      </c>
      <c r="AA115" s="16">
        <f t="shared" si="75"/>
        <v>0</v>
      </c>
      <c r="AB115" s="16">
        <f t="shared" si="75"/>
        <v>0</v>
      </c>
      <c r="AC115" s="16">
        <f t="shared" si="75"/>
        <v>0</v>
      </c>
      <c r="AD115" s="16">
        <f t="shared" si="75"/>
        <v>0</v>
      </c>
      <c r="AE115" s="1"/>
      <c r="AF115" s="1"/>
      <c r="AG115" s="9">
        <f t="shared" si="112"/>
        <v>16</v>
      </c>
      <c r="AH115" s="16">
        <f t="shared" si="76"/>
        <v>0</v>
      </c>
      <c r="AI115" s="16">
        <f t="shared" si="76"/>
        <v>0</v>
      </c>
      <c r="AJ115" s="16">
        <f t="shared" si="76"/>
        <v>0</v>
      </c>
      <c r="AK115" s="16">
        <f t="shared" si="76"/>
        <v>-0.11381665820873621</v>
      </c>
      <c r="AL115" s="16">
        <f t="shared" si="76"/>
        <v>1.2294856057681676</v>
      </c>
      <c r="AM115" s="16">
        <f t="shared" si="76"/>
        <v>-0.11841986591143147</v>
      </c>
      <c r="AN115" s="16">
        <f t="shared" si="76"/>
        <v>0</v>
      </c>
      <c r="AO115" s="16">
        <f t="shared" si="76"/>
        <v>0</v>
      </c>
      <c r="AP115" s="16">
        <f t="shared" si="76"/>
        <v>0</v>
      </c>
      <c r="AQ115" s="16">
        <f t="shared" si="76"/>
        <v>0</v>
      </c>
      <c r="AR115" s="16">
        <f t="shared" si="77"/>
        <v>0</v>
      </c>
      <c r="AS115" s="16">
        <f t="shared" si="77"/>
        <v>0</v>
      </c>
      <c r="AT115" s="16">
        <f t="shared" si="77"/>
        <v>0</v>
      </c>
      <c r="AU115" s="16">
        <f t="shared" si="77"/>
        <v>0</v>
      </c>
      <c r="AV115" s="16">
        <f t="shared" si="77"/>
        <v>0</v>
      </c>
      <c r="AW115" s="16">
        <f t="shared" si="77"/>
        <v>0</v>
      </c>
      <c r="AX115" s="16">
        <f t="shared" si="77"/>
        <v>0</v>
      </c>
      <c r="AY115" s="16">
        <f t="shared" si="77"/>
        <v>0</v>
      </c>
      <c r="AZ115" s="16">
        <f t="shared" si="77"/>
        <v>0</v>
      </c>
      <c r="BA115" s="16">
        <f t="shared" si="77"/>
        <v>0</v>
      </c>
      <c r="BB115" s="16">
        <f t="shared" si="77"/>
        <v>0</v>
      </c>
      <c r="BE115" s="9">
        <f t="shared" si="113"/>
        <v>16</v>
      </c>
      <c r="BF115" s="16">
        <f t="shared" si="78"/>
        <v>0</v>
      </c>
      <c r="BG115" s="16">
        <f t="shared" si="78"/>
        <v>0</v>
      </c>
      <c r="BH115" s="16">
        <f t="shared" si="78"/>
        <v>0</v>
      </c>
      <c r="BI115" s="16">
        <f t="shared" si="78"/>
        <v>-0.11380182287789556</v>
      </c>
      <c r="BJ115" s="16">
        <f t="shared" si="78"/>
        <v>1.2294556936714824</v>
      </c>
      <c r="BK115" s="16">
        <f t="shared" si="78"/>
        <v>-0.11840443057958681</v>
      </c>
      <c r="BL115" s="16">
        <f t="shared" si="78"/>
        <v>0</v>
      </c>
      <c r="BM115" s="16">
        <f t="shared" si="78"/>
        <v>0</v>
      </c>
      <c r="BN115" s="16">
        <f t="shared" si="78"/>
        <v>0</v>
      </c>
      <c r="BO115" s="16">
        <f t="shared" si="78"/>
        <v>0</v>
      </c>
      <c r="BP115" s="16">
        <f t="shared" si="79"/>
        <v>0</v>
      </c>
      <c r="BQ115" s="16">
        <f t="shared" si="79"/>
        <v>0</v>
      </c>
      <c r="BR115" s="16">
        <f t="shared" si="79"/>
        <v>0</v>
      </c>
      <c r="BS115" s="16">
        <f t="shared" si="79"/>
        <v>0</v>
      </c>
      <c r="BT115" s="16">
        <f t="shared" si="79"/>
        <v>0</v>
      </c>
      <c r="BU115" s="16">
        <f t="shared" si="79"/>
        <v>0</v>
      </c>
      <c r="BV115" s="16">
        <f t="shared" si="79"/>
        <v>0</v>
      </c>
      <c r="BW115" s="16">
        <f t="shared" si="79"/>
        <v>0</v>
      </c>
      <c r="BX115" s="16">
        <f t="shared" si="79"/>
        <v>0</v>
      </c>
      <c r="BY115" s="16">
        <f t="shared" si="79"/>
        <v>0</v>
      </c>
      <c r="BZ115" s="16">
        <f t="shared" si="79"/>
        <v>0</v>
      </c>
      <c r="CC115" s="9">
        <f t="shared" si="114"/>
        <v>16</v>
      </c>
      <c r="CD115" s="16">
        <f t="shared" si="80"/>
        <v>0</v>
      </c>
      <c r="CE115" s="16">
        <f t="shared" si="80"/>
        <v>0</v>
      </c>
      <c r="CF115" s="16">
        <f t="shared" si="80"/>
        <v>0</v>
      </c>
      <c r="CG115" s="16">
        <f t="shared" si="80"/>
        <v>-0.11380182287789523</v>
      </c>
      <c r="CH115" s="16">
        <f t="shared" si="80"/>
        <v>1.2294556936714818</v>
      </c>
      <c r="CI115" s="16">
        <f t="shared" si="80"/>
        <v>-0.11840443057958647</v>
      </c>
      <c r="CJ115" s="16">
        <f t="shared" si="80"/>
        <v>0</v>
      </c>
      <c r="CK115" s="16">
        <f t="shared" si="80"/>
        <v>0</v>
      </c>
      <c r="CL115" s="16">
        <f t="shared" si="80"/>
        <v>0</v>
      </c>
      <c r="CM115" s="16">
        <f t="shared" si="80"/>
        <v>0</v>
      </c>
      <c r="CN115" s="16">
        <f t="shared" si="81"/>
        <v>0</v>
      </c>
      <c r="CO115" s="16">
        <f t="shared" si="81"/>
        <v>0</v>
      </c>
      <c r="CP115" s="16">
        <f t="shared" si="81"/>
        <v>0</v>
      </c>
      <c r="CQ115" s="16">
        <f t="shared" si="81"/>
        <v>0</v>
      </c>
      <c r="CR115" s="16">
        <f t="shared" si="81"/>
        <v>0</v>
      </c>
      <c r="CS115" s="16">
        <f t="shared" si="81"/>
        <v>0</v>
      </c>
      <c r="CT115" s="16">
        <f t="shared" si="81"/>
        <v>0</v>
      </c>
      <c r="CU115" s="16">
        <f t="shared" si="81"/>
        <v>0</v>
      </c>
      <c r="CV115" s="16">
        <f t="shared" si="81"/>
        <v>0</v>
      </c>
      <c r="CW115" s="16">
        <f t="shared" si="81"/>
        <v>0</v>
      </c>
      <c r="CX115" s="16">
        <f t="shared" si="81"/>
        <v>0</v>
      </c>
      <c r="DA115" s="9">
        <f t="shared" si="115"/>
        <v>16</v>
      </c>
      <c r="DB115" s="16">
        <f t="shared" si="82"/>
        <v>0</v>
      </c>
      <c r="DC115" s="16">
        <f t="shared" si="82"/>
        <v>0</v>
      </c>
      <c r="DD115" s="16">
        <f t="shared" si="82"/>
        <v>0</v>
      </c>
      <c r="DE115" s="16">
        <f t="shared" si="82"/>
        <v>-1.4227082276092149E-2</v>
      </c>
      <c r="DF115" s="16">
        <f t="shared" si="82"/>
        <v>1.0286857007210213</v>
      </c>
      <c r="DG115" s="16">
        <f t="shared" si="82"/>
        <v>-1.4802483238929062E-2</v>
      </c>
      <c r="DH115" s="16">
        <f t="shared" si="82"/>
        <v>0</v>
      </c>
      <c r="DI115" s="16">
        <f t="shared" si="82"/>
        <v>0</v>
      </c>
      <c r="DJ115" s="16">
        <f t="shared" si="82"/>
        <v>0</v>
      </c>
      <c r="DK115" s="16">
        <f t="shared" si="82"/>
        <v>0</v>
      </c>
      <c r="DL115" s="16">
        <f t="shared" si="83"/>
        <v>0</v>
      </c>
      <c r="DM115" s="16">
        <f t="shared" si="83"/>
        <v>0</v>
      </c>
      <c r="DN115" s="16">
        <f t="shared" si="83"/>
        <v>0</v>
      </c>
      <c r="DO115" s="16">
        <f t="shared" si="83"/>
        <v>0</v>
      </c>
      <c r="DP115" s="16">
        <f t="shared" si="83"/>
        <v>0</v>
      </c>
      <c r="DQ115" s="16">
        <f t="shared" si="83"/>
        <v>0</v>
      </c>
      <c r="DR115" s="16">
        <f t="shared" si="83"/>
        <v>0</v>
      </c>
      <c r="DS115" s="16">
        <f t="shared" si="83"/>
        <v>0</v>
      </c>
      <c r="DT115" s="16">
        <f t="shared" si="83"/>
        <v>0</v>
      </c>
      <c r="DU115" s="16">
        <f t="shared" si="83"/>
        <v>0</v>
      </c>
      <c r="DV115" s="16">
        <f t="shared" si="83"/>
        <v>0</v>
      </c>
      <c r="DY115" s="9">
        <f t="shared" si="116"/>
        <v>16</v>
      </c>
      <c r="DZ115" s="16">
        <f t="shared" si="84"/>
        <v>0</v>
      </c>
      <c r="EA115" s="16">
        <f t="shared" si="84"/>
        <v>0</v>
      </c>
      <c r="EB115" s="16">
        <f t="shared" si="84"/>
        <v>0</v>
      </c>
      <c r="EC115" s="16">
        <f t="shared" si="84"/>
        <v>-8.1912731305389647E-2</v>
      </c>
      <c r="ED115" s="16">
        <f t="shared" si="84"/>
        <v>1.1656775105264705</v>
      </c>
      <c r="EE115" s="16">
        <f t="shared" si="84"/>
        <v>-8.6515339007080888E-2</v>
      </c>
      <c r="EF115" s="16">
        <f t="shared" si="84"/>
        <v>0</v>
      </c>
      <c r="EG115" s="16">
        <f t="shared" si="84"/>
        <v>0</v>
      </c>
      <c r="EH115" s="16">
        <f t="shared" si="84"/>
        <v>0</v>
      </c>
      <c r="EI115" s="16">
        <f t="shared" si="84"/>
        <v>0</v>
      </c>
      <c r="EJ115" s="16">
        <f t="shared" si="85"/>
        <v>0</v>
      </c>
      <c r="EK115" s="16">
        <f t="shared" si="85"/>
        <v>0</v>
      </c>
      <c r="EL115" s="16">
        <f t="shared" si="85"/>
        <v>0</v>
      </c>
      <c r="EM115" s="16">
        <f t="shared" si="85"/>
        <v>0</v>
      </c>
      <c r="EN115" s="16">
        <f t="shared" si="85"/>
        <v>0</v>
      </c>
      <c r="EO115" s="16">
        <f t="shared" si="85"/>
        <v>0</v>
      </c>
      <c r="EP115" s="16">
        <f t="shared" si="85"/>
        <v>0</v>
      </c>
      <c r="EQ115" s="16">
        <f t="shared" si="85"/>
        <v>0</v>
      </c>
      <c r="ER115" s="16">
        <f t="shared" si="85"/>
        <v>0</v>
      </c>
      <c r="ES115" s="16">
        <f t="shared" si="85"/>
        <v>0</v>
      </c>
      <c r="ET115" s="16">
        <f t="shared" si="85"/>
        <v>0</v>
      </c>
      <c r="EW115" s="9">
        <f t="shared" si="117"/>
        <v>16</v>
      </c>
      <c r="EX115" s="16">
        <f t="shared" si="86"/>
        <v>0</v>
      </c>
      <c r="EY115" s="16">
        <f t="shared" si="86"/>
        <v>0</v>
      </c>
      <c r="EZ115" s="16">
        <f t="shared" si="86"/>
        <v>0</v>
      </c>
      <c r="FA115" s="16">
        <f t="shared" si="86"/>
        <v>-8.1912731305389883E-2</v>
      </c>
      <c r="FB115" s="16">
        <f t="shared" si="86"/>
        <v>1.165677510526471</v>
      </c>
      <c r="FC115" s="16">
        <f t="shared" si="86"/>
        <v>-8.6515339007081138E-2</v>
      </c>
      <c r="FD115" s="16">
        <f t="shared" si="86"/>
        <v>0</v>
      </c>
      <c r="FE115" s="16">
        <f t="shared" si="86"/>
        <v>0</v>
      </c>
      <c r="FF115" s="16">
        <f t="shared" si="86"/>
        <v>0</v>
      </c>
      <c r="FG115" s="16">
        <f t="shared" si="86"/>
        <v>0</v>
      </c>
      <c r="FH115" s="16">
        <f t="shared" si="87"/>
        <v>0</v>
      </c>
      <c r="FI115" s="16">
        <f t="shared" si="87"/>
        <v>0</v>
      </c>
      <c r="FJ115" s="16">
        <f t="shared" si="87"/>
        <v>0</v>
      </c>
      <c r="FK115" s="16">
        <f t="shared" si="87"/>
        <v>0</v>
      </c>
      <c r="FL115" s="16">
        <f t="shared" si="87"/>
        <v>0</v>
      </c>
      <c r="FM115" s="16">
        <f t="shared" si="87"/>
        <v>0</v>
      </c>
      <c r="FN115" s="16">
        <f t="shared" si="87"/>
        <v>0</v>
      </c>
      <c r="FO115" s="16">
        <f t="shared" si="87"/>
        <v>0</v>
      </c>
      <c r="FP115" s="16">
        <f t="shared" si="87"/>
        <v>0</v>
      </c>
      <c r="FQ115" s="16">
        <f t="shared" si="87"/>
        <v>0</v>
      </c>
      <c r="FR115" s="16">
        <f t="shared" si="87"/>
        <v>0</v>
      </c>
      <c r="FU115" s="9">
        <f t="shared" si="118"/>
        <v>16</v>
      </c>
      <c r="FV115" s="16">
        <f t="shared" si="88"/>
        <v>0</v>
      </c>
      <c r="FW115" s="16">
        <f t="shared" si="88"/>
        <v>0</v>
      </c>
      <c r="FX115" s="16">
        <f t="shared" si="88"/>
        <v>0</v>
      </c>
      <c r="FY115" s="16">
        <f t="shared" si="88"/>
        <v>-8.1923409539166978E-2</v>
      </c>
      <c r="FZ115" s="16">
        <f t="shared" si="88"/>
        <v>1.1656991084290291</v>
      </c>
      <c r="GA115" s="16">
        <f t="shared" si="88"/>
        <v>-8.6526617241862225E-2</v>
      </c>
      <c r="GB115" s="16">
        <f t="shared" si="88"/>
        <v>0</v>
      </c>
      <c r="GC115" s="16">
        <f t="shared" si="88"/>
        <v>0</v>
      </c>
      <c r="GD115" s="16">
        <f t="shared" si="88"/>
        <v>0</v>
      </c>
      <c r="GE115" s="16">
        <f t="shared" si="88"/>
        <v>0</v>
      </c>
      <c r="GF115" s="16">
        <f t="shared" si="89"/>
        <v>0</v>
      </c>
      <c r="GG115" s="16">
        <f t="shared" si="89"/>
        <v>0</v>
      </c>
      <c r="GH115" s="16">
        <f t="shared" si="89"/>
        <v>0</v>
      </c>
      <c r="GI115" s="16">
        <f t="shared" si="89"/>
        <v>0</v>
      </c>
      <c r="GJ115" s="16">
        <f t="shared" si="89"/>
        <v>0</v>
      </c>
      <c r="GK115" s="16">
        <f t="shared" si="89"/>
        <v>0</v>
      </c>
      <c r="GL115" s="16">
        <f t="shared" si="89"/>
        <v>0</v>
      </c>
      <c r="GM115" s="16">
        <f t="shared" si="89"/>
        <v>0</v>
      </c>
      <c r="GN115" s="16">
        <f t="shared" si="89"/>
        <v>0</v>
      </c>
      <c r="GO115" s="16">
        <f t="shared" si="89"/>
        <v>0</v>
      </c>
      <c r="GP115" s="16">
        <f t="shared" si="89"/>
        <v>0</v>
      </c>
      <c r="GS115" s="9">
        <f t="shared" si="119"/>
        <v>16</v>
      </c>
      <c r="GT115" s="16">
        <f t="shared" si="90"/>
        <v>0</v>
      </c>
      <c r="GU115" s="16">
        <f t="shared" si="90"/>
        <v>0</v>
      </c>
      <c r="GV115" s="16">
        <f t="shared" si="90"/>
        <v>0</v>
      </c>
      <c r="GW115" s="16">
        <f t="shared" si="90"/>
        <v>-1.7731207187146467E-2</v>
      </c>
      <c r="GX115" s="16">
        <f t="shared" si="90"/>
        <v>1.0358633171984366</v>
      </c>
      <c r="GY115" s="16">
        <f t="shared" si="90"/>
        <v>-1.8727508854290042E-2</v>
      </c>
      <c r="GZ115" s="16">
        <f t="shared" si="90"/>
        <v>0</v>
      </c>
      <c r="HA115" s="16">
        <f t="shared" si="90"/>
        <v>0</v>
      </c>
      <c r="HB115" s="16">
        <f t="shared" si="90"/>
        <v>0</v>
      </c>
      <c r="HC115" s="16">
        <f t="shared" si="90"/>
        <v>0</v>
      </c>
      <c r="HD115" s="16">
        <f t="shared" si="91"/>
        <v>0</v>
      </c>
      <c r="HE115" s="16">
        <f t="shared" si="91"/>
        <v>0</v>
      </c>
      <c r="HF115" s="16">
        <f t="shared" si="91"/>
        <v>0</v>
      </c>
      <c r="HG115" s="16">
        <f t="shared" si="91"/>
        <v>0</v>
      </c>
      <c r="HH115" s="16">
        <f t="shared" si="91"/>
        <v>0</v>
      </c>
      <c r="HI115" s="16">
        <f t="shared" si="91"/>
        <v>0</v>
      </c>
      <c r="HJ115" s="16">
        <f t="shared" si="91"/>
        <v>0</v>
      </c>
      <c r="HK115" s="16">
        <f t="shared" si="91"/>
        <v>0</v>
      </c>
      <c r="HL115" s="16">
        <f t="shared" si="91"/>
        <v>0</v>
      </c>
      <c r="HM115" s="16">
        <f t="shared" si="91"/>
        <v>0</v>
      </c>
      <c r="HN115" s="16">
        <f t="shared" si="91"/>
        <v>0</v>
      </c>
      <c r="HQ115" s="9">
        <f t="shared" si="120"/>
        <v>16</v>
      </c>
      <c r="HR115" s="16">
        <f t="shared" si="92"/>
        <v>0</v>
      </c>
      <c r="HS115" s="16">
        <f t="shared" si="92"/>
        <v>0</v>
      </c>
      <c r="HT115" s="16">
        <f t="shared" si="92"/>
        <v>0</v>
      </c>
      <c r="HU115" s="16">
        <f t="shared" si="92"/>
        <v>-0.11684123399081933</v>
      </c>
      <c r="HV115" s="16">
        <f t="shared" si="92"/>
        <v>1.236324249795417</v>
      </c>
      <c r="HW115" s="16">
        <f t="shared" si="92"/>
        <v>-0.12340644497659767</v>
      </c>
      <c r="HX115" s="16">
        <f t="shared" si="92"/>
        <v>0</v>
      </c>
      <c r="HY115" s="16">
        <f t="shared" si="92"/>
        <v>0</v>
      </c>
      <c r="HZ115" s="16">
        <f t="shared" si="92"/>
        <v>0</v>
      </c>
      <c r="IA115" s="16">
        <f t="shared" si="92"/>
        <v>0</v>
      </c>
      <c r="IB115" s="16">
        <f t="shared" si="93"/>
        <v>0</v>
      </c>
      <c r="IC115" s="16">
        <f t="shared" si="93"/>
        <v>0</v>
      </c>
      <c r="ID115" s="16">
        <f t="shared" si="93"/>
        <v>0</v>
      </c>
      <c r="IE115" s="16">
        <f t="shared" si="93"/>
        <v>0</v>
      </c>
      <c r="IF115" s="16">
        <f t="shared" si="93"/>
        <v>0</v>
      </c>
      <c r="IG115" s="16">
        <f t="shared" si="93"/>
        <v>0</v>
      </c>
      <c r="IH115" s="16">
        <f t="shared" si="93"/>
        <v>0</v>
      </c>
      <c r="II115" s="16">
        <f t="shared" si="93"/>
        <v>0</v>
      </c>
      <c r="IJ115" s="16">
        <f t="shared" si="93"/>
        <v>0</v>
      </c>
      <c r="IK115" s="16">
        <f t="shared" si="93"/>
        <v>0</v>
      </c>
      <c r="IL115" s="16">
        <f t="shared" si="93"/>
        <v>0</v>
      </c>
      <c r="IO115" s="9">
        <f t="shared" si="121"/>
        <v>16</v>
      </c>
      <c r="IP115" s="16">
        <f t="shared" si="94"/>
        <v>0</v>
      </c>
      <c r="IQ115" s="16">
        <f t="shared" si="94"/>
        <v>0</v>
      </c>
      <c r="IR115" s="16">
        <f t="shared" si="94"/>
        <v>0</v>
      </c>
      <c r="IS115" s="16">
        <f t="shared" si="94"/>
        <v>-1.7736012392346137E-2</v>
      </c>
      <c r="IT115" s="16">
        <f t="shared" si="94"/>
        <v>1.0358730362545876</v>
      </c>
      <c r="IU115" s="16">
        <f t="shared" si="94"/>
        <v>-1.8732584059941507E-2</v>
      </c>
      <c r="IV115" s="16">
        <f t="shared" si="94"/>
        <v>0</v>
      </c>
      <c r="IW115" s="16">
        <f t="shared" si="94"/>
        <v>0</v>
      </c>
      <c r="IX115" s="16">
        <f t="shared" si="94"/>
        <v>0</v>
      </c>
      <c r="IY115" s="16">
        <f t="shared" si="94"/>
        <v>0</v>
      </c>
      <c r="IZ115" s="16">
        <f t="shared" si="95"/>
        <v>0</v>
      </c>
      <c r="JA115" s="16">
        <f t="shared" si="95"/>
        <v>0</v>
      </c>
      <c r="JB115" s="16">
        <f t="shared" si="95"/>
        <v>0</v>
      </c>
      <c r="JC115" s="16">
        <f t="shared" si="95"/>
        <v>0</v>
      </c>
      <c r="JD115" s="16">
        <f t="shared" si="95"/>
        <v>0</v>
      </c>
      <c r="JE115" s="16">
        <f t="shared" si="95"/>
        <v>0</v>
      </c>
      <c r="JF115" s="16">
        <f t="shared" si="95"/>
        <v>0</v>
      </c>
      <c r="JG115" s="16">
        <f t="shared" si="95"/>
        <v>0</v>
      </c>
      <c r="JH115" s="16">
        <f t="shared" si="95"/>
        <v>0</v>
      </c>
      <c r="JI115" s="16">
        <f t="shared" si="95"/>
        <v>0</v>
      </c>
      <c r="JJ115" s="16">
        <f t="shared" si="95"/>
        <v>0</v>
      </c>
      <c r="JM115" s="9">
        <f t="shared" si="122"/>
        <v>16</v>
      </c>
      <c r="JN115" s="16">
        <f t="shared" si="96"/>
        <v>0</v>
      </c>
      <c r="JO115" s="16">
        <f t="shared" si="96"/>
        <v>0</v>
      </c>
      <c r="JP115" s="16">
        <f t="shared" si="96"/>
        <v>0</v>
      </c>
      <c r="JQ115" s="16">
        <f t="shared" si="96"/>
        <v>-0.11683909834406393</v>
      </c>
      <c r="JR115" s="16">
        <f t="shared" si="96"/>
        <v>1.2363199302149055</v>
      </c>
      <c r="JS115" s="16">
        <f t="shared" si="96"/>
        <v>-0.12340418932964148</v>
      </c>
      <c r="JT115" s="16">
        <f t="shared" si="96"/>
        <v>0</v>
      </c>
      <c r="JU115" s="16">
        <f t="shared" si="96"/>
        <v>0</v>
      </c>
      <c r="JV115" s="16">
        <f t="shared" si="96"/>
        <v>0</v>
      </c>
      <c r="JW115" s="16">
        <f t="shared" si="96"/>
        <v>0</v>
      </c>
      <c r="JX115" s="16">
        <f t="shared" si="97"/>
        <v>0</v>
      </c>
      <c r="JY115" s="16">
        <f t="shared" si="97"/>
        <v>0</v>
      </c>
      <c r="JZ115" s="16">
        <f t="shared" si="97"/>
        <v>0</v>
      </c>
      <c r="KA115" s="16">
        <f t="shared" si="97"/>
        <v>0</v>
      </c>
      <c r="KB115" s="16">
        <f t="shared" si="97"/>
        <v>0</v>
      </c>
      <c r="KC115" s="16">
        <f t="shared" si="97"/>
        <v>0</v>
      </c>
      <c r="KD115" s="16">
        <f t="shared" si="97"/>
        <v>0</v>
      </c>
      <c r="KE115" s="16">
        <f t="shared" si="97"/>
        <v>0</v>
      </c>
      <c r="KF115" s="16">
        <f t="shared" si="97"/>
        <v>0</v>
      </c>
      <c r="KG115" s="16">
        <f t="shared" si="97"/>
        <v>0</v>
      </c>
      <c r="KH115" s="16">
        <f t="shared" si="97"/>
        <v>0</v>
      </c>
      <c r="KK115" s="9">
        <f t="shared" si="123"/>
        <v>16</v>
      </c>
      <c r="KL115" s="16">
        <f t="shared" si="98"/>
        <v>0</v>
      </c>
      <c r="KM115" s="16">
        <f t="shared" si="98"/>
        <v>0</v>
      </c>
      <c r="KN115" s="16">
        <f t="shared" si="98"/>
        <v>0</v>
      </c>
      <c r="KO115" s="16">
        <f t="shared" si="98"/>
        <v>-1.4810710249064741E-2</v>
      </c>
      <c r="KP115" s="16">
        <f t="shared" si="98"/>
        <v>1.0299562908486788</v>
      </c>
      <c r="KQ115" s="16">
        <f t="shared" si="98"/>
        <v>-1.5642911641614052E-2</v>
      </c>
      <c r="KR115" s="16">
        <f t="shared" si="98"/>
        <v>0</v>
      </c>
      <c r="KS115" s="16">
        <f t="shared" si="98"/>
        <v>0</v>
      </c>
      <c r="KT115" s="16">
        <f t="shared" si="98"/>
        <v>0</v>
      </c>
      <c r="KU115" s="16">
        <f t="shared" si="98"/>
        <v>0</v>
      </c>
      <c r="KV115" s="16">
        <f t="shared" si="99"/>
        <v>0</v>
      </c>
      <c r="KW115" s="16">
        <f t="shared" si="99"/>
        <v>0</v>
      </c>
      <c r="KX115" s="16">
        <f t="shared" si="99"/>
        <v>0</v>
      </c>
      <c r="KY115" s="16">
        <f t="shared" si="99"/>
        <v>0</v>
      </c>
      <c r="KZ115" s="16">
        <f t="shared" si="99"/>
        <v>0</v>
      </c>
      <c r="LA115" s="16">
        <f t="shared" si="99"/>
        <v>0</v>
      </c>
      <c r="LB115" s="16">
        <f t="shared" si="99"/>
        <v>0</v>
      </c>
      <c r="LC115" s="16">
        <f t="shared" si="99"/>
        <v>0</v>
      </c>
      <c r="LD115" s="16">
        <f t="shared" si="99"/>
        <v>0</v>
      </c>
      <c r="LE115" s="16">
        <f t="shared" si="99"/>
        <v>0</v>
      </c>
      <c r="LF115" s="16">
        <f t="shared" si="99"/>
        <v>0</v>
      </c>
      <c r="LI115" s="9">
        <f t="shared" si="124"/>
        <v>16</v>
      </c>
      <c r="LJ115" s="16">
        <f t="shared" si="100"/>
        <v>0</v>
      </c>
      <c r="LK115" s="16">
        <f t="shared" si="100"/>
        <v>0</v>
      </c>
      <c r="LL115" s="16">
        <f t="shared" si="100"/>
        <v>0</v>
      </c>
      <c r="LM115" s="16">
        <f t="shared" si="100"/>
        <v>-0.11683856443237506</v>
      </c>
      <c r="LN115" s="16">
        <f t="shared" si="100"/>
        <v>1.2363188503197775</v>
      </c>
      <c r="LO115" s="16">
        <f t="shared" si="100"/>
        <v>-0.1234036254179024</v>
      </c>
      <c r="LP115" s="16">
        <f t="shared" si="100"/>
        <v>0</v>
      </c>
      <c r="LQ115" s="16">
        <f t="shared" si="100"/>
        <v>0</v>
      </c>
      <c r="LR115" s="16">
        <f t="shared" si="100"/>
        <v>0</v>
      </c>
      <c r="LS115" s="16">
        <f t="shared" si="100"/>
        <v>0</v>
      </c>
      <c r="LT115" s="16">
        <f t="shared" si="101"/>
        <v>0</v>
      </c>
      <c r="LU115" s="16">
        <f t="shared" si="101"/>
        <v>0</v>
      </c>
      <c r="LV115" s="16">
        <f t="shared" si="101"/>
        <v>0</v>
      </c>
      <c r="LW115" s="16">
        <f t="shared" si="101"/>
        <v>0</v>
      </c>
      <c r="LX115" s="16">
        <f t="shared" si="101"/>
        <v>0</v>
      </c>
      <c r="LY115" s="16">
        <f t="shared" si="101"/>
        <v>0</v>
      </c>
      <c r="LZ115" s="16">
        <f t="shared" si="101"/>
        <v>0</v>
      </c>
      <c r="MA115" s="16">
        <f t="shared" si="101"/>
        <v>0</v>
      </c>
      <c r="MB115" s="16">
        <f t="shared" si="101"/>
        <v>0</v>
      </c>
      <c r="MC115" s="16">
        <f t="shared" si="101"/>
        <v>0</v>
      </c>
      <c r="MD115" s="16">
        <f t="shared" si="101"/>
        <v>0</v>
      </c>
      <c r="MG115" s="9">
        <f t="shared" si="125"/>
        <v>16</v>
      </c>
      <c r="MH115" s="16">
        <f t="shared" si="102"/>
        <v>0</v>
      </c>
      <c r="MI115" s="16">
        <f t="shared" si="102"/>
        <v>0</v>
      </c>
      <c r="MJ115" s="16">
        <f t="shared" si="102"/>
        <v>0</v>
      </c>
      <c r="MK115" s="16">
        <f t="shared" si="102"/>
        <v>-1.6273628276549879E-2</v>
      </c>
      <c r="ML115" s="16">
        <f t="shared" si="102"/>
        <v>1.0329152034991973</v>
      </c>
      <c r="MM115" s="16">
        <f t="shared" si="102"/>
        <v>-1.7188029806647319E-2</v>
      </c>
      <c r="MN115" s="16">
        <f t="shared" si="102"/>
        <v>0</v>
      </c>
      <c r="MO115" s="16">
        <f t="shared" si="102"/>
        <v>0</v>
      </c>
      <c r="MP115" s="16">
        <f t="shared" si="102"/>
        <v>0</v>
      </c>
      <c r="MQ115" s="16">
        <f t="shared" si="102"/>
        <v>0</v>
      </c>
      <c r="MR115" s="16">
        <f t="shared" si="103"/>
        <v>0</v>
      </c>
      <c r="MS115" s="16">
        <f t="shared" si="103"/>
        <v>0</v>
      </c>
      <c r="MT115" s="16">
        <f t="shared" si="103"/>
        <v>0</v>
      </c>
      <c r="MU115" s="16">
        <f t="shared" si="103"/>
        <v>0</v>
      </c>
      <c r="MV115" s="16">
        <f t="shared" si="103"/>
        <v>0</v>
      </c>
      <c r="MW115" s="16">
        <f t="shared" si="103"/>
        <v>0</v>
      </c>
      <c r="MX115" s="16">
        <f t="shared" si="103"/>
        <v>0</v>
      </c>
      <c r="MY115" s="16">
        <f t="shared" si="103"/>
        <v>0</v>
      </c>
      <c r="MZ115" s="16">
        <f t="shared" si="103"/>
        <v>0</v>
      </c>
      <c r="NA115" s="16">
        <f t="shared" si="103"/>
        <v>0</v>
      </c>
      <c r="NB115" s="16">
        <f t="shared" si="103"/>
        <v>0</v>
      </c>
      <c r="NE115" s="9">
        <f t="shared" si="126"/>
        <v>16</v>
      </c>
      <c r="NF115" s="16">
        <f t="shared" si="104"/>
        <v>0</v>
      </c>
      <c r="NG115" s="16">
        <f t="shared" si="104"/>
        <v>0</v>
      </c>
      <c r="NH115" s="16">
        <f t="shared" si="104"/>
        <v>0</v>
      </c>
      <c r="NI115" s="16">
        <f t="shared" si="104"/>
        <v>-0.11683856443237506</v>
      </c>
      <c r="NJ115" s="16">
        <f t="shared" si="104"/>
        <v>1.2363188503197775</v>
      </c>
      <c r="NK115" s="16">
        <f t="shared" si="104"/>
        <v>-0.1234036254179024</v>
      </c>
      <c r="NL115" s="16">
        <f t="shared" si="104"/>
        <v>0</v>
      </c>
      <c r="NM115" s="16">
        <f t="shared" si="104"/>
        <v>0</v>
      </c>
      <c r="NN115" s="16">
        <f t="shared" si="104"/>
        <v>0</v>
      </c>
      <c r="NO115" s="16">
        <f t="shared" si="104"/>
        <v>0</v>
      </c>
      <c r="NP115" s="16">
        <f t="shared" si="105"/>
        <v>0</v>
      </c>
      <c r="NQ115" s="16">
        <f t="shared" si="105"/>
        <v>0</v>
      </c>
      <c r="NR115" s="16">
        <f t="shared" si="105"/>
        <v>0</v>
      </c>
      <c r="NS115" s="16">
        <f t="shared" si="105"/>
        <v>0</v>
      </c>
      <c r="NT115" s="16">
        <f t="shared" si="105"/>
        <v>0</v>
      </c>
      <c r="NU115" s="16">
        <f t="shared" si="105"/>
        <v>0</v>
      </c>
      <c r="NV115" s="16">
        <f t="shared" si="105"/>
        <v>0</v>
      </c>
      <c r="NW115" s="16">
        <f t="shared" si="105"/>
        <v>0</v>
      </c>
      <c r="NX115" s="16">
        <f t="shared" si="105"/>
        <v>0</v>
      </c>
      <c r="NY115" s="16">
        <f t="shared" si="105"/>
        <v>0</v>
      </c>
      <c r="NZ115" s="16">
        <f t="shared" si="105"/>
        <v>0</v>
      </c>
      <c r="OC115" s="9">
        <f t="shared" si="127"/>
        <v>16</v>
      </c>
      <c r="OD115" s="16">
        <f t="shared" si="106"/>
        <v>0</v>
      </c>
      <c r="OE115" s="16">
        <f t="shared" si="106"/>
        <v>0</v>
      </c>
      <c r="OF115" s="16">
        <f t="shared" si="106"/>
        <v>0</v>
      </c>
      <c r="OG115" s="16">
        <f t="shared" si="106"/>
        <v>-1.7736012392346123E-2</v>
      </c>
      <c r="OH115" s="16">
        <f t="shared" si="106"/>
        <v>1.0358730362545876</v>
      </c>
      <c r="OI115" s="16">
        <f t="shared" si="106"/>
        <v>-1.8732584059941489E-2</v>
      </c>
      <c r="OJ115" s="16">
        <f t="shared" si="106"/>
        <v>0</v>
      </c>
      <c r="OK115" s="16">
        <f t="shared" si="106"/>
        <v>0</v>
      </c>
      <c r="OL115" s="16">
        <f t="shared" si="106"/>
        <v>0</v>
      </c>
      <c r="OM115" s="16">
        <f t="shared" si="106"/>
        <v>0</v>
      </c>
      <c r="ON115" s="16">
        <f t="shared" si="107"/>
        <v>0</v>
      </c>
      <c r="OO115" s="16">
        <f t="shared" si="107"/>
        <v>0</v>
      </c>
      <c r="OP115" s="16">
        <f t="shared" si="107"/>
        <v>0</v>
      </c>
      <c r="OQ115" s="16">
        <f t="shared" si="107"/>
        <v>0</v>
      </c>
      <c r="OR115" s="16">
        <f t="shared" si="107"/>
        <v>0</v>
      </c>
      <c r="OS115" s="16">
        <f t="shared" si="107"/>
        <v>0</v>
      </c>
      <c r="OT115" s="16">
        <f t="shared" si="107"/>
        <v>0</v>
      </c>
      <c r="OU115" s="16">
        <f t="shared" si="107"/>
        <v>0</v>
      </c>
      <c r="OV115" s="16">
        <f t="shared" si="107"/>
        <v>0</v>
      </c>
      <c r="OW115" s="16">
        <f t="shared" si="107"/>
        <v>0</v>
      </c>
      <c r="OX115" s="16">
        <f t="shared" si="107"/>
        <v>0</v>
      </c>
      <c r="PA115" s="9">
        <f t="shared" si="128"/>
        <v>16</v>
      </c>
      <c r="PB115" s="16">
        <f t="shared" si="108"/>
        <v>0</v>
      </c>
      <c r="PC115" s="16">
        <f t="shared" si="108"/>
        <v>0</v>
      </c>
      <c r="PD115" s="16">
        <f t="shared" si="108"/>
        <v>0</v>
      </c>
      <c r="PE115" s="16">
        <f t="shared" si="108"/>
        <v>-0.11683375922717529</v>
      </c>
      <c r="PF115" s="16">
        <f t="shared" si="108"/>
        <v>1.2363091312636261</v>
      </c>
      <c r="PG115" s="16">
        <f t="shared" si="108"/>
        <v>-0.12339855021225082</v>
      </c>
      <c r="PH115" s="16">
        <f t="shared" si="108"/>
        <v>0</v>
      </c>
      <c r="PI115" s="16">
        <f t="shared" si="108"/>
        <v>0</v>
      </c>
      <c r="PJ115" s="16">
        <f t="shared" si="108"/>
        <v>0</v>
      </c>
      <c r="PK115" s="16">
        <f t="shared" si="108"/>
        <v>0</v>
      </c>
      <c r="PL115" s="16">
        <f t="shared" si="109"/>
        <v>0</v>
      </c>
      <c r="PM115" s="16">
        <f t="shared" si="109"/>
        <v>0</v>
      </c>
      <c r="PN115" s="16">
        <f t="shared" si="109"/>
        <v>0</v>
      </c>
      <c r="PO115" s="16">
        <f t="shared" si="109"/>
        <v>0</v>
      </c>
      <c r="PP115" s="16">
        <f t="shared" si="109"/>
        <v>0</v>
      </c>
      <c r="PQ115" s="16">
        <f t="shared" si="109"/>
        <v>0</v>
      </c>
      <c r="PR115" s="16">
        <f t="shared" si="109"/>
        <v>0</v>
      </c>
      <c r="PS115" s="16">
        <f t="shared" si="109"/>
        <v>0</v>
      </c>
      <c r="PT115" s="16">
        <f t="shared" si="109"/>
        <v>0</v>
      </c>
      <c r="PU115" s="16">
        <f t="shared" si="109"/>
        <v>0</v>
      </c>
      <c r="PV115" s="16">
        <f t="shared" si="109"/>
        <v>0</v>
      </c>
    </row>
    <row r="116" spans="3:438" x14ac:dyDescent="0.25">
      <c r="C116" s="1"/>
      <c r="D116" s="1"/>
      <c r="F116" s="1"/>
      <c r="H116" s="1"/>
      <c r="I116" s="9">
        <f t="shared" si="111"/>
        <v>15</v>
      </c>
      <c r="J116" s="16">
        <f t="shared" si="110"/>
        <v>0</v>
      </c>
      <c r="K116" s="16">
        <f t="shared" si="75"/>
        <v>0</v>
      </c>
      <c r="L116" s="16">
        <f t="shared" si="75"/>
        <v>0</v>
      </c>
      <c r="M116" s="16">
        <f t="shared" si="75"/>
        <v>0</v>
      </c>
      <c r="N116" s="16">
        <f t="shared" si="75"/>
        <v>-1.4267589690866235E-2</v>
      </c>
      <c r="O116" s="16">
        <f t="shared" si="75"/>
        <v>1.0287280255911782</v>
      </c>
      <c r="P116" s="16">
        <f t="shared" si="75"/>
        <v>-1.4746840492811986E-2</v>
      </c>
      <c r="Q116" s="16">
        <f t="shared" si="75"/>
        <v>0</v>
      </c>
      <c r="R116" s="16">
        <f t="shared" si="75"/>
        <v>0</v>
      </c>
      <c r="S116" s="16">
        <f t="shared" si="75"/>
        <v>0</v>
      </c>
      <c r="T116" s="16">
        <f t="shared" si="75"/>
        <v>0</v>
      </c>
      <c r="U116" s="16">
        <f t="shared" si="75"/>
        <v>0</v>
      </c>
      <c r="V116" s="16">
        <f t="shared" si="75"/>
        <v>0</v>
      </c>
      <c r="W116" s="16">
        <f t="shared" si="75"/>
        <v>0</v>
      </c>
      <c r="X116" s="16">
        <f t="shared" si="75"/>
        <v>0</v>
      </c>
      <c r="Y116" s="16">
        <f t="shared" si="75"/>
        <v>0</v>
      </c>
      <c r="Z116" s="16">
        <f t="shared" si="75"/>
        <v>0</v>
      </c>
      <c r="AA116" s="16">
        <f t="shared" si="75"/>
        <v>0</v>
      </c>
      <c r="AB116" s="16">
        <f t="shared" si="75"/>
        <v>0</v>
      </c>
      <c r="AC116" s="16">
        <f t="shared" si="75"/>
        <v>0</v>
      </c>
      <c r="AD116" s="16">
        <f t="shared" si="75"/>
        <v>0</v>
      </c>
      <c r="AE116" s="1"/>
      <c r="AF116" s="1"/>
      <c r="AG116" s="9">
        <f t="shared" si="112"/>
        <v>15</v>
      </c>
      <c r="AH116" s="16">
        <f t="shared" si="76"/>
        <v>0</v>
      </c>
      <c r="AI116" s="16">
        <f t="shared" si="76"/>
        <v>0</v>
      </c>
      <c r="AJ116" s="16">
        <f t="shared" si="76"/>
        <v>0</v>
      </c>
      <c r="AK116" s="16">
        <f t="shared" si="76"/>
        <v>0</v>
      </c>
      <c r="AL116" s="16">
        <f t="shared" si="76"/>
        <v>-0.11420025885062748</v>
      </c>
      <c r="AM116" s="16">
        <f t="shared" si="76"/>
        <v>1.2299440921601676</v>
      </c>
      <c r="AN116" s="16">
        <f t="shared" si="76"/>
        <v>-0.1180362652695402</v>
      </c>
      <c r="AO116" s="16">
        <f t="shared" si="76"/>
        <v>0</v>
      </c>
      <c r="AP116" s="16">
        <f t="shared" si="76"/>
        <v>0</v>
      </c>
      <c r="AQ116" s="16">
        <f t="shared" si="76"/>
        <v>0</v>
      </c>
      <c r="AR116" s="16">
        <f t="shared" si="77"/>
        <v>0</v>
      </c>
      <c r="AS116" s="16">
        <f t="shared" si="77"/>
        <v>0</v>
      </c>
      <c r="AT116" s="16">
        <f t="shared" si="77"/>
        <v>0</v>
      </c>
      <c r="AU116" s="16">
        <f t="shared" si="77"/>
        <v>0</v>
      </c>
      <c r="AV116" s="16">
        <f t="shared" si="77"/>
        <v>0</v>
      </c>
      <c r="AW116" s="16">
        <f t="shared" si="77"/>
        <v>0</v>
      </c>
      <c r="AX116" s="16">
        <f t="shared" si="77"/>
        <v>0</v>
      </c>
      <c r="AY116" s="16">
        <f t="shared" si="77"/>
        <v>0</v>
      </c>
      <c r="AZ116" s="16">
        <f t="shared" si="77"/>
        <v>0</v>
      </c>
      <c r="BA116" s="16">
        <f t="shared" si="77"/>
        <v>0</v>
      </c>
      <c r="BB116" s="16">
        <f t="shared" si="77"/>
        <v>0</v>
      </c>
      <c r="BE116" s="9">
        <f t="shared" si="113"/>
        <v>15</v>
      </c>
      <c r="BF116" s="16">
        <f t="shared" si="78"/>
        <v>0</v>
      </c>
      <c r="BG116" s="16">
        <f t="shared" si="78"/>
        <v>0</v>
      </c>
      <c r="BH116" s="16">
        <f t="shared" si="78"/>
        <v>0</v>
      </c>
      <c r="BI116" s="16">
        <f t="shared" si="78"/>
        <v>0</v>
      </c>
      <c r="BJ116" s="16">
        <f t="shared" si="78"/>
        <v>-0.11418537351970316</v>
      </c>
      <c r="BK116" s="16">
        <f t="shared" si="78"/>
        <v>1.2299141203024824</v>
      </c>
      <c r="BL116" s="16">
        <f t="shared" si="78"/>
        <v>-0.1180208799377792</v>
      </c>
      <c r="BM116" s="16">
        <f t="shared" si="78"/>
        <v>0</v>
      </c>
      <c r="BN116" s="16">
        <f t="shared" si="78"/>
        <v>0</v>
      </c>
      <c r="BO116" s="16">
        <f t="shared" si="78"/>
        <v>0</v>
      </c>
      <c r="BP116" s="16">
        <f t="shared" si="79"/>
        <v>0</v>
      </c>
      <c r="BQ116" s="16">
        <f t="shared" si="79"/>
        <v>0</v>
      </c>
      <c r="BR116" s="16">
        <f t="shared" si="79"/>
        <v>0</v>
      </c>
      <c r="BS116" s="16">
        <f t="shared" si="79"/>
        <v>0</v>
      </c>
      <c r="BT116" s="16">
        <f t="shared" si="79"/>
        <v>0</v>
      </c>
      <c r="BU116" s="16">
        <f t="shared" si="79"/>
        <v>0</v>
      </c>
      <c r="BV116" s="16">
        <f t="shared" si="79"/>
        <v>0</v>
      </c>
      <c r="BW116" s="16">
        <f t="shared" si="79"/>
        <v>0</v>
      </c>
      <c r="BX116" s="16">
        <f t="shared" si="79"/>
        <v>0</v>
      </c>
      <c r="BY116" s="16">
        <f t="shared" si="79"/>
        <v>0</v>
      </c>
      <c r="BZ116" s="16">
        <f t="shared" si="79"/>
        <v>0</v>
      </c>
      <c r="CC116" s="9">
        <f t="shared" si="114"/>
        <v>15</v>
      </c>
      <c r="CD116" s="16">
        <f t="shared" si="80"/>
        <v>0</v>
      </c>
      <c r="CE116" s="16">
        <f t="shared" si="80"/>
        <v>0</v>
      </c>
      <c r="CF116" s="16">
        <f t="shared" si="80"/>
        <v>0</v>
      </c>
      <c r="CG116" s="16">
        <f t="shared" si="80"/>
        <v>0</v>
      </c>
      <c r="CH116" s="16">
        <f t="shared" si="80"/>
        <v>-0.11418537351970283</v>
      </c>
      <c r="CI116" s="16">
        <f t="shared" si="80"/>
        <v>1.2299141203024817</v>
      </c>
      <c r="CJ116" s="16">
        <f t="shared" si="80"/>
        <v>-0.11802087993777886</v>
      </c>
      <c r="CK116" s="16">
        <f t="shared" si="80"/>
        <v>0</v>
      </c>
      <c r="CL116" s="16">
        <f t="shared" si="80"/>
        <v>0</v>
      </c>
      <c r="CM116" s="16">
        <f t="shared" si="80"/>
        <v>0</v>
      </c>
      <c r="CN116" s="16">
        <f t="shared" si="81"/>
        <v>0</v>
      </c>
      <c r="CO116" s="16">
        <f t="shared" si="81"/>
        <v>0</v>
      </c>
      <c r="CP116" s="16">
        <f t="shared" si="81"/>
        <v>0</v>
      </c>
      <c r="CQ116" s="16">
        <f t="shared" si="81"/>
        <v>0</v>
      </c>
      <c r="CR116" s="16">
        <f t="shared" si="81"/>
        <v>0</v>
      </c>
      <c r="CS116" s="16">
        <f t="shared" si="81"/>
        <v>0</v>
      </c>
      <c r="CT116" s="16">
        <f t="shared" si="81"/>
        <v>0</v>
      </c>
      <c r="CU116" s="16">
        <f t="shared" si="81"/>
        <v>0</v>
      </c>
      <c r="CV116" s="16">
        <f t="shared" si="81"/>
        <v>0</v>
      </c>
      <c r="CW116" s="16">
        <f t="shared" si="81"/>
        <v>0</v>
      </c>
      <c r="CX116" s="16">
        <f t="shared" si="81"/>
        <v>0</v>
      </c>
      <c r="DA116" s="9">
        <f t="shared" si="115"/>
        <v>15</v>
      </c>
      <c r="DB116" s="16">
        <f t="shared" si="82"/>
        <v>0</v>
      </c>
      <c r="DC116" s="16">
        <f t="shared" si="82"/>
        <v>0</v>
      </c>
      <c r="DD116" s="16">
        <f t="shared" si="82"/>
        <v>0</v>
      </c>
      <c r="DE116" s="16">
        <f t="shared" si="82"/>
        <v>0</v>
      </c>
      <c r="DF116" s="16">
        <f t="shared" si="82"/>
        <v>-1.4275032356328559E-2</v>
      </c>
      <c r="DG116" s="16">
        <f t="shared" si="82"/>
        <v>1.0287430115200211</v>
      </c>
      <c r="DH116" s="16">
        <f t="shared" si="82"/>
        <v>-1.4754533158692651E-2</v>
      </c>
      <c r="DI116" s="16">
        <f t="shared" si="82"/>
        <v>0</v>
      </c>
      <c r="DJ116" s="16">
        <f t="shared" si="82"/>
        <v>0</v>
      </c>
      <c r="DK116" s="16">
        <f t="shared" si="82"/>
        <v>0</v>
      </c>
      <c r="DL116" s="16">
        <f t="shared" si="83"/>
        <v>0</v>
      </c>
      <c r="DM116" s="16">
        <f t="shared" si="83"/>
        <v>0</v>
      </c>
      <c r="DN116" s="16">
        <f t="shared" si="83"/>
        <v>0</v>
      </c>
      <c r="DO116" s="16">
        <f t="shared" si="83"/>
        <v>0</v>
      </c>
      <c r="DP116" s="16">
        <f t="shared" si="83"/>
        <v>0</v>
      </c>
      <c r="DQ116" s="16">
        <f t="shared" si="83"/>
        <v>0</v>
      </c>
      <c r="DR116" s="16">
        <f t="shared" si="83"/>
        <v>0</v>
      </c>
      <c r="DS116" s="16">
        <f t="shared" si="83"/>
        <v>0</v>
      </c>
      <c r="DT116" s="16">
        <f t="shared" si="83"/>
        <v>0</v>
      </c>
      <c r="DU116" s="16">
        <f t="shared" si="83"/>
        <v>0</v>
      </c>
      <c r="DV116" s="16">
        <f t="shared" si="83"/>
        <v>0</v>
      </c>
      <c r="DY116" s="9">
        <f t="shared" si="116"/>
        <v>15</v>
      </c>
      <c r="DZ116" s="16">
        <f t="shared" si="84"/>
        <v>0</v>
      </c>
      <c r="EA116" s="16">
        <f t="shared" si="84"/>
        <v>0</v>
      </c>
      <c r="EB116" s="16">
        <f t="shared" si="84"/>
        <v>0</v>
      </c>
      <c r="EC116" s="16">
        <f t="shared" si="84"/>
        <v>0</v>
      </c>
      <c r="ED116" s="16">
        <f t="shared" si="84"/>
        <v>-8.229628194719725E-2</v>
      </c>
      <c r="EE116" s="16">
        <f t="shared" si="84"/>
        <v>1.1661359371574704</v>
      </c>
      <c r="EF116" s="16">
        <f t="shared" si="84"/>
        <v>-8.6131788365273271E-2</v>
      </c>
      <c r="EG116" s="16">
        <f t="shared" si="84"/>
        <v>0</v>
      </c>
      <c r="EH116" s="16">
        <f t="shared" si="84"/>
        <v>0</v>
      </c>
      <c r="EI116" s="16">
        <f t="shared" si="84"/>
        <v>0</v>
      </c>
      <c r="EJ116" s="16">
        <f t="shared" si="85"/>
        <v>0</v>
      </c>
      <c r="EK116" s="16">
        <f t="shared" si="85"/>
        <v>0</v>
      </c>
      <c r="EL116" s="16">
        <f t="shared" si="85"/>
        <v>0</v>
      </c>
      <c r="EM116" s="16">
        <f t="shared" si="85"/>
        <v>0</v>
      </c>
      <c r="EN116" s="16">
        <f t="shared" si="85"/>
        <v>0</v>
      </c>
      <c r="EO116" s="16">
        <f t="shared" si="85"/>
        <v>0</v>
      </c>
      <c r="EP116" s="16">
        <f t="shared" si="85"/>
        <v>0</v>
      </c>
      <c r="EQ116" s="16">
        <f t="shared" si="85"/>
        <v>0</v>
      </c>
      <c r="ER116" s="16">
        <f t="shared" si="85"/>
        <v>0</v>
      </c>
      <c r="ES116" s="16">
        <f t="shared" si="85"/>
        <v>0</v>
      </c>
      <c r="ET116" s="16">
        <f t="shared" si="85"/>
        <v>0</v>
      </c>
      <c r="EW116" s="9">
        <f t="shared" si="117"/>
        <v>15</v>
      </c>
      <c r="EX116" s="16">
        <f t="shared" si="86"/>
        <v>0</v>
      </c>
      <c r="EY116" s="16">
        <f t="shared" si="86"/>
        <v>0</v>
      </c>
      <c r="EZ116" s="16">
        <f t="shared" si="86"/>
        <v>0</v>
      </c>
      <c r="FA116" s="16">
        <f t="shared" si="86"/>
        <v>0</v>
      </c>
      <c r="FB116" s="16">
        <f t="shared" si="86"/>
        <v>-8.2296281947197486E-2</v>
      </c>
      <c r="FC116" s="16">
        <f t="shared" si="86"/>
        <v>1.1661359371574711</v>
      </c>
      <c r="FD116" s="16">
        <f t="shared" si="86"/>
        <v>-8.6131788365273521E-2</v>
      </c>
      <c r="FE116" s="16">
        <f t="shared" si="86"/>
        <v>0</v>
      </c>
      <c r="FF116" s="16">
        <f t="shared" si="86"/>
        <v>0</v>
      </c>
      <c r="FG116" s="16">
        <f t="shared" si="86"/>
        <v>0</v>
      </c>
      <c r="FH116" s="16">
        <f t="shared" si="87"/>
        <v>0</v>
      </c>
      <c r="FI116" s="16">
        <f t="shared" si="87"/>
        <v>0</v>
      </c>
      <c r="FJ116" s="16">
        <f t="shared" si="87"/>
        <v>0</v>
      </c>
      <c r="FK116" s="16">
        <f t="shared" si="87"/>
        <v>0</v>
      </c>
      <c r="FL116" s="16">
        <f t="shared" si="87"/>
        <v>0</v>
      </c>
      <c r="FM116" s="16">
        <f t="shared" si="87"/>
        <v>0</v>
      </c>
      <c r="FN116" s="16">
        <f t="shared" si="87"/>
        <v>0</v>
      </c>
      <c r="FO116" s="16">
        <f t="shared" si="87"/>
        <v>0</v>
      </c>
      <c r="FP116" s="16">
        <f t="shared" si="87"/>
        <v>0</v>
      </c>
      <c r="FQ116" s="16">
        <f t="shared" si="87"/>
        <v>0</v>
      </c>
      <c r="FR116" s="16">
        <f t="shared" si="87"/>
        <v>0</v>
      </c>
      <c r="FU116" s="9">
        <f t="shared" si="118"/>
        <v>15</v>
      </c>
      <c r="FV116" s="16">
        <f t="shared" si="88"/>
        <v>0</v>
      </c>
      <c r="FW116" s="16">
        <f t="shared" si="88"/>
        <v>0</v>
      </c>
      <c r="FX116" s="16">
        <f t="shared" si="88"/>
        <v>0</v>
      </c>
      <c r="FY116" s="16">
        <f t="shared" si="88"/>
        <v>0</v>
      </c>
      <c r="FZ116" s="16">
        <f t="shared" si="88"/>
        <v>-8.2307010181058252E-2</v>
      </c>
      <c r="GA116" s="16">
        <f t="shared" si="88"/>
        <v>1.1661575948210292</v>
      </c>
      <c r="GB116" s="16">
        <f t="shared" si="88"/>
        <v>-8.6143016599970951E-2</v>
      </c>
      <c r="GC116" s="16">
        <f t="shared" si="88"/>
        <v>0</v>
      </c>
      <c r="GD116" s="16">
        <f t="shared" si="88"/>
        <v>0</v>
      </c>
      <c r="GE116" s="16">
        <f t="shared" si="88"/>
        <v>0</v>
      </c>
      <c r="GF116" s="16">
        <f t="shared" si="89"/>
        <v>0</v>
      </c>
      <c r="GG116" s="16">
        <f t="shared" si="89"/>
        <v>0</v>
      </c>
      <c r="GH116" s="16">
        <f t="shared" si="89"/>
        <v>0</v>
      </c>
      <c r="GI116" s="16">
        <f t="shared" si="89"/>
        <v>0</v>
      </c>
      <c r="GJ116" s="16">
        <f t="shared" si="89"/>
        <v>0</v>
      </c>
      <c r="GK116" s="16">
        <f t="shared" si="89"/>
        <v>0</v>
      </c>
      <c r="GL116" s="16">
        <f t="shared" si="89"/>
        <v>0</v>
      </c>
      <c r="GM116" s="16">
        <f t="shared" si="89"/>
        <v>0</v>
      </c>
      <c r="GN116" s="16">
        <f t="shared" si="89"/>
        <v>0</v>
      </c>
      <c r="GO116" s="16">
        <f t="shared" si="89"/>
        <v>0</v>
      </c>
      <c r="GP116" s="16">
        <f t="shared" si="89"/>
        <v>0</v>
      </c>
      <c r="GS116" s="9">
        <f t="shared" si="119"/>
        <v>15</v>
      </c>
      <c r="GT116" s="16">
        <f t="shared" si="90"/>
        <v>0</v>
      </c>
      <c r="GU116" s="16">
        <f t="shared" si="90"/>
        <v>0</v>
      </c>
      <c r="GV116" s="16">
        <f t="shared" si="90"/>
        <v>0</v>
      </c>
      <c r="GW116" s="16">
        <f t="shared" si="90"/>
        <v>0</v>
      </c>
      <c r="GX116" s="16">
        <f t="shared" si="90"/>
        <v>-1.78142323260751E-2</v>
      </c>
      <c r="GY116" s="16">
        <f t="shared" si="90"/>
        <v>1.0359625503389365</v>
      </c>
      <c r="GZ116" s="16">
        <f t="shared" si="90"/>
        <v>-1.8644483715361409E-2</v>
      </c>
      <c r="HA116" s="16">
        <f t="shared" si="90"/>
        <v>0</v>
      </c>
      <c r="HB116" s="16">
        <f t="shared" si="90"/>
        <v>0</v>
      </c>
      <c r="HC116" s="16">
        <f t="shared" si="90"/>
        <v>0</v>
      </c>
      <c r="HD116" s="16">
        <f t="shared" si="91"/>
        <v>0</v>
      </c>
      <c r="HE116" s="16">
        <f t="shared" si="91"/>
        <v>0</v>
      </c>
      <c r="HF116" s="16">
        <f t="shared" si="91"/>
        <v>0</v>
      </c>
      <c r="HG116" s="16">
        <f t="shared" si="91"/>
        <v>0</v>
      </c>
      <c r="HH116" s="16">
        <f t="shared" si="91"/>
        <v>0</v>
      </c>
      <c r="HI116" s="16">
        <f t="shared" si="91"/>
        <v>0</v>
      </c>
      <c r="HJ116" s="16">
        <f t="shared" si="91"/>
        <v>0</v>
      </c>
      <c r="HK116" s="16">
        <f t="shared" si="91"/>
        <v>0</v>
      </c>
      <c r="HL116" s="16">
        <f t="shared" si="91"/>
        <v>0</v>
      </c>
      <c r="HM116" s="16">
        <f t="shared" si="91"/>
        <v>0</v>
      </c>
      <c r="HN116" s="16">
        <f t="shared" si="91"/>
        <v>0</v>
      </c>
      <c r="HQ116" s="9">
        <f t="shared" si="120"/>
        <v>15</v>
      </c>
      <c r="HR116" s="16">
        <f t="shared" si="92"/>
        <v>0</v>
      </c>
      <c r="HS116" s="16">
        <f t="shared" si="92"/>
        <v>0</v>
      </c>
      <c r="HT116" s="16">
        <f t="shared" si="92"/>
        <v>0</v>
      </c>
      <c r="HU116" s="16">
        <f t="shared" si="92"/>
        <v>0</v>
      </c>
      <c r="HV116" s="16">
        <f t="shared" si="92"/>
        <v>-0.11738833490630086</v>
      </c>
      <c r="HW116" s="16">
        <f t="shared" si="92"/>
        <v>1.236978154657417</v>
      </c>
      <c r="HX116" s="16">
        <f t="shared" si="92"/>
        <v>-0.12285934406111614</v>
      </c>
      <c r="HY116" s="16">
        <f t="shared" si="92"/>
        <v>0</v>
      </c>
      <c r="HZ116" s="16">
        <f t="shared" si="92"/>
        <v>0</v>
      </c>
      <c r="IA116" s="16">
        <f t="shared" si="92"/>
        <v>0</v>
      </c>
      <c r="IB116" s="16">
        <f t="shared" si="93"/>
        <v>0</v>
      </c>
      <c r="IC116" s="16">
        <f t="shared" si="93"/>
        <v>0</v>
      </c>
      <c r="ID116" s="16">
        <f t="shared" si="93"/>
        <v>0</v>
      </c>
      <c r="IE116" s="16">
        <f t="shared" si="93"/>
        <v>0</v>
      </c>
      <c r="IF116" s="16">
        <f t="shared" si="93"/>
        <v>0</v>
      </c>
      <c r="IG116" s="16">
        <f t="shared" si="93"/>
        <v>0</v>
      </c>
      <c r="IH116" s="16">
        <f t="shared" si="93"/>
        <v>0</v>
      </c>
      <c r="II116" s="16">
        <f t="shared" si="93"/>
        <v>0</v>
      </c>
      <c r="IJ116" s="16">
        <f t="shared" si="93"/>
        <v>0</v>
      </c>
      <c r="IK116" s="16">
        <f t="shared" si="93"/>
        <v>0</v>
      </c>
      <c r="IL116" s="16">
        <f t="shared" si="93"/>
        <v>0</v>
      </c>
      <c r="IO116" s="9">
        <f t="shared" si="121"/>
        <v>15</v>
      </c>
      <c r="IP116" s="16">
        <f t="shared" si="94"/>
        <v>0</v>
      </c>
      <c r="IQ116" s="16">
        <f t="shared" si="94"/>
        <v>0</v>
      </c>
      <c r="IR116" s="16">
        <f t="shared" si="94"/>
        <v>0</v>
      </c>
      <c r="IS116" s="16">
        <f t="shared" si="94"/>
        <v>0</v>
      </c>
      <c r="IT116" s="16">
        <f t="shared" si="94"/>
        <v>-1.7819060031312419E-2</v>
      </c>
      <c r="IU116" s="16">
        <f t="shared" si="94"/>
        <v>1.0359722962875377</v>
      </c>
      <c r="IV116" s="16">
        <f t="shared" si="94"/>
        <v>-1.8649536420975225E-2</v>
      </c>
      <c r="IW116" s="16">
        <f t="shared" si="94"/>
        <v>0</v>
      </c>
      <c r="IX116" s="16">
        <f t="shared" si="94"/>
        <v>0</v>
      </c>
      <c r="IY116" s="16">
        <f t="shared" si="94"/>
        <v>0</v>
      </c>
      <c r="IZ116" s="16">
        <f t="shared" si="95"/>
        <v>0</v>
      </c>
      <c r="JA116" s="16">
        <f t="shared" si="95"/>
        <v>0</v>
      </c>
      <c r="JB116" s="16">
        <f t="shared" si="95"/>
        <v>0</v>
      </c>
      <c r="JC116" s="16">
        <f t="shared" si="95"/>
        <v>0</v>
      </c>
      <c r="JD116" s="16">
        <f t="shared" si="95"/>
        <v>0</v>
      </c>
      <c r="JE116" s="16">
        <f t="shared" si="95"/>
        <v>0</v>
      </c>
      <c r="JF116" s="16">
        <f t="shared" si="95"/>
        <v>0</v>
      </c>
      <c r="JG116" s="16">
        <f t="shared" si="95"/>
        <v>0</v>
      </c>
      <c r="JH116" s="16">
        <f t="shared" si="95"/>
        <v>0</v>
      </c>
      <c r="JI116" s="16">
        <f t="shared" si="95"/>
        <v>0</v>
      </c>
      <c r="JJ116" s="16">
        <f t="shared" si="95"/>
        <v>0</v>
      </c>
      <c r="JM116" s="9">
        <f t="shared" si="122"/>
        <v>15</v>
      </c>
      <c r="JN116" s="16">
        <f t="shared" si="96"/>
        <v>0</v>
      </c>
      <c r="JO116" s="16">
        <f t="shared" si="96"/>
        <v>0</v>
      </c>
      <c r="JP116" s="16">
        <f t="shared" si="96"/>
        <v>0</v>
      </c>
      <c r="JQ116" s="16">
        <f t="shared" si="96"/>
        <v>0</v>
      </c>
      <c r="JR116" s="16">
        <f t="shared" si="96"/>
        <v>-0.11738618925952873</v>
      </c>
      <c r="JS116" s="16">
        <f t="shared" si="96"/>
        <v>1.2369738231247054</v>
      </c>
      <c r="JT116" s="16">
        <f t="shared" si="96"/>
        <v>-0.12285709841417668</v>
      </c>
      <c r="JU116" s="16">
        <f t="shared" si="96"/>
        <v>0</v>
      </c>
      <c r="JV116" s="16">
        <f t="shared" si="96"/>
        <v>0</v>
      </c>
      <c r="JW116" s="16">
        <f t="shared" si="96"/>
        <v>0</v>
      </c>
      <c r="JX116" s="16">
        <f t="shared" si="97"/>
        <v>0</v>
      </c>
      <c r="JY116" s="16">
        <f t="shared" si="97"/>
        <v>0</v>
      </c>
      <c r="JZ116" s="16">
        <f t="shared" si="97"/>
        <v>0</v>
      </c>
      <c r="KA116" s="16">
        <f t="shared" si="97"/>
        <v>0</v>
      </c>
      <c r="KB116" s="16">
        <f t="shared" si="97"/>
        <v>0</v>
      </c>
      <c r="KC116" s="16">
        <f t="shared" si="97"/>
        <v>0</v>
      </c>
      <c r="KD116" s="16">
        <f t="shared" si="97"/>
        <v>0</v>
      </c>
      <c r="KE116" s="16">
        <f t="shared" si="97"/>
        <v>0</v>
      </c>
      <c r="KF116" s="16">
        <f t="shared" si="97"/>
        <v>0</v>
      </c>
      <c r="KG116" s="16">
        <f t="shared" si="97"/>
        <v>0</v>
      </c>
      <c r="KH116" s="16">
        <f t="shared" si="97"/>
        <v>0</v>
      </c>
      <c r="KK116" s="9">
        <f t="shared" si="123"/>
        <v>15</v>
      </c>
      <c r="KL116" s="16">
        <f t="shared" si="98"/>
        <v>0</v>
      </c>
      <c r="KM116" s="16">
        <f t="shared" si="98"/>
        <v>0</v>
      </c>
      <c r="KN116" s="16">
        <f t="shared" si="98"/>
        <v>0</v>
      </c>
      <c r="KO116" s="16">
        <f t="shared" si="98"/>
        <v>0</v>
      </c>
      <c r="KP116" s="16">
        <f t="shared" si="98"/>
        <v>-1.4880060365110517E-2</v>
      </c>
      <c r="KQ116" s="16">
        <f t="shared" si="98"/>
        <v>1.0300391793556787</v>
      </c>
      <c r="KR116" s="16">
        <f t="shared" si="98"/>
        <v>-1.5573561525568274E-2</v>
      </c>
      <c r="KS116" s="16">
        <f t="shared" si="98"/>
        <v>0</v>
      </c>
      <c r="KT116" s="16">
        <f t="shared" si="98"/>
        <v>0</v>
      </c>
      <c r="KU116" s="16">
        <f t="shared" si="98"/>
        <v>0</v>
      </c>
      <c r="KV116" s="16">
        <f t="shared" si="99"/>
        <v>0</v>
      </c>
      <c r="KW116" s="16">
        <f t="shared" si="99"/>
        <v>0</v>
      </c>
      <c r="KX116" s="16">
        <f t="shared" si="99"/>
        <v>0</v>
      </c>
      <c r="KY116" s="16">
        <f t="shared" si="99"/>
        <v>0</v>
      </c>
      <c r="KZ116" s="16">
        <f t="shared" si="99"/>
        <v>0</v>
      </c>
      <c r="LA116" s="16">
        <f t="shared" si="99"/>
        <v>0</v>
      </c>
      <c r="LB116" s="16">
        <f t="shared" si="99"/>
        <v>0</v>
      </c>
      <c r="LC116" s="16">
        <f t="shared" si="99"/>
        <v>0</v>
      </c>
      <c r="LD116" s="16">
        <f t="shared" si="99"/>
        <v>0</v>
      </c>
      <c r="LE116" s="16">
        <f t="shared" si="99"/>
        <v>0</v>
      </c>
      <c r="LF116" s="16">
        <f t="shared" si="99"/>
        <v>0</v>
      </c>
      <c r="LI116" s="9">
        <f t="shared" si="124"/>
        <v>15</v>
      </c>
      <c r="LJ116" s="16">
        <f t="shared" si="100"/>
        <v>0</v>
      </c>
      <c r="LK116" s="16">
        <f t="shared" si="100"/>
        <v>0</v>
      </c>
      <c r="LL116" s="16">
        <f t="shared" si="100"/>
        <v>0</v>
      </c>
      <c r="LM116" s="16">
        <f t="shared" si="100"/>
        <v>0</v>
      </c>
      <c r="LN116" s="16">
        <f t="shared" si="100"/>
        <v>-0.11738565284783567</v>
      </c>
      <c r="LO116" s="16">
        <f t="shared" si="100"/>
        <v>1.2369727402415274</v>
      </c>
      <c r="LP116" s="16">
        <f t="shared" si="100"/>
        <v>-0.12285653700244178</v>
      </c>
      <c r="LQ116" s="16">
        <f t="shared" si="100"/>
        <v>0</v>
      </c>
      <c r="LR116" s="16">
        <f t="shared" si="100"/>
        <v>0</v>
      </c>
      <c r="LS116" s="16">
        <f t="shared" si="100"/>
        <v>0</v>
      </c>
      <c r="LT116" s="16">
        <f t="shared" si="101"/>
        <v>0</v>
      </c>
      <c r="LU116" s="16">
        <f t="shared" si="101"/>
        <v>0</v>
      </c>
      <c r="LV116" s="16">
        <f t="shared" si="101"/>
        <v>0</v>
      </c>
      <c r="LW116" s="16">
        <f t="shared" si="101"/>
        <v>0</v>
      </c>
      <c r="LX116" s="16">
        <f t="shared" si="101"/>
        <v>0</v>
      </c>
      <c r="LY116" s="16">
        <f t="shared" si="101"/>
        <v>0</v>
      </c>
      <c r="LZ116" s="16">
        <f t="shared" si="101"/>
        <v>0</v>
      </c>
      <c r="MA116" s="16">
        <f t="shared" si="101"/>
        <v>0</v>
      </c>
      <c r="MB116" s="16">
        <f t="shared" si="101"/>
        <v>0</v>
      </c>
      <c r="MC116" s="16">
        <f t="shared" si="101"/>
        <v>0</v>
      </c>
      <c r="MD116" s="16">
        <f t="shared" si="101"/>
        <v>0</v>
      </c>
      <c r="MG116" s="9">
        <f t="shared" si="125"/>
        <v>15</v>
      </c>
      <c r="MH116" s="16">
        <f t="shared" si="102"/>
        <v>0</v>
      </c>
      <c r="MI116" s="16">
        <f t="shared" si="102"/>
        <v>0</v>
      </c>
      <c r="MJ116" s="16">
        <f t="shared" si="102"/>
        <v>0</v>
      </c>
      <c r="MK116" s="16">
        <f t="shared" si="102"/>
        <v>0</v>
      </c>
      <c r="ML116" s="16">
        <f t="shared" si="102"/>
        <v>-1.6349828404057999E-2</v>
      </c>
      <c r="MM116" s="16">
        <f t="shared" si="102"/>
        <v>1.0330062792631971</v>
      </c>
      <c r="MN116" s="16">
        <f t="shared" si="102"/>
        <v>-1.7111829679139198E-2</v>
      </c>
      <c r="MO116" s="16">
        <f t="shared" si="102"/>
        <v>0</v>
      </c>
      <c r="MP116" s="16">
        <f t="shared" si="102"/>
        <v>0</v>
      </c>
      <c r="MQ116" s="16">
        <f t="shared" si="102"/>
        <v>0</v>
      </c>
      <c r="MR116" s="16">
        <f t="shared" si="103"/>
        <v>0</v>
      </c>
      <c r="MS116" s="16">
        <f t="shared" si="103"/>
        <v>0</v>
      </c>
      <c r="MT116" s="16">
        <f t="shared" si="103"/>
        <v>0</v>
      </c>
      <c r="MU116" s="16">
        <f t="shared" si="103"/>
        <v>0</v>
      </c>
      <c r="MV116" s="16">
        <f t="shared" si="103"/>
        <v>0</v>
      </c>
      <c r="MW116" s="16">
        <f t="shared" si="103"/>
        <v>0</v>
      </c>
      <c r="MX116" s="16">
        <f t="shared" si="103"/>
        <v>0</v>
      </c>
      <c r="MY116" s="16">
        <f t="shared" si="103"/>
        <v>0</v>
      </c>
      <c r="MZ116" s="16">
        <f t="shared" si="103"/>
        <v>0</v>
      </c>
      <c r="NA116" s="16">
        <f t="shared" si="103"/>
        <v>0</v>
      </c>
      <c r="NB116" s="16">
        <f t="shared" si="103"/>
        <v>0</v>
      </c>
      <c r="NE116" s="9">
        <f t="shared" si="126"/>
        <v>15</v>
      </c>
      <c r="NF116" s="16">
        <f t="shared" si="104"/>
        <v>0</v>
      </c>
      <c r="NG116" s="16">
        <f t="shared" si="104"/>
        <v>0</v>
      </c>
      <c r="NH116" s="16">
        <f t="shared" si="104"/>
        <v>0</v>
      </c>
      <c r="NI116" s="16">
        <f t="shared" si="104"/>
        <v>0</v>
      </c>
      <c r="NJ116" s="16">
        <f t="shared" si="104"/>
        <v>-0.11738565284783567</v>
      </c>
      <c r="NK116" s="16">
        <f t="shared" si="104"/>
        <v>1.2369727402415274</v>
      </c>
      <c r="NL116" s="16">
        <f t="shared" si="104"/>
        <v>-0.12285653700244178</v>
      </c>
      <c r="NM116" s="16">
        <f t="shared" si="104"/>
        <v>0</v>
      </c>
      <c r="NN116" s="16">
        <f t="shared" si="104"/>
        <v>0</v>
      </c>
      <c r="NO116" s="16">
        <f t="shared" si="104"/>
        <v>0</v>
      </c>
      <c r="NP116" s="16">
        <f t="shared" si="105"/>
        <v>0</v>
      </c>
      <c r="NQ116" s="16">
        <f t="shared" si="105"/>
        <v>0</v>
      </c>
      <c r="NR116" s="16">
        <f t="shared" si="105"/>
        <v>0</v>
      </c>
      <c r="NS116" s="16">
        <f t="shared" si="105"/>
        <v>0</v>
      </c>
      <c r="NT116" s="16">
        <f t="shared" si="105"/>
        <v>0</v>
      </c>
      <c r="NU116" s="16">
        <f t="shared" si="105"/>
        <v>0</v>
      </c>
      <c r="NV116" s="16">
        <f t="shared" si="105"/>
        <v>0</v>
      </c>
      <c r="NW116" s="16">
        <f t="shared" si="105"/>
        <v>0</v>
      </c>
      <c r="NX116" s="16">
        <f t="shared" si="105"/>
        <v>0</v>
      </c>
      <c r="NY116" s="16">
        <f t="shared" si="105"/>
        <v>0</v>
      </c>
      <c r="NZ116" s="16">
        <f t="shared" si="105"/>
        <v>0</v>
      </c>
      <c r="OC116" s="9">
        <f t="shared" si="127"/>
        <v>15</v>
      </c>
      <c r="OD116" s="16">
        <f t="shared" si="106"/>
        <v>0</v>
      </c>
      <c r="OE116" s="16">
        <f t="shared" si="106"/>
        <v>0</v>
      </c>
      <c r="OF116" s="16">
        <f t="shared" si="106"/>
        <v>0</v>
      </c>
      <c r="OG116" s="16">
        <f t="shared" si="106"/>
        <v>0</v>
      </c>
      <c r="OH116" s="16">
        <f t="shared" si="106"/>
        <v>-1.7819060031312402E-2</v>
      </c>
      <c r="OI116" s="16">
        <f t="shared" si="106"/>
        <v>1.0359722962875375</v>
      </c>
      <c r="OJ116" s="16">
        <f t="shared" si="106"/>
        <v>-1.8649536420975211E-2</v>
      </c>
      <c r="OK116" s="16">
        <f t="shared" si="106"/>
        <v>0</v>
      </c>
      <c r="OL116" s="16">
        <f t="shared" si="106"/>
        <v>0</v>
      </c>
      <c r="OM116" s="16">
        <f t="shared" si="106"/>
        <v>0</v>
      </c>
      <c r="ON116" s="16">
        <f t="shared" si="107"/>
        <v>0</v>
      </c>
      <c r="OO116" s="16">
        <f t="shared" si="107"/>
        <v>0</v>
      </c>
      <c r="OP116" s="16">
        <f t="shared" si="107"/>
        <v>0</v>
      </c>
      <c r="OQ116" s="16">
        <f t="shared" si="107"/>
        <v>0</v>
      </c>
      <c r="OR116" s="16">
        <f t="shared" si="107"/>
        <v>0</v>
      </c>
      <c r="OS116" s="16">
        <f t="shared" si="107"/>
        <v>0</v>
      </c>
      <c r="OT116" s="16">
        <f t="shared" si="107"/>
        <v>0</v>
      </c>
      <c r="OU116" s="16">
        <f t="shared" si="107"/>
        <v>0</v>
      </c>
      <c r="OV116" s="16">
        <f t="shared" si="107"/>
        <v>0</v>
      </c>
      <c r="OW116" s="16">
        <f t="shared" si="107"/>
        <v>0</v>
      </c>
      <c r="OX116" s="16">
        <f t="shared" si="107"/>
        <v>0</v>
      </c>
      <c r="PA116" s="9">
        <f t="shared" si="128"/>
        <v>15</v>
      </c>
      <c r="PB116" s="16">
        <f t="shared" si="108"/>
        <v>0</v>
      </c>
      <c r="PC116" s="16">
        <f t="shared" si="108"/>
        <v>0</v>
      </c>
      <c r="PD116" s="16">
        <f t="shared" si="108"/>
        <v>0</v>
      </c>
      <c r="PE116" s="16">
        <f t="shared" si="108"/>
        <v>0</v>
      </c>
      <c r="PF116" s="16">
        <f t="shared" si="108"/>
        <v>-0.11738082514259825</v>
      </c>
      <c r="PG116" s="16">
        <f t="shared" si="108"/>
        <v>1.2369629942929261</v>
      </c>
      <c r="PH116" s="16">
        <f t="shared" si="108"/>
        <v>-0.12285148429682786</v>
      </c>
      <c r="PI116" s="16">
        <f t="shared" si="108"/>
        <v>0</v>
      </c>
      <c r="PJ116" s="16">
        <f t="shared" si="108"/>
        <v>0</v>
      </c>
      <c r="PK116" s="16">
        <f t="shared" si="108"/>
        <v>0</v>
      </c>
      <c r="PL116" s="16">
        <f t="shared" si="109"/>
        <v>0</v>
      </c>
      <c r="PM116" s="16">
        <f t="shared" si="109"/>
        <v>0</v>
      </c>
      <c r="PN116" s="16">
        <f t="shared" si="109"/>
        <v>0</v>
      </c>
      <c r="PO116" s="16">
        <f t="shared" si="109"/>
        <v>0</v>
      </c>
      <c r="PP116" s="16">
        <f t="shared" si="109"/>
        <v>0</v>
      </c>
      <c r="PQ116" s="16">
        <f t="shared" si="109"/>
        <v>0</v>
      </c>
      <c r="PR116" s="16">
        <f t="shared" si="109"/>
        <v>0</v>
      </c>
      <c r="PS116" s="16">
        <f t="shared" si="109"/>
        <v>0</v>
      </c>
      <c r="PT116" s="16">
        <f t="shared" si="109"/>
        <v>0</v>
      </c>
      <c r="PU116" s="16">
        <f t="shared" si="109"/>
        <v>0</v>
      </c>
      <c r="PV116" s="16">
        <f t="shared" si="109"/>
        <v>0</v>
      </c>
    </row>
    <row r="117" spans="3:438" x14ac:dyDescent="0.25">
      <c r="C117" s="1"/>
      <c r="D117" s="1"/>
      <c r="F117" s="1"/>
      <c r="H117" s="1"/>
      <c r="I117" s="9">
        <f t="shared" si="111"/>
        <v>14</v>
      </c>
      <c r="J117" s="16">
        <f t="shared" si="110"/>
        <v>0</v>
      </c>
      <c r="K117" s="16">
        <f t="shared" si="75"/>
        <v>0</v>
      </c>
      <c r="L117" s="16">
        <f t="shared" si="75"/>
        <v>0</v>
      </c>
      <c r="M117" s="16">
        <f t="shared" si="75"/>
        <v>0</v>
      </c>
      <c r="N117" s="16">
        <f t="shared" si="75"/>
        <v>0</v>
      </c>
      <c r="O117" s="16">
        <f t="shared" si="75"/>
        <v>-1.431551477106081E-2</v>
      </c>
      <c r="P117" s="16">
        <f t="shared" si="75"/>
        <v>1.0287853065096781</v>
      </c>
      <c r="Q117" s="16">
        <f t="shared" si="75"/>
        <v>-1.4698915412617411E-2</v>
      </c>
      <c r="R117" s="16">
        <f t="shared" si="75"/>
        <v>0</v>
      </c>
      <c r="S117" s="16">
        <f t="shared" si="75"/>
        <v>0</v>
      </c>
      <c r="T117" s="16">
        <f t="shared" si="75"/>
        <v>0</v>
      </c>
      <c r="U117" s="16">
        <f t="shared" si="75"/>
        <v>0</v>
      </c>
      <c r="V117" s="16">
        <f t="shared" si="75"/>
        <v>0</v>
      </c>
      <c r="W117" s="16">
        <f t="shared" si="75"/>
        <v>0</v>
      </c>
      <c r="X117" s="16">
        <f t="shared" si="75"/>
        <v>0</v>
      </c>
      <c r="Y117" s="16">
        <f t="shared" si="75"/>
        <v>0</v>
      </c>
      <c r="Z117" s="16">
        <f t="shared" si="75"/>
        <v>0</v>
      </c>
      <c r="AA117" s="16">
        <f t="shared" si="75"/>
        <v>0</v>
      </c>
      <c r="AB117" s="16">
        <f t="shared" si="75"/>
        <v>0</v>
      </c>
      <c r="AC117" s="16">
        <f t="shared" si="75"/>
        <v>0</v>
      </c>
      <c r="AD117" s="16">
        <f t="shared" si="75"/>
        <v>0</v>
      </c>
      <c r="AE117" s="1"/>
      <c r="AF117" s="1"/>
      <c r="AG117" s="9">
        <f t="shared" si="112"/>
        <v>14</v>
      </c>
      <c r="AH117" s="16">
        <f t="shared" si="76"/>
        <v>0</v>
      </c>
      <c r="AI117" s="16">
        <f t="shared" si="76"/>
        <v>0</v>
      </c>
      <c r="AJ117" s="16">
        <f t="shared" si="76"/>
        <v>0</v>
      </c>
      <c r="AK117" s="16">
        <f t="shared" si="76"/>
        <v>0</v>
      </c>
      <c r="AL117" s="16">
        <f t="shared" si="76"/>
        <v>0</v>
      </c>
      <c r="AM117" s="16">
        <f t="shared" si="76"/>
        <v>-0.11458385949251876</v>
      </c>
      <c r="AN117" s="16">
        <f t="shared" si="76"/>
        <v>1.2304025785521677</v>
      </c>
      <c r="AO117" s="16">
        <f t="shared" si="76"/>
        <v>-0.11765266462764891</v>
      </c>
      <c r="AP117" s="16">
        <f t="shared" si="76"/>
        <v>0</v>
      </c>
      <c r="AQ117" s="16">
        <f t="shared" si="76"/>
        <v>0</v>
      </c>
      <c r="AR117" s="16">
        <f t="shared" si="77"/>
        <v>0</v>
      </c>
      <c r="AS117" s="16">
        <f t="shared" si="77"/>
        <v>0</v>
      </c>
      <c r="AT117" s="16">
        <f t="shared" si="77"/>
        <v>0</v>
      </c>
      <c r="AU117" s="16">
        <f t="shared" si="77"/>
        <v>0</v>
      </c>
      <c r="AV117" s="16">
        <f t="shared" si="77"/>
        <v>0</v>
      </c>
      <c r="AW117" s="16">
        <f t="shared" si="77"/>
        <v>0</v>
      </c>
      <c r="AX117" s="16">
        <f t="shared" si="77"/>
        <v>0</v>
      </c>
      <c r="AY117" s="16">
        <f t="shared" si="77"/>
        <v>0</v>
      </c>
      <c r="AZ117" s="16">
        <f t="shared" si="77"/>
        <v>0</v>
      </c>
      <c r="BA117" s="16">
        <f t="shared" si="77"/>
        <v>0</v>
      </c>
      <c r="BB117" s="16">
        <f t="shared" si="77"/>
        <v>0</v>
      </c>
      <c r="BE117" s="9">
        <f t="shared" si="113"/>
        <v>14</v>
      </c>
      <c r="BF117" s="16">
        <f t="shared" si="78"/>
        <v>0</v>
      </c>
      <c r="BG117" s="16">
        <f t="shared" si="78"/>
        <v>0</v>
      </c>
      <c r="BH117" s="16">
        <f t="shared" si="78"/>
        <v>0</v>
      </c>
      <c r="BI117" s="16">
        <f t="shared" si="78"/>
        <v>0</v>
      </c>
      <c r="BJ117" s="16">
        <f t="shared" si="78"/>
        <v>0</v>
      </c>
      <c r="BK117" s="16">
        <f t="shared" si="78"/>
        <v>-0.11456892416151077</v>
      </c>
      <c r="BL117" s="16">
        <f t="shared" si="78"/>
        <v>1.2303725469334823</v>
      </c>
      <c r="BM117" s="16">
        <f t="shared" si="78"/>
        <v>-0.11763732929597159</v>
      </c>
      <c r="BN117" s="16">
        <f t="shared" si="78"/>
        <v>0</v>
      </c>
      <c r="BO117" s="16">
        <f t="shared" si="78"/>
        <v>0</v>
      </c>
      <c r="BP117" s="16">
        <f t="shared" si="79"/>
        <v>0</v>
      </c>
      <c r="BQ117" s="16">
        <f t="shared" si="79"/>
        <v>0</v>
      </c>
      <c r="BR117" s="16">
        <f t="shared" si="79"/>
        <v>0</v>
      </c>
      <c r="BS117" s="16">
        <f t="shared" si="79"/>
        <v>0</v>
      </c>
      <c r="BT117" s="16">
        <f t="shared" si="79"/>
        <v>0</v>
      </c>
      <c r="BU117" s="16">
        <f t="shared" si="79"/>
        <v>0</v>
      </c>
      <c r="BV117" s="16">
        <f t="shared" si="79"/>
        <v>0</v>
      </c>
      <c r="BW117" s="16">
        <f t="shared" si="79"/>
        <v>0</v>
      </c>
      <c r="BX117" s="16">
        <f t="shared" si="79"/>
        <v>0</v>
      </c>
      <c r="BY117" s="16">
        <f t="shared" si="79"/>
        <v>0</v>
      </c>
      <c r="BZ117" s="16">
        <f t="shared" si="79"/>
        <v>0</v>
      </c>
      <c r="CC117" s="9">
        <f t="shared" si="114"/>
        <v>14</v>
      </c>
      <c r="CD117" s="16">
        <f t="shared" si="80"/>
        <v>0</v>
      </c>
      <c r="CE117" s="16">
        <f t="shared" si="80"/>
        <v>0</v>
      </c>
      <c r="CF117" s="16">
        <f t="shared" si="80"/>
        <v>0</v>
      </c>
      <c r="CG117" s="16">
        <f t="shared" si="80"/>
        <v>0</v>
      </c>
      <c r="CH117" s="16">
        <f t="shared" si="80"/>
        <v>0</v>
      </c>
      <c r="CI117" s="16">
        <f t="shared" si="80"/>
        <v>-0.11456892416151043</v>
      </c>
      <c r="CJ117" s="16">
        <f t="shared" si="80"/>
        <v>1.2303725469334816</v>
      </c>
      <c r="CK117" s="16">
        <f t="shared" si="80"/>
        <v>-0.11763732929597125</v>
      </c>
      <c r="CL117" s="16">
        <f t="shared" si="80"/>
        <v>0</v>
      </c>
      <c r="CM117" s="16">
        <f t="shared" si="80"/>
        <v>0</v>
      </c>
      <c r="CN117" s="16">
        <f t="shared" si="81"/>
        <v>0</v>
      </c>
      <c r="CO117" s="16">
        <f t="shared" si="81"/>
        <v>0</v>
      </c>
      <c r="CP117" s="16">
        <f t="shared" si="81"/>
        <v>0</v>
      </c>
      <c r="CQ117" s="16">
        <f t="shared" si="81"/>
        <v>0</v>
      </c>
      <c r="CR117" s="16">
        <f t="shared" si="81"/>
        <v>0</v>
      </c>
      <c r="CS117" s="16">
        <f t="shared" si="81"/>
        <v>0</v>
      </c>
      <c r="CT117" s="16">
        <f t="shared" si="81"/>
        <v>0</v>
      </c>
      <c r="CU117" s="16">
        <f t="shared" si="81"/>
        <v>0</v>
      </c>
      <c r="CV117" s="16">
        <f t="shared" si="81"/>
        <v>0</v>
      </c>
      <c r="CW117" s="16">
        <f t="shared" si="81"/>
        <v>0</v>
      </c>
      <c r="CX117" s="16">
        <f t="shared" si="81"/>
        <v>0</v>
      </c>
      <c r="DA117" s="9">
        <f t="shared" si="115"/>
        <v>14</v>
      </c>
      <c r="DB117" s="16">
        <f t="shared" si="82"/>
        <v>0</v>
      </c>
      <c r="DC117" s="16">
        <f t="shared" si="82"/>
        <v>0</v>
      </c>
      <c r="DD117" s="16">
        <f t="shared" si="82"/>
        <v>0</v>
      </c>
      <c r="DE117" s="16">
        <f t="shared" si="82"/>
        <v>0</v>
      </c>
      <c r="DF117" s="16">
        <f t="shared" si="82"/>
        <v>0</v>
      </c>
      <c r="DG117" s="16">
        <f t="shared" si="82"/>
        <v>-1.4322982436564968E-2</v>
      </c>
      <c r="DH117" s="16">
        <f t="shared" si="82"/>
        <v>1.0288003223190212</v>
      </c>
      <c r="DI117" s="16">
        <f t="shared" si="82"/>
        <v>-1.4706583078456242E-2</v>
      </c>
      <c r="DJ117" s="16">
        <f t="shared" si="82"/>
        <v>0</v>
      </c>
      <c r="DK117" s="16">
        <f t="shared" si="82"/>
        <v>0</v>
      </c>
      <c r="DL117" s="16">
        <f t="shared" si="83"/>
        <v>0</v>
      </c>
      <c r="DM117" s="16">
        <f t="shared" si="83"/>
        <v>0</v>
      </c>
      <c r="DN117" s="16">
        <f t="shared" si="83"/>
        <v>0</v>
      </c>
      <c r="DO117" s="16">
        <f t="shared" si="83"/>
        <v>0</v>
      </c>
      <c r="DP117" s="16">
        <f t="shared" si="83"/>
        <v>0</v>
      </c>
      <c r="DQ117" s="16">
        <f t="shared" si="83"/>
        <v>0</v>
      </c>
      <c r="DR117" s="16">
        <f t="shared" si="83"/>
        <v>0</v>
      </c>
      <c r="DS117" s="16">
        <f t="shared" si="83"/>
        <v>0</v>
      </c>
      <c r="DT117" s="16">
        <f t="shared" si="83"/>
        <v>0</v>
      </c>
      <c r="DU117" s="16">
        <f t="shared" si="83"/>
        <v>0</v>
      </c>
      <c r="DV117" s="16">
        <f t="shared" si="83"/>
        <v>0</v>
      </c>
      <c r="DY117" s="9">
        <f t="shared" si="116"/>
        <v>14</v>
      </c>
      <c r="DZ117" s="16">
        <f t="shared" si="84"/>
        <v>0</v>
      </c>
      <c r="EA117" s="16">
        <f t="shared" si="84"/>
        <v>0</v>
      </c>
      <c r="EB117" s="16">
        <f t="shared" si="84"/>
        <v>0</v>
      </c>
      <c r="EC117" s="16">
        <f t="shared" si="84"/>
        <v>0</v>
      </c>
      <c r="ED117" s="16">
        <f t="shared" si="84"/>
        <v>0</v>
      </c>
      <c r="EE117" s="16">
        <f t="shared" si="84"/>
        <v>-8.2679832589004854E-2</v>
      </c>
      <c r="EF117" s="16">
        <f t="shared" si="84"/>
        <v>1.1665943637884706</v>
      </c>
      <c r="EG117" s="16">
        <f t="shared" si="84"/>
        <v>-8.5748237723465667E-2</v>
      </c>
      <c r="EH117" s="16">
        <f t="shared" si="84"/>
        <v>0</v>
      </c>
      <c r="EI117" s="16">
        <f t="shared" si="84"/>
        <v>0</v>
      </c>
      <c r="EJ117" s="16">
        <f t="shared" si="85"/>
        <v>0</v>
      </c>
      <c r="EK117" s="16">
        <f t="shared" si="85"/>
        <v>0</v>
      </c>
      <c r="EL117" s="16">
        <f t="shared" si="85"/>
        <v>0</v>
      </c>
      <c r="EM117" s="16">
        <f t="shared" si="85"/>
        <v>0</v>
      </c>
      <c r="EN117" s="16">
        <f t="shared" si="85"/>
        <v>0</v>
      </c>
      <c r="EO117" s="16">
        <f t="shared" si="85"/>
        <v>0</v>
      </c>
      <c r="EP117" s="16">
        <f t="shared" si="85"/>
        <v>0</v>
      </c>
      <c r="EQ117" s="16">
        <f t="shared" si="85"/>
        <v>0</v>
      </c>
      <c r="ER117" s="16">
        <f t="shared" si="85"/>
        <v>0</v>
      </c>
      <c r="ES117" s="16">
        <f t="shared" si="85"/>
        <v>0</v>
      </c>
      <c r="ET117" s="16">
        <f t="shared" si="85"/>
        <v>0</v>
      </c>
      <c r="EW117" s="9">
        <f t="shared" si="117"/>
        <v>14</v>
      </c>
      <c r="EX117" s="16">
        <f t="shared" si="86"/>
        <v>0</v>
      </c>
      <c r="EY117" s="16">
        <f t="shared" si="86"/>
        <v>0</v>
      </c>
      <c r="EZ117" s="16">
        <f t="shared" si="86"/>
        <v>0</v>
      </c>
      <c r="FA117" s="16">
        <f t="shared" si="86"/>
        <v>0</v>
      </c>
      <c r="FB117" s="16">
        <f t="shared" si="86"/>
        <v>0</v>
      </c>
      <c r="FC117" s="16">
        <f t="shared" si="86"/>
        <v>-8.2679832589005089E-2</v>
      </c>
      <c r="FD117" s="16">
        <f t="shared" si="86"/>
        <v>1.166594363788471</v>
      </c>
      <c r="FE117" s="16">
        <f t="shared" si="86"/>
        <v>-8.5748237723465917E-2</v>
      </c>
      <c r="FF117" s="16">
        <f t="shared" si="86"/>
        <v>0</v>
      </c>
      <c r="FG117" s="16">
        <f t="shared" si="86"/>
        <v>0</v>
      </c>
      <c r="FH117" s="16">
        <f t="shared" si="87"/>
        <v>0</v>
      </c>
      <c r="FI117" s="16">
        <f t="shared" si="87"/>
        <v>0</v>
      </c>
      <c r="FJ117" s="16">
        <f t="shared" si="87"/>
        <v>0</v>
      </c>
      <c r="FK117" s="16">
        <f t="shared" si="87"/>
        <v>0</v>
      </c>
      <c r="FL117" s="16">
        <f t="shared" si="87"/>
        <v>0</v>
      </c>
      <c r="FM117" s="16">
        <f t="shared" si="87"/>
        <v>0</v>
      </c>
      <c r="FN117" s="16">
        <f t="shared" si="87"/>
        <v>0</v>
      </c>
      <c r="FO117" s="16">
        <f t="shared" si="87"/>
        <v>0</v>
      </c>
      <c r="FP117" s="16">
        <f t="shared" si="87"/>
        <v>0</v>
      </c>
      <c r="FQ117" s="16">
        <f t="shared" si="87"/>
        <v>0</v>
      </c>
      <c r="FR117" s="16">
        <f t="shared" si="87"/>
        <v>0</v>
      </c>
      <c r="FU117" s="9">
        <f t="shared" si="118"/>
        <v>14</v>
      </c>
      <c r="FV117" s="16">
        <f t="shared" si="88"/>
        <v>0</v>
      </c>
      <c r="FW117" s="16">
        <f t="shared" si="88"/>
        <v>0</v>
      </c>
      <c r="FX117" s="16">
        <f t="shared" si="88"/>
        <v>0</v>
      </c>
      <c r="FY117" s="16">
        <f t="shared" si="88"/>
        <v>0</v>
      </c>
      <c r="FZ117" s="16">
        <f t="shared" si="88"/>
        <v>0</v>
      </c>
      <c r="GA117" s="16">
        <f t="shared" si="88"/>
        <v>-8.2690610822949526E-2</v>
      </c>
      <c r="GB117" s="16">
        <f t="shared" si="88"/>
        <v>1.1666160812130291</v>
      </c>
      <c r="GC117" s="16">
        <f t="shared" si="88"/>
        <v>-8.5759415958079677E-2</v>
      </c>
      <c r="GD117" s="16">
        <f t="shared" si="88"/>
        <v>0</v>
      </c>
      <c r="GE117" s="16">
        <f t="shared" si="88"/>
        <v>0</v>
      </c>
      <c r="GF117" s="16">
        <f t="shared" si="89"/>
        <v>0</v>
      </c>
      <c r="GG117" s="16">
        <f t="shared" si="89"/>
        <v>0</v>
      </c>
      <c r="GH117" s="16">
        <f t="shared" si="89"/>
        <v>0</v>
      </c>
      <c r="GI117" s="16">
        <f t="shared" si="89"/>
        <v>0</v>
      </c>
      <c r="GJ117" s="16">
        <f t="shared" si="89"/>
        <v>0</v>
      </c>
      <c r="GK117" s="16">
        <f t="shared" si="89"/>
        <v>0</v>
      </c>
      <c r="GL117" s="16">
        <f t="shared" si="89"/>
        <v>0</v>
      </c>
      <c r="GM117" s="16">
        <f t="shared" si="89"/>
        <v>0</v>
      </c>
      <c r="GN117" s="16">
        <f t="shared" si="89"/>
        <v>0</v>
      </c>
      <c r="GO117" s="16">
        <f t="shared" si="89"/>
        <v>0</v>
      </c>
      <c r="GP117" s="16">
        <f t="shared" si="89"/>
        <v>0</v>
      </c>
      <c r="GS117" s="9">
        <f t="shared" si="119"/>
        <v>14</v>
      </c>
      <c r="GT117" s="16">
        <f t="shared" si="90"/>
        <v>0</v>
      </c>
      <c r="GU117" s="16">
        <f t="shared" si="90"/>
        <v>0</v>
      </c>
      <c r="GV117" s="16">
        <f t="shared" si="90"/>
        <v>0</v>
      </c>
      <c r="GW117" s="16">
        <f t="shared" si="90"/>
        <v>0</v>
      </c>
      <c r="GX117" s="16">
        <f t="shared" si="90"/>
        <v>0</v>
      </c>
      <c r="GY117" s="16">
        <f t="shared" si="90"/>
        <v>-1.789725746500373E-2</v>
      </c>
      <c r="GZ117" s="16">
        <f t="shared" si="90"/>
        <v>1.0360617834794366</v>
      </c>
      <c r="HA117" s="16">
        <f t="shared" si="90"/>
        <v>-1.8561458576432779E-2</v>
      </c>
      <c r="HB117" s="16">
        <f t="shared" si="90"/>
        <v>0</v>
      </c>
      <c r="HC117" s="16">
        <f t="shared" si="90"/>
        <v>0</v>
      </c>
      <c r="HD117" s="16">
        <f t="shared" si="91"/>
        <v>0</v>
      </c>
      <c r="HE117" s="16">
        <f t="shared" si="91"/>
        <v>0</v>
      </c>
      <c r="HF117" s="16">
        <f t="shared" si="91"/>
        <v>0</v>
      </c>
      <c r="HG117" s="16">
        <f t="shared" si="91"/>
        <v>0</v>
      </c>
      <c r="HH117" s="16">
        <f t="shared" si="91"/>
        <v>0</v>
      </c>
      <c r="HI117" s="16">
        <f t="shared" si="91"/>
        <v>0</v>
      </c>
      <c r="HJ117" s="16">
        <f t="shared" si="91"/>
        <v>0</v>
      </c>
      <c r="HK117" s="16">
        <f t="shared" si="91"/>
        <v>0</v>
      </c>
      <c r="HL117" s="16">
        <f t="shared" si="91"/>
        <v>0</v>
      </c>
      <c r="HM117" s="16">
        <f t="shared" si="91"/>
        <v>0</v>
      </c>
      <c r="HN117" s="16">
        <f t="shared" si="91"/>
        <v>0</v>
      </c>
      <c r="HQ117" s="9">
        <f t="shared" si="120"/>
        <v>14</v>
      </c>
      <c r="HR117" s="16">
        <f t="shared" si="92"/>
        <v>0</v>
      </c>
      <c r="HS117" s="16">
        <f t="shared" si="92"/>
        <v>0</v>
      </c>
      <c r="HT117" s="16">
        <f t="shared" si="92"/>
        <v>0</v>
      </c>
      <c r="HU117" s="16">
        <f t="shared" si="92"/>
        <v>0</v>
      </c>
      <c r="HV117" s="16">
        <f t="shared" si="92"/>
        <v>0</v>
      </c>
      <c r="HW117" s="16">
        <f t="shared" si="92"/>
        <v>-0.1179354358217824</v>
      </c>
      <c r="HX117" s="16">
        <f t="shared" si="92"/>
        <v>1.237632059519417</v>
      </c>
      <c r="HY117" s="16">
        <f t="shared" si="92"/>
        <v>-0.1223122431456346</v>
      </c>
      <c r="HZ117" s="16">
        <f t="shared" si="92"/>
        <v>0</v>
      </c>
      <c r="IA117" s="16">
        <f t="shared" si="92"/>
        <v>0</v>
      </c>
      <c r="IB117" s="16">
        <f t="shared" si="93"/>
        <v>0</v>
      </c>
      <c r="IC117" s="16">
        <f t="shared" si="93"/>
        <v>0</v>
      </c>
      <c r="ID117" s="16">
        <f t="shared" si="93"/>
        <v>0</v>
      </c>
      <c r="IE117" s="16">
        <f t="shared" si="93"/>
        <v>0</v>
      </c>
      <c r="IF117" s="16">
        <f t="shared" si="93"/>
        <v>0</v>
      </c>
      <c r="IG117" s="16">
        <f t="shared" si="93"/>
        <v>0</v>
      </c>
      <c r="IH117" s="16">
        <f t="shared" si="93"/>
        <v>0</v>
      </c>
      <c r="II117" s="16">
        <f t="shared" si="93"/>
        <v>0</v>
      </c>
      <c r="IJ117" s="16">
        <f t="shared" si="93"/>
        <v>0</v>
      </c>
      <c r="IK117" s="16">
        <f t="shared" si="93"/>
        <v>0</v>
      </c>
      <c r="IL117" s="16">
        <f t="shared" si="93"/>
        <v>0</v>
      </c>
      <c r="IO117" s="9">
        <f t="shared" si="121"/>
        <v>14</v>
      </c>
      <c r="IP117" s="16">
        <f t="shared" si="94"/>
        <v>0</v>
      </c>
      <c r="IQ117" s="16">
        <f t="shared" si="94"/>
        <v>0</v>
      </c>
      <c r="IR117" s="16">
        <f t="shared" si="94"/>
        <v>0</v>
      </c>
      <c r="IS117" s="16">
        <f t="shared" si="94"/>
        <v>0</v>
      </c>
      <c r="IT117" s="16">
        <f t="shared" si="94"/>
        <v>0</v>
      </c>
      <c r="IU117" s="16">
        <f t="shared" si="94"/>
        <v>-1.7902107670278701E-2</v>
      </c>
      <c r="IV117" s="16">
        <f t="shared" si="94"/>
        <v>1.0360715563204876</v>
      </c>
      <c r="IW117" s="16">
        <f t="shared" si="94"/>
        <v>-1.8566488782008943E-2</v>
      </c>
      <c r="IX117" s="16">
        <f t="shared" si="94"/>
        <v>0</v>
      </c>
      <c r="IY117" s="16">
        <f t="shared" si="94"/>
        <v>0</v>
      </c>
      <c r="IZ117" s="16">
        <f t="shared" si="95"/>
        <v>0</v>
      </c>
      <c r="JA117" s="16">
        <f t="shared" si="95"/>
        <v>0</v>
      </c>
      <c r="JB117" s="16">
        <f t="shared" si="95"/>
        <v>0</v>
      </c>
      <c r="JC117" s="16">
        <f t="shared" si="95"/>
        <v>0</v>
      </c>
      <c r="JD117" s="16">
        <f t="shared" si="95"/>
        <v>0</v>
      </c>
      <c r="JE117" s="16">
        <f t="shared" si="95"/>
        <v>0</v>
      </c>
      <c r="JF117" s="16">
        <f t="shared" si="95"/>
        <v>0</v>
      </c>
      <c r="JG117" s="16">
        <f t="shared" si="95"/>
        <v>0</v>
      </c>
      <c r="JH117" s="16">
        <f t="shared" si="95"/>
        <v>0</v>
      </c>
      <c r="JI117" s="16">
        <f t="shared" si="95"/>
        <v>0</v>
      </c>
      <c r="JJ117" s="16">
        <f t="shared" si="95"/>
        <v>0</v>
      </c>
      <c r="JM117" s="9">
        <f t="shared" si="122"/>
        <v>14</v>
      </c>
      <c r="JN117" s="16">
        <f t="shared" si="96"/>
        <v>0</v>
      </c>
      <c r="JO117" s="16">
        <f t="shared" si="96"/>
        <v>0</v>
      </c>
      <c r="JP117" s="16">
        <f t="shared" si="96"/>
        <v>0</v>
      </c>
      <c r="JQ117" s="16">
        <f t="shared" si="96"/>
        <v>0</v>
      </c>
      <c r="JR117" s="16">
        <f t="shared" si="96"/>
        <v>0</v>
      </c>
      <c r="JS117" s="16">
        <f t="shared" si="96"/>
        <v>-0.11793328017499353</v>
      </c>
      <c r="JT117" s="16">
        <f t="shared" si="96"/>
        <v>1.2376277160345053</v>
      </c>
      <c r="JU117" s="16">
        <f t="shared" si="96"/>
        <v>-0.12231000749871188</v>
      </c>
      <c r="JV117" s="16">
        <f t="shared" si="96"/>
        <v>0</v>
      </c>
      <c r="JW117" s="16">
        <f t="shared" si="96"/>
        <v>0</v>
      </c>
      <c r="JX117" s="16">
        <f t="shared" si="97"/>
        <v>0</v>
      </c>
      <c r="JY117" s="16">
        <f t="shared" si="97"/>
        <v>0</v>
      </c>
      <c r="JZ117" s="16">
        <f t="shared" si="97"/>
        <v>0</v>
      </c>
      <c r="KA117" s="16">
        <f t="shared" si="97"/>
        <v>0</v>
      </c>
      <c r="KB117" s="16">
        <f t="shared" si="97"/>
        <v>0</v>
      </c>
      <c r="KC117" s="16">
        <f t="shared" si="97"/>
        <v>0</v>
      </c>
      <c r="KD117" s="16">
        <f t="shared" si="97"/>
        <v>0</v>
      </c>
      <c r="KE117" s="16">
        <f t="shared" si="97"/>
        <v>0</v>
      </c>
      <c r="KF117" s="16">
        <f t="shared" si="97"/>
        <v>0</v>
      </c>
      <c r="KG117" s="16">
        <f t="shared" si="97"/>
        <v>0</v>
      </c>
      <c r="KH117" s="16">
        <f t="shared" si="97"/>
        <v>0</v>
      </c>
      <c r="KK117" s="9">
        <f t="shared" si="123"/>
        <v>14</v>
      </c>
      <c r="KL117" s="16">
        <f t="shared" si="98"/>
        <v>0</v>
      </c>
      <c r="KM117" s="16">
        <f t="shared" si="98"/>
        <v>0</v>
      </c>
      <c r="KN117" s="16">
        <f t="shared" si="98"/>
        <v>0</v>
      </c>
      <c r="KO117" s="16">
        <f t="shared" si="98"/>
        <v>0</v>
      </c>
      <c r="KP117" s="16">
        <f t="shared" si="98"/>
        <v>0</v>
      </c>
      <c r="KQ117" s="16">
        <f t="shared" si="98"/>
        <v>-1.4949410481156293E-2</v>
      </c>
      <c r="KR117" s="16">
        <f t="shared" si="98"/>
        <v>1.0301220678626788</v>
      </c>
      <c r="KS117" s="16">
        <f t="shared" si="98"/>
        <v>-1.5504211409522498E-2</v>
      </c>
      <c r="KT117" s="16">
        <f t="shared" si="98"/>
        <v>0</v>
      </c>
      <c r="KU117" s="16">
        <f t="shared" si="98"/>
        <v>0</v>
      </c>
      <c r="KV117" s="16">
        <f t="shared" si="99"/>
        <v>0</v>
      </c>
      <c r="KW117" s="16">
        <f t="shared" si="99"/>
        <v>0</v>
      </c>
      <c r="KX117" s="16">
        <f t="shared" si="99"/>
        <v>0</v>
      </c>
      <c r="KY117" s="16">
        <f t="shared" si="99"/>
        <v>0</v>
      </c>
      <c r="KZ117" s="16">
        <f t="shared" si="99"/>
        <v>0</v>
      </c>
      <c r="LA117" s="16">
        <f t="shared" si="99"/>
        <v>0</v>
      </c>
      <c r="LB117" s="16">
        <f t="shared" si="99"/>
        <v>0</v>
      </c>
      <c r="LC117" s="16">
        <f t="shared" si="99"/>
        <v>0</v>
      </c>
      <c r="LD117" s="16">
        <f t="shared" si="99"/>
        <v>0</v>
      </c>
      <c r="LE117" s="16">
        <f t="shared" si="99"/>
        <v>0</v>
      </c>
      <c r="LF117" s="16">
        <f t="shared" si="99"/>
        <v>0</v>
      </c>
      <c r="LI117" s="9">
        <f t="shared" si="124"/>
        <v>14</v>
      </c>
      <c r="LJ117" s="16">
        <f t="shared" si="100"/>
        <v>0</v>
      </c>
      <c r="LK117" s="16">
        <f t="shared" si="100"/>
        <v>0</v>
      </c>
      <c r="LL117" s="16">
        <f t="shared" si="100"/>
        <v>0</v>
      </c>
      <c r="LM117" s="16">
        <f t="shared" si="100"/>
        <v>0</v>
      </c>
      <c r="LN117" s="16">
        <f t="shared" si="100"/>
        <v>0</v>
      </c>
      <c r="LO117" s="16">
        <f t="shared" si="100"/>
        <v>-0.1179327412632963</v>
      </c>
      <c r="LP117" s="16">
        <f t="shared" si="100"/>
        <v>1.2376266301632775</v>
      </c>
      <c r="LQ117" s="16">
        <f t="shared" si="100"/>
        <v>-0.12230944858698117</v>
      </c>
      <c r="LR117" s="16">
        <f t="shared" si="100"/>
        <v>0</v>
      </c>
      <c r="LS117" s="16">
        <f t="shared" si="100"/>
        <v>0</v>
      </c>
      <c r="LT117" s="16">
        <f t="shared" si="101"/>
        <v>0</v>
      </c>
      <c r="LU117" s="16">
        <f t="shared" si="101"/>
        <v>0</v>
      </c>
      <c r="LV117" s="16">
        <f t="shared" si="101"/>
        <v>0</v>
      </c>
      <c r="LW117" s="16">
        <f t="shared" si="101"/>
        <v>0</v>
      </c>
      <c r="LX117" s="16">
        <f t="shared" si="101"/>
        <v>0</v>
      </c>
      <c r="LY117" s="16">
        <f t="shared" si="101"/>
        <v>0</v>
      </c>
      <c r="LZ117" s="16">
        <f t="shared" si="101"/>
        <v>0</v>
      </c>
      <c r="MA117" s="16">
        <f t="shared" si="101"/>
        <v>0</v>
      </c>
      <c r="MB117" s="16">
        <f t="shared" si="101"/>
        <v>0</v>
      </c>
      <c r="MC117" s="16">
        <f t="shared" si="101"/>
        <v>0</v>
      </c>
      <c r="MD117" s="16">
        <f t="shared" si="101"/>
        <v>0</v>
      </c>
      <c r="MG117" s="9">
        <f t="shared" si="125"/>
        <v>14</v>
      </c>
      <c r="MH117" s="16">
        <f t="shared" si="102"/>
        <v>0</v>
      </c>
      <c r="MI117" s="16">
        <f t="shared" si="102"/>
        <v>0</v>
      </c>
      <c r="MJ117" s="16">
        <f t="shared" si="102"/>
        <v>0</v>
      </c>
      <c r="MK117" s="16">
        <f t="shared" si="102"/>
        <v>0</v>
      </c>
      <c r="ML117" s="16">
        <f t="shared" si="102"/>
        <v>0</v>
      </c>
      <c r="MM117" s="16">
        <f t="shared" si="102"/>
        <v>-1.642602853156612E-2</v>
      </c>
      <c r="MN117" s="16">
        <f t="shared" si="102"/>
        <v>1.0330973550271971</v>
      </c>
      <c r="MO117" s="16">
        <f t="shared" si="102"/>
        <v>-1.7035629551631078E-2</v>
      </c>
      <c r="MP117" s="16">
        <f t="shared" si="102"/>
        <v>0</v>
      </c>
      <c r="MQ117" s="16">
        <f t="shared" si="102"/>
        <v>0</v>
      </c>
      <c r="MR117" s="16">
        <f t="shared" si="103"/>
        <v>0</v>
      </c>
      <c r="MS117" s="16">
        <f t="shared" si="103"/>
        <v>0</v>
      </c>
      <c r="MT117" s="16">
        <f t="shared" si="103"/>
        <v>0</v>
      </c>
      <c r="MU117" s="16">
        <f t="shared" si="103"/>
        <v>0</v>
      </c>
      <c r="MV117" s="16">
        <f t="shared" si="103"/>
        <v>0</v>
      </c>
      <c r="MW117" s="16">
        <f t="shared" si="103"/>
        <v>0</v>
      </c>
      <c r="MX117" s="16">
        <f t="shared" si="103"/>
        <v>0</v>
      </c>
      <c r="MY117" s="16">
        <f t="shared" si="103"/>
        <v>0</v>
      </c>
      <c r="MZ117" s="16">
        <f t="shared" si="103"/>
        <v>0</v>
      </c>
      <c r="NA117" s="16">
        <f t="shared" si="103"/>
        <v>0</v>
      </c>
      <c r="NB117" s="16">
        <f t="shared" si="103"/>
        <v>0</v>
      </c>
      <c r="NE117" s="9">
        <f t="shared" si="126"/>
        <v>14</v>
      </c>
      <c r="NF117" s="16">
        <f t="shared" si="104"/>
        <v>0</v>
      </c>
      <c r="NG117" s="16">
        <f t="shared" si="104"/>
        <v>0</v>
      </c>
      <c r="NH117" s="16">
        <f t="shared" si="104"/>
        <v>0</v>
      </c>
      <c r="NI117" s="16">
        <f t="shared" si="104"/>
        <v>0</v>
      </c>
      <c r="NJ117" s="16">
        <f t="shared" si="104"/>
        <v>0</v>
      </c>
      <c r="NK117" s="16">
        <f t="shared" si="104"/>
        <v>-0.1179327412632963</v>
      </c>
      <c r="NL117" s="16">
        <f t="shared" si="104"/>
        <v>1.2376266301632775</v>
      </c>
      <c r="NM117" s="16">
        <f t="shared" si="104"/>
        <v>-0.12230944858698117</v>
      </c>
      <c r="NN117" s="16">
        <f t="shared" si="104"/>
        <v>0</v>
      </c>
      <c r="NO117" s="16">
        <f t="shared" si="104"/>
        <v>0</v>
      </c>
      <c r="NP117" s="16">
        <f t="shared" si="105"/>
        <v>0</v>
      </c>
      <c r="NQ117" s="16">
        <f t="shared" si="105"/>
        <v>0</v>
      </c>
      <c r="NR117" s="16">
        <f t="shared" si="105"/>
        <v>0</v>
      </c>
      <c r="NS117" s="16">
        <f t="shared" si="105"/>
        <v>0</v>
      </c>
      <c r="NT117" s="16">
        <f t="shared" si="105"/>
        <v>0</v>
      </c>
      <c r="NU117" s="16">
        <f t="shared" si="105"/>
        <v>0</v>
      </c>
      <c r="NV117" s="16">
        <f t="shared" si="105"/>
        <v>0</v>
      </c>
      <c r="NW117" s="16">
        <f t="shared" si="105"/>
        <v>0</v>
      </c>
      <c r="NX117" s="16">
        <f t="shared" si="105"/>
        <v>0</v>
      </c>
      <c r="NY117" s="16">
        <f t="shared" si="105"/>
        <v>0</v>
      </c>
      <c r="NZ117" s="16">
        <f t="shared" si="105"/>
        <v>0</v>
      </c>
      <c r="OC117" s="9">
        <f t="shared" si="127"/>
        <v>14</v>
      </c>
      <c r="OD117" s="16">
        <f t="shared" si="106"/>
        <v>0</v>
      </c>
      <c r="OE117" s="16">
        <f t="shared" si="106"/>
        <v>0</v>
      </c>
      <c r="OF117" s="16">
        <f t="shared" si="106"/>
        <v>0</v>
      </c>
      <c r="OG117" s="16">
        <f t="shared" si="106"/>
        <v>0</v>
      </c>
      <c r="OH117" s="16">
        <f t="shared" si="106"/>
        <v>0</v>
      </c>
      <c r="OI117" s="16">
        <f t="shared" si="106"/>
        <v>-1.7902107670278684E-2</v>
      </c>
      <c r="OJ117" s="16">
        <f t="shared" si="106"/>
        <v>1.0360715563204876</v>
      </c>
      <c r="OK117" s="16">
        <f t="shared" si="106"/>
        <v>-1.8566488782008929E-2</v>
      </c>
      <c r="OL117" s="16">
        <f t="shared" si="106"/>
        <v>0</v>
      </c>
      <c r="OM117" s="16">
        <f t="shared" si="106"/>
        <v>0</v>
      </c>
      <c r="ON117" s="16">
        <f t="shared" si="107"/>
        <v>0</v>
      </c>
      <c r="OO117" s="16">
        <f t="shared" si="107"/>
        <v>0</v>
      </c>
      <c r="OP117" s="16">
        <f t="shared" si="107"/>
        <v>0</v>
      </c>
      <c r="OQ117" s="16">
        <f t="shared" si="107"/>
        <v>0</v>
      </c>
      <c r="OR117" s="16">
        <f t="shared" si="107"/>
        <v>0</v>
      </c>
      <c r="OS117" s="16">
        <f t="shared" si="107"/>
        <v>0</v>
      </c>
      <c r="OT117" s="16">
        <f t="shared" si="107"/>
        <v>0</v>
      </c>
      <c r="OU117" s="16">
        <f t="shared" si="107"/>
        <v>0</v>
      </c>
      <c r="OV117" s="16">
        <f t="shared" si="107"/>
        <v>0</v>
      </c>
      <c r="OW117" s="16">
        <f t="shared" si="107"/>
        <v>0</v>
      </c>
      <c r="OX117" s="16">
        <f t="shared" si="107"/>
        <v>0</v>
      </c>
      <c r="PA117" s="9">
        <f t="shared" si="128"/>
        <v>14</v>
      </c>
      <c r="PB117" s="16">
        <f t="shared" si="108"/>
        <v>0</v>
      </c>
      <c r="PC117" s="16">
        <f t="shared" si="108"/>
        <v>0</v>
      </c>
      <c r="PD117" s="16">
        <f t="shared" si="108"/>
        <v>0</v>
      </c>
      <c r="PE117" s="16">
        <f t="shared" si="108"/>
        <v>0</v>
      </c>
      <c r="PF117" s="16">
        <f t="shared" si="108"/>
        <v>0</v>
      </c>
      <c r="PG117" s="16">
        <f t="shared" si="108"/>
        <v>-0.11792789105802122</v>
      </c>
      <c r="PH117" s="16">
        <f t="shared" si="108"/>
        <v>1.2376168573222261</v>
      </c>
      <c r="PI117" s="16">
        <f t="shared" si="108"/>
        <v>-0.12230441838140489</v>
      </c>
      <c r="PJ117" s="16">
        <f t="shared" si="108"/>
        <v>0</v>
      </c>
      <c r="PK117" s="16">
        <f t="shared" si="108"/>
        <v>0</v>
      </c>
      <c r="PL117" s="16">
        <f t="shared" si="109"/>
        <v>0</v>
      </c>
      <c r="PM117" s="16">
        <f t="shared" si="109"/>
        <v>0</v>
      </c>
      <c r="PN117" s="16">
        <f t="shared" si="109"/>
        <v>0</v>
      </c>
      <c r="PO117" s="16">
        <f t="shared" si="109"/>
        <v>0</v>
      </c>
      <c r="PP117" s="16">
        <f t="shared" si="109"/>
        <v>0</v>
      </c>
      <c r="PQ117" s="16">
        <f t="shared" si="109"/>
        <v>0</v>
      </c>
      <c r="PR117" s="16">
        <f t="shared" si="109"/>
        <v>0</v>
      </c>
      <c r="PS117" s="16">
        <f t="shared" si="109"/>
        <v>0</v>
      </c>
      <c r="PT117" s="16">
        <f t="shared" si="109"/>
        <v>0</v>
      </c>
      <c r="PU117" s="16">
        <f t="shared" si="109"/>
        <v>0</v>
      </c>
      <c r="PV117" s="16">
        <f t="shared" si="109"/>
        <v>0</v>
      </c>
    </row>
    <row r="118" spans="3:438" x14ac:dyDescent="0.25">
      <c r="C118" s="1"/>
      <c r="D118" s="1"/>
      <c r="F118" s="1"/>
      <c r="H118" s="1"/>
      <c r="I118" s="9">
        <f t="shared" si="111"/>
        <v>13</v>
      </c>
      <c r="J118" s="16">
        <f t="shared" si="110"/>
        <v>0</v>
      </c>
      <c r="K118" s="16">
        <f t="shared" si="75"/>
        <v>0</v>
      </c>
      <c r="L118" s="16">
        <f t="shared" si="75"/>
        <v>0</v>
      </c>
      <c r="M118" s="16">
        <f t="shared" si="75"/>
        <v>0</v>
      </c>
      <c r="N118" s="16">
        <f t="shared" si="75"/>
        <v>0</v>
      </c>
      <c r="O118" s="16">
        <f t="shared" si="75"/>
        <v>0</v>
      </c>
      <c r="P118" s="16">
        <f t="shared" si="75"/>
        <v>-1.4363439851255386E-2</v>
      </c>
      <c r="Q118" s="16">
        <f t="shared" si="75"/>
        <v>1.0288425874281781</v>
      </c>
      <c r="R118" s="16">
        <f t="shared" si="75"/>
        <v>-1.4650990332422835E-2</v>
      </c>
      <c r="S118" s="16">
        <f t="shared" si="75"/>
        <v>0</v>
      </c>
      <c r="T118" s="16">
        <f t="shared" si="75"/>
        <v>0</v>
      </c>
      <c r="U118" s="16">
        <f t="shared" si="75"/>
        <v>0</v>
      </c>
      <c r="V118" s="16">
        <f t="shared" si="75"/>
        <v>0</v>
      </c>
      <c r="W118" s="16">
        <f t="shared" si="75"/>
        <v>0</v>
      </c>
      <c r="X118" s="16">
        <f t="shared" si="75"/>
        <v>0</v>
      </c>
      <c r="Y118" s="16">
        <f t="shared" si="75"/>
        <v>0</v>
      </c>
      <c r="Z118" s="16">
        <f t="shared" si="75"/>
        <v>0</v>
      </c>
      <c r="AA118" s="16">
        <f t="shared" si="75"/>
        <v>0</v>
      </c>
      <c r="AB118" s="16">
        <f t="shared" si="75"/>
        <v>0</v>
      </c>
      <c r="AC118" s="16">
        <f t="shared" si="75"/>
        <v>0</v>
      </c>
      <c r="AD118" s="16">
        <f t="shared" si="75"/>
        <v>0</v>
      </c>
      <c r="AE118" s="1"/>
      <c r="AF118" s="1"/>
      <c r="AG118" s="9">
        <f t="shared" si="112"/>
        <v>13</v>
      </c>
      <c r="AH118" s="16">
        <f t="shared" si="76"/>
        <v>0</v>
      </c>
      <c r="AI118" s="16">
        <f t="shared" si="76"/>
        <v>0</v>
      </c>
      <c r="AJ118" s="16">
        <f t="shared" si="76"/>
        <v>0</v>
      </c>
      <c r="AK118" s="16">
        <f t="shared" si="76"/>
        <v>0</v>
      </c>
      <c r="AL118" s="16">
        <f t="shared" si="76"/>
        <v>0</v>
      </c>
      <c r="AM118" s="16">
        <f t="shared" si="76"/>
        <v>0</v>
      </c>
      <c r="AN118" s="16">
        <f t="shared" si="76"/>
        <v>-0.11496746013441003</v>
      </c>
      <c r="AO118" s="16">
        <f t="shared" si="76"/>
        <v>1.2308610649441676</v>
      </c>
      <c r="AP118" s="16">
        <f t="shared" si="76"/>
        <v>-0.11726906398575764</v>
      </c>
      <c r="AQ118" s="16">
        <f t="shared" si="76"/>
        <v>0</v>
      </c>
      <c r="AR118" s="16">
        <f t="shared" si="77"/>
        <v>0</v>
      </c>
      <c r="AS118" s="16">
        <f t="shared" si="77"/>
        <v>0</v>
      </c>
      <c r="AT118" s="16">
        <f t="shared" si="77"/>
        <v>0</v>
      </c>
      <c r="AU118" s="16">
        <f t="shared" si="77"/>
        <v>0</v>
      </c>
      <c r="AV118" s="16">
        <f t="shared" si="77"/>
        <v>0</v>
      </c>
      <c r="AW118" s="16">
        <f t="shared" si="77"/>
        <v>0</v>
      </c>
      <c r="AX118" s="16">
        <f t="shared" si="77"/>
        <v>0</v>
      </c>
      <c r="AY118" s="16">
        <f t="shared" si="77"/>
        <v>0</v>
      </c>
      <c r="AZ118" s="16">
        <f t="shared" si="77"/>
        <v>0</v>
      </c>
      <c r="BA118" s="16">
        <f t="shared" si="77"/>
        <v>0</v>
      </c>
      <c r="BB118" s="16">
        <f t="shared" si="77"/>
        <v>0</v>
      </c>
      <c r="BE118" s="9">
        <f t="shared" si="113"/>
        <v>13</v>
      </c>
      <c r="BF118" s="16">
        <f t="shared" si="78"/>
        <v>0</v>
      </c>
      <c r="BG118" s="16">
        <f t="shared" si="78"/>
        <v>0</v>
      </c>
      <c r="BH118" s="16">
        <f t="shared" si="78"/>
        <v>0</v>
      </c>
      <c r="BI118" s="16">
        <f t="shared" si="78"/>
        <v>0</v>
      </c>
      <c r="BJ118" s="16">
        <f t="shared" si="78"/>
        <v>0</v>
      </c>
      <c r="BK118" s="16">
        <f t="shared" si="78"/>
        <v>0</v>
      </c>
      <c r="BL118" s="16">
        <f t="shared" si="78"/>
        <v>-0.11495247480331838</v>
      </c>
      <c r="BM118" s="16">
        <f t="shared" si="78"/>
        <v>1.2308309735644825</v>
      </c>
      <c r="BN118" s="16">
        <f t="shared" si="78"/>
        <v>-0.11725377865416399</v>
      </c>
      <c r="BO118" s="16">
        <f t="shared" si="78"/>
        <v>0</v>
      </c>
      <c r="BP118" s="16">
        <f t="shared" si="79"/>
        <v>0</v>
      </c>
      <c r="BQ118" s="16">
        <f t="shared" si="79"/>
        <v>0</v>
      </c>
      <c r="BR118" s="16">
        <f t="shared" si="79"/>
        <v>0</v>
      </c>
      <c r="BS118" s="16">
        <f t="shared" si="79"/>
        <v>0</v>
      </c>
      <c r="BT118" s="16">
        <f t="shared" si="79"/>
        <v>0</v>
      </c>
      <c r="BU118" s="16">
        <f t="shared" si="79"/>
        <v>0</v>
      </c>
      <c r="BV118" s="16">
        <f t="shared" si="79"/>
        <v>0</v>
      </c>
      <c r="BW118" s="16">
        <f t="shared" si="79"/>
        <v>0</v>
      </c>
      <c r="BX118" s="16">
        <f t="shared" si="79"/>
        <v>0</v>
      </c>
      <c r="BY118" s="16">
        <f t="shared" si="79"/>
        <v>0</v>
      </c>
      <c r="BZ118" s="16">
        <f t="shared" si="79"/>
        <v>0</v>
      </c>
      <c r="CC118" s="9">
        <f t="shared" si="114"/>
        <v>13</v>
      </c>
      <c r="CD118" s="16">
        <f t="shared" si="80"/>
        <v>0</v>
      </c>
      <c r="CE118" s="16">
        <f t="shared" si="80"/>
        <v>0</v>
      </c>
      <c r="CF118" s="16">
        <f t="shared" si="80"/>
        <v>0</v>
      </c>
      <c r="CG118" s="16">
        <f t="shared" si="80"/>
        <v>0</v>
      </c>
      <c r="CH118" s="16">
        <f t="shared" si="80"/>
        <v>0</v>
      </c>
      <c r="CI118" s="16">
        <f t="shared" si="80"/>
        <v>0</v>
      </c>
      <c r="CJ118" s="16">
        <f t="shared" si="80"/>
        <v>-0.11495247480331805</v>
      </c>
      <c r="CK118" s="16">
        <f t="shared" si="80"/>
        <v>1.2308309735644818</v>
      </c>
      <c r="CL118" s="16">
        <f t="shared" si="80"/>
        <v>-0.11725377865416364</v>
      </c>
      <c r="CM118" s="16">
        <f t="shared" si="80"/>
        <v>0</v>
      </c>
      <c r="CN118" s="16">
        <f t="shared" si="81"/>
        <v>0</v>
      </c>
      <c r="CO118" s="16">
        <f t="shared" si="81"/>
        <v>0</v>
      </c>
      <c r="CP118" s="16">
        <f t="shared" si="81"/>
        <v>0</v>
      </c>
      <c r="CQ118" s="16">
        <f t="shared" si="81"/>
        <v>0</v>
      </c>
      <c r="CR118" s="16">
        <f t="shared" si="81"/>
        <v>0</v>
      </c>
      <c r="CS118" s="16">
        <f t="shared" si="81"/>
        <v>0</v>
      </c>
      <c r="CT118" s="16">
        <f t="shared" si="81"/>
        <v>0</v>
      </c>
      <c r="CU118" s="16">
        <f t="shared" si="81"/>
        <v>0</v>
      </c>
      <c r="CV118" s="16">
        <f t="shared" si="81"/>
        <v>0</v>
      </c>
      <c r="CW118" s="16">
        <f t="shared" si="81"/>
        <v>0</v>
      </c>
      <c r="CX118" s="16">
        <f t="shared" si="81"/>
        <v>0</v>
      </c>
      <c r="DA118" s="9">
        <f t="shared" si="115"/>
        <v>13</v>
      </c>
      <c r="DB118" s="16">
        <f t="shared" si="82"/>
        <v>0</v>
      </c>
      <c r="DC118" s="16">
        <f t="shared" si="82"/>
        <v>0</v>
      </c>
      <c r="DD118" s="16">
        <f t="shared" si="82"/>
        <v>0</v>
      </c>
      <c r="DE118" s="16">
        <f t="shared" si="82"/>
        <v>0</v>
      </c>
      <c r="DF118" s="16">
        <f t="shared" si="82"/>
        <v>0</v>
      </c>
      <c r="DG118" s="16">
        <f t="shared" si="82"/>
        <v>0</v>
      </c>
      <c r="DH118" s="16">
        <f t="shared" si="82"/>
        <v>-1.4370932516801379E-2</v>
      </c>
      <c r="DI118" s="16">
        <f t="shared" si="82"/>
        <v>1.0288576331180213</v>
      </c>
      <c r="DJ118" s="16">
        <f t="shared" si="82"/>
        <v>-1.4658632998219833E-2</v>
      </c>
      <c r="DK118" s="16">
        <f t="shared" si="82"/>
        <v>0</v>
      </c>
      <c r="DL118" s="16">
        <f t="shared" si="83"/>
        <v>0</v>
      </c>
      <c r="DM118" s="16">
        <f t="shared" si="83"/>
        <v>0</v>
      </c>
      <c r="DN118" s="16">
        <f t="shared" si="83"/>
        <v>0</v>
      </c>
      <c r="DO118" s="16">
        <f t="shared" si="83"/>
        <v>0</v>
      </c>
      <c r="DP118" s="16">
        <f t="shared" si="83"/>
        <v>0</v>
      </c>
      <c r="DQ118" s="16">
        <f t="shared" si="83"/>
        <v>0</v>
      </c>
      <c r="DR118" s="16">
        <f t="shared" si="83"/>
        <v>0</v>
      </c>
      <c r="DS118" s="16">
        <f t="shared" si="83"/>
        <v>0</v>
      </c>
      <c r="DT118" s="16">
        <f t="shared" si="83"/>
        <v>0</v>
      </c>
      <c r="DU118" s="16">
        <f t="shared" si="83"/>
        <v>0</v>
      </c>
      <c r="DV118" s="16">
        <f t="shared" si="83"/>
        <v>0</v>
      </c>
      <c r="DY118" s="9">
        <f t="shared" si="116"/>
        <v>13</v>
      </c>
      <c r="DZ118" s="16">
        <f t="shared" si="84"/>
        <v>0</v>
      </c>
      <c r="EA118" s="16">
        <f t="shared" si="84"/>
        <v>0</v>
      </c>
      <c r="EB118" s="16">
        <f t="shared" si="84"/>
        <v>0</v>
      </c>
      <c r="EC118" s="16">
        <f t="shared" si="84"/>
        <v>0</v>
      </c>
      <c r="ED118" s="16">
        <f t="shared" si="84"/>
        <v>0</v>
      </c>
      <c r="EE118" s="16">
        <f t="shared" si="84"/>
        <v>0</v>
      </c>
      <c r="EF118" s="16">
        <f t="shared" si="84"/>
        <v>-8.3063383230812457E-2</v>
      </c>
      <c r="EG118" s="16">
        <f t="shared" si="84"/>
        <v>1.1670527904194705</v>
      </c>
      <c r="EH118" s="16">
        <f t="shared" si="84"/>
        <v>-8.5364687081658064E-2</v>
      </c>
      <c r="EI118" s="16">
        <f t="shared" si="84"/>
        <v>0</v>
      </c>
      <c r="EJ118" s="16">
        <f t="shared" si="85"/>
        <v>0</v>
      </c>
      <c r="EK118" s="16">
        <f t="shared" si="85"/>
        <v>0</v>
      </c>
      <c r="EL118" s="16">
        <f t="shared" si="85"/>
        <v>0</v>
      </c>
      <c r="EM118" s="16">
        <f t="shared" si="85"/>
        <v>0</v>
      </c>
      <c r="EN118" s="16">
        <f t="shared" si="85"/>
        <v>0</v>
      </c>
      <c r="EO118" s="16">
        <f t="shared" si="85"/>
        <v>0</v>
      </c>
      <c r="EP118" s="16">
        <f t="shared" si="85"/>
        <v>0</v>
      </c>
      <c r="EQ118" s="16">
        <f t="shared" si="85"/>
        <v>0</v>
      </c>
      <c r="ER118" s="16">
        <f t="shared" si="85"/>
        <v>0</v>
      </c>
      <c r="ES118" s="16">
        <f t="shared" si="85"/>
        <v>0</v>
      </c>
      <c r="ET118" s="16">
        <f t="shared" si="85"/>
        <v>0</v>
      </c>
      <c r="EW118" s="9">
        <f t="shared" si="117"/>
        <v>13</v>
      </c>
      <c r="EX118" s="16">
        <f t="shared" si="86"/>
        <v>0</v>
      </c>
      <c r="EY118" s="16">
        <f t="shared" si="86"/>
        <v>0</v>
      </c>
      <c r="EZ118" s="16">
        <f t="shared" si="86"/>
        <v>0</v>
      </c>
      <c r="FA118" s="16">
        <f t="shared" si="86"/>
        <v>0</v>
      </c>
      <c r="FB118" s="16">
        <f t="shared" si="86"/>
        <v>0</v>
      </c>
      <c r="FC118" s="16">
        <f t="shared" si="86"/>
        <v>0</v>
      </c>
      <c r="FD118" s="16">
        <f t="shared" si="86"/>
        <v>-8.3063383230812707E-2</v>
      </c>
      <c r="FE118" s="16">
        <f t="shared" si="86"/>
        <v>1.167052790419471</v>
      </c>
      <c r="FF118" s="16">
        <f t="shared" si="86"/>
        <v>-8.5364687081658314E-2</v>
      </c>
      <c r="FG118" s="16">
        <f t="shared" si="86"/>
        <v>0</v>
      </c>
      <c r="FH118" s="16">
        <f t="shared" si="87"/>
        <v>0</v>
      </c>
      <c r="FI118" s="16">
        <f t="shared" si="87"/>
        <v>0</v>
      </c>
      <c r="FJ118" s="16">
        <f t="shared" si="87"/>
        <v>0</v>
      </c>
      <c r="FK118" s="16">
        <f t="shared" si="87"/>
        <v>0</v>
      </c>
      <c r="FL118" s="16">
        <f t="shared" si="87"/>
        <v>0</v>
      </c>
      <c r="FM118" s="16">
        <f t="shared" si="87"/>
        <v>0</v>
      </c>
      <c r="FN118" s="16">
        <f t="shared" si="87"/>
        <v>0</v>
      </c>
      <c r="FO118" s="16">
        <f t="shared" si="87"/>
        <v>0</v>
      </c>
      <c r="FP118" s="16">
        <f t="shared" si="87"/>
        <v>0</v>
      </c>
      <c r="FQ118" s="16">
        <f t="shared" si="87"/>
        <v>0</v>
      </c>
      <c r="FR118" s="16">
        <f t="shared" si="87"/>
        <v>0</v>
      </c>
      <c r="FU118" s="9">
        <f t="shared" si="118"/>
        <v>13</v>
      </c>
      <c r="FV118" s="16">
        <f t="shared" si="88"/>
        <v>0</v>
      </c>
      <c r="FW118" s="16">
        <f t="shared" si="88"/>
        <v>0</v>
      </c>
      <c r="FX118" s="16">
        <f t="shared" si="88"/>
        <v>0</v>
      </c>
      <c r="FY118" s="16">
        <f t="shared" si="88"/>
        <v>0</v>
      </c>
      <c r="FZ118" s="16">
        <f t="shared" si="88"/>
        <v>0</v>
      </c>
      <c r="GA118" s="16">
        <f t="shared" si="88"/>
        <v>0</v>
      </c>
      <c r="GB118" s="16">
        <f t="shared" si="88"/>
        <v>-8.30742114648408E-2</v>
      </c>
      <c r="GC118" s="16">
        <f t="shared" si="88"/>
        <v>1.1670745676050291</v>
      </c>
      <c r="GD118" s="16">
        <f t="shared" si="88"/>
        <v>-8.5375815316188403E-2</v>
      </c>
      <c r="GE118" s="16">
        <f t="shared" si="88"/>
        <v>0</v>
      </c>
      <c r="GF118" s="16">
        <f t="shared" si="89"/>
        <v>0</v>
      </c>
      <c r="GG118" s="16">
        <f t="shared" si="89"/>
        <v>0</v>
      </c>
      <c r="GH118" s="16">
        <f t="shared" si="89"/>
        <v>0</v>
      </c>
      <c r="GI118" s="16">
        <f t="shared" si="89"/>
        <v>0</v>
      </c>
      <c r="GJ118" s="16">
        <f t="shared" si="89"/>
        <v>0</v>
      </c>
      <c r="GK118" s="16">
        <f t="shared" si="89"/>
        <v>0</v>
      </c>
      <c r="GL118" s="16">
        <f t="shared" si="89"/>
        <v>0</v>
      </c>
      <c r="GM118" s="16">
        <f t="shared" si="89"/>
        <v>0</v>
      </c>
      <c r="GN118" s="16">
        <f t="shared" si="89"/>
        <v>0</v>
      </c>
      <c r="GO118" s="16">
        <f t="shared" si="89"/>
        <v>0</v>
      </c>
      <c r="GP118" s="16">
        <f t="shared" si="89"/>
        <v>0</v>
      </c>
      <c r="GS118" s="9">
        <f t="shared" si="119"/>
        <v>13</v>
      </c>
      <c r="GT118" s="16">
        <f t="shared" si="90"/>
        <v>0</v>
      </c>
      <c r="GU118" s="16">
        <f t="shared" si="90"/>
        <v>0</v>
      </c>
      <c r="GV118" s="16">
        <f t="shared" si="90"/>
        <v>0</v>
      </c>
      <c r="GW118" s="16">
        <f t="shared" si="90"/>
        <v>0</v>
      </c>
      <c r="GX118" s="16">
        <f t="shared" si="90"/>
        <v>0</v>
      </c>
      <c r="GY118" s="16">
        <f t="shared" si="90"/>
        <v>0</v>
      </c>
      <c r="GZ118" s="16">
        <f t="shared" si="90"/>
        <v>-1.7980282603932363E-2</v>
      </c>
      <c r="HA118" s="16">
        <f t="shared" si="90"/>
        <v>1.0361610166199364</v>
      </c>
      <c r="HB118" s="16">
        <f t="shared" si="90"/>
        <v>-1.8478433437504146E-2</v>
      </c>
      <c r="HC118" s="16">
        <f t="shared" si="90"/>
        <v>0</v>
      </c>
      <c r="HD118" s="16">
        <f t="shared" si="91"/>
        <v>0</v>
      </c>
      <c r="HE118" s="16">
        <f t="shared" si="91"/>
        <v>0</v>
      </c>
      <c r="HF118" s="16">
        <f t="shared" si="91"/>
        <v>0</v>
      </c>
      <c r="HG118" s="16">
        <f t="shared" si="91"/>
        <v>0</v>
      </c>
      <c r="HH118" s="16">
        <f t="shared" si="91"/>
        <v>0</v>
      </c>
      <c r="HI118" s="16">
        <f t="shared" si="91"/>
        <v>0</v>
      </c>
      <c r="HJ118" s="16">
        <f t="shared" si="91"/>
        <v>0</v>
      </c>
      <c r="HK118" s="16">
        <f t="shared" si="91"/>
        <v>0</v>
      </c>
      <c r="HL118" s="16">
        <f t="shared" si="91"/>
        <v>0</v>
      </c>
      <c r="HM118" s="16">
        <f t="shared" si="91"/>
        <v>0</v>
      </c>
      <c r="HN118" s="16">
        <f t="shared" si="91"/>
        <v>0</v>
      </c>
      <c r="HQ118" s="9">
        <f t="shared" si="120"/>
        <v>13</v>
      </c>
      <c r="HR118" s="16">
        <f t="shared" si="92"/>
        <v>0</v>
      </c>
      <c r="HS118" s="16">
        <f t="shared" si="92"/>
        <v>0</v>
      </c>
      <c r="HT118" s="16">
        <f t="shared" si="92"/>
        <v>0</v>
      </c>
      <c r="HU118" s="16">
        <f t="shared" si="92"/>
        <v>0</v>
      </c>
      <c r="HV118" s="16">
        <f t="shared" si="92"/>
        <v>0</v>
      </c>
      <c r="HW118" s="16">
        <f t="shared" si="92"/>
        <v>0</v>
      </c>
      <c r="HX118" s="16">
        <f t="shared" si="92"/>
        <v>-0.11848253673726393</v>
      </c>
      <c r="HY118" s="16">
        <f t="shared" si="92"/>
        <v>1.238285964381417</v>
      </c>
      <c r="HZ118" s="16">
        <f t="shared" si="92"/>
        <v>-0.12176514223015307</v>
      </c>
      <c r="IA118" s="16">
        <f t="shared" si="92"/>
        <v>0</v>
      </c>
      <c r="IB118" s="16">
        <f t="shared" si="93"/>
        <v>0</v>
      </c>
      <c r="IC118" s="16">
        <f t="shared" si="93"/>
        <v>0</v>
      </c>
      <c r="ID118" s="16">
        <f t="shared" si="93"/>
        <v>0</v>
      </c>
      <c r="IE118" s="16">
        <f t="shared" si="93"/>
        <v>0</v>
      </c>
      <c r="IF118" s="16">
        <f t="shared" si="93"/>
        <v>0</v>
      </c>
      <c r="IG118" s="16">
        <f t="shared" si="93"/>
        <v>0</v>
      </c>
      <c r="IH118" s="16">
        <f t="shared" si="93"/>
        <v>0</v>
      </c>
      <c r="II118" s="16">
        <f t="shared" si="93"/>
        <v>0</v>
      </c>
      <c r="IJ118" s="16">
        <f t="shared" si="93"/>
        <v>0</v>
      </c>
      <c r="IK118" s="16">
        <f t="shared" si="93"/>
        <v>0</v>
      </c>
      <c r="IL118" s="16">
        <f t="shared" si="93"/>
        <v>0</v>
      </c>
      <c r="IO118" s="9">
        <f t="shared" si="121"/>
        <v>13</v>
      </c>
      <c r="IP118" s="16">
        <f t="shared" si="94"/>
        <v>0</v>
      </c>
      <c r="IQ118" s="16">
        <f t="shared" si="94"/>
        <v>0</v>
      </c>
      <c r="IR118" s="16">
        <f t="shared" si="94"/>
        <v>0</v>
      </c>
      <c r="IS118" s="16">
        <f t="shared" si="94"/>
        <v>0</v>
      </c>
      <c r="IT118" s="16">
        <f t="shared" si="94"/>
        <v>0</v>
      </c>
      <c r="IU118" s="16">
        <f t="shared" si="94"/>
        <v>0</v>
      </c>
      <c r="IV118" s="16">
        <f t="shared" si="94"/>
        <v>-1.798515530924498E-2</v>
      </c>
      <c r="IW118" s="16">
        <f t="shared" si="94"/>
        <v>1.0361708163534376</v>
      </c>
      <c r="IX118" s="16">
        <f t="shared" si="94"/>
        <v>-1.8483441143042661E-2</v>
      </c>
      <c r="IY118" s="16">
        <f t="shared" si="94"/>
        <v>0</v>
      </c>
      <c r="IZ118" s="16">
        <f t="shared" si="95"/>
        <v>0</v>
      </c>
      <c r="JA118" s="16">
        <f t="shared" si="95"/>
        <v>0</v>
      </c>
      <c r="JB118" s="16">
        <f t="shared" si="95"/>
        <v>0</v>
      </c>
      <c r="JC118" s="16">
        <f t="shared" si="95"/>
        <v>0</v>
      </c>
      <c r="JD118" s="16">
        <f t="shared" si="95"/>
        <v>0</v>
      </c>
      <c r="JE118" s="16">
        <f t="shared" si="95"/>
        <v>0</v>
      </c>
      <c r="JF118" s="16">
        <f t="shared" si="95"/>
        <v>0</v>
      </c>
      <c r="JG118" s="16">
        <f t="shared" si="95"/>
        <v>0</v>
      </c>
      <c r="JH118" s="16">
        <f t="shared" si="95"/>
        <v>0</v>
      </c>
      <c r="JI118" s="16">
        <f t="shared" si="95"/>
        <v>0</v>
      </c>
      <c r="JJ118" s="16">
        <f t="shared" si="95"/>
        <v>0</v>
      </c>
      <c r="JM118" s="9">
        <f t="shared" si="122"/>
        <v>13</v>
      </c>
      <c r="JN118" s="16">
        <f t="shared" si="96"/>
        <v>0</v>
      </c>
      <c r="JO118" s="16">
        <f t="shared" si="96"/>
        <v>0</v>
      </c>
      <c r="JP118" s="16">
        <f t="shared" si="96"/>
        <v>0</v>
      </c>
      <c r="JQ118" s="16">
        <f t="shared" si="96"/>
        <v>0</v>
      </c>
      <c r="JR118" s="16">
        <f t="shared" si="96"/>
        <v>0</v>
      </c>
      <c r="JS118" s="16">
        <f t="shared" si="96"/>
        <v>0</v>
      </c>
      <c r="JT118" s="16">
        <f t="shared" si="96"/>
        <v>-0.11848037109045834</v>
      </c>
      <c r="JU118" s="16">
        <f t="shared" si="96"/>
        <v>1.2382816089443054</v>
      </c>
      <c r="JV118" s="16">
        <f t="shared" si="96"/>
        <v>-0.12176291658324707</v>
      </c>
      <c r="JW118" s="16">
        <f t="shared" si="96"/>
        <v>0</v>
      </c>
      <c r="JX118" s="16">
        <f t="shared" si="97"/>
        <v>0</v>
      </c>
      <c r="JY118" s="16">
        <f t="shared" si="97"/>
        <v>0</v>
      </c>
      <c r="JZ118" s="16">
        <f t="shared" si="97"/>
        <v>0</v>
      </c>
      <c r="KA118" s="16">
        <f t="shared" si="97"/>
        <v>0</v>
      </c>
      <c r="KB118" s="16">
        <f t="shared" si="97"/>
        <v>0</v>
      </c>
      <c r="KC118" s="16">
        <f t="shared" si="97"/>
        <v>0</v>
      </c>
      <c r="KD118" s="16">
        <f t="shared" si="97"/>
        <v>0</v>
      </c>
      <c r="KE118" s="16">
        <f t="shared" si="97"/>
        <v>0</v>
      </c>
      <c r="KF118" s="16">
        <f t="shared" si="97"/>
        <v>0</v>
      </c>
      <c r="KG118" s="16">
        <f t="shared" si="97"/>
        <v>0</v>
      </c>
      <c r="KH118" s="16">
        <f t="shared" si="97"/>
        <v>0</v>
      </c>
      <c r="KK118" s="9">
        <f t="shared" si="123"/>
        <v>13</v>
      </c>
      <c r="KL118" s="16">
        <f t="shared" si="98"/>
        <v>0</v>
      </c>
      <c r="KM118" s="16">
        <f t="shared" si="98"/>
        <v>0</v>
      </c>
      <c r="KN118" s="16">
        <f t="shared" si="98"/>
        <v>0</v>
      </c>
      <c r="KO118" s="16">
        <f t="shared" si="98"/>
        <v>0</v>
      </c>
      <c r="KP118" s="16">
        <f t="shared" si="98"/>
        <v>0</v>
      </c>
      <c r="KQ118" s="16">
        <f t="shared" si="98"/>
        <v>0</v>
      </c>
      <c r="KR118" s="16">
        <f t="shared" si="98"/>
        <v>-1.501876059720207E-2</v>
      </c>
      <c r="KS118" s="16">
        <f t="shared" si="98"/>
        <v>1.0302049563696789</v>
      </c>
      <c r="KT118" s="16">
        <f t="shared" si="98"/>
        <v>-1.5434861293476721E-2</v>
      </c>
      <c r="KU118" s="16">
        <f t="shared" si="98"/>
        <v>0</v>
      </c>
      <c r="KV118" s="16">
        <f t="shared" si="99"/>
        <v>0</v>
      </c>
      <c r="KW118" s="16">
        <f t="shared" si="99"/>
        <v>0</v>
      </c>
      <c r="KX118" s="16">
        <f t="shared" si="99"/>
        <v>0</v>
      </c>
      <c r="KY118" s="16">
        <f t="shared" si="99"/>
        <v>0</v>
      </c>
      <c r="KZ118" s="16">
        <f t="shared" si="99"/>
        <v>0</v>
      </c>
      <c r="LA118" s="16">
        <f t="shared" si="99"/>
        <v>0</v>
      </c>
      <c r="LB118" s="16">
        <f t="shared" si="99"/>
        <v>0</v>
      </c>
      <c r="LC118" s="16">
        <f t="shared" si="99"/>
        <v>0</v>
      </c>
      <c r="LD118" s="16">
        <f t="shared" si="99"/>
        <v>0</v>
      </c>
      <c r="LE118" s="16">
        <f t="shared" si="99"/>
        <v>0</v>
      </c>
      <c r="LF118" s="16">
        <f t="shared" si="99"/>
        <v>0</v>
      </c>
      <c r="LI118" s="9">
        <f t="shared" si="124"/>
        <v>13</v>
      </c>
      <c r="LJ118" s="16">
        <f t="shared" si="100"/>
        <v>0</v>
      </c>
      <c r="LK118" s="16">
        <f t="shared" si="100"/>
        <v>0</v>
      </c>
      <c r="LL118" s="16">
        <f t="shared" si="100"/>
        <v>0</v>
      </c>
      <c r="LM118" s="16">
        <f t="shared" si="100"/>
        <v>0</v>
      </c>
      <c r="LN118" s="16">
        <f t="shared" si="100"/>
        <v>0</v>
      </c>
      <c r="LO118" s="16">
        <f t="shared" si="100"/>
        <v>0</v>
      </c>
      <c r="LP118" s="16">
        <f t="shared" si="100"/>
        <v>-0.11847982967875691</v>
      </c>
      <c r="LQ118" s="16">
        <f t="shared" si="100"/>
        <v>1.2382805200850275</v>
      </c>
      <c r="LR118" s="16">
        <f t="shared" si="100"/>
        <v>-0.12176236017152055</v>
      </c>
      <c r="LS118" s="16">
        <f t="shared" si="100"/>
        <v>0</v>
      </c>
      <c r="LT118" s="16">
        <f t="shared" si="101"/>
        <v>0</v>
      </c>
      <c r="LU118" s="16">
        <f t="shared" si="101"/>
        <v>0</v>
      </c>
      <c r="LV118" s="16">
        <f t="shared" si="101"/>
        <v>0</v>
      </c>
      <c r="LW118" s="16">
        <f t="shared" si="101"/>
        <v>0</v>
      </c>
      <c r="LX118" s="16">
        <f t="shared" si="101"/>
        <v>0</v>
      </c>
      <c r="LY118" s="16">
        <f t="shared" si="101"/>
        <v>0</v>
      </c>
      <c r="LZ118" s="16">
        <f t="shared" si="101"/>
        <v>0</v>
      </c>
      <c r="MA118" s="16">
        <f t="shared" si="101"/>
        <v>0</v>
      </c>
      <c r="MB118" s="16">
        <f t="shared" si="101"/>
        <v>0</v>
      </c>
      <c r="MC118" s="16">
        <f t="shared" si="101"/>
        <v>0</v>
      </c>
      <c r="MD118" s="16">
        <f t="shared" si="101"/>
        <v>0</v>
      </c>
      <c r="MG118" s="9">
        <f t="shared" si="125"/>
        <v>13</v>
      </c>
      <c r="MH118" s="16">
        <f t="shared" si="102"/>
        <v>0</v>
      </c>
      <c r="MI118" s="16">
        <f t="shared" si="102"/>
        <v>0</v>
      </c>
      <c r="MJ118" s="16">
        <f t="shared" si="102"/>
        <v>0</v>
      </c>
      <c r="MK118" s="16">
        <f t="shared" si="102"/>
        <v>0</v>
      </c>
      <c r="ML118" s="16">
        <f t="shared" si="102"/>
        <v>0</v>
      </c>
      <c r="MM118" s="16">
        <f t="shared" si="102"/>
        <v>0</v>
      </c>
      <c r="MN118" s="16">
        <f t="shared" si="102"/>
        <v>-1.650222865907424E-2</v>
      </c>
      <c r="MO118" s="16">
        <f t="shared" si="102"/>
        <v>1.0331884307911972</v>
      </c>
      <c r="MP118" s="16">
        <f t="shared" si="102"/>
        <v>-1.6959429424122957E-2</v>
      </c>
      <c r="MQ118" s="16">
        <f t="shared" si="102"/>
        <v>0</v>
      </c>
      <c r="MR118" s="16">
        <f t="shared" si="103"/>
        <v>0</v>
      </c>
      <c r="MS118" s="16">
        <f t="shared" si="103"/>
        <v>0</v>
      </c>
      <c r="MT118" s="16">
        <f t="shared" si="103"/>
        <v>0</v>
      </c>
      <c r="MU118" s="16">
        <f t="shared" si="103"/>
        <v>0</v>
      </c>
      <c r="MV118" s="16">
        <f t="shared" si="103"/>
        <v>0</v>
      </c>
      <c r="MW118" s="16">
        <f t="shared" si="103"/>
        <v>0</v>
      </c>
      <c r="MX118" s="16">
        <f t="shared" si="103"/>
        <v>0</v>
      </c>
      <c r="MY118" s="16">
        <f t="shared" si="103"/>
        <v>0</v>
      </c>
      <c r="MZ118" s="16">
        <f t="shared" si="103"/>
        <v>0</v>
      </c>
      <c r="NA118" s="16">
        <f t="shared" si="103"/>
        <v>0</v>
      </c>
      <c r="NB118" s="16">
        <f t="shared" si="103"/>
        <v>0</v>
      </c>
      <c r="NE118" s="9">
        <f t="shared" si="126"/>
        <v>13</v>
      </c>
      <c r="NF118" s="16">
        <f t="shared" si="104"/>
        <v>0</v>
      </c>
      <c r="NG118" s="16">
        <f t="shared" si="104"/>
        <v>0</v>
      </c>
      <c r="NH118" s="16">
        <f t="shared" si="104"/>
        <v>0</v>
      </c>
      <c r="NI118" s="16">
        <f t="shared" si="104"/>
        <v>0</v>
      </c>
      <c r="NJ118" s="16">
        <f t="shared" si="104"/>
        <v>0</v>
      </c>
      <c r="NK118" s="16">
        <f t="shared" si="104"/>
        <v>0</v>
      </c>
      <c r="NL118" s="16">
        <f t="shared" si="104"/>
        <v>-0.11847982967875691</v>
      </c>
      <c r="NM118" s="16">
        <f t="shared" si="104"/>
        <v>1.2382805200850275</v>
      </c>
      <c r="NN118" s="16">
        <f t="shared" si="104"/>
        <v>-0.12176236017152055</v>
      </c>
      <c r="NO118" s="16">
        <f t="shared" si="104"/>
        <v>0</v>
      </c>
      <c r="NP118" s="16">
        <f t="shared" si="105"/>
        <v>0</v>
      </c>
      <c r="NQ118" s="16">
        <f t="shared" si="105"/>
        <v>0</v>
      </c>
      <c r="NR118" s="16">
        <f t="shared" si="105"/>
        <v>0</v>
      </c>
      <c r="NS118" s="16">
        <f t="shared" si="105"/>
        <v>0</v>
      </c>
      <c r="NT118" s="16">
        <f t="shared" si="105"/>
        <v>0</v>
      </c>
      <c r="NU118" s="16">
        <f t="shared" si="105"/>
        <v>0</v>
      </c>
      <c r="NV118" s="16">
        <f t="shared" si="105"/>
        <v>0</v>
      </c>
      <c r="NW118" s="16">
        <f t="shared" si="105"/>
        <v>0</v>
      </c>
      <c r="NX118" s="16">
        <f t="shared" si="105"/>
        <v>0</v>
      </c>
      <c r="NY118" s="16">
        <f t="shared" si="105"/>
        <v>0</v>
      </c>
      <c r="NZ118" s="16">
        <f t="shared" si="105"/>
        <v>0</v>
      </c>
      <c r="OC118" s="9">
        <f t="shared" si="127"/>
        <v>13</v>
      </c>
      <c r="OD118" s="16">
        <f t="shared" si="106"/>
        <v>0</v>
      </c>
      <c r="OE118" s="16">
        <f t="shared" si="106"/>
        <v>0</v>
      </c>
      <c r="OF118" s="16">
        <f t="shared" si="106"/>
        <v>0</v>
      </c>
      <c r="OG118" s="16">
        <f t="shared" si="106"/>
        <v>0</v>
      </c>
      <c r="OH118" s="16">
        <f t="shared" si="106"/>
        <v>0</v>
      </c>
      <c r="OI118" s="16">
        <f t="shared" si="106"/>
        <v>0</v>
      </c>
      <c r="OJ118" s="16">
        <f t="shared" si="106"/>
        <v>-1.7985155309244966E-2</v>
      </c>
      <c r="OK118" s="16">
        <f t="shared" si="106"/>
        <v>1.0361708163534376</v>
      </c>
      <c r="OL118" s="16">
        <f t="shared" si="106"/>
        <v>-1.8483441143042647E-2</v>
      </c>
      <c r="OM118" s="16">
        <f t="shared" si="106"/>
        <v>0</v>
      </c>
      <c r="ON118" s="16">
        <f t="shared" si="107"/>
        <v>0</v>
      </c>
      <c r="OO118" s="16">
        <f t="shared" si="107"/>
        <v>0</v>
      </c>
      <c r="OP118" s="16">
        <f t="shared" si="107"/>
        <v>0</v>
      </c>
      <c r="OQ118" s="16">
        <f t="shared" si="107"/>
        <v>0</v>
      </c>
      <c r="OR118" s="16">
        <f t="shared" si="107"/>
        <v>0</v>
      </c>
      <c r="OS118" s="16">
        <f t="shared" si="107"/>
        <v>0</v>
      </c>
      <c r="OT118" s="16">
        <f t="shared" si="107"/>
        <v>0</v>
      </c>
      <c r="OU118" s="16">
        <f t="shared" si="107"/>
        <v>0</v>
      </c>
      <c r="OV118" s="16">
        <f t="shared" si="107"/>
        <v>0</v>
      </c>
      <c r="OW118" s="16">
        <f t="shared" si="107"/>
        <v>0</v>
      </c>
      <c r="OX118" s="16">
        <f t="shared" si="107"/>
        <v>0</v>
      </c>
      <c r="PA118" s="9">
        <f t="shared" si="128"/>
        <v>13</v>
      </c>
      <c r="PB118" s="16">
        <f t="shared" si="108"/>
        <v>0</v>
      </c>
      <c r="PC118" s="16">
        <f t="shared" si="108"/>
        <v>0</v>
      </c>
      <c r="PD118" s="16">
        <f t="shared" si="108"/>
        <v>0</v>
      </c>
      <c r="PE118" s="16">
        <f t="shared" si="108"/>
        <v>0</v>
      </c>
      <c r="PF118" s="16">
        <f t="shared" si="108"/>
        <v>0</v>
      </c>
      <c r="PG118" s="16">
        <f t="shared" si="108"/>
        <v>0</v>
      </c>
      <c r="PH118" s="16">
        <f t="shared" si="108"/>
        <v>-0.11847495697344418</v>
      </c>
      <c r="PI118" s="16">
        <f t="shared" si="108"/>
        <v>1.2382707203515262</v>
      </c>
      <c r="PJ118" s="16">
        <f t="shared" si="108"/>
        <v>-0.12175735246598193</v>
      </c>
      <c r="PK118" s="16">
        <f t="shared" si="108"/>
        <v>0</v>
      </c>
      <c r="PL118" s="16">
        <f t="shared" si="109"/>
        <v>0</v>
      </c>
      <c r="PM118" s="16">
        <f t="shared" si="109"/>
        <v>0</v>
      </c>
      <c r="PN118" s="16">
        <f t="shared" si="109"/>
        <v>0</v>
      </c>
      <c r="PO118" s="16">
        <f t="shared" si="109"/>
        <v>0</v>
      </c>
      <c r="PP118" s="16">
        <f t="shared" si="109"/>
        <v>0</v>
      </c>
      <c r="PQ118" s="16">
        <f t="shared" si="109"/>
        <v>0</v>
      </c>
      <c r="PR118" s="16">
        <f t="shared" si="109"/>
        <v>0</v>
      </c>
      <c r="PS118" s="16">
        <f t="shared" si="109"/>
        <v>0</v>
      </c>
      <c r="PT118" s="16">
        <f t="shared" si="109"/>
        <v>0</v>
      </c>
      <c r="PU118" s="16">
        <f t="shared" si="109"/>
        <v>0</v>
      </c>
      <c r="PV118" s="16">
        <f t="shared" si="109"/>
        <v>0</v>
      </c>
    </row>
    <row r="119" spans="3:438" x14ac:dyDescent="0.25">
      <c r="C119" s="1"/>
      <c r="D119" s="1"/>
      <c r="F119" s="1"/>
      <c r="H119" s="1"/>
      <c r="I119" s="9">
        <f t="shared" si="111"/>
        <v>12</v>
      </c>
      <c r="J119" s="16">
        <f t="shared" si="110"/>
        <v>0</v>
      </c>
      <c r="K119" s="16">
        <f t="shared" si="75"/>
        <v>0</v>
      </c>
      <c r="L119" s="16">
        <f t="shared" si="75"/>
        <v>0</v>
      </c>
      <c r="M119" s="16">
        <f t="shared" si="75"/>
        <v>0</v>
      </c>
      <c r="N119" s="16">
        <f t="shared" si="75"/>
        <v>0</v>
      </c>
      <c r="O119" s="16">
        <f t="shared" si="75"/>
        <v>0</v>
      </c>
      <c r="P119" s="16">
        <f t="shared" si="75"/>
        <v>0</v>
      </c>
      <c r="Q119" s="16">
        <f t="shared" si="75"/>
        <v>-1.4411364931449958E-2</v>
      </c>
      <c r="R119" s="16">
        <f t="shared" si="75"/>
        <v>1.0288998683466781</v>
      </c>
      <c r="S119" s="16">
        <f t="shared" si="75"/>
        <v>-1.4603065252228261E-2</v>
      </c>
      <c r="T119" s="16">
        <f t="shared" si="75"/>
        <v>0</v>
      </c>
      <c r="U119" s="16">
        <f t="shared" si="75"/>
        <v>0</v>
      </c>
      <c r="V119" s="16">
        <f t="shared" si="75"/>
        <v>0</v>
      </c>
      <c r="W119" s="16">
        <f t="shared" si="75"/>
        <v>0</v>
      </c>
      <c r="X119" s="16">
        <f t="shared" si="75"/>
        <v>0</v>
      </c>
      <c r="Y119" s="16">
        <f t="shared" si="75"/>
        <v>0</v>
      </c>
      <c r="Z119" s="16">
        <f t="shared" si="75"/>
        <v>0</v>
      </c>
      <c r="AA119" s="16">
        <f t="shared" si="75"/>
        <v>0</v>
      </c>
      <c r="AB119" s="16">
        <f t="shared" si="75"/>
        <v>0</v>
      </c>
      <c r="AC119" s="16">
        <f t="shared" si="75"/>
        <v>0</v>
      </c>
      <c r="AD119" s="16">
        <f t="shared" si="75"/>
        <v>0</v>
      </c>
      <c r="AE119" s="1"/>
      <c r="AF119" s="1"/>
      <c r="AG119" s="9">
        <f t="shared" si="112"/>
        <v>12</v>
      </c>
      <c r="AH119" s="16">
        <f t="shared" si="76"/>
        <v>0</v>
      </c>
      <c r="AI119" s="16">
        <f t="shared" si="76"/>
        <v>0</v>
      </c>
      <c r="AJ119" s="16">
        <f t="shared" si="76"/>
        <v>0</v>
      </c>
      <c r="AK119" s="16">
        <f t="shared" si="76"/>
        <v>0</v>
      </c>
      <c r="AL119" s="16">
        <f t="shared" si="76"/>
        <v>0</v>
      </c>
      <c r="AM119" s="16">
        <f t="shared" si="76"/>
        <v>0</v>
      </c>
      <c r="AN119" s="16">
        <f t="shared" si="76"/>
        <v>0</v>
      </c>
      <c r="AO119" s="16">
        <f t="shared" si="76"/>
        <v>-0.11535106077630129</v>
      </c>
      <c r="AP119" s="16">
        <f t="shared" si="76"/>
        <v>1.2313195513361677</v>
      </c>
      <c r="AQ119" s="16">
        <f t="shared" si="76"/>
        <v>-0.11688546334386639</v>
      </c>
      <c r="AR119" s="16">
        <f t="shared" si="77"/>
        <v>0</v>
      </c>
      <c r="AS119" s="16">
        <f t="shared" si="77"/>
        <v>0</v>
      </c>
      <c r="AT119" s="16">
        <f t="shared" si="77"/>
        <v>0</v>
      </c>
      <c r="AU119" s="16">
        <f t="shared" si="77"/>
        <v>0</v>
      </c>
      <c r="AV119" s="16">
        <f t="shared" si="77"/>
        <v>0</v>
      </c>
      <c r="AW119" s="16">
        <f t="shared" si="77"/>
        <v>0</v>
      </c>
      <c r="AX119" s="16">
        <f t="shared" si="77"/>
        <v>0</v>
      </c>
      <c r="AY119" s="16">
        <f t="shared" si="77"/>
        <v>0</v>
      </c>
      <c r="AZ119" s="16">
        <f t="shared" si="77"/>
        <v>0</v>
      </c>
      <c r="BA119" s="16">
        <f t="shared" si="77"/>
        <v>0</v>
      </c>
      <c r="BB119" s="16">
        <f t="shared" si="77"/>
        <v>0</v>
      </c>
      <c r="BE119" s="9">
        <f t="shared" si="113"/>
        <v>12</v>
      </c>
      <c r="BF119" s="16">
        <f t="shared" si="78"/>
        <v>0</v>
      </c>
      <c r="BG119" s="16">
        <f t="shared" si="78"/>
        <v>0</v>
      </c>
      <c r="BH119" s="16">
        <f t="shared" si="78"/>
        <v>0</v>
      </c>
      <c r="BI119" s="16">
        <f t="shared" si="78"/>
        <v>0</v>
      </c>
      <c r="BJ119" s="16">
        <f t="shared" si="78"/>
        <v>0</v>
      </c>
      <c r="BK119" s="16">
        <f t="shared" si="78"/>
        <v>0</v>
      </c>
      <c r="BL119" s="16">
        <f t="shared" si="78"/>
        <v>0</v>
      </c>
      <c r="BM119" s="16">
        <f t="shared" si="78"/>
        <v>-0.11533602544512597</v>
      </c>
      <c r="BN119" s="16">
        <f t="shared" si="78"/>
        <v>1.2312894001954824</v>
      </c>
      <c r="BO119" s="16">
        <f t="shared" si="78"/>
        <v>-0.1168702280123564</v>
      </c>
      <c r="BP119" s="16">
        <f t="shared" si="79"/>
        <v>0</v>
      </c>
      <c r="BQ119" s="16">
        <f t="shared" si="79"/>
        <v>0</v>
      </c>
      <c r="BR119" s="16">
        <f t="shared" si="79"/>
        <v>0</v>
      </c>
      <c r="BS119" s="16">
        <f t="shared" si="79"/>
        <v>0</v>
      </c>
      <c r="BT119" s="16">
        <f t="shared" si="79"/>
        <v>0</v>
      </c>
      <c r="BU119" s="16">
        <f t="shared" si="79"/>
        <v>0</v>
      </c>
      <c r="BV119" s="16">
        <f t="shared" si="79"/>
        <v>0</v>
      </c>
      <c r="BW119" s="16">
        <f t="shared" si="79"/>
        <v>0</v>
      </c>
      <c r="BX119" s="16">
        <f t="shared" si="79"/>
        <v>0</v>
      </c>
      <c r="BY119" s="16">
        <f t="shared" si="79"/>
        <v>0</v>
      </c>
      <c r="BZ119" s="16">
        <f t="shared" si="79"/>
        <v>0</v>
      </c>
      <c r="CC119" s="9">
        <f t="shared" si="114"/>
        <v>12</v>
      </c>
      <c r="CD119" s="16">
        <f t="shared" si="80"/>
        <v>0</v>
      </c>
      <c r="CE119" s="16">
        <f t="shared" si="80"/>
        <v>0</v>
      </c>
      <c r="CF119" s="16">
        <f t="shared" si="80"/>
        <v>0</v>
      </c>
      <c r="CG119" s="16">
        <f t="shared" si="80"/>
        <v>0</v>
      </c>
      <c r="CH119" s="16">
        <f t="shared" si="80"/>
        <v>0</v>
      </c>
      <c r="CI119" s="16">
        <f t="shared" si="80"/>
        <v>0</v>
      </c>
      <c r="CJ119" s="16">
        <f t="shared" si="80"/>
        <v>0</v>
      </c>
      <c r="CK119" s="16">
        <f t="shared" si="80"/>
        <v>-0.11533602544512564</v>
      </c>
      <c r="CL119" s="16">
        <f t="shared" si="80"/>
        <v>1.2312894001954817</v>
      </c>
      <c r="CM119" s="16">
        <f t="shared" si="80"/>
        <v>-0.11687022801235605</v>
      </c>
      <c r="CN119" s="16">
        <f t="shared" si="81"/>
        <v>0</v>
      </c>
      <c r="CO119" s="16">
        <f t="shared" si="81"/>
        <v>0</v>
      </c>
      <c r="CP119" s="16">
        <f t="shared" si="81"/>
        <v>0</v>
      </c>
      <c r="CQ119" s="16">
        <f t="shared" si="81"/>
        <v>0</v>
      </c>
      <c r="CR119" s="16">
        <f t="shared" si="81"/>
        <v>0</v>
      </c>
      <c r="CS119" s="16">
        <f t="shared" si="81"/>
        <v>0</v>
      </c>
      <c r="CT119" s="16">
        <f t="shared" si="81"/>
        <v>0</v>
      </c>
      <c r="CU119" s="16">
        <f t="shared" si="81"/>
        <v>0</v>
      </c>
      <c r="CV119" s="16">
        <f t="shared" si="81"/>
        <v>0</v>
      </c>
      <c r="CW119" s="16">
        <f t="shared" si="81"/>
        <v>0</v>
      </c>
      <c r="CX119" s="16">
        <f t="shared" si="81"/>
        <v>0</v>
      </c>
      <c r="DA119" s="9">
        <f t="shared" si="115"/>
        <v>12</v>
      </c>
      <c r="DB119" s="16">
        <f t="shared" si="82"/>
        <v>0</v>
      </c>
      <c r="DC119" s="16">
        <f t="shared" si="82"/>
        <v>0</v>
      </c>
      <c r="DD119" s="16">
        <f t="shared" si="82"/>
        <v>0</v>
      </c>
      <c r="DE119" s="16">
        <f t="shared" si="82"/>
        <v>0</v>
      </c>
      <c r="DF119" s="16">
        <f t="shared" si="82"/>
        <v>0</v>
      </c>
      <c r="DG119" s="16">
        <f t="shared" si="82"/>
        <v>0</v>
      </c>
      <c r="DH119" s="16">
        <f t="shared" si="82"/>
        <v>0</v>
      </c>
      <c r="DI119" s="16">
        <f t="shared" si="82"/>
        <v>-1.4418882597037786E-2</v>
      </c>
      <c r="DJ119" s="16">
        <f t="shared" si="82"/>
        <v>1.0289149439170213</v>
      </c>
      <c r="DK119" s="16">
        <f t="shared" si="82"/>
        <v>-1.4610682917983425E-2</v>
      </c>
      <c r="DL119" s="16">
        <f t="shared" si="83"/>
        <v>0</v>
      </c>
      <c r="DM119" s="16">
        <f t="shared" si="83"/>
        <v>0</v>
      </c>
      <c r="DN119" s="16">
        <f t="shared" si="83"/>
        <v>0</v>
      </c>
      <c r="DO119" s="16">
        <f t="shared" si="83"/>
        <v>0</v>
      </c>
      <c r="DP119" s="16">
        <f t="shared" si="83"/>
        <v>0</v>
      </c>
      <c r="DQ119" s="16">
        <f t="shared" si="83"/>
        <v>0</v>
      </c>
      <c r="DR119" s="16">
        <f t="shared" si="83"/>
        <v>0</v>
      </c>
      <c r="DS119" s="16">
        <f t="shared" si="83"/>
        <v>0</v>
      </c>
      <c r="DT119" s="16">
        <f t="shared" si="83"/>
        <v>0</v>
      </c>
      <c r="DU119" s="16">
        <f t="shared" si="83"/>
        <v>0</v>
      </c>
      <c r="DV119" s="16">
        <f t="shared" si="83"/>
        <v>0</v>
      </c>
      <c r="DY119" s="9">
        <f t="shared" si="116"/>
        <v>12</v>
      </c>
      <c r="DZ119" s="16">
        <f t="shared" si="84"/>
        <v>0</v>
      </c>
      <c r="EA119" s="16">
        <f t="shared" si="84"/>
        <v>0</v>
      </c>
      <c r="EB119" s="16">
        <f t="shared" si="84"/>
        <v>0</v>
      </c>
      <c r="EC119" s="16">
        <f t="shared" si="84"/>
        <v>0</v>
      </c>
      <c r="ED119" s="16">
        <f t="shared" si="84"/>
        <v>0</v>
      </c>
      <c r="EE119" s="16">
        <f t="shared" si="84"/>
        <v>0</v>
      </c>
      <c r="EF119" s="16">
        <f t="shared" si="84"/>
        <v>0</v>
      </c>
      <c r="EG119" s="16">
        <f t="shared" si="84"/>
        <v>-8.3446933872620047E-2</v>
      </c>
      <c r="EH119" s="16">
        <f t="shared" si="84"/>
        <v>1.1675112170504705</v>
      </c>
      <c r="EI119" s="16">
        <f t="shared" si="84"/>
        <v>-8.4981136439850474E-2</v>
      </c>
      <c r="EJ119" s="16">
        <f t="shared" si="85"/>
        <v>0</v>
      </c>
      <c r="EK119" s="16">
        <f t="shared" si="85"/>
        <v>0</v>
      </c>
      <c r="EL119" s="16">
        <f t="shared" si="85"/>
        <v>0</v>
      </c>
      <c r="EM119" s="16">
        <f t="shared" si="85"/>
        <v>0</v>
      </c>
      <c r="EN119" s="16">
        <f t="shared" si="85"/>
        <v>0</v>
      </c>
      <c r="EO119" s="16">
        <f t="shared" si="85"/>
        <v>0</v>
      </c>
      <c r="EP119" s="16">
        <f t="shared" si="85"/>
        <v>0</v>
      </c>
      <c r="EQ119" s="16">
        <f t="shared" si="85"/>
        <v>0</v>
      </c>
      <c r="ER119" s="16">
        <f t="shared" si="85"/>
        <v>0</v>
      </c>
      <c r="ES119" s="16">
        <f t="shared" si="85"/>
        <v>0</v>
      </c>
      <c r="ET119" s="16">
        <f t="shared" si="85"/>
        <v>0</v>
      </c>
      <c r="EW119" s="9">
        <f t="shared" si="117"/>
        <v>12</v>
      </c>
      <c r="EX119" s="16">
        <f t="shared" si="86"/>
        <v>0</v>
      </c>
      <c r="EY119" s="16">
        <f t="shared" si="86"/>
        <v>0</v>
      </c>
      <c r="EZ119" s="16">
        <f t="shared" si="86"/>
        <v>0</v>
      </c>
      <c r="FA119" s="16">
        <f t="shared" si="86"/>
        <v>0</v>
      </c>
      <c r="FB119" s="16">
        <f t="shared" si="86"/>
        <v>0</v>
      </c>
      <c r="FC119" s="16">
        <f t="shared" si="86"/>
        <v>0</v>
      </c>
      <c r="FD119" s="16">
        <f t="shared" si="86"/>
        <v>0</v>
      </c>
      <c r="FE119" s="16">
        <f t="shared" si="86"/>
        <v>-8.3446933872620296E-2</v>
      </c>
      <c r="FF119" s="16">
        <f t="shared" si="86"/>
        <v>1.1675112170504711</v>
      </c>
      <c r="FG119" s="16">
        <f t="shared" si="86"/>
        <v>-8.4981136439850724E-2</v>
      </c>
      <c r="FH119" s="16">
        <f t="shared" si="87"/>
        <v>0</v>
      </c>
      <c r="FI119" s="16">
        <f t="shared" si="87"/>
        <v>0</v>
      </c>
      <c r="FJ119" s="16">
        <f t="shared" si="87"/>
        <v>0</v>
      </c>
      <c r="FK119" s="16">
        <f t="shared" si="87"/>
        <v>0</v>
      </c>
      <c r="FL119" s="16">
        <f t="shared" si="87"/>
        <v>0</v>
      </c>
      <c r="FM119" s="16">
        <f t="shared" si="87"/>
        <v>0</v>
      </c>
      <c r="FN119" s="16">
        <f t="shared" si="87"/>
        <v>0</v>
      </c>
      <c r="FO119" s="16">
        <f t="shared" si="87"/>
        <v>0</v>
      </c>
      <c r="FP119" s="16">
        <f t="shared" si="87"/>
        <v>0</v>
      </c>
      <c r="FQ119" s="16">
        <f t="shared" si="87"/>
        <v>0</v>
      </c>
      <c r="FR119" s="16">
        <f t="shared" si="87"/>
        <v>0</v>
      </c>
      <c r="FU119" s="9">
        <f t="shared" si="118"/>
        <v>12</v>
      </c>
      <c r="FV119" s="16">
        <f t="shared" si="88"/>
        <v>0</v>
      </c>
      <c r="FW119" s="16">
        <f t="shared" si="88"/>
        <v>0</v>
      </c>
      <c r="FX119" s="16">
        <f t="shared" si="88"/>
        <v>0</v>
      </c>
      <c r="FY119" s="16">
        <f t="shared" si="88"/>
        <v>0</v>
      </c>
      <c r="FZ119" s="16">
        <f t="shared" si="88"/>
        <v>0</v>
      </c>
      <c r="GA119" s="16">
        <f t="shared" si="88"/>
        <v>0</v>
      </c>
      <c r="GB119" s="16">
        <f t="shared" si="88"/>
        <v>0</v>
      </c>
      <c r="GC119" s="16">
        <f t="shared" si="88"/>
        <v>-8.3457812106732046E-2</v>
      </c>
      <c r="GD119" s="16">
        <f t="shared" si="88"/>
        <v>1.1675330539970292</v>
      </c>
      <c r="GE119" s="16">
        <f t="shared" si="88"/>
        <v>-8.4992214674297142E-2</v>
      </c>
      <c r="GF119" s="16">
        <f t="shared" si="89"/>
        <v>0</v>
      </c>
      <c r="GG119" s="16">
        <f t="shared" si="89"/>
        <v>0</v>
      </c>
      <c r="GH119" s="16">
        <f t="shared" si="89"/>
        <v>0</v>
      </c>
      <c r="GI119" s="16">
        <f t="shared" si="89"/>
        <v>0</v>
      </c>
      <c r="GJ119" s="16">
        <f t="shared" si="89"/>
        <v>0</v>
      </c>
      <c r="GK119" s="16">
        <f t="shared" si="89"/>
        <v>0</v>
      </c>
      <c r="GL119" s="16">
        <f t="shared" si="89"/>
        <v>0</v>
      </c>
      <c r="GM119" s="16">
        <f t="shared" si="89"/>
        <v>0</v>
      </c>
      <c r="GN119" s="16">
        <f t="shared" si="89"/>
        <v>0</v>
      </c>
      <c r="GO119" s="16">
        <f t="shared" si="89"/>
        <v>0</v>
      </c>
      <c r="GP119" s="16">
        <f t="shared" si="89"/>
        <v>0</v>
      </c>
      <c r="GS119" s="9">
        <f t="shared" si="119"/>
        <v>12</v>
      </c>
      <c r="GT119" s="16">
        <f t="shared" si="90"/>
        <v>0</v>
      </c>
      <c r="GU119" s="16">
        <f t="shared" si="90"/>
        <v>0</v>
      </c>
      <c r="GV119" s="16">
        <f t="shared" si="90"/>
        <v>0</v>
      </c>
      <c r="GW119" s="16">
        <f t="shared" si="90"/>
        <v>0</v>
      </c>
      <c r="GX119" s="16">
        <f t="shared" si="90"/>
        <v>0</v>
      </c>
      <c r="GY119" s="16">
        <f t="shared" si="90"/>
        <v>0</v>
      </c>
      <c r="GZ119" s="16">
        <f t="shared" si="90"/>
        <v>0</v>
      </c>
      <c r="HA119" s="16">
        <f t="shared" si="90"/>
        <v>-1.8063307742860992E-2</v>
      </c>
      <c r="HB119" s="16">
        <f t="shared" si="90"/>
        <v>1.0362602497604365</v>
      </c>
      <c r="HC119" s="16">
        <f t="shared" si="90"/>
        <v>-1.8395408298575517E-2</v>
      </c>
      <c r="HD119" s="16">
        <f t="shared" si="91"/>
        <v>0</v>
      </c>
      <c r="HE119" s="16">
        <f t="shared" si="91"/>
        <v>0</v>
      </c>
      <c r="HF119" s="16">
        <f t="shared" si="91"/>
        <v>0</v>
      </c>
      <c r="HG119" s="16">
        <f t="shared" si="91"/>
        <v>0</v>
      </c>
      <c r="HH119" s="16">
        <f t="shared" si="91"/>
        <v>0</v>
      </c>
      <c r="HI119" s="16">
        <f t="shared" si="91"/>
        <v>0</v>
      </c>
      <c r="HJ119" s="16">
        <f t="shared" si="91"/>
        <v>0</v>
      </c>
      <c r="HK119" s="16">
        <f t="shared" si="91"/>
        <v>0</v>
      </c>
      <c r="HL119" s="16">
        <f t="shared" si="91"/>
        <v>0</v>
      </c>
      <c r="HM119" s="16">
        <f t="shared" si="91"/>
        <v>0</v>
      </c>
      <c r="HN119" s="16">
        <f t="shared" si="91"/>
        <v>0</v>
      </c>
      <c r="HQ119" s="9">
        <f t="shared" si="120"/>
        <v>12</v>
      </c>
      <c r="HR119" s="16">
        <f t="shared" si="92"/>
        <v>0</v>
      </c>
      <c r="HS119" s="16">
        <f t="shared" si="92"/>
        <v>0</v>
      </c>
      <c r="HT119" s="16">
        <f t="shared" si="92"/>
        <v>0</v>
      </c>
      <c r="HU119" s="16">
        <f t="shared" si="92"/>
        <v>0</v>
      </c>
      <c r="HV119" s="16">
        <f t="shared" si="92"/>
        <v>0</v>
      </c>
      <c r="HW119" s="16">
        <f t="shared" si="92"/>
        <v>0</v>
      </c>
      <c r="HX119" s="16">
        <f t="shared" si="92"/>
        <v>0</v>
      </c>
      <c r="HY119" s="16">
        <f t="shared" si="92"/>
        <v>-0.11902963765274543</v>
      </c>
      <c r="HZ119" s="16">
        <f t="shared" si="92"/>
        <v>1.238939869243417</v>
      </c>
      <c r="IA119" s="16">
        <f t="shared" si="92"/>
        <v>-0.12121804131467157</v>
      </c>
      <c r="IB119" s="16">
        <f t="shared" si="93"/>
        <v>0</v>
      </c>
      <c r="IC119" s="16">
        <f t="shared" si="93"/>
        <v>0</v>
      </c>
      <c r="ID119" s="16">
        <f t="shared" si="93"/>
        <v>0</v>
      </c>
      <c r="IE119" s="16">
        <f t="shared" si="93"/>
        <v>0</v>
      </c>
      <c r="IF119" s="16">
        <f t="shared" si="93"/>
        <v>0</v>
      </c>
      <c r="IG119" s="16">
        <f t="shared" si="93"/>
        <v>0</v>
      </c>
      <c r="IH119" s="16">
        <f t="shared" si="93"/>
        <v>0</v>
      </c>
      <c r="II119" s="16">
        <f t="shared" si="93"/>
        <v>0</v>
      </c>
      <c r="IJ119" s="16">
        <f t="shared" si="93"/>
        <v>0</v>
      </c>
      <c r="IK119" s="16">
        <f t="shared" si="93"/>
        <v>0</v>
      </c>
      <c r="IL119" s="16">
        <f t="shared" si="93"/>
        <v>0</v>
      </c>
      <c r="IO119" s="9">
        <f t="shared" si="121"/>
        <v>12</v>
      </c>
      <c r="IP119" s="16">
        <f t="shared" si="94"/>
        <v>0</v>
      </c>
      <c r="IQ119" s="16">
        <f t="shared" si="94"/>
        <v>0</v>
      </c>
      <c r="IR119" s="16">
        <f t="shared" si="94"/>
        <v>0</v>
      </c>
      <c r="IS119" s="16">
        <f t="shared" si="94"/>
        <v>0</v>
      </c>
      <c r="IT119" s="16">
        <f t="shared" si="94"/>
        <v>0</v>
      </c>
      <c r="IU119" s="16">
        <f t="shared" si="94"/>
        <v>0</v>
      </c>
      <c r="IV119" s="16">
        <f t="shared" si="94"/>
        <v>0</v>
      </c>
      <c r="IW119" s="16">
        <f t="shared" si="94"/>
        <v>-1.8068202948211258E-2</v>
      </c>
      <c r="IX119" s="16">
        <f t="shared" si="94"/>
        <v>1.0362700763863877</v>
      </c>
      <c r="IY119" s="16">
        <f t="shared" si="94"/>
        <v>-1.8400393504076386E-2</v>
      </c>
      <c r="IZ119" s="16">
        <f t="shared" si="95"/>
        <v>0</v>
      </c>
      <c r="JA119" s="16">
        <f t="shared" si="95"/>
        <v>0</v>
      </c>
      <c r="JB119" s="16">
        <f t="shared" si="95"/>
        <v>0</v>
      </c>
      <c r="JC119" s="16">
        <f t="shared" si="95"/>
        <v>0</v>
      </c>
      <c r="JD119" s="16">
        <f t="shared" si="95"/>
        <v>0</v>
      </c>
      <c r="JE119" s="16">
        <f t="shared" si="95"/>
        <v>0</v>
      </c>
      <c r="JF119" s="16">
        <f t="shared" si="95"/>
        <v>0</v>
      </c>
      <c r="JG119" s="16">
        <f t="shared" si="95"/>
        <v>0</v>
      </c>
      <c r="JH119" s="16">
        <f t="shared" si="95"/>
        <v>0</v>
      </c>
      <c r="JI119" s="16">
        <f t="shared" si="95"/>
        <v>0</v>
      </c>
      <c r="JJ119" s="16">
        <f t="shared" si="95"/>
        <v>0</v>
      </c>
      <c r="JM119" s="9">
        <f t="shared" si="122"/>
        <v>12</v>
      </c>
      <c r="JN119" s="16">
        <f t="shared" si="96"/>
        <v>0</v>
      </c>
      <c r="JO119" s="16">
        <f t="shared" si="96"/>
        <v>0</v>
      </c>
      <c r="JP119" s="16">
        <f t="shared" si="96"/>
        <v>0</v>
      </c>
      <c r="JQ119" s="16">
        <f t="shared" si="96"/>
        <v>0</v>
      </c>
      <c r="JR119" s="16">
        <f t="shared" si="96"/>
        <v>0</v>
      </c>
      <c r="JS119" s="16">
        <f t="shared" si="96"/>
        <v>0</v>
      </c>
      <c r="JT119" s="16">
        <f t="shared" si="96"/>
        <v>0</v>
      </c>
      <c r="JU119" s="16">
        <f t="shared" si="96"/>
        <v>-0.11902746200592311</v>
      </c>
      <c r="JV119" s="16">
        <f t="shared" si="96"/>
        <v>1.2389355018541055</v>
      </c>
      <c r="JW119" s="16">
        <f t="shared" si="96"/>
        <v>-0.1212158256677823</v>
      </c>
      <c r="JX119" s="16">
        <f t="shared" si="97"/>
        <v>0</v>
      </c>
      <c r="JY119" s="16">
        <f t="shared" si="97"/>
        <v>0</v>
      </c>
      <c r="JZ119" s="16">
        <f t="shared" si="97"/>
        <v>0</v>
      </c>
      <c r="KA119" s="16">
        <f t="shared" si="97"/>
        <v>0</v>
      </c>
      <c r="KB119" s="16">
        <f t="shared" si="97"/>
        <v>0</v>
      </c>
      <c r="KC119" s="16">
        <f t="shared" si="97"/>
        <v>0</v>
      </c>
      <c r="KD119" s="16">
        <f t="shared" si="97"/>
        <v>0</v>
      </c>
      <c r="KE119" s="16">
        <f t="shared" si="97"/>
        <v>0</v>
      </c>
      <c r="KF119" s="16">
        <f t="shared" si="97"/>
        <v>0</v>
      </c>
      <c r="KG119" s="16">
        <f t="shared" si="97"/>
        <v>0</v>
      </c>
      <c r="KH119" s="16">
        <f t="shared" si="97"/>
        <v>0</v>
      </c>
      <c r="KK119" s="9">
        <f t="shared" si="123"/>
        <v>12</v>
      </c>
      <c r="KL119" s="16">
        <f t="shared" si="98"/>
        <v>0</v>
      </c>
      <c r="KM119" s="16">
        <f t="shared" si="98"/>
        <v>0</v>
      </c>
      <c r="KN119" s="16">
        <f t="shared" si="98"/>
        <v>0</v>
      </c>
      <c r="KO119" s="16">
        <f t="shared" si="98"/>
        <v>0</v>
      </c>
      <c r="KP119" s="16">
        <f t="shared" si="98"/>
        <v>0</v>
      </c>
      <c r="KQ119" s="16">
        <f t="shared" si="98"/>
        <v>0</v>
      </c>
      <c r="KR119" s="16">
        <f t="shared" si="98"/>
        <v>0</v>
      </c>
      <c r="KS119" s="16">
        <f t="shared" si="98"/>
        <v>-1.5088110713247843E-2</v>
      </c>
      <c r="KT119" s="16">
        <f t="shared" si="98"/>
        <v>1.0302878448766788</v>
      </c>
      <c r="KU119" s="16">
        <f t="shared" si="98"/>
        <v>-1.5365511177430949E-2</v>
      </c>
      <c r="KV119" s="16">
        <f t="shared" si="99"/>
        <v>0</v>
      </c>
      <c r="KW119" s="16">
        <f t="shared" si="99"/>
        <v>0</v>
      </c>
      <c r="KX119" s="16">
        <f t="shared" si="99"/>
        <v>0</v>
      </c>
      <c r="KY119" s="16">
        <f t="shared" si="99"/>
        <v>0</v>
      </c>
      <c r="KZ119" s="16">
        <f t="shared" si="99"/>
        <v>0</v>
      </c>
      <c r="LA119" s="16">
        <f t="shared" si="99"/>
        <v>0</v>
      </c>
      <c r="LB119" s="16">
        <f t="shared" si="99"/>
        <v>0</v>
      </c>
      <c r="LC119" s="16">
        <f t="shared" si="99"/>
        <v>0</v>
      </c>
      <c r="LD119" s="16">
        <f t="shared" si="99"/>
        <v>0</v>
      </c>
      <c r="LE119" s="16">
        <f t="shared" si="99"/>
        <v>0</v>
      </c>
      <c r="LF119" s="16">
        <f t="shared" si="99"/>
        <v>0</v>
      </c>
      <c r="LI119" s="9">
        <f t="shared" si="124"/>
        <v>12</v>
      </c>
      <c r="LJ119" s="16">
        <f t="shared" si="100"/>
        <v>0</v>
      </c>
      <c r="LK119" s="16">
        <f t="shared" si="100"/>
        <v>0</v>
      </c>
      <c r="LL119" s="16">
        <f t="shared" si="100"/>
        <v>0</v>
      </c>
      <c r="LM119" s="16">
        <f t="shared" si="100"/>
        <v>0</v>
      </c>
      <c r="LN119" s="16">
        <f t="shared" si="100"/>
        <v>0</v>
      </c>
      <c r="LO119" s="16">
        <f t="shared" si="100"/>
        <v>0</v>
      </c>
      <c r="LP119" s="16">
        <f t="shared" si="100"/>
        <v>0</v>
      </c>
      <c r="LQ119" s="16">
        <f t="shared" si="100"/>
        <v>-0.11902691809421749</v>
      </c>
      <c r="LR119" s="16">
        <f t="shared" si="100"/>
        <v>1.2389344100067774</v>
      </c>
      <c r="LS119" s="16">
        <f t="shared" si="100"/>
        <v>-0.12121527175605996</v>
      </c>
      <c r="LT119" s="16">
        <f t="shared" si="101"/>
        <v>0</v>
      </c>
      <c r="LU119" s="16">
        <f t="shared" si="101"/>
        <v>0</v>
      </c>
      <c r="LV119" s="16">
        <f t="shared" si="101"/>
        <v>0</v>
      </c>
      <c r="LW119" s="16">
        <f t="shared" si="101"/>
        <v>0</v>
      </c>
      <c r="LX119" s="16">
        <f t="shared" si="101"/>
        <v>0</v>
      </c>
      <c r="LY119" s="16">
        <f t="shared" si="101"/>
        <v>0</v>
      </c>
      <c r="LZ119" s="16">
        <f t="shared" si="101"/>
        <v>0</v>
      </c>
      <c r="MA119" s="16">
        <f t="shared" si="101"/>
        <v>0</v>
      </c>
      <c r="MB119" s="16">
        <f t="shared" si="101"/>
        <v>0</v>
      </c>
      <c r="MC119" s="16">
        <f t="shared" si="101"/>
        <v>0</v>
      </c>
      <c r="MD119" s="16">
        <f t="shared" si="101"/>
        <v>0</v>
      </c>
      <c r="MG119" s="9">
        <f t="shared" si="125"/>
        <v>12</v>
      </c>
      <c r="MH119" s="16">
        <f t="shared" si="102"/>
        <v>0</v>
      </c>
      <c r="MI119" s="16">
        <f t="shared" si="102"/>
        <v>0</v>
      </c>
      <c r="MJ119" s="16">
        <f t="shared" si="102"/>
        <v>0</v>
      </c>
      <c r="MK119" s="16">
        <f t="shared" si="102"/>
        <v>0</v>
      </c>
      <c r="ML119" s="16">
        <f t="shared" si="102"/>
        <v>0</v>
      </c>
      <c r="MM119" s="16">
        <f t="shared" si="102"/>
        <v>0</v>
      </c>
      <c r="MN119" s="16">
        <f t="shared" si="102"/>
        <v>0</v>
      </c>
      <c r="MO119" s="16">
        <f t="shared" si="102"/>
        <v>-1.6578428786582357E-2</v>
      </c>
      <c r="MP119" s="16">
        <f t="shared" si="102"/>
        <v>1.0332795065551972</v>
      </c>
      <c r="MQ119" s="16">
        <f t="shared" si="102"/>
        <v>-1.688322929661484E-2</v>
      </c>
      <c r="MR119" s="16">
        <f t="shared" si="103"/>
        <v>0</v>
      </c>
      <c r="MS119" s="16">
        <f t="shared" si="103"/>
        <v>0</v>
      </c>
      <c r="MT119" s="16">
        <f t="shared" si="103"/>
        <v>0</v>
      </c>
      <c r="MU119" s="16">
        <f t="shared" si="103"/>
        <v>0</v>
      </c>
      <c r="MV119" s="16">
        <f t="shared" si="103"/>
        <v>0</v>
      </c>
      <c r="MW119" s="16">
        <f t="shared" si="103"/>
        <v>0</v>
      </c>
      <c r="MX119" s="16">
        <f t="shared" si="103"/>
        <v>0</v>
      </c>
      <c r="MY119" s="16">
        <f t="shared" si="103"/>
        <v>0</v>
      </c>
      <c r="MZ119" s="16">
        <f t="shared" si="103"/>
        <v>0</v>
      </c>
      <c r="NA119" s="16">
        <f t="shared" si="103"/>
        <v>0</v>
      </c>
      <c r="NB119" s="16">
        <f t="shared" si="103"/>
        <v>0</v>
      </c>
      <c r="NE119" s="9">
        <f t="shared" si="126"/>
        <v>12</v>
      </c>
      <c r="NF119" s="16">
        <f t="shared" si="104"/>
        <v>0</v>
      </c>
      <c r="NG119" s="16">
        <f t="shared" si="104"/>
        <v>0</v>
      </c>
      <c r="NH119" s="16">
        <f t="shared" si="104"/>
        <v>0</v>
      </c>
      <c r="NI119" s="16">
        <f t="shared" si="104"/>
        <v>0</v>
      </c>
      <c r="NJ119" s="16">
        <f t="shared" si="104"/>
        <v>0</v>
      </c>
      <c r="NK119" s="16">
        <f t="shared" si="104"/>
        <v>0</v>
      </c>
      <c r="NL119" s="16">
        <f t="shared" si="104"/>
        <v>0</v>
      </c>
      <c r="NM119" s="16">
        <f t="shared" si="104"/>
        <v>-0.11902691809421749</v>
      </c>
      <c r="NN119" s="16">
        <f t="shared" si="104"/>
        <v>1.2389344100067774</v>
      </c>
      <c r="NO119" s="16">
        <f t="shared" si="104"/>
        <v>-0.12121527175605996</v>
      </c>
      <c r="NP119" s="16">
        <f t="shared" si="105"/>
        <v>0</v>
      </c>
      <c r="NQ119" s="16">
        <f t="shared" si="105"/>
        <v>0</v>
      </c>
      <c r="NR119" s="16">
        <f t="shared" si="105"/>
        <v>0</v>
      </c>
      <c r="NS119" s="16">
        <f t="shared" si="105"/>
        <v>0</v>
      </c>
      <c r="NT119" s="16">
        <f t="shared" si="105"/>
        <v>0</v>
      </c>
      <c r="NU119" s="16">
        <f t="shared" si="105"/>
        <v>0</v>
      </c>
      <c r="NV119" s="16">
        <f t="shared" si="105"/>
        <v>0</v>
      </c>
      <c r="NW119" s="16">
        <f t="shared" si="105"/>
        <v>0</v>
      </c>
      <c r="NX119" s="16">
        <f t="shared" si="105"/>
        <v>0</v>
      </c>
      <c r="NY119" s="16">
        <f t="shared" si="105"/>
        <v>0</v>
      </c>
      <c r="NZ119" s="16">
        <f t="shared" si="105"/>
        <v>0</v>
      </c>
      <c r="OC119" s="9">
        <f t="shared" si="127"/>
        <v>12</v>
      </c>
      <c r="OD119" s="16">
        <f t="shared" si="106"/>
        <v>0</v>
      </c>
      <c r="OE119" s="16">
        <f t="shared" si="106"/>
        <v>0</v>
      </c>
      <c r="OF119" s="16">
        <f t="shared" si="106"/>
        <v>0</v>
      </c>
      <c r="OG119" s="16">
        <f t="shared" si="106"/>
        <v>0</v>
      </c>
      <c r="OH119" s="16">
        <f t="shared" si="106"/>
        <v>0</v>
      </c>
      <c r="OI119" s="16">
        <f t="shared" si="106"/>
        <v>0</v>
      </c>
      <c r="OJ119" s="16">
        <f t="shared" si="106"/>
        <v>0</v>
      </c>
      <c r="OK119" s="16">
        <f t="shared" si="106"/>
        <v>-1.8068202948211244E-2</v>
      </c>
      <c r="OL119" s="16">
        <f t="shared" si="106"/>
        <v>1.0362700763863877</v>
      </c>
      <c r="OM119" s="16">
        <f t="shared" si="106"/>
        <v>-1.8400393504076368E-2</v>
      </c>
      <c r="ON119" s="16">
        <f t="shared" si="107"/>
        <v>0</v>
      </c>
      <c r="OO119" s="16">
        <f t="shared" si="107"/>
        <v>0</v>
      </c>
      <c r="OP119" s="16">
        <f t="shared" si="107"/>
        <v>0</v>
      </c>
      <c r="OQ119" s="16">
        <f t="shared" si="107"/>
        <v>0</v>
      </c>
      <c r="OR119" s="16">
        <f t="shared" si="107"/>
        <v>0</v>
      </c>
      <c r="OS119" s="16">
        <f t="shared" si="107"/>
        <v>0</v>
      </c>
      <c r="OT119" s="16">
        <f t="shared" si="107"/>
        <v>0</v>
      </c>
      <c r="OU119" s="16">
        <f t="shared" si="107"/>
        <v>0</v>
      </c>
      <c r="OV119" s="16">
        <f t="shared" si="107"/>
        <v>0</v>
      </c>
      <c r="OW119" s="16">
        <f t="shared" si="107"/>
        <v>0</v>
      </c>
      <c r="OX119" s="16">
        <f t="shared" si="107"/>
        <v>0</v>
      </c>
      <c r="PA119" s="9">
        <f t="shared" si="128"/>
        <v>12</v>
      </c>
      <c r="PB119" s="16">
        <f t="shared" si="108"/>
        <v>0</v>
      </c>
      <c r="PC119" s="16">
        <f t="shared" si="108"/>
        <v>0</v>
      </c>
      <c r="PD119" s="16">
        <f t="shared" si="108"/>
        <v>0</v>
      </c>
      <c r="PE119" s="16">
        <f t="shared" si="108"/>
        <v>0</v>
      </c>
      <c r="PF119" s="16">
        <f t="shared" si="108"/>
        <v>0</v>
      </c>
      <c r="PG119" s="16">
        <f t="shared" si="108"/>
        <v>0</v>
      </c>
      <c r="PH119" s="16">
        <f t="shared" si="108"/>
        <v>0</v>
      </c>
      <c r="PI119" s="16">
        <f t="shared" si="108"/>
        <v>-0.11902202288886712</v>
      </c>
      <c r="PJ119" s="16">
        <f t="shared" si="108"/>
        <v>1.238924583380826</v>
      </c>
      <c r="PK119" s="16">
        <f t="shared" si="108"/>
        <v>-0.12121028655055899</v>
      </c>
      <c r="PL119" s="16">
        <f t="shared" si="109"/>
        <v>0</v>
      </c>
      <c r="PM119" s="16">
        <f t="shared" si="109"/>
        <v>0</v>
      </c>
      <c r="PN119" s="16">
        <f t="shared" si="109"/>
        <v>0</v>
      </c>
      <c r="PO119" s="16">
        <f t="shared" si="109"/>
        <v>0</v>
      </c>
      <c r="PP119" s="16">
        <f t="shared" si="109"/>
        <v>0</v>
      </c>
      <c r="PQ119" s="16">
        <f t="shared" si="109"/>
        <v>0</v>
      </c>
      <c r="PR119" s="16">
        <f t="shared" si="109"/>
        <v>0</v>
      </c>
      <c r="PS119" s="16">
        <f t="shared" si="109"/>
        <v>0</v>
      </c>
      <c r="PT119" s="16">
        <f t="shared" si="109"/>
        <v>0</v>
      </c>
      <c r="PU119" s="16">
        <f t="shared" si="109"/>
        <v>0</v>
      </c>
      <c r="PV119" s="16">
        <f t="shared" si="109"/>
        <v>0</v>
      </c>
    </row>
    <row r="120" spans="3:438" x14ac:dyDescent="0.25">
      <c r="C120" s="1"/>
      <c r="D120" s="1"/>
      <c r="F120" s="1"/>
      <c r="H120" s="1"/>
      <c r="I120" s="9">
        <f t="shared" si="111"/>
        <v>11</v>
      </c>
      <c r="J120" s="16">
        <f t="shared" si="110"/>
        <v>0</v>
      </c>
      <c r="K120" s="16">
        <f t="shared" si="75"/>
        <v>0</v>
      </c>
      <c r="L120" s="16">
        <f t="shared" si="75"/>
        <v>0</v>
      </c>
      <c r="M120" s="16">
        <f t="shared" si="75"/>
        <v>0</v>
      </c>
      <c r="N120" s="16">
        <f t="shared" si="75"/>
        <v>0</v>
      </c>
      <c r="O120" s="16">
        <f t="shared" si="75"/>
        <v>0</v>
      </c>
      <c r="P120" s="16">
        <f t="shared" si="75"/>
        <v>0</v>
      </c>
      <c r="Q120" s="16">
        <f t="shared" si="75"/>
        <v>0</v>
      </c>
      <c r="R120" s="16">
        <f t="shared" si="75"/>
        <v>-1.4459290091839112E-2</v>
      </c>
      <c r="S120" s="16">
        <f t="shared" si="75"/>
        <v>1.0289571493610281</v>
      </c>
      <c r="T120" s="16">
        <f t="shared" si="75"/>
        <v>-1.4555140091839109E-2</v>
      </c>
      <c r="U120" s="16">
        <f t="shared" si="75"/>
        <v>0</v>
      </c>
      <c r="V120" s="16">
        <f t="shared" si="75"/>
        <v>0</v>
      </c>
      <c r="W120" s="16">
        <f t="shared" si="75"/>
        <v>0</v>
      </c>
      <c r="X120" s="16">
        <f t="shared" si="75"/>
        <v>0</v>
      </c>
      <c r="Y120" s="16">
        <f t="shared" si="75"/>
        <v>0</v>
      </c>
      <c r="Z120" s="16">
        <f t="shared" si="75"/>
        <v>0</v>
      </c>
      <c r="AA120" s="16">
        <f t="shared" si="75"/>
        <v>0</v>
      </c>
      <c r="AB120" s="16">
        <f t="shared" si="75"/>
        <v>0</v>
      </c>
      <c r="AC120" s="16">
        <f t="shared" si="75"/>
        <v>0</v>
      </c>
      <c r="AD120" s="16">
        <f t="shared" si="75"/>
        <v>0</v>
      </c>
      <c r="AE120" s="1"/>
      <c r="AF120" s="1"/>
      <c r="AG120" s="9">
        <f t="shared" si="112"/>
        <v>11</v>
      </c>
      <c r="AH120" s="16">
        <f t="shared" si="76"/>
        <v>0</v>
      </c>
      <c r="AI120" s="16">
        <f t="shared" si="76"/>
        <v>0</v>
      </c>
      <c r="AJ120" s="16">
        <f t="shared" si="76"/>
        <v>0</v>
      </c>
      <c r="AK120" s="16">
        <f t="shared" si="76"/>
        <v>0</v>
      </c>
      <c r="AL120" s="16">
        <f t="shared" si="76"/>
        <v>0</v>
      </c>
      <c r="AM120" s="16">
        <f t="shared" si="76"/>
        <v>0</v>
      </c>
      <c r="AN120" s="16">
        <f t="shared" si="76"/>
        <v>0</v>
      </c>
      <c r="AO120" s="16">
        <f t="shared" si="76"/>
        <v>0</v>
      </c>
      <c r="AP120" s="16">
        <f t="shared" si="76"/>
        <v>-0.11573466206008384</v>
      </c>
      <c r="AQ120" s="16">
        <f t="shared" si="76"/>
        <v>1.2317780384953676</v>
      </c>
      <c r="AR120" s="16">
        <f t="shared" si="77"/>
        <v>-0.11650186206008382</v>
      </c>
      <c r="AS120" s="16">
        <f t="shared" si="77"/>
        <v>0</v>
      </c>
      <c r="AT120" s="16">
        <f t="shared" si="77"/>
        <v>0</v>
      </c>
      <c r="AU120" s="16">
        <f t="shared" si="77"/>
        <v>0</v>
      </c>
      <c r="AV120" s="16">
        <f t="shared" si="77"/>
        <v>0</v>
      </c>
      <c r="AW120" s="16">
        <f t="shared" si="77"/>
        <v>0</v>
      </c>
      <c r="AX120" s="16">
        <f t="shared" si="77"/>
        <v>0</v>
      </c>
      <c r="AY120" s="16">
        <f t="shared" si="77"/>
        <v>0</v>
      </c>
      <c r="AZ120" s="16">
        <f t="shared" si="77"/>
        <v>0</v>
      </c>
      <c r="BA120" s="16">
        <f t="shared" si="77"/>
        <v>0</v>
      </c>
      <c r="BB120" s="16">
        <f t="shared" si="77"/>
        <v>0</v>
      </c>
      <c r="BE120" s="9">
        <f t="shared" si="113"/>
        <v>11</v>
      </c>
      <c r="BF120" s="16">
        <f t="shared" si="78"/>
        <v>0</v>
      </c>
      <c r="BG120" s="16">
        <f t="shared" si="78"/>
        <v>0</v>
      </c>
      <c r="BH120" s="16">
        <f t="shared" si="78"/>
        <v>0</v>
      </c>
      <c r="BI120" s="16">
        <f t="shared" si="78"/>
        <v>0</v>
      </c>
      <c r="BJ120" s="16">
        <f t="shared" si="78"/>
        <v>0</v>
      </c>
      <c r="BK120" s="16">
        <f t="shared" si="78"/>
        <v>0</v>
      </c>
      <c r="BL120" s="16">
        <f t="shared" si="78"/>
        <v>0</v>
      </c>
      <c r="BM120" s="16">
        <f t="shared" si="78"/>
        <v>0</v>
      </c>
      <c r="BN120" s="16">
        <f t="shared" si="78"/>
        <v>-0.11571957672874118</v>
      </c>
      <c r="BO120" s="16">
        <f t="shared" si="78"/>
        <v>1.2317478275935825</v>
      </c>
      <c r="BP120" s="16">
        <f t="shared" si="79"/>
        <v>-0.11648667672874118</v>
      </c>
      <c r="BQ120" s="16">
        <f t="shared" si="79"/>
        <v>0</v>
      </c>
      <c r="BR120" s="16">
        <f t="shared" si="79"/>
        <v>0</v>
      </c>
      <c r="BS120" s="16">
        <f t="shared" si="79"/>
        <v>0</v>
      </c>
      <c r="BT120" s="16">
        <f t="shared" si="79"/>
        <v>0</v>
      </c>
      <c r="BU120" s="16">
        <f t="shared" si="79"/>
        <v>0</v>
      </c>
      <c r="BV120" s="16">
        <f t="shared" si="79"/>
        <v>0</v>
      </c>
      <c r="BW120" s="16">
        <f t="shared" si="79"/>
        <v>0</v>
      </c>
      <c r="BX120" s="16">
        <f t="shared" si="79"/>
        <v>0</v>
      </c>
      <c r="BY120" s="16">
        <f t="shared" si="79"/>
        <v>0</v>
      </c>
      <c r="BZ120" s="16">
        <f t="shared" si="79"/>
        <v>0</v>
      </c>
      <c r="CC120" s="9">
        <f t="shared" si="114"/>
        <v>11</v>
      </c>
      <c r="CD120" s="16">
        <f t="shared" si="80"/>
        <v>0</v>
      </c>
      <c r="CE120" s="16">
        <f t="shared" si="80"/>
        <v>0</v>
      </c>
      <c r="CF120" s="16">
        <f t="shared" si="80"/>
        <v>0</v>
      </c>
      <c r="CG120" s="16">
        <f t="shared" si="80"/>
        <v>0</v>
      </c>
      <c r="CH120" s="16">
        <f t="shared" si="80"/>
        <v>0</v>
      </c>
      <c r="CI120" s="16">
        <f t="shared" si="80"/>
        <v>0</v>
      </c>
      <c r="CJ120" s="16">
        <f t="shared" si="80"/>
        <v>0</v>
      </c>
      <c r="CK120" s="16">
        <f t="shared" si="80"/>
        <v>0</v>
      </c>
      <c r="CL120" s="16">
        <f t="shared" si="80"/>
        <v>-0.11571957672874085</v>
      </c>
      <c r="CM120" s="16">
        <f t="shared" si="80"/>
        <v>1.2317478275935816</v>
      </c>
      <c r="CN120" s="16">
        <f t="shared" si="81"/>
        <v>-0.11648667672874084</v>
      </c>
      <c r="CO120" s="16">
        <f t="shared" si="81"/>
        <v>0</v>
      </c>
      <c r="CP120" s="16">
        <f t="shared" si="81"/>
        <v>0</v>
      </c>
      <c r="CQ120" s="16">
        <f t="shared" si="81"/>
        <v>0</v>
      </c>
      <c r="CR120" s="16">
        <f t="shared" si="81"/>
        <v>0</v>
      </c>
      <c r="CS120" s="16">
        <f t="shared" si="81"/>
        <v>0</v>
      </c>
      <c r="CT120" s="16">
        <f t="shared" si="81"/>
        <v>0</v>
      </c>
      <c r="CU120" s="16">
        <f t="shared" si="81"/>
        <v>0</v>
      </c>
      <c r="CV120" s="16">
        <f t="shared" si="81"/>
        <v>0</v>
      </c>
      <c r="CW120" s="16">
        <f t="shared" si="81"/>
        <v>0</v>
      </c>
      <c r="CX120" s="16">
        <f t="shared" si="81"/>
        <v>0</v>
      </c>
      <c r="DA120" s="9">
        <f t="shared" si="115"/>
        <v>11</v>
      </c>
      <c r="DB120" s="16">
        <f t="shared" si="82"/>
        <v>0</v>
      </c>
      <c r="DC120" s="16">
        <f t="shared" si="82"/>
        <v>0</v>
      </c>
      <c r="DD120" s="16">
        <f t="shared" si="82"/>
        <v>0</v>
      </c>
      <c r="DE120" s="16">
        <f t="shared" si="82"/>
        <v>0</v>
      </c>
      <c r="DF120" s="16">
        <f t="shared" si="82"/>
        <v>0</v>
      </c>
      <c r="DG120" s="16">
        <f t="shared" si="82"/>
        <v>0</v>
      </c>
      <c r="DH120" s="16">
        <f t="shared" si="82"/>
        <v>0</v>
      </c>
      <c r="DI120" s="16">
        <f t="shared" si="82"/>
        <v>0</v>
      </c>
      <c r="DJ120" s="16">
        <f t="shared" si="82"/>
        <v>-1.4466832757510605E-2</v>
      </c>
      <c r="DK120" s="16">
        <f t="shared" si="82"/>
        <v>1.0289722548119211</v>
      </c>
      <c r="DL120" s="16">
        <f t="shared" si="83"/>
        <v>-1.4562732757510605E-2</v>
      </c>
      <c r="DM120" s="16">
        <f t="shared" si="83"/>
        <v>0</v>
      </c>
      <c r="DN120" s="16">
        <f t="shared" si="83"/>
        <v>0</v>
      </c>
      <c r="DO120" s="16">
        <f t="shared" si="83"/>
        <v>0</v>
      </c>
      <c r="DP120" s="16">
        <f t="shared" si="83"/>
        <v>0</v>
      </c>
      <c r="DQ120" s="16">
        <f t="shared" si="83"/>
        <v>0</v>
      </c>
      <c r="DR120" s="16">
        <f t="shared" si="83"/>
        <v>0</v>
      </c>
      <c r="DS120" s="16">
        <f t="shared" si="83"/>
        <v>0</v>
      </c>
      <c r="DT120" s="16">
        <f t="shared" si="83"/>
        <v>0</v>
      </c>
      <c r="DU120" s="16">
        <f t="shared" si="83"/>
        <v>0</v>
      </c>
      <c r="DV120" s="16">
        <f t="shared" si="83"/>
        <v>0</v>
      </c>
      <c r="DY120" s="9">
        <f t="shared" si="116"/>
        <v>11</v>
      </c>
      <c r="DZ120" s="16">
        <f t="shared" si="84"/>
        <v>0</v>
      </c>
      <c r="EA120" s="16">
        <f t="shared" si="84"/>
        <v>0</v>
      </c>
      <c r="EB120" s="16">
        <f t="shared" si="84"/>
        <v>0</v>
      </c>
      <c r="EC120" s="16">
        <f t="shared" si="84"/>
        <v>0</v>
      </c>
      <c r="ED120" s="16">
        <f t="shared" si="84"/>
        <v>0</v>
      </c>
      <c r="EE120" s="16">
        <f t="shared" si="84"/>
        <v>0</v>
      </c>
      <c r="EF120" s="16">
        <f t="shared" si="84"/>
        <v>0</v>
      </c>
      <c r="EG120" s="16">
        <f t="shared" si="84"/>
        <v>0</v>
      </c>
      <c r="EH120" s="16">
        <f t="shared" si="84"/>
        <v>-8.3830485156235271E-2</v>
      </c>
      <c r="EI120" s="16">
        <f t="shared" si="84"/>
        <v>1.1679696444485705</v>
      </c>
      <c r="EJ120" s="16">
        <f t="shared" si="85"/>
        <v>-8.459758515623525E-2</v>
      </c>
      <c r="EK120" s="16">
        <f t="shared" si="85"/>
        <v>0</v>
      </c>
      <c r="EL120" s="16">
        <f t="shared" si="85"/>
        <v>0</v>
      </c>
      <c r="EM120" s="16">
        <f t="shared" si="85"/>
        <v>0</v>
      </c>
      <c r="EN120" s="16">
        <f t="shared" si="85"/>
        <v>0</v>
      </c>
      <c r="EO120" s="16">
        <f t="shared" si="85"/>
        <v>0</v>
      </c>
      <c r="EP120" s="16">
        <f t="shared" si="85"/>
        <v>0</v>
      </c>
      <c r="EQ120" s="16">
        <f t="shared" si="85"/>
        <v>0</v>
      </c>
      <c r="ER120" s="16">
        <f t="shared" si="85"/>
        <v>0</v>
      </c>
      <c r="ES120" s="16">
        <f t="shared" si="85"/>
        <v>0</v>
      </c>
      <c r="ET120" s="16">
        <f t="shared" si="85"/>
        <v>0</v>
      </c>
      <c r="EW120" s="9">
        <f t="shared" si="117"/>
        <v>11</v>
      </c>
      <c r="EX120" s="16">
        <f t="shared" si="86"/>
        <v>0</v>
      </c>
      <c r="EY120" s="16">
        <f t="shared" si="86"/>
        <v>0</v>
      </c>
      <c r="EZ120" s="16">
        <f t="shared" si="86"/>
        <v>0</v>
      </c>
      <c r="FA120" s="16">
        <f t="shared" si="86"/>
        <v>0</v>
      </c>
      <c r="FB120" s="16">
        <f t="shared" si="86"/>
        <v>0</v>
      </c>
      <c r="FC120" s="16">
        <f t="shared" si="86"/>
        <v>0</v>
      </c>
      <c r="FD120" s="16">
        <f t="shared" si="86"/>
        <v>0</v>
      </c>
      <c r="FE120" s="16">
        <f t="shared" si="86"/>
        <v>0</v>
      </c>
      <c r="FF120" s="16">
        <f t="shared" si="86"/>
        <v>-8.3830485156235521E-2</v>
      </c>
      <c r="FG120" s="16">
        <f t="shared" si="86"/>
        <v>1.167969644448571</v>
      </c>
      <c r="FH120" s="16">
        <f t="shared" si="87"/>
        <v>-8.45975851562355E-2</v>
      </c>
      <c r="FI120" s="16">
        <f t="shared" si="87"/>
        <v>0</v>
      </c>
      <c r="FJ120" s="16">
        <f t="shared" si="87"/>
        <v>0</v>
      </c>
      <c r="FK120" s="16">
        <f t="shared" si="87"/>
        <v>0</v>
      </c>
      <c r="FL120" s="16">
        <f t="shared" si="87"/>
        <v>0</v>
      </c>
      <c r="FM120" s="16">
        <f t="shared" si="87"/>
        <v>0</v>
      </c>
      <c r="FN120" s="16">
        <f t="shared" si="87"/>
        <v>0</v>
      </c>
      <c r="FO120" s="16">
        <f t="shared" si="87"/>
        <v>0</v>
      </c>
      <c r="FP120" s="16">
        <f t="shared" si="87"/>
        <v>0</v>
      </c>
      <c r="FQ120" s="16">
        <f t="shared" si="87"/>
        <v>0</v>
      </c>
      <c r="FR120" s="16">
        <f t="shared" si="87"/>
        <v>0</v>
      </c>
      <c r="FU120" s="9">
        <f t="shared" si="118"/>
        <v>11</v>
      </c>
      <c r="FV120" s="16">
        <f t="shared" si="88"/>
        <v>0</v>
      </c>
      <c r="FW120" s="16">
        <f t="shared" si="88"/>
        <v>0</v>
      </c>
      <c r="FX120" s="16">
        <f t="shared" si="88"/>
        <v>0</v>
      </c>
      <c r="FY120" s="16">
        <f t="shared" si="88"/>
        <v>0</v>
      </c>
      <c r="FZ120" s="16">
        <f t="shared" si="88"/>
        <v>0</v>
      </c>
      <c r="GA120" s="16">
        <f t="shared" si="88"/>
        <v>0</v>
      </c>
      <c r="GB120" s="16">
        <f t="shared" si="88"/>
        <v>0</v>
      </c>
      <c r="GC120" s="16">
        <f t="shared" si="88"/>
        <v>0</v>
      </c>
      <c r="GD120" s="16">
        <f t="shared" si="88"/>
        <v>-8.384141339051461E-2</v>
      </c>
      <c r="GE120" s="16">
        <f t="shared" si="88"/>
        <v>1.1679915411562292</v>
      </c>
      <c r="GF120" s="16">
        <f t="shared" si="89"/>
        <v>-8.4608613390514592E-2</v>
      </c>
      <c r="GG120" s="16">
        <f t="shared" si="89"/>
        <v>0</v>
      </c>
      <c r="GH120" s="16">
        <f t="shared" si="89"/>
        <v>0</v>
      </c>
      <c r="GI120" s="16">
        <f t="shared" si="89"/>
        <v>0</v>
      </c>
      <c r="GJ120" s="16">
        <f t="shared" si="89"/>
        <v>0</v>
      </c>
      <c r="GK120" s="16">
        <f t="shared" si="89"/>
        <v>0</v>
      </c>
      <c r="GL120" s="16">
        <f t="shared" si="89"/>
        <v>0</v>
      </c>
      <c r="GM120" s="16">
        <f t="shared" si="89"/>
        <v>0</v>
      </c>
      <c r="GN120" s="16">
        <f t="shared" si="89"/>
        <v>0</v>
      </c>
      <c r="GO120" s="16">
        <f t="shared" si="89"/>
        <v>0</v>
      </c>
      <c r="GP120" s="16">
        <f t="shared" si="89"/>
        <v>0</v>
      </c>
      <c r="GS120" s="9">
        <f t="shared" si="119"/>
        <v>11</v>
      </c>
      <c r="GT120" s="16">
        <f t="shared" si="90"/>
        <v>0</v>
      </c>
      <c r="GU120" s="16">
        <f t="shared" si="90"/>
        <v>0</v>
      </c>
      <c r="GV120" s="16">
        <f t="shared" si="90"/>
        <v>0</v>
      </c>
      <c r="GW120" s="16">
        <f t="shared" si="90"/>
        <v>0</v>
      </c>
      <c r="GX120" s="16">
        <f t="shared" si="90"/>
        <v>0</v>
      </c>
      <c r="GY120" s="16">
        <f t="shared" si="90"/>
        <v>0</v>
      </c>
      <c r="GZ120" s="16">
        <f t="shared" si="90"/>
        <v>0</v>
      </c>
      <c r="HA120" s="16">
        <f t="shared" si="90"/>
        <v>0</v>
      </c>
      <c r="HB120" s="16">
        <f t="shared" si="90"/>
        <v>-1.8146333020718258E-2</v>
      </c>
      <c r="HC120" s="16">
        <f t="shared" si="90"/>
        <v>1.0363594830669864</v>
      </c>
      <c r="HD120" s="16">
        <f t="shared" si="91"/>
        <v>-1.8312383020718252E-2</v>
      </c>
      <c r="HE120" s="16">
        <f t="shared" si="91"/>
        <v>0</v>
      </c>
      <c r="HF120" s="16">
        <f t="shared" si="91"/>
        <v>0</v>
      </c>
      <c r="HG120" s="16">
        <f t="shared" si="91"/>
        <v>0</v>
      </c>
      <c r="HH120" s="16">
        <f t="shared" si="91"/>
        <v>0</v>
      </c>
      <c r="HI120" s="16">
        <f t="shared" si="91"/>
        <v>0</v>
      </c>
      <c r="HJ120" s="16">
        <f t="shared" si="91"/>
        <v>0</v>
      </c>
      <c r="HK120" s="16">
        <f t="shared" si="91"/>
        <v>0</v>
      </c>
      <c r="HL120" s="16">
        <f t="shared" si="91"/>
        <v>0</v>
      </c>
      <c r="HM120" s="16">
        <f t="shared" si="91"/>
        <v>0</v>
      </c>
      <c r="HN120" s="16">
        <f t="shared" si="91"/>
        <v>0</v>
      </c>
      <c r="HQ120" s="9">
        <f t="shared" si="120"/>
        <v>11</v>
      </c>
      <c r="HR120" s="16">
        <f t="shared" si="92"/>
        <v>0</v>
      </c>
      <c r="HS120" s="16">
        <f t="shared" si="92"/>
        <v>0</v>
      </c>
      <c r="HT120" s="16">
        <f t="shared" si="92"/>
        <v>0</v>
      </c>
      <c r="HU120" s="16">
        <f t="shared" si="92"/>
        <v>0</v>
      </c>
      <c r="HV120" s="16">
        <f t="shared" si="92"/>
        <v>0</v>
      </c>
      <c r="HW120" s="16">
        <f t="shared" si="92"/>
        <v>0</v>
      </c>
      <c r="HX120" s="16">
        <f t="shared" si="92"/>
        <v>0</v>
      </c>
      <c r="HY120" s="16">
        <f t="shared" si="92"/>
        <v>0</v>
      </c>
      <c r="HZ120" s="16">
        <f t="shared" si="92"/>
        <v>-0.11957673948370852</v>
      </c>
      <c r="IA120" s="16">
        <f t="shared" si="92"/>
        <v>1.2395937751996171</v>
      </c>
      <c r="IB120" s="16">
        <f t="shared" si="93"/>
        <v>-0.12067093948370849</v>
      </c>
      <c r="IC120" s="16">
        <f t="shared" si="93"/>
        <v>0</v>
      </c>
      <c r="ID120" s="16">
        <f t="shared" si="93"/>
        <v>0</v>
      </c>
      <c r="IE120" s="16">
        <f t="shared" si="93"/>
        <v>0</v>
      </c>
      <c r="IF120" s="16">
        <f t="shared" si="93"/>
        <v>0</v>
      </c>
      <c r="IG120" s="16">
        <f t="shared" si="93"/>
        <v>0</v>
      </c>
      <c r="IH120" s="16">
        <f t="shared" si="93"/>
        <v>0</v>
      </c>
      <c r="II120" s="16">
        <f t="shared" si="93"/>
        <v>0</v>
      </c>
      <c r="IJ120" s="16">
        <f t="shared" si="93"/>
        <v>0</v>
      </c>
      <c r="IK120" s="16">
        <f t="shared" si="93"/>
        <v>0</v>
      </c>
      <c r="IL120" s="16">
        <f t="shared" si="93"/>
        <v>0</v>
      </c>
      <c r="IO120" s="9">
        <f t="shared" si="121"/>
        <v>11</v>
      </c>
      <c r="IP120" s="16">
        <f t="shared" si="94"/>
        <v>0</v>
      </c>
      <c r="IQ120" s="16">
        <f t="shared" si="94"/>
        <v>0</v>
      </c>
      <c r="IR120" s="16">
        <f t="shared" si="94"/>
        <v>0</v>
      </c>
      <c r="IS120" s="16">
        <f t="shared" si="94"/>
        <v>0</v>
      </c>
      <c r="IT120" s="16">
        <f t="shared" si="94"/>
        <v>0</v>
      </c>
      <c r="IU120" s="16">
        <f t="shared" si="94"/>
        <v>0</v>
      </c>
      <c r="IV120" s="16">
        <f t="shared" si="94"/>
        <v>0</v>
      </c>
      <c r="IW120" s="16">
        <f t="shared" si="94"/>
        <v>0</v>
      </c>
      <c r="IX120" s="16">
        <f t="shared" si="94"/>
        <v>-1.8151250726143823E-2</v>
      </c>
      <c r="IY120" s="16">
        <f t="shared" si="94"/>
        <v>1.0363693365854327</v>
      </c>
      <c r="IZ120" s="16">
        <f t="shared" si="95"/>
        <v>-1.8317345726143821E-2</v>
      </c>
      <c r="JA120" s="16">
        <f t="shared" si="95"/>
        <v>0</v>
      </c>
      <c r="JB120" s="16">
        <f t="shared" si="95"/>
        <v>0</v>
      </c>
      <c r="JC120" s="16">
        <f t="shared" si="95"/>
        <v>0</v>
      </c>
      <c r="JD120" s="16">
        <f t="shared" si="95"/>
        <v>0</v>
      </c>
      <c r="JE120" s="16">
        <f t="shared" si="95"/>
        <v>0</v>
      </c>
      <c r="JF120" s="16">
        <f t="shared" si="95"/>
        <v>0</v>
      </c>
      <c r="JG120" s="16">
        <f t="shared" si="95"/>
        <v>0</v>
      </c>
      <c r="JH120" s="16">
        <f t="shared" si="95"/>
        <v>0</v>
      </c>
      <c r="JI120" s="16">
        <f t="shared" si="95"/>
        <v>0</v>
      </c>
      <c r="JJ120" s="16">
        <f t="shared" si="95"/>
        <v>0</v>
      </c>
      <c r="JM120" s="9">
        <f t="shared" si="122"/>
        <v>11</v>
      </c>
      <c r="JN120" s="16">
        <f t="shared" si="96"/>
        <v>0</v>
      </c>
      <c r="JO120" s="16">
        <f t="shared" si="96"/>
        <v>0</v>
      </c>
      <c r="JP120" s="16">
        <f t="shared" si="96"/>
        <v>0</v>
      </c>
      <c r="JQ120" s="16">
        <f t="shared" si="96"/>
        <v>0</v>
      </c>
      <c r="JR120" s="16">
        <f t="shared" si="96"/>
        <v>0</v>
      </c>
      <c r="JS120" s="16">
        <f t="shared" si="96"/>
        <v>0</v>
      </c>
      <c r="JT120" s="16">
        <f t="shared" si="96"/>
        <v>0</v>
      </c>
      <c r="JU120" s="16">
        <f t="shared" si="96"/>
        <v>0</v>
      </c>
      <c r="JV120" s="16">
        <f t="shared" si="96"/>
        <v>-0.11957455383685273</v>
      </c>
      <c r="JW120" s="16">
        <f t="shared" si="96"/>
        <v>1.2395893958580855</v>
      </c>
      <c r="JX120" s="16">
        <f t="shared" si="97"/>
        <v>-0.1206687338368527</v>
      </c>
      <c r="JY120" s="16">
        <f t="shared" si="97"/>
        <v>0</v>
      </c>
      <c r="JZ120" s="16">
        <f t="shared" si="97"/>
        <v>0</v>
      </c>
      <c r="KA120" s="16">
        <f t="shared" si="97"/>
        <v>0</v>
      </c>
      <c r="KB120" s="16">
        <f t="shared" si="97"/>
        <v>0</v>
      </c>
      <c r="KC120" s="16">
        <f t="shared" si="97"/>
        <v>0</v>
      </c>
      <c r="KD120" s="16">
        <f t="shared" si="97"/>
        <v>0</v>
      </c>
      <c r="KE120" s="16">
        <f t="shared" si="97"/>
        <v>0</v>
      </c>
      <c r="KF120" s="16">
        <f t="shared" si="97"/>
        <v>0</v>
      </c>
      <c r="KG120" s="16">
        <f t="shared" si="97"/>
        <v>0</v>
      </c>
      <c r="KH120" s="16">
        <f t="shared" si="97"/>
        <v>0</v>
      </c>
      <c r="KK120" s="9">
        <f t="shared" si="123"/>
        <v>11</v>
      </c>
      <c r="KL120" s="16">
        <f t="shared" si="98"/>
        <v>0</v>
      </c>
      <c r="KM120" s="16">
        <f t="shared" si="98"/>
        <v>0</v>
      </c>
      <c r="KN120" s="16">
        <f t="shared" si="98"/>
        <v>0</v>
      </c>
      <c r="KO120" s="16">
        <f t="shared" si="98"/>
        <v>0</v>
      </c>
      <c r="KP120" s="16">
        <f t="shared" si="98"/>
        <v>0</v>
      </c>
      <c r="KQ120" s="16">
        <f t="shared" si="98"/>
        <v>0</v>
      </c>
      <c r="KR120" s="16">
        <f t="shared" si="98"/>
        <v>0</v>
      </c>
      <c r="KS120" s="16">
        <f t="shared" si="98"/>
        <v>0</v>
      </c>
      <c r="KT120" s="16">
        <f t="shared" si="98"/>
        <v>-1.5157460945339398E-2</v>
      </c>
      <c r="KU120" s="16">
        <f t="shared" si="98"/>
        <v>1.0303707335223788</v>
      </c>
      <c r="KV120" s="16">
        <f t="shared" si="99"/>
        <v>-1.5296160945339395E-2</v>
      </c>
      <c r="KW120" s="16">
        <f t="shared" si="99"/>
        <v>0</v>
      </c>
      <c r="KX120" s="16">
        <f t="shared" si="99"/>
        <v>0</v>
      </c>
      <c r="KY120" s="16">
        <f t="shared" si="99"/>
        <v>0</v>
      </c>
      <c r="KZ120" s="16">
        <f t="shared" si="99"/>
        <v>0</v>
      </c>
      <c r="LA120" s="16">
        <f t="shared" si="99"/>
        <v>0</v>
      </c>
      <c r="LB120" s="16">
        <f t="shared" si="99"/>
        <v>0</v>
      </c>
      <c r="LC120" s="16">
        <f t="shared" si="99"/>
        <v>0</v>
      </c>
      <c r="LD120" s="16">
        <f t="shared" si="99"/>
        <v>0</v>
      </c>
      <c r="LE120" s="16">
        <f t="shared" si="99"/>
        <v>0</v>
      </c>
      <c r="LF120" s="16">
        <f t="shared" si="99"/>
        <v>0</v>
      </c>
      <c r="LI120" s="9">
        <f t="shared" si="124"/>
        <v>11</v>
      </c>
      <c r="LJ120" s="16">
        <f t="shared" si="100"/>
        <v>0</v>
      </c>
      <c r="LK120" s="16">
        <f t="shared" si="100"/>
        <v>0</v>
      </c>
      <c r="LL120" s="16">
        <f t="shared" si="100"/>
        <v>0</v>
      </c>
      <c r="LM120" s="16">
        <f t="shared" si="100"/>
        <v>0</v>
      </c>
      <c r="LN120" s="16">
        <f t="shared" si="100"/>
        <v>0</v>
      </c>
      <c r="LO120" s="16">
        <f t="shared" si="100"/>
        <v>0</v>
      </c>
      <c r="LP120" s="16">
        <f t="shared" si="100"/>
        <v>0</v>
      </c>
      <c r="LQ120" s="16">
        <f t="shared" si="100"/>
        <v>0</v>
      </c>
      <c r="LR120" s="16">
        <f t="shared" si="100"/>
        <v>-0.11957400742513874</v>
      </c>
      <c r="LS120" s="16">
        <f t="shared" si="100"/>
        <v>1.2395883010227025</v>
      </c>
      <c r="LT120" s="16">
        <f t="shared" si="101"/>
        <v>-0.12066818242513871</v>
      </c>
      <c r="LU120" s="16">
        <f t="shared" si="101"/>
        <v>0</v>
      </c>
      <c r="LV120" s="16">
        <f t="shared" si="101"/>
        <v>0</v>
      </c>
      <c r="LW120" s="16">
        <f t="shared" si="101"/>
        <v>0</v>
      </c>
      <c r="LX120" s="16">
        <f t="shared" si="101"/>
        <v>0</v>
      </c>
      <c r="LY120" s="16">
        <f t="shared" si="101"/>
        <v>0</v>
      </c>
      <c r="LZ120" s="16">
        <f t="shared" si="101"/>
        <v>0</v>
      </c>
      <c r="MA120" s="16">
        <f t="shared" si="101"/>
        <v>0</v>
      </c>
      <c r="MB120" s="16">
        <f t="shared" si="101"/>
        <v>0</v>
      </c>
      <c r="MC120" s="16">
        <f t="shared" si="101"/>
        <v>0</v>
      </c>
      <c r="MD120" s="16">
        <f t="shared" si="101"/>
        <v>0</v>
      </c>
      <c r="MG120" s="9">
        <f t="shared" si="125"/>
        <v>11</v>
      </c>
      <c r="MH120" s="16">
        <f t="shared" si="102"/>
        <v>0</v>
      </c>
      <c r="MI120" s="16">
        <f t="shared" si="102"/>
        <v>0</v>
      </c>
      <c r="MJ120" s="16">
        <f t="shared" si="102"/>
        <v>0</v>
      </c>
      <c r="MK120" s="16">
        <f t="shared" si="102"/>
        <v>0</v>
      </c>
      <c r="ML120" s="16">
        <f t="shared" si="102"/>
        <v>0</v>
      </c>
      <c r="MM120" s="16">
        <f t="shared" si="102"/>
        <v>0</v>
      </c>
      <c r="MN120" s="16">
        <f t="shared" si="102"/>
        <v>0</v>
      </c>
      <c r="MO120" s="16">
        <f t="shared" si="102"/>
        <v>0</v>
      </c>
      <c r="MP120" s="16">
        <f t="shared" si="102"/>
        <v>-1.66546290415986E-2</v>
      </c>
      <c r="MQ120" s="16">
        <f t="shared" si="102"/>
        <v>1.0333705824715973</v>
      </c>
      <c r="MR120" s="16">
        <f t="shared" si="103"/>
        <v>-1.6807029041598597E-2</v>
      </c>
      <c r="MS120" s="16">
        <f t="shared" si="103"/>
        <v>0</v>
      </c>
      <c r="MT120" s="16">
        <f t="shared" si="103"/>
        <v>0</v>
      </c>
      <c r="MU120" s="16">
        <f t="shared" si="103"/>
        <v>0</v>
      </c>
      <c r="MV120" s="16">
        <f t="shared" si="103"/>
        <v>0</v>
      </c>
      <c r="MW120" s="16">
        <f t="shared" si="103"/>
        <v>0</v>
      </c>
      <c r="MX120" s="16">
        <f t="shared" si="103"/>
        <v>0</v>
      </c>
      <c r="MY120" s="16">
        <f t="shared" si="103"/>
        <v>0</v>
      </c>
      <c r="MZ120" s="16">
        <f t="shared" si="103"/>
        <v>0</v>
      </c>
      <c r="NA120" s="16">
        <f t="shared" si="103"/>
        <v>0</v>
      </c>
      <c r="NB120" s="16">
        <f t="shared" si="103"/>
        <v>0</v>
      </c>
      <c r="NE120" s="9">
        <f t="shared" si="126"/>
        <v>11</v>
      </c>
      <c r="NF120" s="16">
        <f t="shared" si="104"/>
        <v>0</v>
      </c>
      <c r="NG120" s="16">
        <f t="shared" si="104"/>
        <v>0</v>
      </c>
      <c r="NH120" s="16">
        <f t="shared" si="104"/>
        <v>0</v>
      </c>
      <c r="NI120" s="16">
        <f t="shared" si="104"/>
        <v>0</v>
      </c>
      <c r="NJ120" s="16">
        <f t="shared" si="104"/>
        <v>0</v>
      </c>
      <c r="NK120" s="16">
        <f t="shared" si="104"/>
        <v>0</v>
      </c>
      <c r="NL120" s="16">
        <f t="shared" si="104"/>
        <v>0</v>
      </c>
      <c r="NM120" s="16">
        <f t="shared" si="104"/>
        <v>0</v>
      </c>
      <c r="NN120" s="16">
        <f t="shared" si="104"/>
        <v>-0.11957400742513874</v>
      </c>
      <c r="NO120" s="16">
        <f t="shared" si="104"/>
        <v>1.2395883010227025</v>
      </c>
      <c r="NP120" s="16">
        <f t="shared" si="105"/>
        <v>-0.12066818242513871</v>
      </c>
      <c r="NQ120" s="16">
        <f t="shared" si="105"/>
        <v>0</v>
      </c>
      <c r="NR120" s="16">
        <f t="shared" si="105"/>
        <v>0</v>
      </c>
      <c r="NS120" s="16">
        <f t="shared" si="105"/>
        <v>0</v>
      </c>
      <c r="NT120" s="16">
        <f t="shared" si="105"/>
        <v>0</v>
      </c>
      <c r="NU120" s="16">
        <f t="shared" si="105"/>
        <v>0</v>
      </c>
      <c r="NV120" s="16">
        <f t="shared" si="105"/>
        <v>0</v>
      </c>
      <c r="NW120" s="16">
        <f t="shared" si="105"/>
        <v>0</v>
      </c>
      <c r="NX120" s="16">
        <f t="shared" si="105"/>
        <v>0</v>
      </c>
      <c r="NY120" s="16">
        <f t="shared" si="105"/>
        <v>0</v>
      </c>
      <c r="NZ120" s="16">
        <f t="shared" si="105"/>
        <v>0</v>
      </c>
      <c r="OC120" s="9">
        <f t="shared" si="127"/>
        <v>11</v>
      </c>
      <c r="OD120" s="16">
        <f t="shared" si="106"/>
        <v>0</v>
      </c>
      <c r="OE120" s="16">
        <f t="shared" si="106"/>
        <v>0</v>
      </c>
      <c r="OF120" s="16">
        <f t="shared" si="106"/>
        <v>0</v>
      </c>
      <c r="OG120" s="16">
        <f t="shared" si="106"/>
        <v>0</v>
      </c>
      <c r="OH120" s="16">
        <f t="shared" si="106"/>
        <v>0</v>
      </c>
      <c r="OI120" s="16">
        <f t="shared" si="106"/>
        <v>0</v>
      </c>
      <c r="OJ120" s="16">
        <f t="shared" si="106"/>
        <v>0</v>
      </c>
      <c r="OK120" s="16">
        <f t="shared" si="106"/>
        <v>0</v>
      </c>
      <c r="OL120" s="16">
        <f t="shared" si="106"/>
        <v>-1.8151250726143809E-2</v>
      </c>
      <c r="OM120" s="16">
        <f t="shared" si="106"/>
        <v>1.0363693365854325</v>
      </c>
      <c r="ON120" s="16">
        <f t="shared" si="107"/>
        <v>-1.8317345726143804E-2</v>
      </c>
      <c r="OO120" s="16">
        <f t="shared" si="107"/>
        <v>0</v>
      </c>
      <c r="OP120" s="16">
        <f t="shared" si="107"/>
        <v>0</v>
      </c>
      <c r="OQ120" s="16">
        <f t="shared" si="107"/>
        <v>0</v>
      </c>
      <c r="OR120" s="16">
        <f t="shared" si="107"/>
        <v>0</v>
      </c>
      <c r="OS120" s="16">
        <f t="shared" si="107"/>
        <v>0</v>
      </c>
      <c r="OT120" s="16">
        <f t="shared" si="107"/>
        <v>0</v>
      </c>
      <c r="OU120" s="16">
        <f t="shared" si="107"/>
        <v>0</v>
      </c>
      <c r="OV120" s="16">
        <f t="shared" si="107"/>
        <v>0</v>
      </c>
      <c r="OW120" s="16">
        <f t="shared" si="107"/>
        <v>0</v>
      </c>
      <c r="OX120" s="16">
        <f t="shared" si="107"/>
        <v>0</v>
      </c>
      <c r="PA120" s="9">
        <f t="shared" si="128"/>
        <v>11</v>
      </c>
      <c r="PB120" s="16">
        <f t="shared" si="108"/>
        <v>0</v>
      </c>
      <c r="PC120" s="16">
        <f t="shared" si="108"/>
        <v>0</v>
      </c>
      <c r="PD120" s="16">
        <f t="shared" si="108"/>
        <v>0</v>
      </c>
      <c r="PE120" s="16">
        <f t="shared" si="108"/>
        <v>0</v>
      </c>
      <c r="PF120" s="16">
        <f t="shared" si="108"/>
        <v>0</v>
      </c>
      <c r="PG120" s="16">
        <f t="shared" si="108"/>
        <v>0</v>
      </c>
      <c r="PH120" s="16">
        <f t="shared" si="108"/>
        <v>0</v>
      </c>
      <c r="PI120" s="16">
        <f t="shared" si="108"/>
        <v>0</v>
      </c>
      <c r="PJ120" s="16">
        <f t="shared" si="108"/>
        <v>-0.11956908971971307</v>
      </c>
      <c r="PK120" s="16">
        <f t="shared" si="108"/>
        <v>1.2395784475042562</v>
      </c>
      <c r="PL120" s="16">
        <f t="shared" si="109"/>
        <v>-0.12066321971971304</v>
      </c>
      <c r="PM120" s="16">
        <f t="shared" si="109"/>
        <v>0</v>
      </c>
      <c r="PN120" s="16">
        <f t="shared" si="109"/>
        <v>0</v>
      </c>
      <c r="PO120" s="16">
        <f t="shared" si="109"/>
        <v>0</v>
      </c>
      <c r="PP120" s="16">
        <f t="shared" si="109"/>
        <v>0</v>
      </c>
      <c r="PQ120" s="16">
        <f t="shared" si="109"/>
        <v>0</v>
      </c>
      <c r="PR120" s="16">
        <f t="shared" si="109"/>
        <v>0</v>
      </c>
      <c r="PS120" s="16">
        <f t="shared" si="109"/>
        <v>0</v>
      </c>
      <c r="PT120" s="16">
        <f t="shared" si="109"/>
        <v>0</v>
      </c>
      <c r="PU120" s="16">
        <f t="shared" si="109"/>
        <v>0</v>
      </c>
      <c r="PV120" s="16">
        <f t="shared" si="109"/>
        <v>0</v>
      </c>
    </row>
    <row r="121" spans="3:438" x14ac:dyDescent="0.25">
      <c r="C121" s="1"/>
      <c r="D121" s="1"/>
      <c r="F121" s="1"/>
      <c r="H121" s="1"/>
      <c r="I121" s="9">
        <f t="shared" si="111"/>
        <v>10</v>
      </c>
      <c r="J121" s="16">
        <f t="shared" si="110"/>
        <v>0</v>
      </c>
      <c r="K121" s="16">
        <f t="shared" si="75"/>
        <v>0</v>
      </c>
      <c r="L121" s="16">
        <f t="shared" si="75"/>
        <v>0</v>
      </c>
      <c r="M121" s="16">
        <f t="shared" si="75"/>
        <v>0</v>
      </c>
      <c r="N121" s="16">
        <f t="shared" si="75"/>
        <v>0</v>
      </c>
      <c r="O121" s="16">
        <f t="shared" si="75"/>
        <v>0</v>
      </c>
      <c r="P121" s="16">
        <f t="shared" si="75"/>
        <v>0</v>
      </c>
      <c r="Q121" s="16">
        <f t="shared" si="75"/>
        <v>0</v>
      </c>
      <c r="R121" s="16">
        <f t="shared" si="75"/>
        <v>0</v>
      </c>
      <c r="S121" s="16">
        <f t="shared" si="75"/>
        <v>-1.450721509183911E-2</v>
      </c>
      <c r="T121" s="16">
        <f t="shared" si="75"/>
        <v>1.0290144301836781</v>
      </c>
      <c r="U121" s="16">
        <f t="shared" si="75"/>
        <v>-1.450721509183911E-2</v>
      </c>
      <c r="V121" s="16">
        <f t="shared" si="75"/>
        <v>0</v>
      </c>
      <c r="W121" s="16">
        <f t="shared" si="75"/>
        <v>0</v>
      </c>
      <c r="X121" s="16">
        <f t="shared" si="75"/>
        <v>0</v>
      </c>
      <c r="Y121" s="16">
        <f t="shared" si="75"/>
        <v>0</v>
      </c>
      <c r="Z121" s="16">
        <f t="shared" si="75"/>
        <v>0</v>
      </c>
      <c r="AA121" s="16">
        <f t="shared" si="75"/>
        <v>0</v>
      </c>
      <c r="AB121" s="16">
        <f t="shared" si="75"/>
        <v>0</v>
      </c>
      <c r="AC121" s="16">
        <f t="shared" si="75"/>
        <v>0</v>
      </c>
      <c r="AD121" s="16">
        <f t="shared" si="75"/>
        <v>0</v>
      </c>
      <c r="AE121" s="1"/>
      <c r="AF121" s="1"/>
      <c r="AG121" s="9">
        <f t="shared" si="112"/>
        <v>10</v>
      </c>
      <c r="AH121" s="16">
        <f t="shared" ref="AH121:AQ131" si="129">IF(AH$110=$I121,AH$108*HLOOKUP($I121,$I$27:$AD$45,AH$107,0)+1,IF(AH$110-$I121=1,AH$108*HLOOKUP($I121,$I$7:$AD$25,AH$107,0),IF(AH$110-$I121=-1,AH$108*HLOOKUP($I121,$I$47:$AD$65,AH$107,0),0)))</f>
        <v>0</v>
      </c>
      <c r="AI121" s="16">
        <f t="shared" si="129"/>
        <v>0</v>
      </c>
      <c r="AJ121" s="16">
        <f t="shared" si="129"/>
        <v>0</v>
      </c>
      <c r="AK121" s="16">
        <f t="shared" si="129"/>
        <v>0</v>
      </c>
      <c r="AL121" s="16">
        <f t="shared" si="129"/>
        <v>0</v>
      </c>
      <c r="AM121" s="16">
        <f t="shared" si="129"/>
        <v>0</v>
      </c>
      <c r="AN121" s="16">
        <f t="shared" si="129"/>
        <v>0</v>
      </c>
      <c r="AO121" s="16">
        <f t="shared" si="129"/>
        <v>0</v>
      </c>
      <c r="AP121" s="16">
        <f t="shared" si="129"/>
        <v>0</v>
      </c>
      <c r="AQ121" s="16">
        <f t="shared" si="129"/>
        <v>-0.11611826206008384</v>
      </c>
      <c r="AR121" s="16">
        <f t="shared" ref="AR121:BB131" si="130">IF(AR$110=$I121,AR$108*HLOOKUP($I121,$I$27:$AD$45,AR$107,0)+1,IF(AR$110-$I121=1,AR$108*HLOOKUP($I121,$I$7:$AD$25,AR$107,0),IF(AR$110-$I121=-1,AR$108*HLOOKUP($I121,$I$47:$AD$65,AR$107,0),0)))</f>
        <v>1.2322365241201676</v>
      </c>
      <c r="AS121" s="16">
        <f t="shared" si="130"/>
        <v>-0.11611826206008384</v>
      </c>
      <c r="AT121" s="16">
        <f t="shared" si="130"/>
        <v>0</v>
      </c>
      <c r="AU121" s="16">
        <f t="shared" si="130"/>
        <v>0</v>
      </c>
      <c r="AV121" s="16">
        <f t="shared" si="130"/>
        <v>0</v>
      </c>
      <c r="AW121" s="16">
        <f t="shared" si="130"/>
        <v>0</v>
      </c>
      <c r="AX121" s="16">
        <f t="shared" si="130"/>
        <v>0</v>
      </c>
      <c r="AY121" s="16">
        <f t="shared" si="130"/>
        <v>0</v>
      </c>
      <c r="AZ121" s="16">
        <f t="shared" si="130"/>
        <v>0</v>
      </c>
      <c r="BA121" s="16">
        <f t="shared" si="130"/>
        <v>0</v>
      </c>
      <c r="BB121" s="16">
        <f t="shared" si="130"/>
        <v>0</v>
      </c>
      <c r="BE121" s="9">
        <f t="shared" si="113"/>
        <v>10</v>
      </c>
      <c r="BF121" s="16">
        <f t="shared" ref="BF121:BO131" si="131">IF(BF$110=$I121,BF$108*HLOOKUP($I121,$I$27:$AD$45,BF$107,0)+1,IF(BF$110-$I121=1,BF$108*HLOOKUP($I121,$I$7:$AD$25,BF$107,0),IF(BF$110-$I121=-1,BF$108*HLOOKUP($I121,$I$47:$AD$65,BF$107,0),0)))</f>
        <v>0</v>
      </c>
      <c r="BG121" s="16">
        <f t="shared" si="131"/>
        <v>0</v>
      </c>
      <c r="BH121" s="16">
        <f t="shared" si="131"/>
        <v>0</v>
      </c>
      <c r="BI121" s="16">
        <f t="shared" si="131"/>
        <v>0</v>
      </c>
      <c r="BJ121" s="16">
        <f t="shared" si="131"/>
        <v>0</v>
      </c>
      <c r="BK121" s="16">
        <f t="shared" si="131"/>
        <v>0</v>
      </c>
      <c r="BL121" s="16">
        <f t="shared" si="131"/>
        <v>0</v>
      </c>
      <c r="BM121" s="16">
        <f t="shared" si="131"/>
        <v>0</v>
      </c>
      <c r="BN121" s="16">
        <f t="shared" si="131"/>
        <v>0</v>
      </c>
      <c r="BO121" s="16">
        <f t="shared" si="131"/>
        <v>-0.11610312672874118</v>
      </c>
      <c r="BP121" s="16">
        <f t="shared" ref="BP121:BZ131" si="132">IF(BP$110=$I121,BP$108*HLOOKUP($I121,$I$27:$AD$45,BP$107,0)+1,IF(BP$110-$I121=1,BP$108*HLOOKUP($I121,$I$7:$AD$25,BP$107,0),IF(BP$110-$I121=-1,BP$108*HLOOKUP($I121,$I$47:$AD$65,BP$107,0),0)))</f>
        <v>1.2322062534574822</v>
      </c>
      <c r="BQ121" s="16">
        <f t="shared" si="132"/>
        <v>-0.11610312672874118</v>
      </c>
      <c r="BR121" s="16">
        <f t="shared" si="132"/>
        <v>0</v>
      </c>
      <c r="BS121" s="16">
        <f t="shared" si="132"/>
        <v>0</v>
      </c>
      <c r="BT121" s="16">
        <f t="shared" si="132"/>
        <v>0</v>
      </c>
      <c r="BU121" s="16">
        <f t="shared" si="132"/>
        <v>0</v>
      </c>
      <c r="BV121" s="16">
        <f t="shared" si="132"/>
        <v>0</v>
      </c>
      <c r="BW121" s="16">
        <f t="shared" si="132"/>
        <v>0</v>
      </c>
      <c r="BX121" s="16">
        <f t="shared" si="132"/>
        <v>0</v>
      </c>
      <c r="BY121" s="16">
        <f t="shared" si="132"/>
        <v>0</v>
      </c>
      <c r="BZ121" s="16">
        <f t="shared" si="132"/>
        <v>0</v>
      </c>
      <c r="CC121" s="9">
        <f t="shared" si="114"/>
        <v>10</v>
      </c>
      <c r="CD121" s="16">
        <f t="shared" ref="CD121:CM131" si="133">IF(CD$110=$I121,CD$108*HLOOKUP($I121,$I$27:$AD$45,CD$107,0)+1,IF(CD$110-$I121=1,CD$108*HLOOKUP($I121,$I$7:$AD$25,CD$107,0),IF(CD$110-$I121=-1,CD$108*HLOOKUP($I121,$I$47:$AD$65,CD$107,0),0)))</f>
        <v>0</v>
      </c>
      <c r="CE121" s="16">
        <f t="shared" si="133"/>
        <v>0</v>
      </c>
      <c r="CF121" s="16">
        <f t="shared" si="133"/>
        <v>0</v>
      </c>
      <c r="CG121" s="16">
        <f t="shared" si="133"/>
        <v>0</v>
      </c>
      <c r="CH121" s="16">
        <f t="shared" si="133"/>
        <v>0</v>
      </c>
      <c r="CI121" s="16">
        <f t="shared" si="133"/>
        <v>0</v>
      </c>
      <c r="CJ121" s="16">
        <f t="shared" si="133"/>
        <v>0</v>
      </c>
      <c r="CK121" s="16">
        <f t="shared" si="133"/>
        <v>0</v>
      </c>
      <c r="CL121" s="16">
        <f t="shared" si="133"/>
        <v>0</v>
      </c>
      <c r="CM121" s="16">
        <f t="shared" si="133"/>
        <v>-0.11610312672874085</v>
      </c>
      <c r="CN121" s="16">
        <f t="shared" ref="CN121:CX131" si="134">IF(CN$110=$I121,CN$108*HLOOKUP($I121,$I$27:$AD$45,CN$107,0)+1,IF(CN$110-$I121=1,CN$108*HLOOKUP($I121,$I$7:$AD$25,CN$107,0),IF(CN$110-$I121=-1,CN$108*HLOOKUP($I121,$I$47:$AD$65,CN$107,0),0)))</f>
        <v>1.2322062534574818</v>
      </c>
      <c r="CO121" s="16">
        <f t="shared" si="134"/>
        <v>-0.11610312672874085</v>
      </c>
      <c r="CP121" s="16">
        <f t="shared" si="134"/>
        <v>0</v>
      </c>
      <c r="CQ121" s="16">
        <f t="shared" si="134"/>
        <v>0</v>
      </c>
      <c r="CR121" s="16">
        <f t="shared" si="134"/>
        <v>0</v>
      </c>
      <c r="CS121" s="16">
        <f t="shared" si="134"/>
        <v>0</v>
      </c>
      <c r="CT121" s="16">
        <f t="shared" si="134"/>
        <v>0</v>
      </c>
      <c r="CU121" s="16">
        <f t="shared" si="134"/>
        <v>0</v>
      </c>
      <c r="CV121" s="16">
        <f t="shared" si="134"/>
        <v>0</v>
      </c>
      <c r="CW121" s="16">
        <f t="shared" si="134"/>
        <v>0</v>
      </c>
      <c r="CX121" s="16">
        <f t="shared" si="134"/>
        <v>0</v>
      </c>
      <c r="DA121" s="9">
        <f t="shared" si="115"/>
        <v>10</v>
      </c>
      <c r="DB121" s="16">
        <f t="shared" ref="DB121:DK131" si="135">IF(DB$110=$I121,DB$108*HLOOKUP($I121,$I$27:$AD$45,DB$107,0)+1,IF(DB$110-$I121=1,DB$108*HLOOKUP($I121,$I$7:$AD$25,DB$107,0),IF(DB$110-$I121=-1,DB$108*HLOOKUP($I121,$I$47:$AD$65,DB$107,0),0)))</f>
        <v>0</v>
      </c>
      <c r="DC121" s="16">
        <f t="shared" si="135"/>
        <v>0</v>
      </c>
      <c r="DD121" s="16">
        <f t="shared" si="135"/>
        <v>0</v>
      </c>
      <c r="DE121" s="16">
        <f t="shared" si="135"/>
        <v>0</v>
      </c>
      <c r="DF121" s="16">
        <f t="shared" si="135"/>
        <v>0</v>
      </c>
      <c r="DG121" s="16">
        <f t="shared" si="135"/>
        <v>0</v>
      </c>
      <c r="DH121" s="16">
        <f t="shared" si="135"/>
        <v>0</v>
      </c>
      <c r="DI121" s="16">
        <f t="shared" si="135"/>
        <v>0</v>
      </c>
      <c r="DJ121" s="16">
        <f t="shared" si="135"/>
        <v>0</v>
      </c>
      <c r="DK121" s="16">
        <f t="shared" si="135"/>
        <v>-1.4514782757510605E-2</v>
      </c>
      <c r="DL121" s="16">
        <f t="shared" ref="DL121:DV131" si="136">IF(DL$110=$I121,DL$108*HLOOKUP($I121,$I$27:$AD$45,DL$107,0)+1,IF(DL$110-$I121=1,DL$108*HLOOKUP($I121,$I$7:$AD$25,DL$107,0),IF(DL$110-$I121=-1,DL$108*HLOOKUP($I121,$I$47:$AD$65,DL$107,0),0)))</f>
        <v>1.0290295655150212</v>
      </c>
      <c r="DM121" s="16">
        <f t="shared" si="136"/>
        <v>-1.4514782757510605E-2</v>
      </c>
      <c r="DN121" s="16">
        <f t="shared" si="136"/>
        <v>0</v>
      </c>
      <c r="DO121" s="16">
        <f t="shared" si="136"/>
        <v>0</v>
      </c>
      <c r="DP121" s="16">
        <f t="shared" si="136"/>
        <v>0</v>
      </c>
      <c r="DQ121" s="16">
        <f t="shared" si="136"/>
        <v>0</v>
      </c>
      <c r="DR121" s="16">
        <f t="shared" si="136"/>
        <v>0</v>
      </c>
      <c r="DS121" s="16">
        <f t="shared" si="136"/>
        <v>0</v>
      </c>
      <c r="DT121" s="16">
        <f t="shared" si="136"/>
        <v>0</v>
      </c>
      <c r="DU121" s="16">
        <f t="shared" si="136"/>
        <v>0</v>
      </c>
      <c r="DV121" s="16">
        <f t="shared" si="136"/>
        <v>0</v>
      </c>
      <c r="DY121" s="9">
        <f t="shared" si="116"/>
        <v>10</v>
      </c>
      <c r="DZ121" s="16">
        <f t="shared" ref="DZ121:EI131" si="137">IF(DZ$110=$I121,DZ$108*HLOOKUP($I121,$I$27:$AD$45,DZ$107,0)+1,IF(DZ$110-$I121=1,DZ$108*HLOOKUP($I121,$I$7:$AD$25,DZ$107,0),IF(DZ$110-$I121=-1,DZ$108*HLOOKUP($I121,$I$47:$AD$65,DZ$107,0),0)))</f>
        <v>0</v>
      </c>
      <c r="EA121" s="16">
        <f t="shared" si="137"/>
        <v>0</v>
      </c>
      <c r="EB121" s="16">
        <f t="shared" si="137"/>
        <v>0</v>
      </c>
      <c r="EC121" s="16">
        <f t="shared" si="137"/>
        <v>0</v>
      </c>
      <c r="ED121" s="16">
        <f t="shared" si="137"/>
        <v>0</v>
      </c>
      <c r="EE121" s="16">
        <f t="shared" si="137"/>
        <v>0</v>
      </c>
      <c r="EF121" s="16">
        <f t="shared" si="137"/>
        <v>0</v>
      </c>
      <c r="EG121" s="16">
        <f t="shared" si="137"/>
        <v>0</v>
      </c>
      <c r="EH121" s="16">
        <f t="shared" si="137"/>
        <v>0</v>
      </c>
      <c r="EI121" s="16">
        <f t="shared" si="137"/>
        <v>-8.4214035156235267E-2</v>
      </c>
      <c r="EJ121" s="16">
        <f t="shared" ref="EJ121:ET131" si="138">IF(EJ$110=$I121,EJ$108*HLOOKUP($I121,$I$27:$AD$45,EJ$107,0)+1,IF(EJ$110-$I121=1,EJ$108*HLOOKUP($I121,$I$7:$AD$25,EJ$107,0),IF(EJ$110-$I121=-1,EJ$108*HLOOKUP($I121,$I$47:$AD$65,EJ$107,0),0)))</f>
        <v>1.1684280703124705</v>
      </c>
      <c r="EK121" s="16">
        <f t="shared" si="138"/>
        <v>-8.4214035156235267E-2</v>
      </c>
      <c r="EL121" s="16">
        <f t="shared" si="138"/>
        <v>0</v>
      </c>
      <c r="EM121" s="16">
        <f t="shared" si="138"/>
        <v>0</v>
      </c>
      <c r="EN121" s="16">
        <f t="shared" si="138"/>
        <v>0</v>
      </c>
      <c r="EO121" s="16">
        <f t="shared" si="138"/>
        <v>0</v>
      </c>
      <c r="EP121" s="16">
        <f t="shared" si="138"/>
        <v>0</v>
      </c>
      <c r="EQ121" s="16">
        <f t="shared" si="138"/>
        <v>0</v>
      </c>
      <c r="ER121" s="16">
        <f t="shared" si="138"/>
        <v>0</v>
      </c>
      <c r="ES121" s="16">
        <f t="shared" si="138"/>
        <v>0</v>
      </c>
      <c r="ET121" s="16">
        <f t="shared" si="138"/>
        <v>0</v>
      </c>
      <c r="EW121" s="9">
        <f t="shared" si="117"/>
        <v>10</v>
      </c>
      <c r="EX121" s="16">
        <f t="shared" ref="EX121:FG131" si="139">IF(EX$110=$I121,EX$108*HLOOKUP($I121,$I$27:$AD$45,EX$107,0)+1,IF(EX$110-$I121=1,EX$108*HLOOKUP($I121,$I$7:$AD$25,EX$107,0),IF(EX$110-$I121=-1,EX$108*HLOOKUP($I121,$I$47:$AD$65,EX$107,0),0)))</f>
        <v>0</v>
      </c>
      <c r="EY121" s="16">
        <f t="shared" si="139"/>
        <v>0</v>
      </c>
      <c r="EZ121" s="16">
        <f t="shared" si="139"/>
        <v>0</v>
      </c>
      <c r="FA121" s="16">
        <f t="shared" si="139"/>
        <v>0</v>
      </c>
      <c r="FB121" s="16">
        <f t="shared" si="139"/>
        <v>0</v>
      </c>
      <c r="FC121" s="16">
        <f t="shared" si="139"/>
        <v>0</v>
      </c>
      <c r="FD121" s="16">
        <f t="shared" si="139"/>
        <v>0</v>
      </c>
      <c r="FE121" s="16">
        <f t="shared" si="139"/>
        <v>0</v>
      </c>
      <c r="FF121" s="16">
        <f t="shared" si="139"/>
        <v>0</v>
      </c>
      <c r="FG121" s="16">
        <f t="shared" si="139"/>
        <v>-8.4214035156235503E-2</v>
      </c>
      <c r="FH121" s="16">
        <f t="shared" ref="FH121:FR131" si="140">IF(FH$110=$I121,FH$108*HLOOKUP($I121,$I$27:$AD$45,FH$107,0)+1,IF(FH$110-$I121=1,FH$108*HLOOKUP($I121,$I$7:$AD$25,FH$107,0),IF(FH$110-$I121=-1,FH$108*HLOOKUP($I121,$I$47:$AD$65,FH$107,0),0)))</f>
        <v>1.168428070312471</v>
      </c>
      <c r="FI121" s="16">
        <f t="shared" si="140"/>
        <v>-8.4214035156235503E-2</v>
      </c>
      <c r="FJ121" s="16">
        <f t="shared" si="140"/>
        <v>0</v>
      </c>
      <c r="FK121" s="16">
        <f t="shared" si="140"/>
        <v>0</v>
      </c>
      <c r="FL121" s="16">
        <f t="shared" si="140"/>
        <v>0</v>
      </c>
      <c r="FM121" s="16">
        <f t="shared" si="140"/>
        <v>0</v>
      </c>
      <c r="FN121" s="16">
        <f t="shared" si="140"/>
        <v>0</v>
      </c>
      <c r="FO121" s="16">
        <f t="shared" si="140"/>
        <v>0</v>
      </c>
      <c r="FP121" s="16">
        <f t="shared" si="140"/>
        <v>0</v>
      </c>
      <c r="FQ121" s="16">
        <f t="shared" si="140"/>
        <v>0</v>
      </c>
      <c r="FR121" s="16">
        <f t="shared" si="140"/>
        <v>0</v>
      </c>
      <c r="FU121" s="9">
        <f t="shared" si="118"/>
        <v>10</v>
      </c>
      <c r="FV121" s="16">
        <f t="shared" ref="FV121:GE131" si="141">IF(FV$110=$I121,FV$108*HLOOKUP($I121,$I$27:$AD$45,FV$107,0)+1,IF(FV$110-$I121=1,FV$108*HLOOKUP($I121,$I$7:$AD$25,FV$107,0),IF(FV$110-$I121=-1,FV$108*HLOOKUP($I121,$I$47:$AD$65,FV$107,0),0)))</f>
        <v>0</v>
      </c>
      <c r="FW121" s="16">
        <f t="shared" si="141"/>
        <v>0</v>
      </c>
      <c r="FX121" s="16">
        <f t="shared" si="141"/>
        <v>0</v>
      </c>
      <c r="FY121" s="16">
        <f t="shared" si="141"/>
        <v>0</v>
      </c>
      <c r="FZ121" s="16">
        <f t="shared" si="141"/>
        <v>0</v>
      </c>
      <c r="GA121" s="16">
        <f t="shared" si="141"/>
        <v>0</v>
      </c>
      <c r="GB121" s="16">
        <f t="shared" si="141"/>
        <v>0</v>
      </c>
      <c r="GC121" s="16">
        <f t="shared" si="141"/>
        <v>0</v>
      </c>
      <c r="GD121" s="16">
        <f t="shared" si="141"/>
        <v>0</v>
      </c>
      <c r="GE121" s="16">
        <f t="shared" si="141"/>
        <v>-8.4225013390514594E-2</v>
      </c>
      <c r="GF121" s="16">
        <f t="shared" ref="GF121:GP131" si="142">IF(GF$110=$I121,GF$108*HLOOKUP($I121,$I$27:$AD$45,GF$107,0)+1,IF(GF$110-$I121=1,GF$108*HLOOKUP($I121,$I$7:$AD$25,GF$107,0),IF(GF$110-$I121=-1,GF$108*HLOOKUP($I121,$I$47:$AD$65,GF$107,0),0)))</f>
        <v>1.1684500267810292</v>
      </c>
      <c r="GG121" s="16">
        <f t="shared" si="142"/>
        <v>-8.4225013390514594E-2</v>
      </c>
      <c r="GH121" s="16">
        <f t="shared" si="142"/>
        <v>0</v>
      </c>
      <c r="GI121" s="16">
        <f t="shared" si="142"/>
        <v>0</v>
      </c>
      <c r="GJ121" s="16">
        <f t="shared" si="142"/>
        <v>0</v>
      </c>
      <c r="GK121" s="16">
        <f t="shared" si="142"/>
        <v>0</v>
      </c>
      <c r="GL121" s="16">
        <f t="shared" si="142"/>
        <v>0</v>
      </c>
      <c r="GM121" s="16">
        <f t="shared" si="142"/>
        <v>0</v>
      </c>
      <c r="GN121" s="16">
        <f t="shared" si="142"/>
        <v>0</v>
      </c>
      <c r="GO121" s="16">
        <f t="shared" si="142"/>
        <v>0</v>
      </c>
      <c r="GP121" s="16">
        <f t="shared" si="142"/>
        <v>0</v>
      </c>
      <c r="GS121" s="9">
        <f t="shared" si="119"/>
        <v>10</v>
      </c>
      <c r="GT121" s="16">
        <f t="shared" ref="GT121:HC131" si="143">IF(GT$110=$I121,GT$108*HLOOKUP($I121,$I$27:$AD$45,GT$107,0)+1,IF(GT$110-$I121=1,GT$108*HLOOKUP($I121,$I$7:$AD$25,GT$107,0),IF(GT$110-$I121=-1,GT$108*HLOOKUP($I121,$I$47:$AD$65,GT$107,0),0)))</f>
        <v>0</v>
      </c>
      <c r="GU121" s="16">
        <f t="shared" si="143"/>
        <v>0</v>
      </c>
      <c r="GV121" s="16">
        <f t="shared" si="143"/>
        <v>0</v>
      </c>
      <c r="GW121" s="16">
        <f t="shared" si="143"/>
        <v>0</v>
      </c>
      <c r="GX121" s="16">
        <f t="shared" si="143"/>
        <v>0</v>
      </c>
      <c r="GY121" s="16">
        <f t="shared" si="143"/>
        <v>0</v>
      </c>
      <c r="GZ121" s="16">
        <f t="shared" si="143"/>
        <v>0</v>
      </c>
      <c r="HA121" s="16">
        <f t="shared" si="143"/>
        <v>0</v>
      </c>
      <c r="HB121" s="16">
        <f t="shared" si="143"/>
        <v>0</v>
      </c>
      <c r="HC121" s="16">
        <f t="shared" si="143"/>
        <v>-1.8229358020718255E-2</v>
      </c>
      <c r="HD121" s="16">
        <f t="shared" ref="HD121:HN131" si="144">IF(HD$110=$I121,HD$108*HLOOKUP($I121,$I$27:$AD$45,HD$107,0)+1,IF(HD$110-$I121=1,HD$108*HLOOKUP($I121,$I$7:$AD$25,HD$107,0),IF(HD$110-$I121=-1,HD$108*HLOOKUP($I121,$I$47:$AD$65,HD$107,0),0)))</f>
        <v>1.0364587160414365</v>
      </c>
      <c r="HE121" s="16">
        <f t="shared" si="144"/>
        <v>-1.8229358020718255E-2</v>
      </c>
      <c r="HF121" s="16">
        <f t="shared" si="144"/>
        <v>0</v>
      </c>
      <c r="HG121" s="16">
        <f t="shared" si="144"/>
        <v>0</v>
      </c>
      <c r="HH121" s="16">
        <f t="shared" si="144"/>
        <v>0</v>
      </c>
      <c r="HI121" s="16">
        <f t="shared" si="144"/>
        <v>0</v>
      </c>
      <c r="HJ121" s="16">
        <f t="shared" si="144"/>
        <v>0</v>
      </c>
      <c r="HK121" s="16">
        <f t="shared" si="144"/>
        <v>0</v>
      </c>
      <c r="HL121" s="16">
        <f t="shared" si="144"/>
        <v>0</v>
      </c>
      <c r="HM121" s="16">
        <f t="shared" si="144"/>
        <v>0</v>
      </c>
      <c r="HN121" s="16">
        <f t="shared" si="144"/>
        <v>0</v>
      </c>
      <c r="HQ121" s="9">
        <f t="shared" si="120"/>
        <v>10</v>
      </c>
      <c r="HR121" s="16">
        <f t="shared" ref="HR121:IA131" si="145">IF(HR$110=$I121,HR$108*HLOOKUP($I121,$I$27:$AD$45,HR$107,0)+1,IF(HR$110-$I121=1,HR$108*HLOOKUP($I121,$I$7:$AD$25,HR$107,0),IF(HR$110-$I121=-1,HR$108*HLOOKUP($I121,$I$47:$AD$65,HR$107,0),0)))</f>
        <v>0</v>
      </c>
      <c r="HS121" s="16">
        <f t="shared" si="145"/>
        <v>0</v>
      </c>
      <c r="HT121" s="16">
        <f t="shared" si="145"/>
        <v>0</v>
      </c>
      <c r="HU121" s="16">
        <f t="shared" si="145"/>
        <v>0</v>
      </c>
      <c r="HV121" s="16">
        <f t="shared" si="145"/>
        <v>0</v>
      </c>
      <c r="HW121" s="16">
        <f t="shared" si="145"/>
        <v>0</v>
      </c>
      <c r="HX121" s="16">
        <f t="shared" si="145"/>
        <v>0</v>
      </c>
      <c r="HY121" s="16">
        <f t="shared" si="145"/>
        <v>0</v>
      </c>
      <c r="HZ121" s="16">
        <f t="shared" si="145"/>
        <v>0</v>
      </c>
      <c r="IA121" s="16">
        <f t="shared" si="145"/>
        <v>-0.1201238394837085</v>
      </c>
      <c r="IB121" s="16">
        <f t="shared" ref="IB121:IL131" si="146">IF(IB$110=$I121,IB$108*HLOOKUP($I121,$I$27:$AD$45,IB$107,0)+1,IF(IB$110-$I121=1,IB$108*HLOOKUP($I121,$I$7:$AD$25,IB$107,0),IF(IB$110-$I121=-1,IB$108*HLOOKUP($I121,$I$47:$AD$65,IB$107,0),0)))</f>
        <v>1.2402476789674171</v>
      </c>
      <c r="IC121" s="16">
        <f t="shared" si="146"/>
        <v>-0.1201238394837085</v>
      </c>
      <c r="ID121" s="16">
        <f t="shared" si="146"/>
        <v>0</v>
      </c>
      <c r="IE121" s="16">
        <f t="shared" si="146"/>
        <v>0</v>
      </c>
      <c r="IF121" s="16">
        <f t="shared" si="146"/>
        <v>0</v>
      </c>
      <c r="IG121" s="16">
        <f t="shared" si="146"/>
        <v>0</v>
      </c>
      <c r="IH121" s="16">
        <f t="shared" si="146"/>
        <v>0</v>
      </c>
      <c r="II121" s="16">
        <f t="shared" si="146"/>
        <v>0</v>
      </c>
      <c r="IJ121" s="16">
        <f t="shared" si="146"/>
        <v>0</v>
      </c>
      <c r="IK121" s="16">
        <f t="shared" si="146"/>
        <v>0</v>
      </c>
      <c r="IL121" s="16">
        <f t="shared" si="146"/>
        <v>0</v>
      </c>
      <c r="IO121" s="9">
        <f t="shared" si="121"/>
        <v>10</v>
      </c>
      <c r="IP121" s="16">
        <f t="shared" ref="IP121:IY131" si="147">IF(IP$110=$I121,IP$108*HLOOKUP($I121,$I$27:$AD$45,IP$107,0)+1,IF(IP$110-$I121=1,IP$108*HLOOKUP($I121,$I$7:$AD$25,IP$107,0),IF(IP$110-$I121=-1,IP$108*HLOOKUP($I121,$I$47:$AD$65,IP$107,0),0)))</f>
        <v>0</v>
      </c>
      <c r="IQ121" s="16">
        <f t="shared" si="147"/>
        <v>0</v>
      </c>
      <c r="IR121" s="16">
        <f t="shared" si="147"/>
        <v>0</v>
      </c>
      <c r="IS121" s="16">
        <f t="shared" si="147"/>
        <v>0</v>
      </c>
      <c r="IT121" s="16">
        <f t="shared" si="147"/>
        <v>0</v>
      </c>
      <c r="IU121" s="16">
        <f t="shared" si="147"/>
        <v>0</v>
      </c>
      <c r="IV121" s="16">
        <f t="shared" si="147"/>
        <v>0</v>
      </c>
      <c r="IW121" s="16">
        <f t="shared" si="147"/>
        <v>0</v>
      </c>
      <c r="IX121" s="16">
        <f t="shared" si="147"/>
        <v>0</v>
      </c>
      <c r="IY121" s="16">
        <f t="shared" si="147"/>
        <v>-1.8234298226143822E-2</v>
      </c>
      <c r="IZ121" s="16">
        <f t="shared" ref="IZ121:JJ131" si="148">IF(IZ$110=$I121,IZ$108*HLOOKUP($I121,$I$27:$AD$45,IZ$107,0)+1,IF(IZ$110-$I121=1,IZ$108*HLOOKUP($I121,$I$7:$AD$25,IZ$107,0),IF(IZ$110-$I121=-1,IZ$108*HLOOKUP($I121,$I$47:$AD$65,IZ$107,0),0)))</f>
        <v>1.0364685964522877</v>
      </c>
      <c r="JA121" s="16">
        <f t="shared" si="148"/>
        <v>-1.8234298226143822E-2</v>
      </c>
      <c r="JB121" s="16">
        <f t="shared" si="148"/>
        <v>0</v>
      </c>
      <c r="JC121" s="16">
        <f t="shared" si="148"/>
        <v>0</v>
      </c>
      <c r="JD121" s="16">
        <f t="shared" si="148"/>
        <v>0</v>
      </c>
      <c r="JE121" s="16">
        <f t="shared" si="148"/>
        <v>0</v>
      </c>
      <c r="JF121" s="16">
        <f t="shared" si="148"/>
        <v>0</v>
      </c>
      <c r="JG121" s="16">
        <f t="shared" si="148"/>
        <v>0</v>
      </c>
      <c r="JH121" s="16">
        <f t="shared" si="148"/>
        <v>0</v>
      </c>
      <c r="JI121" s="16">
        <f t="shared" si="148"/>
        <v>0</v>
      </c>
      <c r="JJ121" s="16">
        <f t="shared" si="148"/>
        <v>0</v>
      </c>
      <c r="JM121" s="9">
        <f t="shared" si="122"/>
        <v>10</v>
      </c>
      <c r="JN121" s="16">
        <f t="shared" ref="JN121:JW131" si="149">IF(JN$110=$I121,JN$108*HLOOKUP($I121,$I$27:$AD$45,JN$107,0)+1,IF(JN$110-$I121=1,JN$108*HLOOKUP($I121,$I$7:$AD$25,JN$107,0),IF(JN$110-$I121=-1,JN$108*HLOOKUP($I121,$I$47:$AD$65,JN$107,0),0)))</f>
        <v>0</v>
      </c>
      <c r="JO121" s="16">
        <f t="shared" si="149"/>
        <v>0</v>
      </c>
      <c r="JP121" s="16">
        <f t="shared" si="149"/>
        <v>0</v>
      </c>
      <c r="JQ121" s="16">
        <f t="shared" si="149"/>
        <v>0</v>
      </c>
      <c r="JR121" s="16">
        <f t="shared" si="149"/>
        <v>0</v>
      </c>
      <c r="JS121" s="16">
        <f t="shared" si="149"/>
        <v>0</v>
      </c>
      <c r="JT121" s="16">
        <f t="shared" si="149"/>
        <v>0</v>
      </c>
      <c r="JU121" s="16">
        <f t="shared" si="149"/>
        <v>0</v>
      </c>
      <c r="JV121" s="16">
        <f t="shared" si="149"/>
        <v>0</v>
      </c>
      <c r="JW121" s="16">
        <f t="shared" si="149"/>
        <v>-0.12012164383685271</v>
      </c>
      <c r="JX121" s="16">
        <f t="shared" ref="JX121:KH131" si="150">IF(JX$110=$I121,JX$108*HLOOKUP($I121,$I$27:$AD$45,JX$107,0)+1,IF(JX$110-$I121=1,JX$108*HLOOKUP($I121,$I$7:$AD$25,JX$107,0),IF(JX$110-$I121=-1,JX$108*HLOOKUP($I121,$I$47:$AD$65,JX$107,0),0)))</f>
        <v>1.2402432876737055</v>
      </c>
      <c r="JY121" s="16">
        <f t="shared" si="150"/>
        <v>-0.12012164383685271</v>
      </c>
      <c r="JZ121" s="16">
        <f t="shared" si="150"/>
        <v>0</v>
      </c>
      <c r="KA121" s="16">
        <f t="shared" si="150"/>
        <v>0</v>
      </c>
      <c r="KB121" s="16">
        <f t="shared" si="150"/>
        <v>0</v>
      </c>
      <c r="KC121" s="16">
        <f t="shared" si="150"/>
        <v>0</v>
      </c>
      <c r="KD121" s="16">
        <f t="shared" si="150"/>
        <v>0</v>
      </c>
      <c r="KE121" s="16">
        <f t="shared" si="150"/>
        <v>0</v>
      </c>
      <c r="KF121" s="16">
        <f t="shared" si="150"/>
        <v>0</v>
      </c>
      <c r="KG121" s="16">
        <f t="shared" si="150"/>
        <v>0</v>
      </c>
      <c r="KH121" s="16">
        <f t="shared" si="150"/>
        <v>0</v>
      </c>
      <c r="KK121" s="9">
        <f t="shared" si="123"/>
        <v>10</v>
      </c>
      <c r="KL121" s="16">
        <f t="shared" ref="KL121:KU131" si="151">IF(KL$110=$I121,KL$108*HLOOKUP($I121,$I$27:$AD$45,KL$107,0)+1,IF(KL$110-$I121=1,KL$108*HLOOKUP($I121,$I$7:$AD$25,KL$107,0),IF(KL$110-$I121=-1,KL$108*HLOOKUP($I121,$I$47:$AD$65,KL$107,0),0)))</f>
        <v>0</v>
      </c>
      <c r="KM121" s="16">
        <f t="shared" si="151"/>
        <v>0</v>
      </c>
      <c r="KN121" s="16">
        <f t="shared" si="151"/>
        <v>0</v>
      </c>
      <c r="KO121" s="16">
        <f t="shared" si="151"/>
        <v>0</v>
      </c>
      <c r="KP121" s="16">
        <f t="shared" si="151"/>
        <v>0</v>
      </c>
      <c r="KQ121" s="16">
        <f t="shared" si="151"/>
        <v>0</v>
      </c>
      <c r="KR121" s="16">
        <f t="shared" si="151"/>
        <v>0</v>
      </c>
      <c r="KS121" s="16">
        <f t="shared" si="151"/>
        <v>0</v>
      </c>
      <c r="KT121" s="16">
        <f t="shared" si="151"/>
        <v>0</v>
      </c>
      <c r="KU121" s="16">
        <f t="shared" si="151"/>
        <v>-1.5226810945339396E-2</v>
      </c>
      <c r="KV121" s="16">
        <f t="shared" ref="KV121:LF131" si="152">IF(KV$110=$I121,KV$108*HLOOKUP($I121,$I$27:$AD$45,KV$107,0)+1,IF(KV$110-$I121=1,KV$108*HLOOKUP($I121,$I$7:$AD$25,KV$107,0),IF(KV$110-$I121=-1,KV$108*HLOOKUP($I121,$I$47:$AD$65,KV$107,0),0)))</f>
        <v>1.0304536218906788</v>
      </c>
      <c r="KW121" s="16">
        <f t="shared" si="152"/>
        <v>-1.5226810945339396E-2</v>
      </c>
      <c r="KX121" s="16">
        <f t="shared" si="152"/>
        <v>0</v>
      </c>
      <c r="KY121" s="16">
        <f t="shared" si="152"/>
        <v>0</v>
      </c>
      <c r="KZ121" s="16">
        <f t="shared" si="152"/>
        <v>0</v>
      </c>
      <c r="LA121" s="16">
        <f t="shared" si="152"/>
        <v>0</v>
      </c>
      <c r="LB121" s="16">
        <f t="shared" si="152"/>
        <v>0</v>
      </c>
      <c r="LC121" s="16">
        <f t="shared" si="152"/>
        <v>0</v>
      </c>
      <c r="LD121" s="16">
        <f t="shared" si="152"/>
        <v>0</v>
      </c>
      <c r="LE121" s="16">
        <f t="shared" si="152"/>
        <v>0</v>
      </c>
      <c r="LF121" s="16">
        <f t="shared" si="152"/>
        <v>0</v>
      </c>
      <c r="LI121" s="9">
        <f t="shared" si="124"/>
        <v>10</v>
      </c>
      <c r="LJ121" s="16">
        <f t="shared" ref="LJ121:LS131" si="153">IF(LJ$110=$I121,LJ$108*HLOOKUP($I121,$I$27:$AD$45,LJ$107,0)+1,IF(LJ$110-$I121=1,LJ$108*HLOOKUP($I121,$I$7:$AD$25,LJ$107,0),IF(LJ$110-$I121=-1,LJ$108*HLOOKUP($I121,$I$47:$AD$65,LJ$107,0),0)))</f>
        <v>0</v>
      </c>
      <c r="LK121" s="16">
        <f t="shared" si="153"/>
        <v>0</v>
      </c>
      <c r="LL121" s="16">
        <f t="shared" si="153"/>
        <v>0</v>
      </c>
      <c r="LM121" s="16">
        <f t="shared" si="153"/>
        <v>0</v>
      </c>
      <c r="LN121" s="16">
        <f t="shared" si="153"/>
        <v>0</v>
      </c>
      <c r="LO121" s="16">
        <f t="shared" si="153"/>
        <v>0</v>
      </c>
      <c r="LP121" s="16">
        <f t="shared" si="153"/>
        <v>0</v>
      </c>
      <c r="LQ121" s="16">
        <f t="shared" si="153"/>
        <v>0</v>
      </c>
      <c r="LR121" s="16">
        <f t="shared" si="153"/>
        <v>0</v>
      </c>
      <c r="LS121" s="16">
        <f t="shared" si="153"/>
        <v>-0.12012109492513873</v>
      </c>
      <c r="LT121" s="16">
        <f t="shared" ref="LT121:MD131" si="154">IF(LT$110=$I121,LT$108*HLOOKUP($I121,$I$27:$AD$45,LT$107,0)+1,IF(LT$110-$I121=1,LT$108*HLOOKUP($I121,$I$7:$AD$25,LT$107,0),IF(LT$110-$I121=-1,LT$108*HLOOKUP($I121,$I$47:$AD$65,LT$107,0),0)))</f>
        <v>1.2402421898502776</v>
      </c>
      <c r="LU121" s="16">
        <f t="shared" si="154"/>
        <v>-0.12012109492513873</v>
      </c>
      <c r="LV121" s="16">
        <f t="shared" si="154"/>
        <v>0</v>
      </c>
      <c r="LW121" s="16">
        <f t="shared" si="154"/>
        <v>0</v>
      </c>
      <c r="LX121" s="16">
        <f t="shared" si="154"/>
        <v>0</v>
      </c>
      <c r="LY121" s="16">
        <f t="shared" si="154"/>
        <v>0</v>
      </c>
      <c r="LZ121" s="16">
        <f t="shared" si="154"/>
        <v>0</v>
      </c>
      <c r="MA121" s="16">
        <f t="shared" si="154"/>
        <v>0</v>
      </c>
      <c r="MB121" s="16">
        <f t="shared" si="154"/>
        <v>0</v>
      </c>
      <c r="MC121" s="16">
        <f t="shared" si="154"/>
        <v>0</v>
      </c>
      <c r="MD121" s="16">
        <f t="shared" si="154"/>
        <v>0</v>
      </c>
      <c r="MG121" s="9">
        <f t="shared" si="125"/>
        <v>10</v>
      </c>
      <c r="MH121" s="16">
        <f t="shared" ref="MH121:MQ131" si="155">IF(MH$110=$I121,MH$108*HLOOKUP($I121,$I$27:$AD$45,MH$107,0)+1,IF(MH$110-$I121=1,MH$108*HLOOKUP($I121,$I$7:$AD$25,MH$107,0),IF(MH$110-$I121=-1,MH$108*HLOOKUP($I121,$I$47:$AD$65,MH$107,0),0)))</f>
        <v>0</v>
      </c>
      <c r="MI121" s="16">
        <f t="shared" si="155"/>
        <v>0</v>
      </c>
      <c r="MJ121" s="16">
        <f t="shared" si="155"/>
        <v>0</v>
      </c>
      <c r="MK121" s="16">
        <f t="shared" si="155"/>
        <v>0</v>
      </c>
      <c r="ML121" s="16">
        <f t="shared" si="155"/>
        <v>0</v>
      </c>
      <c r="MM121" s="16">
        <f t="shared" si="155"/>
        <v>0</v>
      </c>
      <c r="MN121" s="16">
        <f t="shared" si="155"/>
        <v>0</v>
      </c>
      <c r="MO121" s="16">
        <f t="shared" si="155"/>
        <v>0</v>
      </c>
      <c r="MP121" s="16">
        <f t="shared" si="155"/>
        <v>0</v>
      </c>
      <c r="MQ121" s="16">
        <f t="shared" si="155"/>
        <v>-1.6730829041598599E-2</v>
      </c>
      <c r="MR121" s="16">
        <f t="shared" ref="MR121:NB131" si="156">IF(MR$110=$I121,MR$108*HLOOKUP($I121,$I$27:$AD$45,MR$107,0)+1,IF(MR$110-$I121=1,MR$108*HLOOKUP($I121,$I$7:$AD$25,MR$107,0),IF(MR$110-$I121=-1,MR$108*HLOOKUP($I121,$I$47:$AD$65,MR$107,0),0)))</f>
        <v>1.0334616580831972</v>
      </c>
      <c r="MS121" s="16">
        <f t="shared" si="156"/>
        <v>-1.6730829041598599E-2</v>
      </c>
      <c r="MT121" s="16">
        <f t="shared" si="156"/>
        <v>0</v>
      </c>
      <c r="MU121" s="16">
        <f t="shared" si="156"/>
        <v>0</v>
      </c>
      <c r="MV121" s="16">
        <f t="shared" si="156"/>
        <v>0</v>
      </c>
      <c r="MW121" s="16">
        <f t="shared" si="156"/>
        <v>0</v>
      </c>
      <c r="MX121" s="16">
        <f t="shared" si="156"/>
        <v>0</v>
      </c>
      <c r="MY121" s="16">
        <f t="shared" si="156"/>
        <v>0</v>
      </c>
      <c r="MZ121" s="16">
        <f t="shared" si="156"/>
        <v>0</v>
      </c>
      <c r="NA121" s="16">
        <f t="shared" si="156"/>
        <v>0</v>
      </c>
      <c r="NB121" s="16">
        <f t="shared" si="156"/>
        <v>0</v>
      </c>
      <c r="NE121" s="9">
        <f t="shared" si="126"/>
        <v>10</v>
      </c>
      <c r="NF121" s="16">
        <f t="shared" ref="NF121:NO131" si="157">IF(NF$110=$I121,NF$108*HLOOKUP($I121,$I$27:$AD$45,NF$107,0)+1,IF(NF$110-$I121=1,NF$108*HLOOKUP($I121,$I$7:$AD$25,NF$107,0),IF(NF$110-$I121=-1,NF$108*HLOOKUP($I121,$I$47:$AD$65,NF$107,0),0)))</f>
        <v>0</v>
      </c>
      <c r="NG121" s="16">
        <f t="shared" si="157"/>
        <v>0</v>
      </c>
      <c r="NH121" s="16">
        <f t="shared" si="157"/>
        <v>0</v>
      </c>
      <c r="NI121" s="16">
        <f t="shared" si="157"/>
        <v>0</v>
      </c>
      <c r="NJ121" s="16">
        <f t="shared" si="157"/>
        <v>0</v>
      </c>
      <c r="NK121" s="16">
        <f t="shared" si="157"/>
        <v>0</v>
      </c>
      <c r="NL121" s="16">
        <f t="shared" si="157"/>
        <v>0</v>
      </c>
      <c r="NM121" s="16">
        <f t="shared" si="157"/>
        <v>0</v>
      </c>
      <c r="NN121" s="16">
        <f t="shared" si="157"/>
        <v>0</v>
      </c>
      <c r="NO121" s="16">
        <f t="shared" si="157"/>
        <v>-0.12012109492513873</v>
      </c>
      <c r="NP121" s="16">
        <f t="shared" ref="NP121:NZ131" si="158">IF(NP$110=$I121,NP$108*HLOOKUP($I121,$I$27:$AD$45,NP$107,0)+1,IF(NP$110-$I121=1,NP$108*HLOOKUP($I121,$I$7:$AD$25,NP$107,0),IF(NP$110-$I121=-1,NP$108*HLOOKUP($I121,$I$47:$AD$65,NP$107,0),0)))</f>
        <v>1.2402421898502776</v>
      </c>
      <c r="NQ121" s="16">
        <f t="shared" si="158"/>
        <v>-0.12012109492513873</v>
      </c>
      <c r="NR121" s="16">
        <f t="shared" si="158"/>
        <v>0</v>
      </c>
      <c r="NS121" s="16">
        <f t="shared" si="158"/>
        <v>0</v>
      </c>
      <c r="NT121" s="16">
        <f t="shared" si="158"/>
        <v>0</v>
      </c>
      <c r="NU121" s="16">
        <f t="shared" si="158"/>
        <v>0</v>
      </c>
      <c r="NV121" s="16">
        <f t="shared" si="158"/>
        <v>0</v>
      </c>
      <c r="NW121" s="16">
        <f t="shared" si="158"/>
        <v>0</v>
      </c>
      <c r="NX121" s="16">
        <f t="shared" si="158"/>
        <v>0</v>
      </c>
      <c r="NY121" s="16">
        <f t="shared" si="158"/>
        <v>0</v>
      </c>
      <c r="NZ121" s="16">
        <f t="shared" si="158"/>
        <v>0</v>
      </c>
      <c r="OC121" s="9">
        <f t="shared" si="127"/>
        <v>10</v>
      </c>
      <c r="OD121" s="16">
        <f t="shared" ref="OD121:OM131" si="159">IF(OD$110=$I121,OD$108*HLOOKUP($I121,$I$27:$AD$45,OD$107,0)+1,IF(OD$110-$I121=1,OD$108*HLOOKUP($I121,$I$7:$AD$25,OD$107,0),IF(OD$110-$I121=-1,OD$108*HLOOKUP($I121,$I$47:$AD$65,OD$107,0),0)))</f>
        <v>0</v>
      </c>
      <c r="OE121" s="16">
        <f t="shared" si="159"/>
        <v>0</v>
      </c>
      <c r="OF121" s="16">
        <f t="shared" si="159"/>
        <v>0</v>
      </c>
      <c r="OG121" s="16">
        <f t="shared" si="159"/>
        <v>0</v>
      </c>
      <c r="OH121" s="16">
        <f t="shared" si="159"/>
        <v>0</v>
      </c>
      <c r="OI121" s="16">
        <f t="shared" si="159"/>
        <v>0</v>
      </c>
      <c r="OJ121" s="16">
        <f t="shared" si="159"/>
        <v>0</v>
      </c>
      <c r="OK121" s="16">
        <f t="shared" si="159"/>
        <v>0</v>
      </c>
      <c r="OL121" s="16">
        <f t="shared" si="159"/>
        <v>0</v>
      </c>
      <c r="OM121" s="16">
        <f t="shared" si="159"/>
        <v>-1.8234298226143808E-2</v>
      </c>
      <c r="ON121" s="16">
        <f t="shared" ref="ON121:OX131" si="160">IF(ON$110=$I121,ON$108*HLOOKUP($I121,$I$27:$AD$45,ON$107,0)+1,IF(ON$110-$I121=1,ON$108*HLOOKUP($I121,$I$7:$AD$25,ON$107,0),IF(ON$110-$I121=-1,ON$108*HLOOKUP($I121,$I$47:$AD$65,ON$107,0),0)))</f>
        <v>1.0364685964522877</v>
      </c>
      <c r="OO121" s="16">
        <f t="shared" si="160"/>
        <v>-1.8234298226143808E-2</v>
      </c>
      <c r="OP121" s="16">
        <f t="shared" si="160"/>
        <v>0</v>
      </c>
      <c r="OQ121" s="16">
        <f t="shared" si="160"/>
        <v>0</v>
      </c>
      <c r="OR121" s="16">
        <f t="shared" si="160"/>
        <v>0</v>
      </c>
      <c r="OS121" s="16">
        <f t="shared" si="160"/>
        <v>0</v>
      </c>
      <c r="OT121" s="16">
        <f t="shared" si="160"/>
        <v>0</v>
      </c>
      <c r="OU121" s="16">
        <f t="shared" si="160"/>
        <v>0</v>
      </c>
      <c r="OV121" s="16">
        <f t="shared" si="160"/>
        <v>0</v>
      </c>
      <c r="OW121" s="16">
        <f t="shared" si="160"/>
        <v>0</v>
      </c>
      <c r="OX121" s="16">
        <f t="shared" si="160"/>
        <v>0</v>
      </c>
      <c r="PA121" s="9">
        <f t="shared" si="128"/>
        <v>10</v>
      </c>
      <c r="PB121" s="16">
        <f t="shared" ref="PB121:PK131" si="161">IF(PB$110=$I121,PB$108*HLOOKUP($I121,$I$27:$AD$45,PB$107,0)+1,IF(PB$110-$I121=1,PB$108*HLOOKUP($I121,$I$7:$AD$25,PB$107,0),IF(PB$110-$I121=-1,PB$108*HLOOKUP($I121,$I$47:$AD$65,PB$107,0),0)))</f>
        <v>0</v>
      </c>
      <c r="PC121" s="16">
        <f t="shared" si="161"/>
        <v>0</v>
      </c>
      <c r="PD121" s="16">
        <f t="shared" si="161"/>
        <v>0</v>
      </c>
      <c r="PE121" s="16">
        <f t="shared" si="161"/>
        <v>0</v>
      </c>
      <c r="PF121" s="16">
        <f t="shared" si="161"/>
        <v>0</v>
      </c>
      <c r="PG121" s="16">
        <f t="shared" si="161"/>
        <v>0</v>
      </c>
      <c r="PH121" s="16">
        <f t="shared" si="161"/>
        <v>0</v>
      </c>
      <c r="PI121" s="16">
        <f t="shared" si="161"/>
        <v>0</v>
      </c>
      <c r="PJ121" s="16">
        <f t="shared" si="161"/>
        <v>0</v>
      </c>
      <c r="PK121" s="16">
        <f t="shared" si="161"/>
        <v>-0.12011615471971306</v>
      </c>
      <c r="PL121" s="16">
        <f t="shared" ref="PL121:PV131" si="162">IF(PL$110=$I121,PL$108*HLOOKUP($I121,$I$27:$AD$45,PL$107,0)+1,IF(PL$110-$I121=1,PL$108*HLOOKUP($I121,$I$7:$AD$25,PL$107,0),IF(PL$110-$I121=-1,PL$108*HLOOKUP($I121,$I$47:$AD$65,PL$107,0),0)))</f>
        <v>1.2402323094394261</v>
      </c>
      <c r="PM121" s="16">
        <f t="shared" si="162"/>
        <v>-0.12011615471971306</v>
      </c>
      <c r="PN121" s="16">
        <f t="shared" si="162"/>
        <v>0</v>
      </c>
      <c r="PO121" s="16">
        <f t="shared" si="162"/>
        <v>0</v>
      </c>
      <c r="PP121" s="16">
        <f t="shared" si="162"/>
        <v>0</v>
      </c>
      <c r="PQ121" s="16">
        <f t="shared" si="162"/>
        <v>0</v>
      </c>
      <c r="PR121" s="16">
        <f t="shared" si="162"/>
        <v>0</v>
      </c>
      <c r="PS121" s="16">
        <f t="shared" si="162"/>
        <v>0</v>
      </c>
      <c r="PT121" s="16">
        <f t="shared" si="162"/>
        <v>0</v>
      </c>
      <c r="PU121" s="16">
        <f t="shared" si="162"/>
        <v>0</v>
      </c>
      <c r="PV121" s="16">
        <f t="shared" si="162"/>
        <v>0</v>
      </c>
    </row>
    <row r="122" spans="3:438" x14ac:dyDescent="0.25">
      <c r="C122" s="1"/>
      <c r="D122" s="1"/>
      <c r="F122" s="1"/>
      <c r="H122" s="1"/>
      <c r="I122" s="9">
        <f t="shared" si="111"/>
        <v>9</v>
      </c>
      <c r="J122" s="16">
        <f t="shared" si="110"/>
        <v>0</v>
      </c>
      <c r="K122" s="16">
        <f t="shared" si="75"/>
        <v>0</v>
      </c>
      <c r="L122" s="16">
        <f t="shared" si="75"/>
        <v>0</v>
      </c>
      <c r="M122" s="16">
        <f t="shared" si="75"/>
        <v>0</v>
      </c>
      <c r="N122" s="16">
        <f t="shared" si="75"/>
        <v>0</v>
      </c>
      <c r="O122" s="16">
        <f t="shared" si="75"/>
        <v>0</v>
      </c>
      <c r="P122" s="16">
        <f t="shared" si="75"/>
        <v>0</v>
      </c>
      <c r="Q122" s="16">
        <f t="shared" si="75"/>
        <v>0</v>
      </c>
      <c r="R122" s="16">
        <f t="shared" si="75"/>
        <v>0</v>
      </c>
      <c r="S122" s="16">
        <f t="shared" si="75"/>
        <v>0</v>
      </c>
      <c r="T122" s="16">
        <f t="shared" si="75"/>
        <v>-1.4555140091839109E-2</v>
      </c>
      <c r="U122" s="16">
        <f t="shared" si="75"/>
        <v>1.0290717110063283</v>
      </c>
      <c r="V122" s="16">
        <f t="shared" si="75"/>
        <v>-1.4459290091839112E-2</v>
      </c>
      <c r="W122" s="16">
        <f t="shared" si="75"/>
        <v>0</v>
      </c>
      <c r="X122" s="16">
        <f t="shared" si="75"/>
        <v>0</v>
      </c>
      <c r="Y122" s="16">
        <f t="shared" si="75"/>
        <v>0</v>
      </c>
      <c r="Z122" s="16">
        <f t="shared" si="75"/>
        <v>0</v>
      </c>
      <c r="AA122" s="16">
        <f t="shared" si="75"/>
        <v>0</v>
      </c>
      <c r="AB122" s="16">
        <f t="shared" si="75"/>
        <v>0</v>
      </c>
      <c r="AC122" s="16">
        <f t="shared" si="75"/>
        <v>0</v>
      </c>
      <c r="AD122" s="16">
        <f t="shared" si="75"/>
        <v>0</v>
      </c>
      <c r="AE122" s="1"/>
      <c r="AF122" s="1"/>
      <c r="AG122" s="9">
        <f t="shared" si="112"/>
        <v>9</v>
      </c>
      <c r="AH122" s="16">
        <f t="shared" si="129"/>
        <v>0</v>
      </c>
      <c r="AI122" s="16">
        <f t="shared" si="129"/>
        <v>0</v>
      </c>
      <c r="AJ122" s="16">
        <f t="shared" si="129"/>
        <v>0</v>
      </c>
      <c r="AK122" s="16">
        <f t="shared" si="129"/>
        <v>0</v>
      </c>
      <c r="AL122" s="16">
        <f t="shared" si="129"/>
        <v>0</v>
      </c>
      <c r="AM122" s="16">
        <f t="shared" si="129"/>
        <v>0</v>
      </c>
      <c r="AN122" s="16">
        <f t="shared" si="129"/>
        <v>0</v>
      </c>
      <c r="AO122" s="16">
        <f t="shared" si="129"/>
        <v>0</v>
      </c>
      <c r="AP122" s="16">
        <f t="shared" si="129"/>
        <v>0</v>
      </c>
      <c r="AQ122" s="16">
        <f t="shared" si="129"/>
        <v>0</v>
      </c>
      <c r="AR122" s="16">
        <f t="shared" si="130"/>
        <v>-0.11650186206008382</v>
      </c>
      <c r="AS122" s="16">
        <f t="shared" si="130"/>
        <v>1.2326950097449676</v>
      </c>
      <c r="AT122" s="16">
        <f t="shared" si="130"/>
        <v>-0.11573466206008384</v>
      </c>
      <c r="AU122" s="16">
        <f t="shared" si="130"/>
        <v>0</v>
      </c>
      <c r="AV122" s="16">
        <f t="shared" si="130"/>
        <v>0</v>
      </c>
      <c r="AW122" s="16">
        <f t="shared" si="130"/>
        <v>0</v>
      </c>
      <c r="AX122" s="16">
        <f t="shared" si="130"/>
        <v>0</v>
      </c>
      <c r="AY122" s="16">
        <f t="shared" si="130"/>
        <v>0</v>
      </c>
      <c r="AZ122" s="16">
        <f t="shared" si="130"/>
        <v>0</v>
      </c>
      <c r="BA122" s="16">
        <f t="shared" si="130"/>
        <v>0</v>
      </c>
      <c r="BB122" s="16">
        <f t="shared" si="130"/>
        <v>0</v>
      </c>
      <c r="BE122" s="9">
        <f t="shared" si="113"/>
        <v>9</v>
      </c>
      <c r="BF122" s="16">
        <f t="shared" si="131"/>
        <v>0</v>
      </c>
      <c r="BG122" s="16">
        <f t="shared" si="131"/>
        <v>0</v>
      </c>
      <c r="BH122" s="16">
        <f t="shared" si="131"/>
        <v>0</v>
      </c>
      <c r="BI122" s="16">
        <f t="shared" si="131"/>
        <v>0</v>
      </c>
      <c r="BJ122" s="16">
        <f t="shared" si="131"/>
        <v>0</v>
      </c>
      <c r="BK122" s="16">
        <f t="shared" si="131"/>
        <v>0</v>
      </c>
      <c r="BL122" s="16">
        <f t="shared" si="131"/>
        <v>0</v>
      </c>
      <c r="BM122" s="16">
        <f t="shared" si="131"/>
        <v>0</v>
      </c>
      <c r="BN122" s="16">
        <f t="shared" si="131"/>
        <v>0</v>
      </c>
      <c r="BO122" s="16">
        <f t="shared" si="131"/>
        <v>0</v>
      </c>
      <c r="BP122" s="16">
        <f t="shared" si="132"/>
        <v>-0.11648667672874118</v>
      </c>
      <c r="BQ122" s="16">
        <f t="shared" si="132"/>
        <v>1.2326646793213825</v>
      </c>
      <c r="BR122" s="16">
        <f t="shared" si="132"/>
        <v>-0.11571957672874118</v>
      </c>
      <c r="BS122" s="16">
        <f t="shared" si="132"/>
        <v>0</v>
      </c>
      <c r="BT122" s="16">
        <f t="shared" si="132"/>
        <v>0</v>
      </c>
      <c r="BU122" s="16">
        <f t="shared" si="132"/>
        <v>0</v>
      </c>
      <c r="BV122" s="16">
        <f t="shared" si="132"/>
        <v>0</v>
      </c>
      <c r="BW122" s="16">
        <f t="shared" si="132"/>
        <v>0</v>
      </c>
      <c r="BX122" s="16">
        <f t="shared" si="132"/>
        <v>0</v>
      </c>
      <c r="BY122" s="16">
        <f t="shared" si="132"/>
        <v>0</v>
      </c>
      <c r="BZ122" s="16">
        <f t="shared" si="132"/>
        <v>0</v>
      </c>
      <c r="CC122" s="9">
        <f t="shared" si="114"/>
        <v>9</v>
      </c>
      <c r="CD122" s="16">
        <f t="shared" si="133"/>
        <v>0</v>
      </c>
      <c r="CE122" s="16">
        <f t="shared" si="133"/>
        <v>0</v>
      </c>
      <c r="CF122" s="16">
        <f t="shared" si="133"/>
        <v>0</v>
      </c>
      <c r="CG122" s="16">
        <f t="shared" si="133"/>
        <v>0</v>
      </c>
      <c r="CH122" s="16">
        <f t="shared" si="133"/>
        <v>0</v>
      </c>
      <c r="CI122" s="16">
        <f t="shared" si="133"/>
        <v>0</v>
      </c>
      <c r="CJ122" s="16">
        <f t="shared" si="133"/>
        <v>0</v>
      </c>
      <c r="CK122" s="16">
        <f t="shared" si="133"/>
        <v>0</v>
      </c>
      <c r="CL122" s="16">
        <f t="shared" si="133"/>
        <v>0</v>
      </c>
      <c r="CM122" s="16">
        <f t="shared" si="133"/>
        <v>0</v>
      </c>
      <c r="CN122" s="16">
        <f t="shared" si="134"/>
        <v>-0.11648667672874084</v>
      </c>
      <c r="CO122" s="16">
        <f t="shared" si="134"/>
        <v>1.2326646793213816</v>
      </c>
      <c r="CP122" s="16">
        <f t="shared" si="134"/>
        <v>-0.11571957672874085</v>
      </c>
      <c r="CQ122" s="16">
        <f t="shared" si="134"/>
        <v>0</v>
      </c>
      <c r="CR122" s="16">
        <f t="shared" si="134"/>
        <v>0</v>
      </c>
      <c r="CS122" s="16">
        <f t="shared" si="134"/>
        <v>0</v>
      </c>
      <c r="CT122" s="16">
        <f t="shared" si="134"/>
        <v>0</v>
      </c>
      <c r="CU122" s="16">
        <f t="shared" si="134"/>
        <v>0</v>
      </c>
      <c r="CV122" s="16">
        <f t="shared" si="134"/>
        <v>0</v>
      </c>
      <c r="CW122" s="16">
        <f t="shared" si="134"/>
        <v>0</v>
      </c>
      <c r="CX122" s="16">
        <f t="shared" si="134"/>
        <v>0</v>
      </c>
      <c r="DA122" s="9">
        <f t="shared" si="115"/>
        <v>9</v>
      </c>
      <c r="DB122" s="16">
        <f t="shared" si="135"/>
        <v>0</v>
      </c>
      <c r="DC122" s="16">
        <f t="shared" si="135"/>
        <v>0</v>
      </c>
      <c r="DD122" s="16">
        <f t="shared" si="135"/>
        <v>0</v>
      </c>
      <c r="DE122" s="16">
        <f t="shared" si="135"/>
        <v>0</v>
      </c>
      <c r="DF122" s="16">
        <f t="shared" si="135"/>
        <v>0</v>
      </c>
      <c r="DG122" s="16">
        <f t="shared" si="135"/>
        <v>0</v>
      </c>
      <c r="DH122" s="16">
        <f t="shared" si="135"/>
        <v>0</v>
      </c>
      <c r="DI122" s="16">
        <f t="shared" si="135"/>
        <v>0</v>
      </c>
      <c r="DJ122" s="16">
        <f t="shared" si="135"/>
        <v>0</v>
      </c>
      <c r="DK122" s="16">
        <f t="shared" si="135"/>
        <v>0</v>
      </c>
      <c r="DL122" s="16">
        <f t="shared" si="136"/>
        <v>-1.4562732757510605E-2</v>
      </c>
      <c r="DM122" s="16">
        <f t="shared" si="136"/>
        <v>1.0290868762181211</v>
      </c>
      <c r="DN122" s="16">
        <f t="shared" si="136"/>
        <v>-1.4466832757510605E-2</v>
      </c>
      <c r="DO122" s="16">
        <f t="shared" si="136"/>
        <v>0</v>
      </c>
      <c r="DP122" s="16">
        <f t="shared" si="136"/>
        <v>0</v>
      </c>
      <c r="DQ122" s="16">
        <f t="shared" si="136"/>
        <v>0</v>
      </c>
      <c r="DR122" s="16">
        <f t="shared" si="136"/>
        <v>0</v>
      </c>
      <c r="DS122" s="16">
        <f t="shared" si="136"/>
        <v>0</v>
      </c>
      <c r="DT122" s="16">
        <f t="shared" si="136"/>
        <v>0</v>
      </c>
      <c r="DU122" s="16">
        <f t="shared" si="136"/>
        <v>0</v>
      </c>
      <c r="DV122" s="16">
        <f t="shared" si="136"/>
        <v>0</v>
      </c>
      <c r="DY122" s="9">
        <f t="shared" si="116"/>
        <v>9</v>
      </c>
      <c r="DZ122" s="16">
        <f t="shared" si="137"/>
        <v>0</v>
      </c>
      <c r="EA122" s="16">
        <f t="shared" si="137"/>
        <v>0</v>
      </c>
      <c r="EB122" s="16">
        <f t="shared" si="137"/>
        <v>0</v>
      </c>
      <c r="EC122" s="16">
        <f t="shared" si="137"/>
        <v>0</v>
      </c>
      <c r="ED122" s="16">
        <f t="shared" si="137"/>
        <v>0</v>
      </c>
      <c r="EE122" s="16">
        <f t="shared" si="137"/>
        <v>0</v>
      </c>
      <c r="EF122" s="16">
        <f t="shared" si="137"/>
        <v>0</v>
      </c>
      <c r="EG122" s="16">
        <f t="shared" si="137"/>
        <v>0</v>
      </c>
      <c r="EH122" s="16">
        <f t="shared" si="137"/>
        <v>0</v>
      </c>
      <c r="EI122" s="16">
        <f t="shared" si="137"/>
        <v>0</v>
      </c>
      <c r="EJ122" s="16">
        <f t="shared" si="138"/>
        <v>-8.459758515623525E-2</v>
      </c>
      <c r="EK122" s="16">
        <f t="shared" si="138"/>
        <v>1.1688864961763705</v>
      </c>
      <c r="EL122" s="16">
        <f t="shared" si="138"/>
        <v>-8.3830485156235271E-2</v>
      </c>
      <c r="EM122" s="16">
        <f t="shared" si="138"/>
        <v>0</v>
      </c>
      <c r="EN122" s="16">
        <f t="shared" si="138"/>
        <v>0</v>
      </c>
      <c r="EO122" s="16">
        <f t="shared" si="138"/>
        <v>0</v>
      </c>
      <c r="EP122" s="16">
        <f t="shared" si="138"/>
        <v>0</v>
      </c>
      <c r="EQ122" s="16">
        <f t="shared" si="138"/>
        <v>0</v>
      </c>
      <c r="ER122" s="16">
        <f t="shared" si="138"/>
        <v>0</v>
      </c>
      <c r="ES122" s="16">
        <f t="shared" si="138"/>
        <v>0</v>
      </c>
      <c r="ET122" s="16">
        <f t="shared" si="138"/>
        <v>0</v>
      </c>
      <c r="EW122" s="9">
        <f t="shared" si="117"/>
        <v>9</v>
      </c>
      <c r="EX122" s="16">
        <f t="shared" si="139"/>
        <v>0</v>
      </c>
      <c r="EY122" s="16">
        <f t="shared" si="139"/>
        <v>0</v>
      </c>
      <c r="EZ122" s="16">
        <f t="shared" si="139"/>
        <v>0</v>
      </c>
      <c r="FA122" s="16">
        <f t="shared" si="139"/>
        <v>0</v>
      </c>
      <c r="FB122" s="16">
        <f t="shared" si="139"/>
        <v>0</v>
      </c>
      <c r="FC122" s="16">
        <f t="shared" si="139"/>
        <v>0</v>
      </c>
      <c r="FD122" s="16">
        <f t="shared" si="139"/>
        <v>0</v>
      </c>
      <c r="FE122" s="16">
        <f t="shared" si="139"/>
        <v>0</v>
      </c>
      <c r="FF122" s="16">
        <f t="shared" si="139"/>
        <v>0</v>
      </c>
      <c r="FG122" s="16">
        <f t="shared" si="139"/>
        <v>0</v>
      </c>
      <c r="FH122" s="16">
        <f t="shared" si="140"/>
        <v>-8.45975851562355E-2</v>
      </c>
      <c r="FI122" s="16">
        <f t="shared" si="140"/>
        <v>1.168886496176371</v>
      </c>
      <c r="FJ122" s="16">
        <f t="shared" si="140"/>
        <v>-8.3830485156235521E-2</v>
      </c>
      <c r="FK122" s="16">
        <f t="shared" si="140"/>
        <v>0</v>
      </c>
      <c r="FL122" s="16">
        <f t="shared" si="140"/>
        <v>0</v>
      </c>
      <c r="FM122" s="16">
        <f t="shared" si="140"/>
        <v>0</v>
      </c>
      <c r="FN122" s="16">
        <f t="shared" si="140"/>
        <v>0</v>
      </c>
      <c r="FO122" s="16">
        <f t="shared" si="140"/>
        <v>0</v>
      </c>
      <c r="FP122" s="16">
        <f t="shared" si="140"/>
        <v>0</v>
      </c>
      <c r="FQ122" s="16">
        <f t="shared" si="140"/>
        <v>0</v>
      </c>
      <c r="FR122" s="16">
        <f t="shared" si="140"/>
        <v>0</v>
      </c>
      <c r="FU122" s="9">
        <f t="shared" si="118"/>
        <v>9</v>
      </c>
      <c r="FV122" s="16">
        <f t="shared" si="141"/>
        <v>0</v>
      </c>
      <c r="FW122" s="16">
        <f t="shared" si="141"/>
        <v>0</v>
      </c>
      <c r="FX122" s="16">
        <f t="shared" si="141"/>
        <v>0</v>
      </c>
      <c r="FY122" s="16">
        <f t="shared" si="141"/>
        <v>0</v>
      </c>
      <c r="FZ122" s="16">
        <f t="shared" si="141"/>
        <v>0</v>
      </c>
      <c r="GA122" s="16">
        <f t="shared" si="141"/>
        <v>0</v>
      </c>
      <c r="GB122" s="16">
        <f t="shared" si="141"/>
        <v>0</v>
      </c>
      <c r="GC122" s="16">
        <f t="shared" si="141"/>
        <v>0</v>
      </c>
      <c r="GD122" s="16">
        <f t="shared" si="141"/>
        <v>0</v>
      </c>
      <c r="GE122" s="16">
        <f t="shared" si="141"/>
        <v>0</v>
      </c>
      <c r="GF122" s="16">
        <f t="shared" si="142"/>
        <v>-8.4608613390514592E-2</v>
      </c>
      <c r="GG122" s="16">
        <f t="shared" si="142"/>
        <v>1.1689085124058292</v>
      </c>
      <c r="GH122" s="16">
        <f t="shared" si="142"/>
        <v>-8.384141339051461E-2</v>
      </c>
      <c r="GI122" s="16">
        <f t="shared" si="142"/>
        <v>0</v>
      </c>
      <c r="GJ122" s="16">
        <f t="shared" si="142"/>
        <v>0</v>
      </c>
      <c r="GK122" s="16">
        <f t="shared" si="142"/>
        <v>0</v>
      </c>
      <c r="GL122" s="16">
        <f t="shared" si="142"/>
        <v>0</v>
      </c>
      <c r="GM122" s="16">
        <f t="shared" si="142"/>
        <v>0</v>
      </c>
      <c r="GN122" s="16">
        <f t="shared" si="142"/>
        <v>0</v>
      </c>
      <c r="GO122" s="16">
        <f t="shared" si="142"/>
        <v>0</v>
      </c>
      <c r="GP122" s="16">
        <f t="shared" si="142"/>
        <v>0</v>
      </c>
      <c r="GS122" s="9">
        <f t="shared" si="119"/>
        <v>9</v>
      </c>
      <c r="GT122" s="16">
        <f t="shared" si="143"/>
        <v>0</v>
      </c>
      <c r="GU122" s="16">
        <f t="shared" si="143"/>
        <v>0</v>
      </c>
      <c r="GV122" s="16">
        <f t="shared" si="143"/>
        <v>0</v>
      </c>
      <c r="GW122" s="16">
        <f t="shared" si="143"/>
        <v>0</v>
      </c>
      <c r="GX122" s="16">
        <f t="shared" si="143"/>
        <v>0</v>
      </c>
      <c r="GY122" s="16">
        <f t="shared" si="143"/>
        <v>0</v>
      </c>
      <c r="GZ122" s="16">
        <f t="shared" si="143"/>
        <v>0</v>
      </c>
      <c r="HA122" s="16">
        <f t="shared" si="143"/>
        <v>0</v>
      </c>
      <c r="HB122" s="16">
        <f t="shared" si="143"/>
        <v>0</v>
      </c>
      <c r="HC122" s="16">
        <f t="shared" si="143"/>
        <v>0</v>
      </c>
      <c r="HD122" s="16">
        <f t="shared" si="144"/>
        <v>-1.8312383020718252E-2</v>
      </c>
      <c r="HE122" s="16">
        <f t="shared" si="144"/>
        <v>1.0365579490158865</v>
      </c>
      <c r="HF122" s="16">
        <f t="shared" si="144"/>
        <v>-1.8146333020718258E-2</v>
      </c>
      <c r="HG122" s="16">
        <f t="shared" si="144"/>
        <v>0</v>
      </c>
      <c r="HH122" s="16">
        <f t="shared" si="144"/>
        <v>0</v>
      </c>
      <c r="HI122" s="16">
        <f t="shared" si="144"/>
        <v>0</v>
      </c>
      <c r="HJ122" s="16">
        <f t="shared" si="144"/>
        <v>0</v>
      </c>
      <c r="HK122" s="16">
        <f t="shared" si="144"/>
        <v>0</v>
      </c>
      <c r="HL122" s="16">
        <f t="shared" si="144"/>
        <v>0</v>
      </c>
      <c r="HM122" s="16">
        <f t="shared" si="144"/>
        <v>0</v>
      </c>
      <c r="HN122" s="16">
        <f t="shared" si="144"/>
        <v>0</v>
      </c>
      <c r="HQ122" s="9">
        <f t="shared" si="120"/>
        <v>9</v>
      </c>
      <c r="HR122" s="16">
        <f t="shared" si="145"/>
        <v>0</v>
      </c>
      <c r="HS122" s="16">
        <f t="shared" si="145"/>
        <v>0</v>
      </c>
      <c r="HT122" s="16">
        <f t="shared" si="145"/>
        <v>0</v>
      </c>
      <c r="HU122" s="16">
        <f t="shared" si="145"/>
        <v>0</v>
      </c>
      <c r="HV122" s="16">
        <f t="shared" si="145"/>
        <v>0</v>
      </c>
      <c r="HW122" s="16">
        <f t="shared" si="145"/>
        <v>0</v>
      </c>
      <c r="HX122" s="16">
        <f t="shared" si="145"/>
        <v>0</v>
      </c>
      <c r="HY122" s="16">
        <f t="shared" si="145"/>
        <v>0</v>
      </c>
      <c r="HZ122" s="16">
        <f t="shared" si="145"/>
        <v>0</v>
      </c>
      <c r="IA122" s="16">
        <f t="shared" si="145"/>
        <v>0</v>
      </c>
      <c r="IB122" s="16">
        <f t="shared" si="146"/>
        <v>-0.12067093948370849</v>
      </c>
      <c r="IC122" s="16">
        <f t="shared" si="146"/>
        <v>1.240901582735217</v>
      </c>
      <c r="ID122" s="16">
        <f t="shared" si="146"/>
        <v>-0.11957673948370852</v>
      </c>
      <c r="IE122" s="16">
        <f t="shared" si="146"/>
        <v>0</v>
      </c>
      <c r="IF122" s="16">
        <f t="shared" si="146"/>
        <v>0</v>
      </c>
      <c r="IG122" s="16">
        <f t="shared" si="146"/>
        <v>0</v>
      </c>
      <c r="IH122" s="16">
        <f t="shared" si="146"/>
        <v>0</v>
      </c>
      <c r="II122" s="16">
        <f t="shared" si="146"/>
        <v>0</v>
      </c>
      <c r="IJ122" s="16">
        <f t="shared" si="146"/>
        <v>0</v>
      </c>
      <c r="IK122" s="16">
        <f t="shared" si="146"/>
        <v>0</v>
      </c>
      <c r="IL122" s="16">
        <f t="shared" si="146"/>
        <v>0</v>
      </c>
      <c r="IO122" s="9">
        <f t="shared" si="121"/>
        <v>9</v>
      </c>
      <c r="IP122" s="16">
        <f t="shared" si="147"/>
        <v>0</v>
      </c>
      <c r="IQ122" s="16">
        <f t="shared" si="147"/>
        <v>0</v>
      </c>
      <c r="IR122" s="16">
        <f t="shared" si="147"/>
        <v>0</v>
      </c>
      <c r="IS122" s="16">
        <f t="shared" si="147"/>
        <v>0</v>
      </c>
      <c r="IT122" s="16">
        <f t="shared" si="147"/>
        <v>0</v>
      </c>
      <c r="IU122" s="16">
        <f t="shared" si="147"/>
        <v>0</v>
      </c>
      <c r="IV122" s="16">
        <f t="shared" si="147"/>
        <v>0</v>
      </c>
      <c r="IW122" s="16">
        <f t="shared" si="147"/>
        <v>0</v>
      </c>
      <c r="IX122" s="16">
        <f t="shared" si="147"/>
        <v>0</v>
      </c>
      <c r="IY122" s="16">
        <f t="shared" si="147"/>
        <v>0</v>
      </c>
      <c r="IZ122" s="16">
        <f t="shared" si="148"/>
        <v>-1.8317345726143821E-2</v>
      </c>
      <c r="JA122" s="16">
        <f t="shared" si="148"/>
        <v>1.0365678563191427</v>
      </c>
      <c r="JB122" s="16">
        <f t="shared" si="148"/>
        <v>-1.8151250726143823E-2</v>
      </c>
      <c r="JC122" s="16">
        <f t="shared" si="148"/>
        <v>0</v>
      </c>
      <c r="JD122" s="16">
        <f t="shared" si="148"/>
        <v>0</v>
      </c>
      <c r="JE122" s="16">
        <f t="shared" si="148"/>
        <v>0</v>
      </c>
      <c r="JF122" s="16">
        <f t="shared" si="148"/>
        <v>0</v>
      </c>
      <c r="JG122" s="16">
        <f t="shared" si="148"/>
        <v>0</v>
      </c>
      <c r="JH122" s="16">
        <f t="shared" si="148"/>
        <v>0</v>
      </c>
      <c r="JI122" s="16">
        <f t="shared" si="148"/>
        <v>0</v>
      </c>
      <c r="JJ122" s="16">
        <f t="shared" si="148"/>
        <v>0</v>
      </c>
      <c r="JM122" s="9">
        <f t="shared" si="122"/>
        <v>9</v>
      </c>
      <c r="JN122" s="16">
        <f t="shared" si="149"/>
        <v>0</v>
      </c>
      <c r="JO122" s="16">
        <f t="shared" si="149"/>
        <v>0</v>
      </c>
      <c r="JP122" s="16">
        <f t="shared" si="149"/>
        <v>0</v>
      </c>
      <c r="JQ122" s="16">
        <f t="shared" si="149"/>
        <v>0</v>
      </c>
      <c r="JR122" s="16">
        <f t="shared" si="149"/>
        <v>0</v>
      </c>
      <c r="JS122" s="16">
        <f t="shared" si="149"/>
        <v>0</v>
      </c>
      <c r="JT122" s="16">
        <f t="shared" si="149"/>
        <v>0</v>
      </c>
      <c r="JU122" s="16">
        <f t="shared" si="149"/>
        <v>0</v>
      </c>
      <c r="JV122" s="16">
        <f t="shared" si="149"/>
        <v>0</v>
      </c>
      <c r="JW122" s="16">
        <f t="shared" si="149"/>
        <v>0</v>
      </c>
      <c r="JX122" s="16">
        <f t="shared" si="150"/>
        <v>-0.1206687338368527</v>
      </c>
      <c r="JY122" s="16">
        <f t="shared" si="150"/>
        <v>1.2408971794893253</v>
      </c>
      <c r="JZ122" s="16">
        <f t="shared" si="150"/>
        <v>-0.11957455383685273</v>
      </c>
      <c r="KA122" s="16">
        <f t="shared" si="150"/>
        <v>0</v>
      </c>
      <c r="KB122" s="16">
        <f t="shared" si="150"/>
        <v>0</v>
      </c>
      <c r="KC122" s="16">
        <f t="shared" si="150"/>
        <v>0</v>
      </c>
      <c r="KD122" s="16">
        <f t="shared" si="150"/>
        <v>0</v>
      </c>
      <c r="KE122" s="16">
        <f t="shared" si="150"/>
        <v>0</v>
      </c>
      <c r="KF122" s="16">
        <f t="shared" si="150"/>
        <v>0</v>
      </c>
      <c r="KG122" s="16">
        <f t="shared" si="150"/>
        <v>0</v>
      </c>
      <c r="KH122" s="16">
        <f t="shared" si="150"/>
        <v>0</v>
      </c>
      <c r="KK122" s="9">
        <f t="shared" si="123"/>
        <v>9</v>
      </c>
      <c r="KL122" s="16">
        <f t="shared" si="151"/>
        <v>0</v>
      </c>
      <c r="KM122" s="16">
        <f t="shared" si="151"/>
        <v>0</v>
      </c>
      <c r="KN122" s="16">
        <f t="shared" si="151"/>
        <v>0</v>
      </c>
      <c r="KO122" s="16">
        <f t="shared" si="151"/>
        <v>0</v>
      </c>
      <c r="KP122" s="16">
        <f t="shared" si="151"/>
        <v>0</v>
      </c>
      <c r="KQ122" s="16">
        <f t="shared" si="151"/>
        <v>0</v>
      </c>
      <c r="KR122" s="16">
        <f t="shared" si="151"/>
        <v>0</v>
      </c>
      <c r="KS122" s="16">
        <f t="shared" si="151"/>
        <v>0</v>
      </c>
      <c r="KT122" s="16">
        <f t="shared" si="151"/>
        <v>0</v>
      </c>
      <c r="KU122" s="16">
        <f t="shared" si="151"/>
        <v>0</v>
      </c>
      <c r="KV122" s="16">
        <f t="shared" si="152"/>
        <v>-1.5296160945339395E-2</v>
      </c>
      <c r="KW122" s="16">
        <f t="shared" si="152"/>
        <v>1.0305365102589787</v>
      </c>
      <c r="KX122" s="16">
        <f t="shared" si="152"/>
        <v>-1.5157460945339398E-2</v>
      </c>
      <c r="KY122" s="16">
        <f t="shared" si="152"/>
        <v>0</v>
      </c>
      <c r="KZ122" s="16">
        <f t="shared" si="152"/>
        <v>0</v>
      </c>
      <c r="LA122" s="16">
        <f t="shared" si="152"/>
        <v>0</v>
      </c>
      <c r="LB122" s="16">
        <f t="shared" si="152"/>
        <v>0</v>
      </c>
      <c r="LC122" s="16">
        <f t="shared" si="152"/>
        <v>0</v>
      </c>
      <c r="LD122" s="16">
        <f t="shared" si="152"/>
        <v>0</v>
      </c>
      <c r="LE122" s="16">
        <f t="shared" si="152"/>
        <v>0</v>
      </c>
      <c r="LF122" s="16">
        <f t="shared" si="152"/>
        <v>0</v>
      </c>
      <c r="LI122" s="9">
        <f t="shared" si="124"/>
        <v>9</v>
      </c>
      <c r="LJ122" s="16">
        <f t="shared" si="153"/>
        <v>0</v>
      </c>
      <c r="LK122" s="16">
        <f t="shared" si="153"/>
        <v>0</v>
      </c>
      <c r="LL122" s="16">
        <f t="shared" si="153"/>
        <v>0</v>
      </c>
      <c r="LM122" s="16">
        <f t="shared" si="153"/>
        <v>0</v>
      </c>
      <c r="LN122" s="16">
        <f t="shared" si="153"/>
        <v>0</v>
      </c>
      <c r="LO122" s="16">
        <f t="shared" si="153"/>
        <v>0</v>
      </c>
      <c r="LP122" s="16">
        <f t="shared" si="153"/>
        <v>0</v>
      </c>
      <c r="LQ122" s="16">
        <f t="shared" si="153"/>
        <v>0</v>
      </c>
      <c r="LR122" s="16">
        <f t="shared" si="153"/>
        <v>0</v>
      </c>
      <c r="LS122" s="16">
        <f t="shared" si="153"/>
        <v>0</v>
      </c>
      <c r="LT122" s="16">
        <f t="shared" si="154"/>
        <v>-0.12066818242513871</v>
      </c>
      <c r="LU122" s="16">
        <f t="shared" si="154"/>
        <v>1.2408960786778525</v>
      </c>
      <c r="LV122" s="16">
        <f t="shared" si="154"/>
        <v>-0.11957400742513874</v>
      </c>
      <c r="LW122" s="16">
        <f t="shared" si="154"/>
        <v>0</v>
      </c>
      <c r="LX122" s="16">
        <f t="shared" si="154"/>
        <v>0</v>
      </c>
      <c r="LY122" s="16">
        <f t="shared" si="154"/>
        <v>0</v>
      </c>
      <c r="LZ122" s="16">
        <f t="shared" si="154"/>
        <v>0</v>
      </c>
      <c r="MA122" s="16">
        <f t="shared" si="154"/>
        <v>0</v>
      </c>
      <c r="MB122" s="16">
        <f t="shared" si="154"/>
        <v>0</v>
      </c>
      <c r="MC122" s="16">
        <f t="shared" si="154"/>
        <v>0</v>
      </c>
      <c r="MD122" s="16">
        <f t="shared" si="154"/>
        <v>0</v>
      </c>
      <c r="MG122" s="9">
        <f t="shared" si="125"/>
        <v>9</v>
      </c>
      <c r="MH122" s="16">
        <f t="shared" si="155"/>
        <v>0</v>
      </c>
      <c r="MI122" s="16">
        <f t="shared" si="155"/>
        <v>0</v>
      </c>
      <c r="MJ122" s="16">
        <f t="shared" si="155"/>
        <v>0</v>
      </c>
      <c r="MK122" s="16">
        <f t="shared" si="155"/>
        <v>0</v>
      </c>
      <c r="ML122" s="16">
        <f t="shared" si="155"/>
        <v>0</v>
      </c>
      <c r="MM122" s="16">
        <f t="shared" si="155"/>
        <v>0</v>
      </c>
      <c r="MN122" s="16">
        <f t="shared" si="155"/>
        <v>0</v>
      </c>
      <c r="MO122" s="16">
        <f t="shared" si="155"/>
        <v>0</v>
      </c>
      <c r="MP122" s="16">
        <f t="shared" si="155"/>
        <v>0</v>
      </c>
      <c r="MQ122" s="16">
        <f t="shared" si="155"/>
        <v>0</v>
      </c>
      <c r="MR122" s="16">
        <f t="shared" si="156"/>
        <v>-1.6807029041598597E-2</v>
      </c>
      <c r="MS122" s="16">
        <f t="shared" si="156"/>
        <v>1.0335527336947972</v>
      </c>
      <c r="MT122" s="16">
        <f t="shared" si="156"/>
        <v>-1.66546290415986E-2</v>
      </c>
      <c r="MU122" s="16">
        <f t="shared" si="156"/>
        <v>0</v>
      </c>
      <c r="MV122" s="16">
        <f t="shared" si="156"/>
        <v>0</v>
      </c>
      <c r="MW122" s="16">
        <f t="shared" si="156"/>
        <v>0</v>
      </c>
      <c r="MX122" s="16">
        <f t="shared" si="156"/>
        <v>0</v>
      </c>
      <c r="MY122" s="16">
        <f t="shared" si="156"/>
        <v>0</v>
      </c>
      <c r="MZ122" s="16">
        <f t="shared" si="156"/>
        <v>0</v>
      </c>
      <c r="NA122" s="16">
        <f t="shared" si="156"/>
        <v>0</v>
      </c>
      <c r="NB122" s="16">
        <f t="shared" si="156"/>
        <v>0</v>
      </c>
      <c r="NE122" s="9">
        <f t="shared" si="126"/>
        <v>9</v>
      </c>
      <c r="NF122" s="16">
        <f t="shared" si="157"/>
        <v>0</v>
      </c>
      <c r="NG122" s="16">
        <f t="shared" si="157"/>
        <v>0</v>
      </c>
      <c r="NH122" s="16">
        <f t="shared" si="157"/>
        <v>0</v>
      </c>
      <c r="NI122" s="16">
        <f t="shared" si="157"/>
        <v>0</v>
      </c>
      <c r="NJ122" s="16">
        <f t="shared" si="157"/>
        <v>0</v>
      </c>
      <c r="NK122" s="16">
        <f t="shared" si="157"/>
        <v>0</v>
      </c>
      <c r="NL122" s="16">
        <f t="shared" si="157"/>
        <v>0</v>
      </c>
      <c r="NM122" s="16">
        <f t="shared" si="157"/>
        <v>0</v>
      </c>
      <c r="NN122" s="16">
        <f t="shared" si="157"/>
        <v>0</v>
      </c>
      <c r="NO122" s="16">
        <f t="shared" si="157"/>
        <v>0</v>
      </c>
      <c r="NP122" s="16">
        <f t="shared" si="158"/>
        <v>-0.12066818242513871</v>
      </c>
      <c r="NQ122" s="16">
        <f t="shared" si="158"/>
        <v>1.2408960786778525</v>
      </c>
      <c r="NR122" s="16">
        <f t="shared" si="158"/>
        <v>-0.11957400742513874</v>
      </c>
      <c r="NS122" s="16">
        <f t="shared" si="158"/>
        <v>0</v>
      </c>
      <c r="NT122" s="16">
        <f t="shared" si="158"/>
        <v>0</v>
      </c>
      <c r="NU122" s="16">
        <f t="shared" si="158"/>
        <v>0</v>
      </c>
      <c r="NV122" s="16">
        <f t="shared" si="158"/>
        <v>0</v>
      </c>
      <c r="NW122" s="16">
        <f t="shared" si="158"/>
        <v>0</v>
      </c>
      <c r="NX122" s="16">
        <f t="shared" si="158"/>
        <v>0</v>
      </c>
      <c r="NY122" s="16">
        <f t="shared" si="158"/>
        <v>0</v>
      </c>
      <c r="NZ122" s="16">
        <f t="shared" si="158"/>
        <v>0</v>
      </c>
      <c r="OC122" s="9">
        <f t="shared" si="127"/>
        <v>9</v>
      </c>
      <c r="OD122" s="16">
        <f t="shared" si="159"/>
        <v>0</v>
      </c>
      <c r="OE122" s="16">
        <f t="shared" si="159"/>
        <v>0</v>
      </c>
      <c r="OF122" s="16">
        <f t="shared" si="159"/>
        <v>0</v>
      </c>
      <c r="OG122" s="16">
        <f t="shared" si="159"/>
        <v>0</v>
      </c>
      <c r="OH122" s="16">
        <f t="shared" si="159"/>
        <v>0</v>
      </c>
      <c r="OI122" s="16">
        <f t="shared" si="159"/>
        <v>0</v>
      </c>
      <c r="OJ122" s="16">
        <f t="shared" si="159"/>
        <v>0</v>
      </c>
      <c r="OK122" s="16">
        <f t="shared" si="159"/>
        <v>0</v>
      </c>
      <c r="OL122" s="16">
        <f t="shared" si="159"/>
        <v>0</v>
      </c>
      <c r="OM122" s="16">
        <f t="shared" si="159"/>
        <v>0</v>
      </c>
      <c r="ON122" s="16">
        <f t="shared" si="160"/>
        <v>-1.8317345726143804E-2</v>
      </c>
      <c r="OO122" s="16">
        <f t="shared" si="160"/>
        <v>1.0365678563191425</v>
      </c>
      <c r="OP122" s="16">
        <f t="shared" si="160"/>
        <v>-1.8151250726143809E-2</v>
      </c>
      <c r="OQ122" s="16">
        <f t="shared" si="160"/>
        <v>0</v>
      </c>
      <c r="OR122" s="16">
        <f t="shared" si="160"/>
        <v>0</v>
      </c>
      <c r="OS122" s="16">
        <f t="shared" si="160"/>
        <v>0</v>
      </c>
      <c r="OT122" s="16">
        <f t="shared" si="160"/>
        <v>0</v>
      </c>
      <c r="OU122" s="16">
        <f t="shared" si="160"/>
        <v>0</v>
      </c>
      <c r="OV122" s="16">
        <f t="shared" si="160"/>
        <v>0</v>
      </c>
      <c r="OW122" s="16">
        <f t="shared" si="160"/>
        <v>0</v>
      </c>
      <c r="OX122" s="16">
        <f t="shared" si="160"/>
        <v>0</v>
      </c>
      <c r="PA122" s="9">
        <f t="shared" si="128"/>
        <v>9</v>
      </c>
      <c r="PB122" s="16">
        <f t="shared" si="161"/>
        <v>0</v>
      </c>
      <c r="PC122" s="16">
        <f t="shared" si="161"/>
        <v>0</v>
      </c>
      <c r="PD122" s="16">
        <f t="shared" si="161"/>
        <v>0</v>
      </c>
      <c r="PE122" s="16">
        <f t="shared" si="161"/>
        <v>0</v>
      </c>
      <c r="PF122" s="16">
        <f t="shared" si="161"/>
        <v>0</v>
      </c>
      <c r="PG122" s="16">
        <f t="shared" si="161"/>
        <v>0</v>
      </c>
      <c r="PH122" s="16">
        <f t="shared" si="161"/>
        <v>0</v>
      </c>
      <c r="PI122" s="16">
        <f t="shared" si="161"/>
        <v>0</v>
      </c>
      <c r="PJ122" s="16">
        <f t="shared" si="161"/>
        <v>0</v>
      </c>
      <c r="PK122" s="16">
        <f t="shared" si="161"/>
        <v>0</v>
      </c>
      <c r="PL122" s="16">
        <f t="shared" si="162"/>
        <v>-0.12066321971971304</v>
      </c>
      <c r="PM122" s="16">
        <f t="shared" si="162"/>
        <v>1.240886171374596</v>
      </c>
      <c r="PN122" s="16">
        <f t="shared" si="162"/>
        <v>-0.11956908971971307</v>
      </c>
      <c r="PO122" s="16">
        <f t="shared" si="162"/>
        <v>0</v>
      </c>
      <c r="PP122" s="16">
        <f t="shared" si="162"/>
        <v>0</v>
      </c>
      <c r="PQ122" s="16">
        <f t="shared" si="162"/>
        <v>0</v>
      </c>
      <c r="PR122" s="16">
        <f t="shared" si="162"/>
        <v>0</v>
      </c>
      <c r="PS122" s="16">
        <f t="shared" si="162"/>
        <v>0</v>
      </c>
      <c r="PT122" s="16">
        <f t="shared" si="162"/>
        <v>0</v>
      </c>
      <c r="PU122" s="16">
        <f t="shared" si="162"/>
        <v>0</v>
      </c>
      <c r="PV122" s="16">
        <f t="shared" si="162"/>
        <v>0</v>
      </c>
    </row>
    <row r="123" spans="3:438" x14ac:dyDescent="0.25">
      <c r="C123" s="1"/>
      <c r="D123" s="1"/>
      <c r="F123" s="1"/>
      <c r="H123" s="1"/>
      <c r="I123" s="9">
        <f t="shared" si="111"/>
        <v>8</v>
      </c>
      <c r="J123" s="16">
        <f t="shared" si="110"/>
        <v>0</v>
      </c>
      <c r="K123" s="16">
        <f t="shared" si="75"/>
        <v>0</v>
      </c>
      <c r="L123" s="16">
        <f t="shared" si="75"/>
        <v>0</v>
      </c>
      <c r="M123" s="16">
        <f t="shared" si="75"/>
        <v>0</v>
      </c>
      <c r="N123" s="16">
        <f t="shared" si="75"/>
        <v>0</v>
      </c>
      <c r="O123" s="16">
        <f t="shared" si="75"/>
        <v>0</v>
      </c>
      <c r="P123" s="16">
        <f t="shared" si="75"/>
        <v>0</v>
      </c>
      <c r="Q123" s="16">
        <f t="shared" si="75"/>
        <v>0</v>
      </c>
      <c r="R123" s="16">
        <f t="shared" si="75"/>
        <v>0</v>
      </c>
      <c r="S123" s="16">
        <f t="shared" si="75"/>
        <v>0</v>
      </c>
      <c r="T123" s="16">
        <f t="shared" si="75"/>
        <v>0</v>
      </c>
      <c r="U123" s="16">
        <f t="shared" si="75"/>
        <v>-1.4603065252228261E-2</v>
      </c>
      <c r="V123" s="16">
        <f t="shared" si="75"/>
        <v>1.0291289920206783</v>
      </c>
      <c r="W123" s="16">
        <f t="shared" si="75"/>
        <v>-1.4411364931449958E-2</v>
      </c>
      <c r="X123" s="16">
        <f t="shared" si="75"/>
        <v>0</v>
      </c>
      <c r="Y123" s="16">
        <f t="shared" si="75"/>
        <v>0</v>
      </c>
      <c r="Z123" s="16">
        <f t="shared" ref="Z123:AD131" si="163">IF(Z$110=$I123,Z$108*HLOOKUP($I123,$I$27:$AD$45,Z$107,0)+1,IF(Z$110-$I123=1,Z$108*HLOOKUP($I123,$I$7:$AD$25,Z$107,0),IF(Z$110-$I123=-1,Z$108*HLOOKUP($I123,$I$47:$AD$65,Z$107,0),0)))</f>
        <v>0</v>
      </c>
      <c r="AA123" s="16">
        <f t="shared" si="163"/>
        <v>0</v>
      </c>
      <c r="AB123" s="16">
        <f t="shared" si="163"/>
        <v>0</v>
      </c>
      <c r="AC123" s="16">
        <f t="shared" si="163"/>
        <v>0</v>
      </c>
      <c r="AD123" s="16">
        <f t="shared" si="163"/>
        <v>0</v>
      </c>
      <c r="AE123" s="1"/>
      <c r="AF123" s="1"/>
      <c r="AG123" s="9">
        <f t="shared" si="112"/>
        <v>8</v>
      </c>
      <c r="AH123" s="16">
        <f t="shared" si="129"/>
        <v>0</v>
      </c>
      <c r="AI123" s="16">
        <f t="shared" si="129"/>
        <v>0</v>
      </c>
      <c r="AJ123" s="16">
        <f t="shared" si="129"/>
        <v>0</v>
      </c>
      <c r="AK123" s="16">
        <f t="shared" si="129"/>
        <v>0</v>
      </c>
      <c r="AL123" s="16">
        <f t="shared" si="129"/>
        <v>0</v>
      </c>
      <c r="AM123" s="16">
        <f t="shared" si="129"/>
        <v>0</v>
      </c>
      <c r="AN123" s="16">
        <f t="shared" si="129"/>
        <v>0</v>
      </c>
      <c r="AO123" s="16">
        <f t="shared" si="129"/>
        <v>0</v>
      </c>
      <c r="AP123" s="16">
        <f t="shared" si="129"/>
        <v>0</v>
      </c>
      <c r="AQ123" s="16">
        <f t="shared" si="129"/>
        <v>0</v>
      </c>
      <c r="AR123" s="16">
        <f t="shared" si="130"/>
        <v>0</v>
      </c>
      <c r="AS123" s="16">
        <f t="shared" si="130"/>
        <v>-0.11688546334386639</v>
      </c>
      <c r="AT123" s="16">
        <f t="shared" si="130"/>
        <v>1.2331534969041678</v>
      </c>
      <c r="AU123" s="16">
        <f t="shared" si="130"/>
        <v>-0.11535106077630129</v>
      </c>
      <c r="AV123" s="16">
        <f t="shared" si="130"/>
        <v>0</v>
      </c>
      <c r="AW123" s="16">
        <f t="shared" si="130"/>
        <v>0</v>
      </c>
      <c r="AX123" s="16">
        <f t="shared" si="130"/>
        <v>0</v>
      </c>
      <c r="AY123" s="16">
        <f t="shared" si="130"/>
        <v>0</v>
      </c>
      <c r="AZ123" s="16">
        <f t="shared" si="130"/>
        <v>0</v>
      </c>
      <c r="BA123" s="16">
        <f t="shared" si="130"/>
        <v>0</v>
      </c>
      <c r="BB123" s="16">
        <f t="shared" si="130"/>
        <v>0</v>
      </c>
      <c r="BE123" s="9">
        <f t="shared" si="113"/>
        <v>8</v>
      </c>
      <c r="BF123" s="16">
        <f t="shared" si="131"/>
        <v>0</v>
      </c>
      <c r="BG123" s="16">
        <f t="shared" si="131"/>
        <v>0</v>
      </c>
      <c r="BH123" s="16">
        <f t="shared" si="131"/>
        <v>0</v>
      </c>
      <c r="BI123" s="16">
        <f t="shared" si="131"/>
        <v>0</v>
      </c>
      <c r="BJ123" s="16">
        <f t="shared" si="131"/>
        <v>0</v>
      </c>
      <c r="BK123" s="16">
        <f t="shared" si="131"/>
        <v>0</v>
      </c>
      <c r="BL123" s="16">
        <f t="shared" si="131"/>
        <v>0</v>
      </c>
      <c r="BM123" s="16">
        <f t="shared" si="131"/>
        <v>0</v>
      </c>
      <c r="BN123" s="16">
        <f t="shared" si="131"/>
        <v>0</v>
      </c>
      <c r="BO123" s="16">
        <f t="shared" si="131"/>
        <v>0</v>
      </c>
      <c r="BP123" s="16">
        <f t="shared" si="132"/>
        <v>0</v>
      </c>
      <c r="BQ123" s="16">
        <f t="shared" si="132"/>
        <v>-0.1168702280123564</v>
      </c>
      <c r="BR123" s="16">
        <f t="shared" si="132"/>
        <v>1.2331231067194823</v>
      </c>
      <c r="BS123" s="16">
        <f t="shared" si="132"/>
        <v>-0.11533602544512597</v>
      </c>
      <c r="BT123" s="16">
        <f t="shared" si="132"/>
        <v>0</v>
      </c>
      <c r="BU123" s="16">
        <f t="shared" si="132"/>
        <v>0</v>
      </c>
      <c r="BV123" s="16">
        <f t="shared" si="132"/>
        <v>0</v>
      </c>
      <c r="BW123" s="16">
        <f t="shared" si="132"/>
        <v>0</v>
      </c>
      <c r="BX123" s="16">
        <f t="shared" si="132"/>
        <v>0</v>
      </c>
      <c r="BY123" s="16">
        <f t="shared" si="132"/>
        <v>0</v>
      </c>
      <c r="BZ123" s="16">
        <f t="shared" si="132"/>
        <v>0</v>
      </c>
      <c r="CC123" s="9">
        <f t="shared" si="114"/>
        <v>8</v>
      </c>
      <c r="CD123" s="16">
        <f t="shared" si="133"/>
        <v>0</v>
      </c>
      <c r="CE123" s="16">
        <f t="shared" si="133"/>
        <v>0</v>
      </c>
      <c r="CF123" s="16">
        <f t="shared" si="133"/>
        <v>0</v>
      </c>
      <c r="CG123" s="16">
        <f t="shared" si="133"/>
        <v>0</v>
      </c>
      <c r="CH123" s="16">
        <f t="shared" si="133"/>
        <v>0</v>
      </c>
      <c r="CI123" s="16">
        <f t="shared" si="133"/>
        <v>0</v>
      </c>
      <c r="CJ123" s="16">
        <f t="shared" si="133"/>
        <v>0</v>
      </c>
      <c r="CK123" s="16">
        <f t="shared" si="133"/>
        <v>0</v>
      </c>
      <c r="CL123" s="16">
        <f t="shared" si="133"/>
        <v>0</v>
      </c>
      <c r="CM123" s="16">
        <f t="shared" si="133"/>
        <v>0</v>
      </c>
      <c r="CN123" s="16">
        <f t="shared" si="134"/>
        <v>0</v>
      </c>
      <c r="CO123" s="16">
        <f t="shared" si="134"/>
        <v>-0.11687022801235605</v>
      </c>
      <c r="CP123" s="16">
        <f t="shared" si="134"/>
        <v>1.2331231067194817</v>
      </c>
      <c r="CQ123" s="16">
        <f t="shared" si="134"/>
        <v>-0.11533602544512564</v>
      </c>
      <c r="CR123" s="16">
        <f t="shared" si="134"/>
        <v>0</v>
      </c>
      <c r="CS123" s="16">
        <f t="shared" si="134"/>
        <v>0</v>
      </c>
      <c r="CT123" s="16">
        <f t="shared" si="134"/>
        <v>0</v>
      </c>
      <c r="CU123" s="16">
        <f t="shared" si="134"/>
        <v>0</v>
      </c>
      <c r="CV123" s="16">
        <f t="shared" si="134"/>
        <v>0</v>
      </c>
      <c r="CW123" s="16">
        <f t="shared" si="134"/>
        <v>0</v>
      </c>
      <c r="CX123" s="16">
        <f t="shared" si="134"/>
        <v>0</v>
      </c>
      <c r="DA123" s="9">
        <f t="shared" si="115"/>
        <v>8</v>
      </c>
      <c r="DB123" s="16">
        <f t="shared" si="135"/>
        <v>0</v>
      </c>
      <c r="DC123" s="16">
        <f t="shared" si="135"/>
        <v>0</v>
      </c>
      <c r="DD123" s="16">
        <f t="shared" si="135"/>
        <v>0</v>
      </c>
      <c r="DE123" s="16">
        <f t="shared" si="135"/>
        <v>0</v>
      </c>
      <c r="DF123" s="16">
        <f t="shared" si="135"/>
        <v>0</v>
      </c>
      <c r="DG123" s="16">
        <f t="shared" si="135"/>
        <v>0</v>
      </c>
      <c r="DH123" s="16">
        <f t="shared" si="135"/>
        <v>0</v>
      </c>
      <c r="DI123" s="16">
        <f t="shared" si="135"/>
        <v>0</v>
      </c>
      <c r="DJ123" s="16">
        <f t="shared" si="135"/>
        <v>0</v>
      </c>
      <c r="DK123" s="16">
        <f t="shared" si="135"/>
        <v>0</v>
      </c>
      <c r="DL123" s="16">
        <f t="shared" si="136"/>
        <v>0</v>
      </c>
      <c r="DM123" s="16">
        <f t="shared" si="136"/>
        <v>-1.4610682917983425E-2</v>
      </c>
      <c r="DN123" s="16">
        <f t="shared" si="136"/>
        <v>1.0291441871130211</v>
      </c>
      <c r="DO123" s="16">
        <f t="shared" si="136"/>
        <v>-1.4418882597037786E-2</v>
      </c>
      <c r="DP123" s="16">
        <f t="shared" si="136"/>
        <v>0</v>
      </c>
      <c r="DQ123" s="16">
        <f t="shared" si="136"/>
        <v>0</v>
      </c>
      <c r="DR123" s="16">
        <f t="shared" si="136"/>
        <v>0</v>
      </c>
      <c r="DS123" s="16">
        <f t="shared" si="136"/>
        <v>0</v>
      </c>
      <c r="DT123" s="16">
        <f t="shared" si="136"/>
        <v>0</v>
      </c>
      <c r="DU123" s="16">
        <f t="shared" si="136"/>
        <v>0</v>
      </c>
      <c r="DV123" s="16">
        <f t="shared" si="136"/>
        <v>0</v>
      </c>
      <c r="DY123" s="9">
        <f t="shared" si="116"/>
        <v>8</v>
      </c>
      <c r="DZ123" s="16">
        <f t="shared" si="137"/>
        <v>0</v>
      </c>
      <c r="EA123" s="16">
        <f t="shared" si="137"/>
        <v>0</v>
      </c>
      <c r="EB123" s="16">
        <f t="shared" si="137"/>
        <v>0</v>
      </c>
      <c r="EC123" s="16">
        <f t="shared" si="137"/>
        <v>0</v>
      </c>
      <c r="ED123" s="16">
        <f t="shared" si="137"/>
        <v>0</v>
      </c>
      <c r="EE123" s="16">
        <f t="shared" si="137"/>
        <v>0</v>
      </c>
      <c r="EF123" s="16">
        <f t="shared" si="137"/>
        <v>0</v>
      </c>
      <c r="EG123" s="16">
        <f t="shared" si="137"/>
        <v>0</v>
      </c>
      <c r="EH123" s="16">
        <f t="shared" si="137"/>
        <v>0</v>
      </c>
      <c r="EI123" s="16">
        <f t="shared" si="137"/>
        <v>0</v>
      </c>
      <c r="EJ123" s="16">
        <f t="shared" si="138"/>
        <v>0</v>
      </c>
      <c r="EK123" s="16">
        <f t="shared" si="138"/>
        <v>-8.4981136439850474E-2</v>
      </c>
      <c r="EL123" s="16">
        <f t="shared" si="138"/>
        <v>1.1693449235744706</v>
      </c>
      <c r="EM123" s="16">
        <f t="shared" si="138"/>
        <v>-8.3446933872620047E-2</v>
      </c>
      <c r="EN123" s="16">
        <f t="shared" si="138"/>
        <v>0</v>
      </c>
      <c r="EO123" s="16">
        <f t="shared" si="138"/>
        <v>0</v>
      </c>
      <c r="EP123" s="16">
        <f t="shared" si="138"/>
        <v>0</v>
      </c>
      <c r="EQ123" s="16">
        <f t="shared" si="138"/>
        <v>0</v>
      </c>
      <c r="ER123" s="16">
        <f t="shared" si="138"/>
        <v>0</v>
      </c>
      <c r="ES123" s="16">
        <f t="shared" si="138"/>
        <v>0</v>
      </c>
      <c r="ET123" s="16">
        <f t="shared" si="138"/>
        <v>0</v>
      </c>
      <c r="EW123" s="9">
        <f t="shared" si="117"/>
        <v>8</v>
      </c>
      <c r="EX123" s="16">
        <f t="shared" si="139"/>
        <v>0</v>
      </c>
      <c r="EY123" s="16">
        <f t="shared" si="139"/>
        <v>0</v>
      </c>
      <c r="EZ123" s="16">
        <f t="shared" si="139"/>
        <v>0</v>
      </c>
      <c r="FA123" s="16">
        <f t="shared" si="139"/>
        <v>0</v>
      </c>
      <c r="FB123" s="16">
        <f t="shared" si="139"/>
        <v>0</v>
      </c>
      <c r="FC123" s="16">
        <f t="shared" si="139"/>
        <v>0</v>
      </c>
      <c r="FD123" s="16">
        <f t="shared" si="139"/>
        <v>0</v>
      </c>
      <c r="FE123" s="16">
        <f t="shared" si="139"/>
        <v>0</v>
      </c>
      <c r="FF123" s="16">
        <f t="shared" si="139"/>
        <v>0</v>
      </c>
      <c r="FG123" s="16">
        <f t="shared" si="139"/>
        <v>0</v>
      </c>
      <c r="FH123" s="16">
        <f t="shared" si="140"/>
        <v>0</v>
      </c>
      <c r="FI123" s="16">
        <f t="shared" si="140"/>
        <v>-8.4981136439850724E-2</v>
      </c>
      <c r="FJ123" s="16">
        <f t="shared" si="140"/>
        <v>1.1693449235744711</v>
      </c>
      <c r="FK123" s="16">
        <f t="shared" si="140"/>
        <v>-8.3446933872620296E-2</v>
      </c>
      <c r="FL123" s="16">
        <f t="shared" si="140"/>
        <v>0</v>
      </c>
      <c r="FM123" s="16">
        <f t="shared" si="140"/>
        <v>0</v>
      </c>
      <c r="FN123" s="16">
        <f t="shared" si="140"/>
        <v>0</v>
      </c>
      <c r="FO123" s="16">
        <f t="shared" si="140"/>
        <v>0</v>
      </c>
      <c r="FP123" s="16">
        <f t="shared" si="140"/>
        <v>0</v>
      </c>
      <c r="FQ123" s="16">
        <f t="shared" si="140"/>
        <v>0</v>
      </c>
      <c r="FR123" s="16">
        <f t="shared" si="140"/>
        <v>0</v>
      </c>
      <c r="FU123" s="9">
        <f t="shared" si="118"/>
        <v>8</v>
      </c>
      <c r="FV123" s="16">
        <f t="shared" si="141"/>
        <v>0</v>
      </c>
      <c r="FW123" s="16">
        <f t="shared" si="141"/>
        <v>0</v>
      </c>
      <c r="FX123" s="16">
        <f t="shared" si="141"/>
        <v>0</v>
      </c>
      <c r="FY123" s="16">
        <f t="shared" si="141"/>
        <v>0</v>
      </c>
      <c r="FZ123" s="16">
        <f t="shared" si="141"/>
        <v>0</v>
      </c>
      <c r="GA123" s="16">
        <f t="shared" si="141"/>
        <v>0</v>
      </c>
      <c r="GB123" s="16">
        <f t="shared" si="141"/>
        <v>0</v>
      </c>
      <c r="GC123" s="16">
        <f t="shared" si="141"/>
        <v>0</v>
      </c>
      <c r="GD123" s="16">
        <f t="shared" si="141"/>
        <v>0</v>
      </c>
      <c r="GE123" s="16">
        <f t="shared" si="141"/>
        <v>0</v>
      </c>
      <c r="GF123" s="16">
        <f t="shared" si="142"/>
        <v>0</v>
      </c>
      <c r="GG123" s="16">
        <f t="shared" si="142"/>
        <v>-8.4992214674297142E-2</v>
      </c>
      <c r="GH123" s="16">
        <f t="shared" si="142"/>
        <v>1.1693669995650291</v>
      </c>
      <c r="GI123" s="16">
        <f t="shared" si="142"/>
        <v>-8.3457812106732046E-2</v>
      </c>
      <c r="GJ123" s="16">
        <f t="shared" si="142"/>
        <v>0</v>
      </c>
      <c r="GK123" s="16">
        <f t="shared" si="142"/>
        <v>0</v>
      </c>
      <c r="GL123" s="16">
        <f t="shared" si="142"/>
        <v>0</v>
      </c>
      <c r="GM123" s="16">
        <f t="shared" si="142"/>
        <v>0</v>
      </c>
      <c r="GN123" s="16">
        <f t="shared" si="142"/>
        <v>0</v>
      </c>
      <c r="GO123" s="16">
        <f t="shared" si="142"/>
        <v>0</v>
      </c>
      <c r="GP123" s="16">
        <f t="shared" si="142"/>
        <v>0</v>
      </c>
      <c r="GS123" s="9">
        <f t="shared" si="119"/>
        <v>8</v>
      </c>
      <c r="GT123" s="16">
        <f t="shared" si="143"/>
        <v>0</v>
      </c>
      <c r="GU123" s="16">
        <f t="shared" si="143"/>
        <v>0</v>
      </c>
      <c r="GV123" s="16">
        <f t="shared" si="143"/>
        <v>0</v>
      </c>
      <c r="GW123" s="16">
        <f t="shared" si="143"/>
        <v>0</v>
      </c>
      <c r="GX123" s="16">
        <f t="shared" si="143"/>
        <v>0</v>
      </c>
      <c r="GY123" s="16">
        <f t="shared" si="143"/>
        <v>0</v>
      </c>
      <c r="GZ123" s="16">
        <f t="shared" si="143"/>
        <v>0</v>
      </c>
      <c r="HA123" s="16">
        <f t="shared" si="143"/>
        <v>0</v>
      </c>
      <c r="HB123" s="16">
        <f t="shared" si="143"/>
        <v>0</v>
      </c>
      <c r="HC123" s="16">
        <f t="shared" si="143"/>
        <v>0</v>
      </c>
      <c r="HD123" s="16">
        <f t="shared" si="144"/>
        <v>0</v>
      </c>
      <c r="HE123" s="16">
        <f t="shared" si="144"/>
        <v>-1.8395408298575517E-2</v>
      </c>
      <c r="HF123" s="16">
        <f t="shared" si="144"/>
        <v>1.0366571823224364</v>
      </c>
      <c r="HG123" s="16">
        <f t="shared" si="144"/>
        <v>-1.8063307742860992E-2</v>
      </c>
      <c r="HH123" s="16">
        <f t="shared" si="144"/>
        <v>0</v>
      </c>
      <c r="HI123" s="16">
        <f t="shared" si="144"/>
        <v>0</v>
      </c>
      <c r="HJ123" s="16">
        <f t="shared" si="144"/>
        <v>0</v>
      </c>
      <c r="HK123" s="16">
        <f t="shared" si="144"/>
        <v>0</v>
      </c>
      <c r="HL123" s="16">
        <f t="shared" si="144"/>
        <v>0</v>
      </c>
      <c r="HM123" s="16">
        <f t="shared" si="144"/>
        <v>0</v>
      </c>
      <c r="HN123" s="16">
        <f t="shared" si="144"/>
        <v>0</v>
      </c>
      <c r="HQ123" s="9">
        <f t="shared" si="120"/>
        <v>8</v>
      </c>
      <c r="HR123" s="16">
        <f t="shared" si="145"/>
        <v>0</v>
      </c>
      <c r="HS123" s="16">
        <f t="shared" si="145"/>
        <v>0</v>
      </c>
      <c r="HT123" s="16">
        <f t="shared" si="145"/>
        <v>0</v>
      </c>
      <c r="HU123" s="16">
        <f t="shared" si="145"/>
        <v>0</v>
      </c>
      <c r="HV123" s="16">
        <f t="shared" si="145"/>
        <v>0</v>
      </c>
      <c r="HW123" s="16">
        <f t="shared" si="145"/>
        <v>0</v>
      </c>
      <c r="HX123" s="16">
        <f t="shared" si="145"/>
        <v>0</v>
      </c>
      <c r="HY123" s="16">
        <f t="shared" si="145"/>
        <v>0</v>
      </c>
      <c r="HZ123" s="16">
        <f t="shared" si="145"/>
        <v>0</v>
      </c>
      <c r="IA123" s="16">
        <f t="shared" si="145"/>
        <v>0</v>
      </c>
      <c r="IB123" s="16">
        <f t="shared" si="146"/>
        <v>0</v>
      </c>
      <c r="IC123" s="16">
        <f t="shared" si="146"/>
        <v>-0.12121804131467157</v>
      </c>
      <c r="ID123" s="16">
        <f t="shared" si="146"/>
        <v>1.2415554886914171</v>
      </c>
      <c r="IE123" s="16">
        <f t="shared" si="146"/>
        <v>-0.11902963765274543</v>
      </c>
      <c r="IF123" s="16">
        <f t="shared" si="146"/>
        <v>0</v>
      </c>
      <c r="IG123" s="16">
        <f t="shared" si="146"/>
        <v>0</v>
      </c>
      <c r="IH123" s="16">
        <f t="shared" si="146"/>
        <v>0</v>
      </c>
      <c r="II123" s="16">
        <f t="shared" si="146"/>
        <v>0</v>
      </c>
      <c r="IJ123" s="16">
        <f t="shared" si="146"/>
        <v>0</v>
      </c>
      <c r="IK123" s="16">
        <f t="shared" si="146"/>
        <v>0</v>
      </c>
      <c r="IL123" s="16">
        <f t="shared" si="146"/>
        <v>0</v>
      </c>
      <c r="IO123" s="9">
        <f t="shared" si="121"/>
        <v>8</v>
      </c>
      <c r="IP123" s="16">
        <f t="shared" si="147"/>
        <v>0</v>
      </c>
      <c r="IQ123" s="16">
        <f t="shared" si="147"/>
        <v>0</v>
      </c>
      <c r="IR123" s="16">
        <f t="shared" si="147"/>
        <v>0</v>
      </c>
      <c r="IS123" s="16">
        <f t="shared" si="147"/>
        <v>0</v>
      </c>
      <c r="IT123" s="16">
        <f t="shared" si="147"/>
        <v>0</v>
      </c>
      <c r="IU123" s="16">
        <f t="shared" si="147"/>
        <v>0</v>
      </c>
      <c r="IV123" s="16">
        <f t="shared" si="147"/>
        <v>0</v>
      </c>
      <c r="IW123" s="16">
        <f t="shared" si="147"/>
        <v>0</v>
      </c>
      <c r="IX123" s="16">
        <f t="shared" si="147"/>
        <v>0</v>
      </c>
      <c r="IY123" s="16">
        <f t="shared" si="147"/>
        <v>0</v>
      </c>
      <c r="IZ123" s="16">
        <f t="shared" si="148"/>
        <v>0</v>
      </c>
      <c r="JA123" s="16">
        <f t="shared" si="148"/>
        <v>-1.8400393504076386E-2</v>
      </c>
      <c r="JB123" s="16">
        <f t="shared" si="148"/>
        <v>1.0366671165181875</v>
      </c>
      <c r="JC123" s="16">
        <f t="shared" si="148"/>
        <v>-1.8068202948211258E-2</v>
      </c>
      <c r="JD123" s="16">
        <f t="shared" si="148"/>
        <v>0</v>
      </c>
      <c r="JE123" s="16">
        <f t="shared" si="148"/>
        <v>0</v>
      </c>
      <c r="JF123" s="16">
        <f t="shared" si="148"/>
        <v>0</v>
      </c>
      <c r="JG123" s="16">
        <f t="shared" si="148"/>
        <v>0</v>
      </c>
      <c r="JH123" s="16">
        <f t="shared" si="148"/>
        <v>0</v>
      </c>
      <c r="JI123" s="16">
        <f t="shared" si="148"/>
        <v>0</v>
      </c>
      <c r="JJ123" s="16">
        <f t="shared" si="148"/>
        <v>0</v>
      </c>
      <c r="JM123" s="9">
        <f t="shared" si="122"/>
        <v>8</v>
      </c>
      <c r="JN123" s="16">
        <f t="shared" si="149"/>
        <v>0</v>
      </c>
      <c r="JO123" s="16">
        <f t="shared" si="149"/>
        <v>0</v>
      </c>
      <c r="JP123" s="16">
        <f t="shared" si="149"/>
        <v>0</v>
      </c>
      <c r="JQ123" s="16">
        <f t="shared" si="149"/>
        <v>0</v>
      </c>
      <c r="JR123" s="16">
        <f t="shared" si="149"/>
        <v>0</v>
      </c>
      <c r="JS123" s="16">
        <f t="shared" si="149"/>
        <v>0</v>
      </c>
      <c r="JT123" s="16">
        <f t="shared" si="149"/>
        <v>0</v>
      </c>
      <c r="JU123" s="16">
        <f t="shared" si="149"/>
        <v>0</v>
      </c>
      <c r="JV123" s="16">
        <f t="shared" si="149"/>
        <v>0</v>
      </c>
      <c r="JW123" s="16">
        <f t="shared" si="149"/>
        <v>0</v>
      </c>
      <c r="JX123" s="16">
        <f t="shared" si="150"/>
        <v>0</v>
      </c>
      <c r="JY123" s="16">
        <f t="shared" si="150"/>
        <v>-0.1212158256677823</v>
      </c>
      <c r="JZ123" s="16">
        <f t="shared" si="150"/>
        <v>1.2415510734933055</v>
      </c>
      <c r="KA123" s="16">
        <f t="shared" si="150"/>
        <v>-0.11902746200592311</v>
      </c>
      <c r="KB123" s="16">
        <f t="shared" si="150"/>
        <v>0</v>
      </c>
      <c r="KC123" s="16">
        <f t="shared" si="150"/>
        <v>0</v>
      </c>
      <c r="KD123" s="16">
        <f t="shared" si="150"/>
        <v>0</v>
      </c>
      <c r="KE123" s="16">
        <f t="shared" si="150"/>
        <v>0</v>
      </c>
      <c r="KF123" s="16">
        <f t="shared" si="150"/>
        <v>0</v>
      </c>
      <c r="KG123" s="16">
        <f t="shared" si="150"/>
        <v>0</v>
      </c>
      <c r="KH123" s="16">
        <f t="shared" si="150"/>
        <v>0</v>
      </c>
      <c r="KK123" s="9">
        <f t="shared" si="123"/>
        <v>8</v>
      </c>
      <c r="KL123" s="16">
        <f t="shared" si="151"/>
        <v>0</v>
      </c>
      <c r="KM123" s="16">
        <f t="shared" si="151"/>
        <v>0</v>
      </c>
      <c r="KN123" s="16">
        <f t="shared" si="151"/>
        <v>0</v>
      </c>
      <c r="KO123" s="16">
        <f t="shared" si="151"/>
        <v>0</v>
      </c>
      <c r="KP123" s="16">
        <f t="shared" si="151"/>
        <v>0</v>
      </c>
      <c r="KQ123" s="16">
        <f t="shared" si="151"/>
        <v>0</v>
      </c>
      <c r="KR123" s="16">
        <f t="shared" si="151"/>
        <v>0</v>
      </c>
      <c r="KS123" s="16">
        <f t="shared" si="151"/>
        <v>0</v>
      </c>
      <c r="KT123" s="16">
        <f t="shared" si="151"/>
        <v>0</v>
      </c>
      <c r="KU123" s="16">
        <f t="shared" si="151"/>
        <v>0</v>
      </c>
      <c r="KV123" s="16">
        <f t="shared" si="152"/>
        <v>0</v>
      </c>
      <c r="KW123" s="16">
        <f t="shared" si="152"/>
        <v>-1.5365511177430949E-2</v>
      </c>
      <c r="KX123" s="16">
        <f t="shared" si="152"/>
        <v>1.0306193989046788</v>
      </c>
      <c r="KY123" s="16">
        <f t="shared" si="152"/>
        <v>-1.5088110713247843E-2</v>
      </c>
      <c r="KZ123" s="16">
        <f t="shared" si="152"/>
        <v>0</v>
      </c>
      <c r="LA123" s="16">
        <f t="shared" si="152"/>
        <v>0</v>
      </c>
      <c r="LB123" s="16">
        <f t="shared" si="152"/>
        <v>0</v>
      </c>
      <c r="LC123" s="16">
        <f t="shared" si="152"/>
        <v>0</v>
      </c>
      <c r="LD123" s="16">
        <f t="shared" si="152"/>
        <v>0</v>
      </c>
      <c r="LE123" s="16">
        <f t="shared" si="152"/>
        <v>0</v>
      </c>
      <c r="LF123" s="16">
        <f t="shared" si="152"/>
        <v>0</v>
      </c>
      <c r="LI123" s="9">
        <f t="shared" si="124"/>
        <v>8</v>
      </c>
      <c r="LJ123" s="16">
        <f t="shared" si="153"/>
        <v>0</v>
      </c>
      <c r="LK123" s="16">
        <f t="shared" si="153"/>
        <v>0</v>
      </c>
      <c r="LL123" s="16">
        <f t="shared" si="153"/>
        <v>0</v>
      </c>
      <c r="LM123" s="16">
        <f t="shared" si="153"/>
        <v>0</v>
      </c>
      <c r="LN123" s="16">
        <f t="shared" si="153"/>
        <v>0</v>
      </c>
      <c r="LO123" s="16">
        <f t="shared" si="153"/>
        <v>0</v>
      </c>
      <c r="LP123" s="16">
        <f t="shared" si="153"/>
        <v>0</v>
      </c>
      <c r="LQ123" s="16">
        <f t="shared" si="153"/>
        <v>0</v>
      </c>
      <c r="LR123" s="16">
        <f t="shared" si="153"/>
        <v>0</v>
      </c>
      <c r="LS123" s="16">
        <f t="shared" si="153"/>
        <v>0</v>
      </c>
      <c r="LT123" s="16">
        <f t="shared" si="154"/>
        <v>0</v>
      </c>
      <c r="LU123" s="16">
        <f t="shared" si="154"/>
        <v>-0.12121527175605996</v>
      </c>
      <c r="LV123" s="16">
        <f t="shared" si="154"/>
        <v>1.2415499696937775</v>
      </c>
      <c r="LW123" s="16">
        <f t="shared" si="154"/>
        <v>-0.11902691809421749</v>
      </c>
      <c r="LX123" s="16">
        <f t="shared" si="154"/>
        <v>0</v>
      </c>
      <c r="LY123" s="16">
        <f t="shared" si="154"/>
        <v>0</v>
      </c>
      <c r="LZ123" s="16">
        <f t="shared" si="154"/>
        <v>0</v>
      </c>
      <c r="MA123" s="16">
        <f t="shared" si="154"/>
        <v>0</v>
      </c>
      <c r="MB123" s="16">
        <f t="shared" si="154"/>
        <v>0</v>
      </c>
      <c r="MC123" s="16">
        <f t="shared" si="154"/>
        <v>0</v>
      </c>
      <c r="MD123" s="16">
        <f t="shared" si="154"/>
        <v>0</v>
      </c>
      <c r="MG123" s="9">
        <f t="shared" si="125"/>
        <v>8</v>
      </c>
      <c r="MH123" s="16">
        <f t="shared" si="155"/>
        <v>0</v>
      </c>
      <c r="MI123" s="16">
        <f t="shared" si="155"/>
        <v>0</v>
      </c>
      <c r="MJ123" s="16">
        <f t="shared" si="155"/>
        <v>0</v>
      </c>
      <c r="MK123" s="16">
        <f t="shared" si="155"/>
        <v>0</v>
      </c>
      <c r="ML123" s="16">
        <f t="shared" si="155"/>
        <v>0</v>
      </c>
      <c r="MM123" s="16">
        <f t="shared" si="155"/>
        <v>0</v>
      </c>
      <c r="MN123" s="16">
        <f t="shared" si="155"/>
        <v>0</v>
      </c>
      <c r="MO123" s="16">
        <f t="shared" si="155"/>
        <v>0</v>
      </c>
      <c r="MP123" s="16">
        <f t="shared" si="155"/>
        <v>0</v>
      </c>
      <c r="MQ123" s="16">
        <f t="shared" si="155"/>
        <v>0</v>
      </c>
      <c r="MR123" s="16">
        <f t="shared" si="156"/>
        <v>0</v>
      </c>
      <c r="MS123" s="16">
        <f t="shared" si="156"/>
        <v>-1.688322929661484E-2</v>
      </c>
      <c r="MT123" s="16">
        <f t="shared" si="156"/>
        <v>1.0336438096111973</v>
      </c>
      <c r="MU123" s="16">
        <f t="shared" si="156"/>
        <v>-1.6578428786582357E-2</v>
      </c>
      <c r="MV123" s="16">
        <f t="shared" si="156"/>
        <v>0</v>
      </c>
      <c r="MW123" s="16">
        <f t="shared" si="156"/>
        <v>0</v>
      </c>
      <c r="MX123" s="16">
        <f t="shared" si="156"/>
        <v>0</v>
      </c>
      <c r="MY123" s="16">
        <f t="shared" si="156"/>
        <v>0</v>
      </c>
      <c r="MZ123" s="16">
        <f t="shared" si="156"/>
        <v>0</v>
      </c>
      <c r="NA123" s="16">
        <f t="shared" si="156"/>
        <v>0</v>
      </c>
      <c r="NB123" s="16">
        <f t="shared" si="156"/>
        <v>0</v>
      </c>
      <c r="NE123" s="9">
        <f t="shared" si="126"/>
        <v>8</v>
      </c>
      <c r="NF123" s="16">
        <f t="shared" si="157"/>
        <v>0</v>
      </c>
      <c r="NG123" s="16">
        <f t="shared" si="157"/>
        <v>0</v>
      </c>
      <c r="NH123" s="16">
        <f t="shared" si="157"/>
        <v>0</v>
      </c>
      <c r="NI123" s="16">
        <f t="shared" si="157"/>
        <v>0</v>
      </c>
      <c r="NJ123" s="16">
        <f t="shared" si="157"/>
        <v>0</v>
      </c>
      <c r="NK123" s="16">
        <f t="shared" si="157"/>
        <v>0</v>
      </c>
      <c r="NL123" s="16">
        <f t="shared" si="157"/>
        <v>0</v>
      </c>
      <c r="NM123" s="16">
        <f t="shared" si="157"/>
        <v>0</v>
      </c>
      <c r="NN123" s="16">
        <f t="shared" si="157"/>
        <v>0</v>
      </c>
      <c r="NO123" s="16">
        <f t="shared" si="157"/>
        <v>0</v>
      </c>
      <c r="NP123" s="16">
        <f t="shared" si="158"/>
        <v>0</v>
      </c>
      <c r="NQ123" s="16">
        <f t="shared" si="158"/>
        <v>-0.12121527175605996</v>
      </c>
      <c r="NR123" s="16">
        <f t="shared" si="158"/>
        <v>1.2415499696937775</v>
      </c>
      <c r="NS123" s="16">
        <f t="shared" si="158"/>
        <v>-0.11902691809421749</v>
      </c>
      <c r="NT123" s="16">
        <f t="shared" si="158"/>
        <v>0</v>
      </c>
      <c r="NU123" s="16">
        <f t="shared" si="158"/>
        <v>0</v>
      </c>
      <c r="NV123" s="16">
        <f t="shared" si="158"/>
        <v>0</v>
      </c>
      <c r="NW123" s="16">
        <f t="shared" si="158"/>
        <v>0</v>
      </c>
      <c r="NX123" s="16">
        <f t="shared" si="158"/>
        <v>0</v>
      </c>
      <c r="NY123" s="16">
        <f t="shared" si="158"/>
        <v>0</v>
      </c>
      <c r="NZ123" s="16">
        <f t="shared" si="158"/>
        <v>0</v>
      </c>
      <c r="OC123" s="9">
        <f t="shared" si="127"/>
        <v>8</v>
      </c>
      <c r="OD123" s="16">
        <f t="shared" si="159"/>
        <v>0</v>
      </c>
      <c r="OE123" s="16">
        <f t="shared" si="159"/>
        <v>0</v>
      </c>
      <c r="OF123" s="16">
        <f t="shared" si="159"/>
        <v>0</v>
      </c>
      <c r="OG123" s="16">
        <f t="shared" si="159"/>
        <v>0</v>
      </c>
      <c r="OH123" s="16">
        <f t="shared" si="159"/>
        <v>0</v>
      </c>
      <c r="OI123" s="16">
        <f t="shared" si="159"/>
        <v>0</v>
      </c>
      <c r="OJ123" s="16">
        <f t="shared" si="159"/>
        <v>0</v>
      </c>
      <c r="OK123" s="16">
        <f t="shared" si="159"/>
        <v>0</v>
      </c>
      <c r="OL123" s="16">
        <f t="shared" si="159"/>
        <v>0</v>
      </c>
      <c r="OM123" s="16">
        <f t="shared" si="159"/>
        <v>0</v>
      </c>
      <c r="ON123" s="16">
        <f t="shared" si="160"/>
        <v>0</v>
      </c>
      <c r="OO123" s="16">
        <f t="shared" si="160"/>
        <v>-1.8400393504076368E-2</v>
      </c>
      <c r="OP123" s="16">
        <f t="shared" si="160"/>
        <v>1.0366671165181875</v>
      </c>
      <c r="OQ123" s="16">
        <f t="shared" si="160"/>
        <v>-1.8068202948211244E-2</v>
      </c>
      <c r="OR123" s="16">
        <f t="shared" si="160"/>
        <v>0</v>
      </c>
      <c r="OS123" s="16">
        <f t="shared" si="160"/>
        <v>0</v>
      </c>
      <c r="OT123" s="16">
        <f t="shared" si="160"/>
        <v>0</v>
      </c>
      <c r="OU123" s="16">
        <f t="shared" si="160"/>
        <v>0</v>
      </c>
      <c r="OV123" s="16">
        <f t="shared" si="160"/>
        <v>0</v>
      </c>
      <c r="OW123" s="16">
        <f t="shared" si="160"/>
        <v>0</v>
      </c>
      <c r="OX123" s="16">
        <f t="shared" si="160"/>
        <v>0</v>
      </c>
      <c r="PA123" s="9">
        <f t="shared" si="128"/>
        <v>8</v>
      </c>
      <c r="PB123" s="16">
        <f t="shared" si="161"/>
        <v>0</v>
      </c>
      <c r="PC123" s="16">
        <f t="shared" si="161"/>
        <v>0</v>
      </c>
      <c r="PD123" s="16">
        <f t="shared" si="161"/>
        <v>0</v>
      </c>
      <c r="PE123" s="16">
        <f t="shared" si="161"/>
        <v>0</v>
      </c>
      <c r="PF123" s="16">
        <f t="shared" si="161"/>
        <v>0</v>
      </c>
      <c r="PG123" s="16">
        <f t="shared" si="161"/>
        <v>0</v>
      </c>
      <c r="PH123" s="16">
        <f t="shared" si="161"/>
        <v>0</v>
      </c>
      <c r="PI123" s="16">
        <f t="shared" si="161"/>
        <v>0</v>
      </c>
      <c r="PJ123" s="16">
        <f t="shared" si="161"/>
        <v>0</v>
      </c>
      <c r="PK123" s="16">
        <f t="shared" si="161"/>
        <v>0</v>
      </c>
      <c r="PL123" s="16">
        <f t="shared" si="162"/>
        <v>0</v>
      </c>
      <c r="PM123" s="16">
        <f t="shared" si="162"/>
        <v>-0.12121028655055899</v>
      </c>
      <c r="PN123" s="16">
        <f t="shared" si="162"/>
        <v>1.2415400354980262</v>
      </c>
      <c r="PO123" s="16">
        <f t="shared" si="162"/>
        <v>-0.11902202288886712</v>
      </c>
      <c r="PP123" s="16">
        <f t="shared" si="162"/>
        <v>0</v>
      </c>
      <c r="PQ123" s="16">
        <f t="shared" si="162"/>
        <v>0</v>
      </c>
      <c r="PR123" s="16">
        <f t="shared" si="162"/>
        <v>0</v>
      </c>
      <c r="PS123" s="16">
        <f t="shared" si="162"/>
        <v>0</v>
      </c>
      <c r="PT123" s="16">
        <f t="shared" si="162"/>
        <v>0</v>
      </c>
      <c r="PU123" s="16">
        <f t="shared" si="162"/>
        <v>0</v>
      </c>
      <c r="PV123" s="16">
        <f t="shared" si="162"/>
        <v>0</v>
      </c>
    </row>
    <row r="124" spans="3:438" x14ac:dyDescent="0.25">
      <c r="C124" s="1"/>
      <c r="D124" s="1"/>
      <c r="F124" s="1"/>
      <c r="H124" s="1"/>
      <c r="I124" s="9">
        <f t="shared" si="111"/>
        <v>7</v>
      </c>
      <c r="J124" s="16">
        <f t="shared" si="110"/>
        <v>0</v>
      </c>
      <c r="K124" s="16">
        <f t="shared" si="110"/>
        <v>0</v>
      </c>
      <c r="L124" s="16">
        <f t="shared" si="110"/>
        <v>0</v>
      </c>
      <c r="M124" s="16">
        <f t="shared" si="110"/>
        <v>0</v>
      </c>
      <c r="N124" s="16">
        <f t="shared" si="110"/>
        <v>0</v>
      </c>
      <c r="O124" s="16">
        <f t="shared" si="110"/>
        <v>0</v>
      </c>
      <c r="P124" s="16">
        <f t="shared" si="110"/>
        <v>0</v>
      </c>
      <c r="Q124" s="16">
        <f t="shared" si="110"/>
        <v>0</v>
      </c>
      <c r="R124" s="16">
        <f t="shared" si="110"/>
        <v>0</v>
      </c>
      <c r="S124" s="16">
        <f t="shared" si="110"/>
        <v>0</v>
      </c>
      <c r="T124" s="16">
        <f t="shared" si="110"/>
        <v>0</v>
      </c>
      <c r="U124" s="16">
        <f t="shared" si="110"/>
        <v>0</v>
      </c>
      <c r="V124" s="16">
        <f t="shared" si="110"/>
        <v>-1.4650990332422835E-2</v>
      </c>
      <c r="W124" s="16">
        <f t="shared" si="110"/>
        <v>1.0291862729391783</v>
      </c>
      <c r="X124" s="16">
        <f t="shared" si="110"/>
        <v>-1.4363439851255386E-2</v>
      </c>
      <c r="Y124" s="16">
        <f t="shared" si="110"/>
        <v>0</v>
      </c>
      <c r="Z124" s="16">
        <f t="shared" si="163"/>
        <v>0</v>
      </c>
      <c r="AA124" s="16">
        <f t="shared" si="163"/>
        <v>0</v>
      </c>
      <c r="AB124" s="16">
        <f t="shared" si="163"/>
        <v>0</v>
      </c>
      <c r="AC124" s="16">
        <f t="shared" si="163"/>
        <v>0</v>
      </c>
      <c r="AD124" s="16">
        <f t="shared" si="163"/>
        <v>0</v>
      </c>
      <c r="AE124" s="1"/>
      <c r="AF124" s="1"/>
      <c r="AG124" s="9">
        <f t="shared" si="112"/>
        <v>7</v>
      </c>
      <c r="AH124" s="16">
        <f t="shared" si="129"/>
        <v>0</v>
      </c>
      <c r="AI124" s="16">
        <f t="shared" si="129"/>
        <v>0</v>
      </c>
      <c r="AJ124" s="16">
        <f t="shared" si="129"/>
        <v>0</v>
      </c>
      <c r="AK124" s="16">
        <f t="shared" si="129"/>
        <v>0</v>
      </c>
      <c r="AL124" s="16">
        <f t="shared" si="129"/>
        <v>0</v>
      </c>
      <c r="AM124" s="16">
        <f t="shared" si="129"/>
        <v>0</v>
      </c>
      <c r="AN124" s="16">
        <f t="shared" si="129"/>
        <v>0</v>
      </c>
      <c r="AO124" s="16">
        <f t="shared" si="129"/>
        <v>0</v>
      </c>
      <c r="AP124" s="16">
        <f t="shared" si="129"/>
        <v>0</v>
      </c>
      <c r="AQ124" s="16">
        <f t="shared" si="129"/>
        <v>0</v>
      </c>
      <c r="AR124" s="16">
        <f t="shared" si="130"/>
        <v>0</v>
      </c>
      <c r="AS124" s="16">
        <f t="shared" si="130"/>
        <v>0</v>
      </c>
      <c r="AT124" s="16">
        <f t="shared" si="130"/>
        <v>-0.11726906398575764</v>
      </c>
      <c r="AU124" s="16">
        <f t="shared" si="130"/>
        <v>1.2336119832961676</v>
      </c>
      <c r="AV124" s="16">
        <f t="shared" si="130"/>
        <v>-0.11496746013441003</v>
      </c>
      <c r="AW124" s="16">
        <f t="shared" si="130"/>
        <v>0</v>
      </c>
      <c r="AX124" s="16">
        <f t="shared" si="130"/>
        <v>0</v>
      </c>
      <c r="AY124" s="16">
        <f t="shared" si="130"/>
        <v>0</v>
      </c>
      <c r="AZ124" s="16">
        <f t="shared" si="130"/>
        <v>0</v>
      </c>
      <c r="BA124" s="16">
        <f t="shared" si="130"/>
        <v>0</v>
      </c>
      <c r="BB124" s="16">
        <f t="shared" si="130"/>
        <v>0</v>
      </c>
      <c r="BE124" s="9">
        <f t="shared" si="113"/>
        <v>7</v>
      </c>
      <c r="BF124" s="16">
        <f t="shared" si="131"/>
        <v>0</v>
      </c>
      <c r="BG124" s="16">
        <f t="shared" si="131"/>
        <v>0</v>
      </c>
      <c r="BH124" s="16">
        <f t="shared" si="131"/>
        <v>0</v>
      </c>
      <c r="BI124" s="16">
        <f t="shared" si="131"/>
        <v>0</v>
      </c>
      <c r="BJ124" s="16">
        <f t="shared" si="131"/>
        <v>0</v>
      </c>
      <c r="BK124" s="16">
        <f t="shared" si="131"/>
        <v>0</v>
      </c>
      <c r="BL124" s="16">
        <f t="shared" si="131"/>
        <v>0</v>
      </c>
      <c r="BM124" s="16">
        <f t="shared" si="131"/>
        <v>0</v>
      </c>
      <c r="BN124" s="16">
        <f t="shared" si="131"/>
        <v>0</v>
      </c>
      <c r="BO124" s="16">
        <f t="shared" si="131"/>
        <v>0</v>
      </c>
      <c r="BP124" s="16">
        <f t="shared" si="132"/>
        <v>0</v>
      </c>
      <c r="BQ124" s="16">
        <f t="shared" si="132"/>
        <v>0</v>
      </c>
      <c r="BR124" s="16">
        <f t="shared" si="132"/>
        <v>-0.11725377865416399</v>
      </c>
      <c r="BS124" s="16">
        <f t="shared" si="132"/>
        <v>1.2335815333504823</v>
      </c>
      <c r="BT124" s="16">
        <f t="shared" si="132"/>
        <v>-0.11495247480331838</v>
      </c>
      <c r="BU124" s="16">
        <f t="shared" si="132"/>
        <v>0</v>
      </c>
      <c r="BV124" s="16">
        <f t="shared" si="132"/>
        <v>0</v>
      </c>
      <c r="BW124" s="16">
        <f t="shared" si="132"/>
        <v>0</v>
      </c>
      <c r="BX124" s="16">
        <f t="shared" si="132"/>
        <v>0</v>
      </c>
      <c r="BY124" s="16">
        <f t="shared" si="132"/>
        <v>0</v>
      </c>
      <c r="BZ124" s="16">
        <f t="shared" si="132"/>
        <v>0</v>
      </c>
      <c r="CC124" s="9">
        <f t="shared" si="114"/>
        <v>7</v>
      </c>
      <c r="CD124" s="16">
        <f t="shared" si="133"/>
        <v>0</v>
      </c>
      <c r="CE124" s="16">
        <f t="shared" si="133"/>
        <v>0</v>
      </c>
      <c r="CF124" s="16">
        <f t="shared" si="133"/>
        <v>0</v>
      </c>
      <c r="CG124" s="16">
        <f t="shared" si="133"/>
        <v>0</v>
      </c>
      <c r="CH124" s="16">
        <f t="shared" si="133"/>
        <v>0</v>
      </c>
      <c r="CI124" s="16">
        <f t="shared" si="133"/>
        <v>0</v>
      </c>
      <c r="CJ124" s="16">
        <f t="shared" si="133"/>
        <v>0</v>
      </c>
      <c r="CK124" s="16">
        <f t="shared" si="133"/>
        <v>0</v>
      </c>
      <c r="CL124" s="16">
        <f t="shared" si="133"/>
        <v>0</v>
      </c>
      <c r="CM124" s="16">
        <f t="shared" si="133"/>
        <v>0</v>
      </c>
      <c r="CN124" s="16">
        <f t="shared" si="134"/>
        <v>0</v>
      </c>
      <c r="CO124" s="16">
        <f t="shared" si="134"/>
        <v>0</v>
      </c>
      <c r="CP124" s="16">
        <f t="shared" si="134"/>
        <v>-0.11725377865416364</v>
      </c>
      <c r="CQ124" s="16">
        <f t="shared" si="134"/>
        <v>1.2335815333504816</v>
      </c>
      <c r="CR124" s="16">
        <f t="shared" si="134"/>
        <v>-0.11495247480331805</v>
      </c>
      <c r="CS124" s="16">
        <f t="shared" si="134"/>
        <v>0</v>
      </c>
      <c r="CT124" s="16">
        <f t="shared" si="134"/>
        <v>0</v>
      </c>
      <c r="CU124" s="16">
        <f t="shared" si="134"/>
        <v>0</v>
      </c>
      <c r="CV124" s="16">
        <f t="shared" si="134"/>
        <v>0</v>
      </c>
      <c r="CW124" s="16">
        <f t="shared" si="134"/>
        <v>0</v>
      </c>
      <c r="CX124" s="16">
        <f t="shared" si="134"/>
        <v>0</v>
      </c>
      <c r="DA124" s="9">
        <f t="shared" si="115"/>
        <v>7</v>
      </c>
      <c r="DB124" s="16">
        <f t="shared" si="135"/>
        <v>0</v>
      </c>
      <c r="DC124" s="16">
        <f t="shared" si="135"/>
        <v>0</v>
      </c>
      <c r="DD124" s="16">
        <f t="shared" si="135"/>
        <v>0</v>
      </c>
      <c r="DE124" s="16">
        <f t="shared" si="135"/>
        <v>0</v>
      </c>
      <c r="DF124" s="16">
        <f t="shared" si="135"/>
        <v>0</v>
      </c>
      <c r="DG124" s="16">
        <f t="shared" si="135"/>
        <v>0</v>
      </c>
      <c r="DH124" s="16">
        <f t="shared" si="135"/>
        <v>0</v>
      </c>
      <c r="DI124" s="16">
        <f t="shared" si="135"/>
        <v>0</v>
      </c>
      <c r="DJ124" s="16">
        <f t="shared" si="135"/>
        <v>0</v>
      </c>
      <c r="DK124" s="16">
        <f t="shared" si="135"/>
        <v>0</v>
      </c>
      <c r="DL124" s="16">
        <f t="shared" si="136"/>
        <v>0</v>
      </c>
      <c r="DM124" s="16">
        <f t="shared" si="136"/>
        <v>0</v>
      </c>
      <c r="DN124" s="16">
        <f t="shared" si="136"/>
        <v>-1.4658632998219833E-2</v>
      </c>
      <c r="DO124" s="16">
        <f t="shared" si="136"/>
        <v>1.0292014979120212</v>
      </c>
      <c r="DP124" s="16">
        <f t="shared" si="136"/>
        <v>-1.4370932516801379E-2</v>
      </c>
      <c r="DQ124" s="16">
        <f t="shared" si="136"/>
        <v>0</v>
      </c>
      <c r="DR124" s="16">
        <f t="shared" si="136"/>
        <v>0</v>
      </c>
      <c r="DS124" s="16">
        <f t="shared" si="136"/>
        <v>0</v>
      </c>
      <c r="DT124" s="16">
        <f t="shared" si="136"/>
        <v>0</v>
      </c>
      <c r="DU124" s="16">
        <f t="shared" si="136"/>
        <v>0</v>
      </c>
      <c r="DV124" s="16">
        <f t="shared" si="136"/>
        <v>0</v>
      </c>
      <c r="DY124" s="9">
        <f t="shared" si="116"/>
        <v>7</v>
      </c>
      <c r="DZ124" s="16">
        <f t="shared" si="137"/>
        <v>0</v>
      </c>
      <c r="EA124" s="16">
        <f t="shared" si="137"/>
        <v>0</v>
      </c>
      <c r="EB124" s="16">
        <f t="shared" si="137"/>
        <v>0</v>
      </c>
      <c r="EC124" s="16">
        <f t="shared" si="137"/>
        <v>0</v>
      </c>
      <c r="ED124" s="16">
        <f t="shared" si="137"/>
        <v>0</v>
      </c>
      <c r="EE124" s="16">
        <f t="shared" si="137"/>
        <v>0</v>
      </c>
      <c r="EF124" s="16">
        <f t="shared" si="137"/>
        <v>0</v>
      </c>
      <c r="EG124" s="16">
        <f t="shared" si="137"/>
        <v>0</v>
      </c>
      <c r="EH124" s="16">
        <f t="shared" si="137"/>
        <v>0</v>
      </c>
      <c r="EI124" s="16">
        <f t="shared" si="137"/>
        <v>0</v>
      </c>
      <c r="EJ124" s="16">
        <f t="shared" si="138"/>
        <v>0</v>
      </c>
      <c r="EK124" s="16">
        <f t="shared" si="138"/>
        <v>0</v>
      </c>
      <c r="EL124" s="16">
        <f t="shared" si="138"/>
        <v>-8.5364687081658064E-2</v>
      </c>
      <c r="EM124" s="16">
        <f t="shared" si="138"/>
        <v>1.1698033502054705</v>
      </c>
      <c r="EN124" s="16">
        <f t="shared" si="138"/>
        <v>-8.3063383230812457E-2</v>
      </c>
      <c r="EO124" s="16">
        <f t="shared" si="138"/>
        <v>0</v>
      </c>
      <c r="EP124" s="16">
        <f t="shared" si="138"/>
        <v>0</v>
      </c>
      <c r="EQ124" s="16">
        <f t="shared" si="138"/>
        <v>0</v>
      </c>
      <c r="ER124" s="16">
        <f t="shared" si="138"/>
        <v>0</v>
      </c>
      <c r="ES124" s="16">
        <f t="shared" si="138"/>
        <v>0</v>
      </c>
      <c r="ET124" s="16">
        <f t="shared" si="138"/>
        <v>0</v>
      </c>
      <c r="EW124" s="9">
        <f t="shared" si="117"/>
        <v>7</v>
      </c>
      <c r="EX124" s="16">
        <f t="shared" si="139"/>
        <v>0</v>
      </c>
      <c r="EY124" s="16">
        <f t="shared" si="139"/>
        <v>0</v>
      </c>
      <c r="EZ124" s="16">
        <f t="shared" si="139"/>
        <v>0</v>
      </c>
      <c r="FA124" s="16">
        <f t="shared" si="139"/>
        <v>0</v>
      </c>
      <c r="FB124" s="16">
        <f t="shared" si="139"/>
        <v>0</v>
      </c>
      <c r="FC124" s="16">
        <f t="shared" si="139"/>
        <v>0</v>
      </c>
      <c r="FD124" s="16">
        <f t="shared" si="139"/>
        <v>0</v>
      </c>
      <c r="FE124" s="16">
        <f t="shared" si="139"/>
        <v>0</v>
      </c>
      <c r="FF124" s="16">
        <f t="shared" si="139"/>
        <v>0</v>
      </c>
      <c r="FG124" s="16">
        <f t="shared" si="139"/>
        <v>0</v>
      </c>
      <c r="FH124" s="16">
        <f t="shared" si="140"/>
        <v>0</v>
      </c>
      <c r="FI124" s="16">
        <f t="shared" si="140"/>
        <v>0</v>
      </c>
      <c r="FJ124" s="16">
        <f t="shared" si="140"/>
        <v>-8.5364687081658314E-2</v>
      </c>
      <c r="FK124" s="16">
        <f t="shared" si="140"/>
        <v>1.169803350205471</v>
      </c>
      <c r="FL124" s="16">
        <f t="shared" si="140"/>
        <v>-8.3063383230812707E-2</v>
      </c>
      <c r="FM124" s="16">
        <f t="shared" si="140"/>
        <v>0</v>
      </c>
      <c r="FN124" s="16">
        <f t="shared" si="140"/>
        <v>0</v>
      </c>
      <c r="FO124" s="16">
        <f t="shared" si="140"/>
        <v>0</v>
      </c>
      <c r="FP124" s="16">
        <f t="shared" si="140"/>
        <v>0</v>
      </c>
      <c r="FQ124" s="16">
        <f t="shared" si="140"/>
        <v>0</v>
      </c>
      <c r="FR124" s="16">
        <f t="shared" si="140"/>
        <v>0</v>
      </c>
      <c r="FU124" s="9">
        <f t="shared" si="118"/>
        <v>7</v>
      </c>
      <c r="FV124" s="16">
        <f t="shared" si="141"/>
        <v>0</v>
      </c>
      <c r="FW124" s="16">
        <f t="shared" si="141"/>
        <v>0</v>
      </c>
      <c r="FX124" s="16">
        <f t="shared" si="141"/>
        <v>0</v>
      </c>
      <c r="FY124" s="16">
        <f t="shared" si="141"/>
        <v>0</v>
      </c>
      <c r="FZ124" s="16">
        <f t="shared" si="141"/>
        <v>0</v>
      </c>
      <c r="GA124" s="16">
        <f t="shared" si="141"/>
        <v>0</v>
      </c>
      <c r="GB124" s="16">
        <f t="shared" si="141"/>
        <v>0</v>
      </c>
      <c r="GC124" s="16">
        <f t="shared" si="141"/>
        <v>0</v>
      </c>
      <c r="GD124" s="16">
        <f t="shared" si="141"/>
        <v>0</v>
      </c>
      <c r="GE124" s="16">
        <f t="shared" si="141"/>
        <v>0</v>
      </c>
      <c r="GF124" s="16">
        <f t="shared" si="142"/>
        <v>0</v>
      </c>
      <c r="GG124" s="16">
        <f t="shared" si="142"/>
        <v>0</v>
      </c>
      <c r="GH124" s="16">
        <f t="shared" si="142"/>
        <v>-8.5375815316188403E-2</v>
      </c>
      <c r="GI124" s="16">
        <f t="shared" si="142"/>
        <v>1.1698254859570292</v>
      </c>
      <c r="GJ124" s="16">
        <f t="shared" si="142"/>
        <v>-8.30742114648408E-2</v>
      </c>
      <c r="GK124" s="16">
        <f t="shared" si="142"/>
        <v>0</v>
      </c>
      <c r="GL124" s="16">
        <f t="shared" si="142"/>
        <v>0</v>
      </c>
      <c r="GM124" s="16">
        <f t="shared" si="142"/>
        <v>0</v>
      </c>
      <c r="GN124" s="16">
        <f t="shared" si="142"/>
        <v>0</v>
      </c>
      <c r="GO124" s="16">
        <f t="shared" si="142"/>
        <v>0</v>
      </c>
      <c r="GP124" s="16">
        <f t="shared" si="142"/>
        <v>0</v>
      </c>
      <c r="GS124" s="9">
        <f t="shared" si="119"/>
        <v>7</v>
      </c>
      <c r="GT124" s="16">
        <f t="shared" si="143"/>
        <v>0</v>
      </c>
      <c r="GU124" s="16">
        <f t="shared" si="143"/>
        <v>0</v>
      </c>
      <c r="GV124" s="16">
        <f t="shared" si="143"/>
        <v>0</v>
      </c>
      <c r="GW124" s="16">
        <f t="shared" si="143"/>
        <v>0</v>
      </c>
      <c r="GX124" s="16">
        <f t="shared" si="143"/>
        <v>0</v>
      </c>
      <c r="GY124" s="16">
        <f t="shared" si="143"/>
        <v>0</v>
      </c>
      <c r="GZ124" s="16">
        <f t="shared" si="143"/>
        <v>0</v>
      </c>
      <c r="HA124" s="16">
        <f t="shared" si="143"/>
        <v>0</v>
      </c>
      <c r="HB124" s="16">
        <f t="shared" si="143"/>
        <v>0</v>
      </c>
      <c r="HC124" s="16">
        <f t="shared" si="143"/>
        <v>0</v>
      </c>
      <c r="HD124" s="16">
        <f t="shared" si="144"/>
        <v>0</v>
      </c>
      <c r="HE124" s="16">
        <f t="shared" si="144"/>
        <v>0</v>
      </c>
      <c r="HF124" s="16">
        <f t="shared" si="144"/>
        <v>-1.8478433437504146E-2</v>
      </c>
      <c r="HG124" s="16">
        <f t="shared" si="144"/>
        <v>1.0367564154629365</v>
      </c>
      <c r="HH124" s="16">
        <f t="shared" si="144"/>
        <v>-1.7980282603932363E-2</v>
      </c>
      <c r="HI124" s="16">
        <f t="shared" si="144"/>
        <v>0</v>
      </c>
      <c r="HJ124" s="16">
        <f t="shared" si="144"/>
        <v>0</v>
      </c>
      <c r="HK124" s="16">
        <f t="shared" si="144"/>
        <v>0</v>
      </c>
      <c r="HL124" s="16">
        <f t="shared" si="144"/>
        <v>0</v>
      </c>
      <c r="HM124" s="16">
        <f t="shared" si="144"/>
        <v>0</v>
      </c>
      <c r="HN124" s="16">
        <f t="shared" si="144"/>
        <v>0</v>
      </c>
      <c r="HQ124" s="9">
        <f t="shared" si="120"/>
        <v>7</v>
      </c>
      <c r="HR124" s="16">
        <f t="shared" si="145"/>
        <v>0</v>
      </c>
      <c r="HS124" s="16">
        <f t="shared" si="145"/>
        <v>0</v>
      </c>
      <c r="HT124" s="16">
        <f t="shared" si="145"/>
        <v>0</v>
      </c>
      <c r="HU124" s="16">
        <f t="shared" si="145"/>
        <v>0</v>
      </c>
      <c r="HV124" s="16">
        <f t="shared" si="145"/>
        <v>0</v>
      </c>
      <c r="HW124" s="16">
        <f t="shared" si="145"/>
        <v>0</v>
      </c>
      <c r="HX124" s="16">
        <f t="shared" si="145"/>
        <v>0</v>
      </c>
      <c r="HY124" s="16">
        <f t="shared" si="145"/>
        <v>0</v>
      </c>
      <c r="HZ124" s="16">
        <f t="shared" si="145"/>
        <v>0</v>
      </c>
      <c r="IA124" s="16">
        <f t="shared" si="145"/>
        <v>0</v>
      </c>
      <c r="IB124" s="16">
        <f t="shared" si="146"/>
        <v>0</v>
      </c>
      <c r="IC124" s="16">
        <f t="shared" si="146"/>
        <v>0</v>
      </c>
      <c r="ID124" s="16">
        <f t="shared" si="146"/>
        <v>-0.12176514223015307</v>
      </c>
      <c r="IE124" s="16">
        <f t="shared" si="146"/>
        <v>1.2422093935534171</v>
      </c>
      <c r="IF124" s="16">
        <f t="shared" si="146"/>
        <v>-0.11848253673726393</v>
      </c>
      <c r="IG124" s="16">
        <f t="shared" si="146"/>
        <v>0</v>
      </c>
      <c r="IH124" s="16">
        <f t="shared" si="146"/>
        <v>0</v>
      </c>
      <c r="II124" s="16">
        <f t="shared" si="146"/>
        <v>0</v>
      </c>
      <c r="IJ124" s="16">
        <f t="shared" si="146"/>
        <v>0</v>
      </c>
      <c r="IK124" s="16">
        <f t="shared" si="146"/>
        <v>0</v>
      </c>
      <c r="IL124" s="16">
        <f t="shared" si="146"/>
        <v>0</v>
      </c>
      <c r="IO124" s="9">
        <f t="shared" si="121"/>
        <v>7</v>
      </c>
      <c r="IP124" s="16">
        <f t="shared" si="147"/>
        <v>0</v>
      </c>
      <c r="IQ124" s="16">
        <f t="shared" si="147"/>
        <v>0</v>
      </c>
      <c r="IR124" s="16">
        <f t="shared" si="147"/>
        <v>0</v>
      </c>
      <c r="IS124" s="16">
        <f t="shared" si="147"/>
        <v>0</v>
      </c>
      <c r="IT124" s="16">
        <f t="shared" si="147"/>
        <v>0</v>
      </c>
      <c r="IU124" s="16">
        <f t="shared" si="147"/>
        <v>0</v>
      </c>
      <c r="IV124" s="16">
        <f t="shared" si="147"/>
        <v>0</v>
      </c>
      <c r="IW124" s="16">
        <f t="shared" si="147"/>
        <v>0</v>
      </c>
      <c r="IX124" s="16">
        <f t="shared" si="147"/>
        <v>0</v>
      </c>
      <c r="IY124" s="16">
        <f t="shared" si="147"/>
        <v>0</v>
      </c>
      <c r="IZ124" s="16">
        <f t="shared" si="148"/>
        <v>0</v>
      </c>
      <c r="JA124" s="16">
        <f t="shared" si="148"/>
        <v>0</v>
      </c>
      <c r="JB124" s="16">
        <f t="shared" si="148"/>
        <v>-1.8483441143042661E-2</v>
      </c>
      <c r="JC124" s="16">
        <f t="shared" si="148"/>
        <v>1.0367663765511377</v>
      </c>
      <c r="JD124" s="16">
        <f t="shared" si="148"/>
        <v>-1.798515530924498E-2</v>
      </c>
      <c r="JE124" s="16">
        <f t="shared" si="148"/>
        <v>0</v>
      </c>
      <c r="JF124" s="16">
        <f t="shared" si="148"/>
        <v>0</v>
      </c>
      <c r="JG124" s="16">
        <f t="shared" si="148"/>
        <v>0</v>
      </c>
      <c r="JH124" s="16">
        <f t="shared" si="148"/>
        <v>0</v>
      </c>
      <c r="JI124" s="16">
        <f t="shared" si="148"/>
        <v>0</v>
      </c>
      <c r="JJ124" s="16">
        <f t="shared" si="148"/>
        <v>0</v>
      </c>
      <c r="JM124" s="9">
        <f t="shared" si="122"/>
        <v>7</v>
      </c>
      <c r="JN124" s="16">
        <f t="shared" si="149"/>
        <v>0</v>
      </c>
      <c r="JO124" s="16">
        <f t="shared" si="149"/>
        <v>0</v>
      </c>
      <c r="JP124" s="16">
        <f t="shared" si="149"/>
        <v>0</v>
      </c>
      <c r="JQ124" s="16">
        <f t="shared" si="149"/>
        <v>0</v>
      </c>
      <c r="JR124" s="16">
        <f t="shared" si="149"/>
        <v>0</v>
      </c>
      <c r="JS124" s="16">
        <f t="shared" si="149"/>
        <v>0</v>
      </c>
      <c r="JT124" s="16">
        <f t="shared" si="149"/>
        <v>0</v>
      </c>
      <c r="JU124" s="16">
        <f t="shared" si="149"/>
        <v>0</v>
      </c>
      <c r="JV124" s="16">
        <f t="shared" si="149"/>
        <v>0</v>
      </c>
      <c r="JW124" s="16">
        <f t="shared" si="149"/>
        <v>0</v>
      </c>
      <c r="JX124" s="16">
        <f t="shared" si="150"/>
        <v>0</v>
      </c>
      <c r="JY124" s="16">
        <f t="shared" si="150"/>
        <v>0</v>
      </c>
      <c r="JZ124" s="16">
        <f t="shared" si="150"/>
        <v>-0.12176291658324707</v>
      </c>
      <c r="KA124" s="16">
        <f t="shared" si="150"/>
        <v>1.2422049664031054</v>
      </c>
      <c r="KB124" s="16">
        <f t="shared" si="150"/>
        <v>-0.11848037109045834</v>
      </c>
      <c r="KC124" s="16">
        <f t="shared" si="150"/>
        <v>0</v>
      </c>
      <c r="KD124" s="16">
        <f t="shared" si="150"/>
        <v>0</v>
      </c>
      <c r="KE124" s="16">
        <f t="shared" si="150"/>
        <v>0</v>
      </c>
      <c r="KF124" s="16">
        <f t="shared" si="150"/>
        <v>0</v>
      </c>
      <c r="KG124" s="16">
        <f t="shared" si="150"/>
        <v>0</v>
      </c>
      <c r="KH124" s="16">
        <f t="shared" si="150"/>
        <v>0</v>
      </c>
      <c r="KK124" s="9">
        <f t="shared" si="123"/>
        <v>7</v>
      </c>
      <c r="KL124" s="16">
        <f t="shared" si="151"/>
        <v>0</v>
      </c>
      <c r="KM124" s="16">
        <f t="shared" si="151"/>
        <v>0</v>
      </c>
      <c r="KN124" s="16">
        <f t="shared" si="151"/>
        <v>0</v>
      </c>
      <c r="KO124" s="16">
        <f t="shared" si="151"/>
        <v>0</v>
      </c>
      <c r="KP124" s="16">
        <f t="shared" si="151"/>
        <v>0</v>
      </c>
      <c r="KQ124" s="16">
        <f t="shared" si="151"/>
        <v>0</v>
      </c>
      <c r="KR124" s="16">
        <f t="shared" si="151"/>
        <v>0</v>
      </c>
      <c r="KS124" s="16">
        <f t="shared" si="151"/>
        <v>0</v>
      </c>
      <c r="KT124" s="16">
        <f t="shared" si="151"/>
        <v>0</v>
      </c>
      <c r="KU124" s="16">
        <f t="shared" si="151"/>
        <v>0</v>
      </c>
      <c r="KV124" s="16">
        <f t="shared" si="152"/>
        <v>0</v>
      </c>
      <c r="KW124" s="16">
        <f t="shared" si="152"/>
        <v>0</v>
      </c>
      <c r="KX124" s="16">
        <f t="shared" si="152"/>
        <v>-1.5434861293476721E-2</v>
      </c>
      <c r="KY124" s="16">
        <f t="shared" si="152"/>
        <v>1.0307022874116787</v>
      </c>
      <c r="KZ124" s="16">
        <f t="shared" si="152"/>
        <v>-1.501876059720207E-2</v>
      </c>
      <c r="LA124" s="16">
        <f t="shared" si="152"/>
        <v>0</v>
      </c>
      <c r="LB124" s="16">
        <f t="shared" si="152"/>
        <v>0</v>
      </c>
      <c r="LC124" s="16">
        <f t="shared" si="152"/>
        <v>0</v>
      </c>
      <c r="LD124" s="16">
        <f t="shared" si="152"/>
        <v>0</v>
      </c>
      <c r="LE124" s="16">
        <f t="shared" si="152"/>
        <v>0</v>
      </c>
      <c r="LF124" s="16">
        <f t="shared" si="152"/>
        <v>0</v>
      </c>
      <c r="LI124" s="9">
        <f t="shared" si="124"/>
        <v>7</v>
      </c>
      <c r="LJ124" s="16">
        <f t="shared" si="153"/>
        <v>0</v>
      </c>
      <c r="LK124" s="16">
        <f t="shared" si="153"/>
        <v>0</v>
      </c>
      <c r="LL124" s="16">
        <f t="shared" si="153"/>
        <v>0</v>
      </c>
      <c r="LM124" s="16">
        <f t="shared" si="153"/>
        <v>0</v>
      </c>
      <c r="LN124" s="16">
        <f t="shared" si="153"/>
        <v>0</v>
      </c>
      <c r="LO124" s="16">
        <f t="shared" si="153"/>
        <v>0</v>
      </c>
      <c r="LP124" s="16">
        <f t="shared" si="153"/>
        <v>0</v>
      </c>
      <c r="LQ124" s="16">
        <f t="shared" si="153"/>
        <v>0</v>
      </c>
      <c r="LR124" s="16">
        <f t="shared" si="153"/>
        <v>0</v>
      </c>
      <c r="LS124" s="16">
        <f t="shared" si="153"/>
        <v>0</v>
      </c>
      <c r="LT124" s="16">
        <f t="shared" si="154"/>
        <v>0</v>
      </c>
      <c r="LU124" s="16">
        <f t="shared" si="154"/>
        <v>0</v>
      </c>
      <c r="LV124" s="16">
        <f t="shared" si="154"/>
        <v>-0.12176236017152055</v>
      </c>
      <c r="LW124" s="16">
        <f t="shared" si="154"/>
        <v>1.2422038596155274</v>
      </c>
      <c r="LX124" s="16">
        <f t="shared" si="154"/>
        <v>-0.11847982967875691</v>
      </c>
      <c r="LY124" s="16">
        <f t="shared" si="154"/>
        <v>0</v>
      </c>
      <c r="LZ124" s="16">
        <f t="shared" si="154"/>
        <v>0</v>
      </c>
      <c r="MA124" s="16">
        <f t="shared" si="154"/>
        <v>0</v>
      </c>
      <c r="MB124" s="16">
        <f t="shared" si="154"/>
        <v>0</v>
      </c>
      <c r="MC124" s="16">
        <f t="shared" si="154"/>
        <v>0</v>
      </c>
      <c r="MD124" s="16">
        <f t="shared" si="154"/>
        <v>0</v>
      </c>
      <c r="MG124" s="9">
        <f t="shared" si="125"/>
        <v>7</v>
      </c>
      <c r="MH124" s="16">
        <f t="shared" si="155"/>
        <v>0</v>
      </c>
      <c r="MI124" s="16">
        <f t="shared" si="155"/>
        <v>0</v>
      </c>
      <c r="MJ124" s="16">
        <f t="shared" si="155"/>
        <v>0</v>
      </c>
      <c r="MK124" s="16">
        <f t="shared" si="155"/>
        <v>0</v>
      </c>
      <c r="ML124" s="16">
        <f t="shared" si="155"/>
        <v>0</v>
      </c>
      <c r="MM124" s="16">
        <f t="shared" si="155"/>
        <v>0</v>
      </c>
      <c r="MN124" s="16">
        <f t="shared" si="155"/>
        <v>0</v>
      </c>
      <c r="MO124" s="16">
        <f t="shared" si="155"/>
        <v>0</v>
      </c>
      <c r="MP124" s="16">
        <f t="shared" si="155"/>
        <v>0</v>
      </c>
      <c r="MQ124" s="16">
        <f t="shared" si="155"/>
        <v>0</v>
      </c>
      <c r="MR124" s="16">
        <f t="shared" si="156"/>
        <v>0</v>
      </c>
      <c r="MS124" s="16">
        <f t="shared" si="156"/>
        <v>0</v>
      </c>
      <c r="MT124" s="16">
        <f t="shared" si="156"/>
        <v>-1.6959429424122957E-2</v>
      </c>
      <c r="MU124" s="16">
        <f t="shared" si="156"/>
        <v>1.0337348853751971</v>
      </c>
      <c r="MV124" s="16">
        <f t="shared" si="156"/>
        <v>-1.650222865907424E-2</v>
      </c>
      <c r="MW124" s="16">
        <f t="shared" si="156"/>
        <v>0</v>
      </c>
      <c r="MX124" s="16">
        <f t="shared" si="156"/>
        <v>0</v>
      </c>
      <c r="MY124" s="16">
        <f t="shared" si="156"/>
        <v>0</v>
      </c>
      <c r="MZ124" s="16">
        <f t="shared" si="156"/>
        <v>0</v>
      </c>
      <c r="NA124" s="16">
        <f t="shared" si="156"/>
        <v>0</v>
      </c>
      <c r="NB124" s="16">
        <f t="shared" si="156"/>
        <v>0</v>
      </c>
      <c r="NE124" s="9">
        <f t="shared" si="126"/>
        <v>7</v>
      </c>
      <c r="NF124" s="16">
        <f t="shared" si="157"/>
        <v>0</v>
      </c>
      <c r="NG124" s="16">
        <f t="shared" si="157"/>
        <v>0</v>
      </c>
      <c r="NH124" s="16">
        <f t="shared" si="157"/>
        <v>0</v>
      </c>
      <c r="NI124" s="16">
        <f t="shared" si="157"/>
        <v>0</v>
      </c>
      <c r="NJ124" s="16">
        <f t="shared" si="157"/>
        <v>0</v>
      </c>
      <c r="NK124" s="16">
        <f t="shared" si="157"/>
        <v>0</v>
      </c>
      <c r="NL124" s="16">
        <f t="shared" si="157"/>
        <v>0</v>
      </c>
      <c r="NM124" s="16">
        <f t="shared" si="157"/>
        <v>0</v>
      </c>
      <c r="NN124" s="16">
        <f t="shared" si="157"/>
        <v>0</v>
      </c>
      <c r="NO124" s="16">
        <f t="shared" si="157"/>
        <v>0</v>
      </c>
      <c r="NP124" s="16">
        <f t="shared" si="158"/>
        <v>0</v>
      </c>
      <c r="NQ124" s="16">
        <f t="shared" si="158"/>
        <v>0</v>
      </c>
      <c r="NR124" s="16">
        <f t="shared" si="158"/>
        <v>-0.12176236017152055</v>
      </c>
      <c r="NS124" s="16">
        <f t="shared" si="158"/>
        <v>1.2422038596155274</v>
      </c>
      <c r="NT124" s="16">
        <f t="shared" si="158"/>
        <v>-0.11847982967875691</v>
      </c>
      <c r="NU124" s="16">
        <f t="shared" si="158"/>
        <v>0</v>
      </c>
      <c r="NV124" s="16">
        <f t="shared" si="158"/>
        <v>0</v>
      </c>
      <c r="NW124" s="16">
        <f t="shared" si="158"/>
        <v>0</v>
      </c>
      <c r="NX124" s="16">
        <f t="shared" si="158"/>
        <v>0</v>
      </c>
      <c r="NY124" s="16">
        <f t="shared" si="158"/>
        <v>0</v>
      </c>
      <c r="NZ124" s="16">
        <f t="shared" si="158"/>
        <v>0</v>
      </c>
      <c r="OC124" s="9">
        <f t="shared" si="127"/>
        <v>7</v>
      </c>
      <c r="OD124" s="16">
        <f t="shared" si="159"/>
        <v>0</v>
      </c>
      <c r="OE124" s="16">
        <f t="shared" si="159"/>
        <v>0</v>
      </c>
      <c r="OF124" s="16">
        <f t="shared" si="159"/>
        <v>0</v>
      </c>
      <c r="OG124" s="16">
        <f t="shared" si="159"/>
        <v>0</v>
      </c>
      <c r="OH124" s="16">
        <f t="shared" si="159"/>
        <v>0</v>
      </c>
      <c r="OI124" s="16">
        <f t="shared" si="159"/>
        <v>0</v>
      </c>
      <c r="OJ124" s="16">
        <f t="shared" si="159"/>
        <v>0</v>
      </c>
      <c r="OK124" s="16">
        <f t="shared" si="159"/>
        <v>0</v>
      </c>
      <c r="OL124" s="16">
        <f t="shared" si="159"/>
        <v>0</v>
      </c>
      <c r="OM124" s="16">
        <f t="shared" si="159"/>
        <v>0</v>
      </c>
      <c r="ON124" s="16">
        <f t="shared" si="160"/>
        <v>0</v>
      </c>
      <c r="OO124" s="16">
        <f t="shared" si="160"/>
        <v>0</v>
      </c>
      <c r="OP124" s="16">
        <f t="shared" si="160"/>
        <v>-1.8483441143042647E-2</v>
      </c>
      <c r="OQ124" s="16">
        <f t="shared" si="160"/>
        <v>1.0367663765511377</v>
      </c>
      <c r="OR124" s="16">
        <f t="shared" si="160"/>
        <v>-1.7985155309244966E-2</v>
      </c>
      <c r="OS124" s="16">
        <f t="shared" si="160"/>
        <v>0</v>
      </c>
      <c r="OT124" s="16">
        <f t="shared" si="160"/>
        <v>0</v>
      </c>
      <c r="OU124" s="16">
        <f t="shared" si="160"/>
        <v>0</v>
      </c>
      <c r="OV124" s="16">
        <f t="shared" si="160"/>
        <v>0</v>
      </c>
      <c r="OW124" s="16">
        <f t="shared" si="160"/>
        <v>0</v>
      </c>
      <c r="OX124" s="16">
        <f t="shared" si="160"/>
        <v>0</v>
      </c>
      <c r="PA124" s="9">
        <f t="shared" si="128"/>
        <v>7</v>
      </c>
      <c r="PB124" s="16">
        <f t="shared" si="161"/>
        <v>0</v>
      </c>
      <c r="PC124" s="16">
        <f t="shared" si="161"/>
        <v>0</v>
      </c>
      <c r="PD124" s="16">
        <f t="shared" si="161"/>
        <v>0</v>
      </c>
      <c r="PE124" s="16">
        <f t="shared" si="161"/>
        <v>0</v>
      </c>
      <c r="PF124" s="16">
        <f t="shared" si="161"/>
        <v>0</v>
      </c>
      <c r="PG124" s="16">
        <f t="shared" si="161"/>
        <v>0</v>
      </c>
      <c r="PH124" s="16">
        <f t="shared" si="161"/>
        <v>0</v>
      </c>
      <c r="PI124" s="16">
        <f t="shared" si="161"/>
        <v>0</v>
      </c>
      <c r="PJ124" s="16">
        <f t="shared" si="161"/>
        <v>0</v>
      </c>
      <c r="PK124" s="16">
        <f t="shared" si="161"/>
        <v>0</v>
      </c>
      <c r="PL124" s="16">
        <f t="shared" si="162"/>
        <v>0</v>
      </c>
      <c r="PM124" s="16">
        <f t="shared" si="162"/>
        <v>0</v>
      </c>
      <c r="PN124" s="16">
        <f t="shared" si="162"/>
        <v>-0.12175735246598193</v>
      </c>
      <c r="PO124" s="16">
        <f t="shared" si="162"/>
        <v>1.2421938985273262</v>
      </c>
      <c r="PP124" s="16">
        <f t="shared" si="162"/>
        <v>-0.11847495697344418</v>
      </c>
      <c r="PQ124" s="16">
        <f t="shared" si="162"/>
        <v>0</v>
      </c>
      <c r="PR124" s="16">
        <f t="shared" si="162"/>
        <v>0</v>
      </c>
      <c r="PS124" s="16">
        <f t="shared" si="162"/>
        <v>0</v>
      </c>
      <c r="PT124" s="16">
        <f t="shared" si="162"/>
        <v>0</v>
      </c>
      <c r="PU124" s="16">
        <f t="shared" si="162"/>
        <v>0</v>
      </c>
      <c r="PV124" s="16">
        <f t="shared" si="162"/>
        <v>0</v>
      </c>
    </row>
    <row r="125" spans="3:438" x14ac:dyDescent="0.25">
      <c r="C125" s="1"/>
      <c r="D125" s="1"/>
      <c r="F125" s="1"/>
      <c r="H125" s="1"/>
      <c r="I125" s="9">
        <f t="shared" si="111"/>
        <v>6</v>
      </c>
      <c r="J125" s="16">
        <f t="shared" si="110"/>
        <v>0</v>
      </c>
      <c r="K125" s="16">
        <f t="shared" si="110"/>
        <v>0</v>
      </c>
      <c r="L125" s="16">
        <f t="shared" si="110"/>
        <v>0</v>
      </c>
      <c r="M125" s="16">
        <f t="shared" si="110"/>
        <v>0</v>
      </c>
      <c r="N125" s="16">
        <f t="shared" si="110"/>
        <v>0</v>
      </c>
      <c r="O125" s="16">
        <f t="shared" si="110"/>
        <v>0</v>
      </c>
      <c r="P125" s="16">
        <f t="shared" si="110"/>
        <v>0</v>
      </c>
      <c r="Q125" s="16">
        <f t="shared" si="110"/>
        <v>0</v>
      </c>
      <c r="R125" s="16">
        <f t="shared" si="110"/>
        <v>0</v>
      </c>
      <c r="S125" s="16">
        <f t="shared" si="110"/>
        <v>0</v>
      </c>
      <c r="T125" s="16">
        <f t="shared" si="110"/>
        <v>0</v>
      </c>
      <c r="U125" s="16">
        <f t="shared" si="110"/>
        <v>0</v>
      </c>
      <c r="V125" s="16">
        <f t="shared" si="110"/>
        <v>0</v>
      </c>
      <c r="W125" s="16">
        <f t="shared" si="110"/>
        <v>-1.4698915412617411E-2</v>
      </c>
      <c r="X125" s="16">
        <f t="shared" si="110"/>
        <v>1.0292435538576783</v>
      </c>
      <c r="Y125" s="16">
        <f t="shared" si="110"/>
        <v>-1.431551477106081E-2</v>
      </c>
      <c r="Z125" s="16">
        <f t="shared" si="163"/>
        <v>0</v>
      </c>
      <c r="AA125" s="16">
        <f t="shared" si="163"/>
        <v>0</v>
      </c>
      <c r="AB125" s="16">
        <f t="shared" si="163"/>
        <v>0</v>
      </c>
      <c r="AC125" s="16">
        <f t="shared" si="163"/>
        <v>0</v>
      </c>
      <c r="AD125" s="16">
        <f t="shared" si="163"/>
        <v>0</v>
      </c>
      <c r="AE125" s="1"/>
      <c r="AF125" s="1"/>
      <c r="AG125" s="9">
        <f t="shared" si="112"/>
        <v>6</v>
      </c>
      <c r="AH125" s="16">
        <f t="shared" si="129"/>
        <v>0</v>
      </c>
      <c r="AI125" s="16">
        <f t="shared" si="129"/>
        <v>0</v>
      </c>
      <c r="AJ125" s="16">
        <f t="shared" si="129"/>
        <v>0</v>
      </c>
      <c r="AK125" s="16">
        <f t="shared" si="129"/>
        <v>0</v>
      </c>
      <c r="AL125" s="16">
        <f t="shared" si="129"/>
        <v>0</v>
      </c>
      <c r="AM125" s="16">
        <f t="shared" si="129"/>
        <v>0</v>
      </c>
      <c r="AN125" s="16">
        <f t="shared" si="129"/>
        <v>0</v>
      </c>
      <c r="AO125" s="16">
        <f t="shared" si="129"/>
        <v>0</v>
      </c>
      <c r="AP125" s="16">
        <f t="shared" si="129"/>
        <v>0</v>
      </c>
      <c r="AQ125" s="16">
        <f t="shared" si="129"/>
        <v>0</v>
      </c>
      <c r="AR125" s="16">
        <f t="shared" si="130"/>
        <v>0</v>
      </c>
      <c r="AS125" s="16">
        <f t="shared" si="130"/>
        <v>0</v>
      </c>
      <c r="AT125" s="16">
        <f t="shared" si="130"/>
        <v>0</v>
      </c>
      <c r="AU125" s="16">
        <f t="shared" si="130"/>
        <v>-0.11765266462764891</v>
      </c>
      <c r="AV125" s="16">
        <f t="shared" si="130"/>
        <v>1.2340704696881677</v>
      </c>
      <c r="AW125" s="16">
        <f t="shared" si="130"/>
        <v>-0.11458385949251876</v>
      </c>
      <c r="AX125" s="16">
        <f t="shared" si="130"/>
        <v>0</v>
      </c>
      <c r="AY125" s="16">
        <f t="shared" si="130"/>
        <v>0</v>
      </c>
      <c r="AZ125" s="16">
        <f t="shared" si="130"/>
        <v>0</v>
      </c>
      <c r="BA125" s="16">
        <f t="shared" si="130"/>
        <v>0</v>
      </c>
      <c r="BB125" s="16">
        <f t="shared" si="130"/>
        <v>0</v>
      </c>
      <c r="BE125" s="9">
        <f t="shared" si="113"/>
        <v>6</v>
      </c>
      <c r="BF125" s="16">
        <f t="shared" si="131"/>
        <v>0</v>
      </c>
      <c r="BG125" s="16">
        <f t="shared" si="131"/>
        <v>0</v>
      </c>
      <c r="BH125" s="16">
        <f t="shared" si="131"/>
        <v>0</v>
      </c>
      <c r="BI125" s="16">
        <f t="shared" si="131"/>
        <v>0</v>
      </c>
      <c r="BJ125" s="16">
        <f t="shared" si="131"/>
        <v>0</v>
      </c>
      <c r="BK125" s="16">
        <f t="shared" si="131"/>
        <v>0</v>
      </c>
      <c r="BL125" s="16">
        <f t="shared" si="131"/>
        <v>0</v>
      </c>
      <c r="BM125" s="16">
        <f t="shared" si="131"/>
        <v>0</v>
      </c>
      <c r="BN125" s="16">
        <f t="shared" si="131"/>
        <v>0</v>
      </c>
      <c r="BO125" s="16">
        <f t="shared" si="131"/>
        <v>0</v>
      </c>
      <c r="BP125" s="16">
        <f t="shared" si="132"/>
        <v>0</v>
      </c>
      <c r="BQ125" s="16">
        <f t="shared" si="132"/>
        <v>0</v>
      </c>
      <c r="BR125" s="16">
        <f t="shared" si="132"/>
        <v>0</v>
      </c>
      <c r="BS125" s="16">
        <f t="shared" si="132"/>
        <v>-0.11763732929597159</v>
      </c>
      <c r="BT125" s="16">
        <f t="shared" si="132"/>
        <v>1.2340399599814824</v>
      </c>
      <c r="BU125" s="16">
        <f t="shared" si="132"/>
        <v>-0.11456892416151077</v>
      </c>
      <c r="BV125" s="16">
        <f t="shared" si="132"/>
        <v>0</v>
      </c>
      <c r="BW125" s="16">
        <f t="shared" si="132"/>
        <v>0</v>
      </c>
      <c r="BX125" s="16">
        <f t="shared" si="132"/>
        <v>0</v>
      </c>
      <c r="BY125" s="16">
        <f t="shared" si="132"/>
        <v>0</v>
      </c>
      <c r="BZ125" s="16">
        <f t="shared" si="132"/>
        <v>0</v>
      </c>
      <c r="CC125" s="9">
        <f t="shared" si="114"/>
        <v>6</v>
      </c>
      <c r="CD125" s="16">
        <f t="shared" si="133"/>
        <v>0</v>
      </c>
      <c r="CE125" s="16">
        <f t="shared" si="133"/>
        <v>0</v>
      </c>
      <c r="CF125" s="16">
        <f t="shared" si="133"/>
        <v>0</v>
      </c>
      <c r="CG125" s="16">
        <f t="shared" si="133"/>
        <v>0</v>
      </c>
      <c r="CH125" s="16">
        <f t="shared" si="133"/>
        <v>0</v>
      </c>
      <c r="CI125" s="16">
        <f t="shared" si="133"/>
        <v>0</v>
      </c>
      <c r="CJ125" s="16">
        <f t="shared" si="133"/>
        <v>0</v>
      </c>
      <c r="CK125" s="16">
        <f t="shared" si="133"/>
        <v>0</v>
      </c>
      <c r="CL125" s="16">
        <f t="shared" si="133"/>
        <v>0</v>
      </c>
      <c r="CM125" s="16">
        <f t="shared" si="133"/>
        <v>0</v>
      </c>
      <c r="CN125" s="16">
        <f t="shared" si="134"/>
        <v>0</v>
      </c>
      <c r="CO125" s="16">
        <f t="shared" si="134"/>
        <v>0</v>
      </c>
      <c r="CP125" s="16">
        <f t="shared" si="134"/>
        <v>0</v>
      </c>
      <c r="CQ125" s="16">
        <f t="shared" si="134"/>
        <v>-0.11763732929597125</v>
      </c>
      <c r="CR125" s="16">
        <f t="shared" si="134"/>
        <v>1.2340399599814817</v>
      </c>
      <c r="CS125" s="16">
        <f t="shared" si="134"/>
        <v>-0.11456892416151043</v>
      </c>
      <c r="CT125" s="16">
        <f t="shared" si="134"/>
        <v>0</v>
      </c>
      <c r="CU125" s="16">
        <f t="shared" si="134"/>
        <v>0</v>
      </c>
      <c r="CV125" s="16">
        <f t="shared" si="134"/>
        <v>0</v>
      </c>
      <c r="CW125" s="16">
        <f t="shared" si="134"/>
        <v>0</v>
      </c>
      <c r="CX125" s="16">
        <f t="shared" si="134"/>
        <v>0</v>
      </c>
      <c r="DA125" s="9">
        <f t="shared" si="115"/>
        <v>6</v>
      </c>
      <c r="DB125" s="16">
        <f t="shared" si="135"/>
        <v>0</v>
      </c>
      <c r="DC125" s="16">
        <f t="shared" si="135"/>
        <v>0</v>
      </c>
      <c r="DD125" s="16">
        <f t="shared" si="135"/>
        <v>0</v>
      </c>
      <c r="DE125" s="16">
        <f t="shared" si="135"/>
        <v>0</v>
      </c>
      <c r="DF125" s="16">
        <f t="shared" si="135"/>
        <v>0</v>
      </c>
      <c r="DG125" s="16">
        <f t="shared" si="135"/>
        <v>0</v>
      </c>
      <c r="DH125" s="16">
        <f t="shared" si="135"/>
        <v>0</v>
      </c>
      <c r="DI125" s="16">
        <f t="shared" si="135"/>
        <v>0</v>
      </c>
      <c r="DJ125" s="16">
        <f t="shared" si="135"/>
        <v>0</v>
      </c>
      <c r="DK125" s="16">
        <f t="shared" si="135"/>
        <v>0</v>
      </c>
      <c r="DL125" s="16">
        <f t="shared" si="136"/>
        <v>0</v>
      </c>
      <c r="DM125" s="16">
        <f t="shared" si="136"/>
        <v>0</v>
      </c>
      <c r="DN125" s="16">
        <f t="shared" si="136"/>
        <v>0</v>
      </c>
      <c r="DO125" s="16">
        <f t="shared" si="136"/>
        <v>-1.4706583078456242E-2</v>
      </c>
      <c r="DP125" s="16">
        <f t="shared" si="136"/>
        <v>1.0292588087110213</v>
      </c>
      <c r="DQ125" s="16">
        <f t="shared" si="136"/>
        <v>-1.4322982436564968E-2</v>
      </c>
      <c r="DR125" s="16">
        <f t="shared" si="136"/>
        <v>0</v>
      </c>
      <c r="DS125" s="16">
        <f t="shared" si="136"/>
        <v>0</v>
      </c>
      <c r="DT125" s="16">
        <f t="shared" si="136"/>
        <v>0</v>
      </c>
      <c r="DU125" s="16">
        <f t="shared" si="136"/>
        <v>0</v>
      </c>
      <c r="DV125" s="16">
        <f t="shared" si="136"/>
        <v>0</v>
      </c>
      <c r="DY125" s="9">
        <f t="shared" si="116"/>
        <v>6</v>
      </c>
      <c r="DZ125" s="16">
        <f t="shared" si="137"/>
        <v>0</v>
      </c>
      <c r="EA125" s="16">
        <f t="shared" si="137"/>
        <v>0</v>
      </c>
      <c r="EB125" s="16">
        <f t="shared" si="137"/>
        <v>0</v>
      </c>
      <c r="EC125" s="16">
        <f t="shared" si="137"/>
        <v>0</v>
      </c>
      <c r="ED125" s="16">
        <f t="shared" si="137"/>
        <v>0</v>
      </c>
      <c r="EE125" s="16">
        <f t="shared" si="137"/>
        <v>0</v>
      </c>
      <c r="EF125" s="16">
        <f t="shared" si="137"/>
        <v>0</v>
      </c>
      <c r="EG125" s="16">
        <f t="shared" si="137"/>
        <v>0</v>
      </c>
      <c r="EH125" s="16">
        <f t="shared" si="137"/>
        <v>0</v>
      </c>
      <c r="EI125" s="16">
        <f t="shared" si="137"/>
        <v>0</v>
      </c>
      <c r="EJ125" s="16">
        <f t="shared" si="138"/>
        <v>0</v>
      </c>
      <c r="EK125" s="16">
        <f t="shared" si="138"/>
        <v>0</v>
      </c>
      <c r="EL125" s="16">
        <f t="shared" si="138"/>
        <v>0</v>
      </c>
      <c r="EM125" s="16">
        <f t="shared" si="138"/>
        <v>-8.5748237723465667E-2</v>
      </c>
      <c r="EN125" s="16">
        <f t="shared" si="138"/>
        <v>1.1702617768364705</v>
      </c>
      <c r="EO125" s="16">
        <f t="shared" si="138"/>
        <v>-8.2679832589004854E-2</v>
      </c>
      <c r="EP125" s="16">
        <f t="shared" si="138"/>
        <v>0</v>
      </c>
      <c r="EQ125" s="16">
        <f t="shared" si="138"/>
        <v>0</v>
      </c>
      <c r="ER125" s="16">
        <f t="shared" si="138"/>
        <v>0</v>
      </c>
      <c r="ES125" s="16">
        <f t="shared" si="138"/>
        <v>0</v>
      </c>
      <c r="ET125" s="16">
        <f t="shared" si="138"/>
        <v>0</v>
      </c>
      <c r="EW125" s="9">
        <f t="shared" si="117"/>
        <v>6</v>
      </c>
      <c r="EX125" s="16">
        <f t="shared" si="139"/>
        <v>0</v>
      </c>
      <c r="EY125" s="16">
        <f t="shared" si="139"/>
        <v>0</v>
      </c>
      <c r="EZ125" s="16">
        <f t="shared" si="139"/>
        <v>0</v>
      </c>
      <c r="FA125" s="16">
        <f t="shared" si="139"/>
        <v>0</v>
      </c>
      <c r="FB125" s="16">
        <f t="shared" si="139"/>
        <v>0</v>
      </c>
      <c r="FC125" s="16">
        <f t="shared" si="139"/>
        <v>0</v>
      </c>
      <c r="FD125" s="16">
        <f t="shared" si="139"/>
        <v>0</v>
      </c>
      <c r="FE125" s="16">
        <f t="shared" si="139"/>
        <v>0</v>
      </c>
      <c r="FF125" s="16">
        <f t="shared" si="139"/>
        <v>0</v>
      </c>
      <c r="FG125" s="16">
        <f t="shared" si="139"/>
        <v>0</v>
      </c>
      <c r="FH125" s="16">
        <f t="shared" si="140"/>
        <v>0</v>
      </c>
      <c r="FI125" s="16">
        <f t="shared" si="140"/>
        <v>0</v>
      </c>
      <c r="FJ125" s="16">
        <f t="shared" si="140"/>
        <v>0</v>
      </c>
      <c r="FK125" s="16">
        <f t="shared" si="140"/>
        <v>-8.5748237723465917E-2</v>
      </c>
      <c r="FL125" s="16">
        <f t="shared" si="140"/>
        <v>1.1702617768364711</v>
      </c>
      <c r="FM125" s="16">
        <f t="shared" si="140"/>
        <v>-8.2679832589005089E-2</v>
      </c>
      <c r="FN125" s="16">
        <f t="shared" si="140"/>
        <v>0</v>
      </c>
      <c r="FO125" s="16">
        <f t="shared" si="140"/>
        <v>0</v>
      </c>
      <c r="FP125" s="16">
        <f t="shared" si="140"/>
        <v>0</v>
      </c>
      <c r="FQ125" s="16">
        <f t="shared" si="140"/>
        <v>0</v>
      </c>
      <c r="FR125" s="16">
        <f t="shared" si="140"/>
        <v>0</v>
      </c>
      <c r="FU125" s="9">
        <f t="shared" si="118"/>
        <v>6</v>
      </c>
      <c r="FV125" s="16">
        <f t="shared" si="141"/>
        <v>0</v>
      </c>
      <c r="FW125" s="16">
        <f t="shared" si="141"/>
        <v>0</v>
      </c>
      <c r="FX125" s="16">
        <f t="shared" si="141"/>
        <v>0</v>
      </c>
      <c r="FY125" s="16">
        <f t="shared" si="141"/>
        <v>0</v>
      </c>
      <c r="FZ125" s="16">
        <f t="shared" si="141"/>
        <v>0</v>
      </c>
      <c r="GA125" s="16">
        <f t="shared" si="141"/>
        <v>0</v>
      </c>
      <c r="GB125" s="16">
        <f t="shared" si="141"/>
        <v>0</v>
      </c>
      <c r="GC125" s="16">
        <f t="shared" si="141"/>
        <v>0</v>
      </c>
      <c r="GD125" s="16">
        <f t="shared" si="141"/>
        <v>0</v>
      </c>
      <c r="GE125" s="16">
        <f t="shared" si="141"/>
        <v>0</v>
      </c>
      <c r="GF125" s="16">
        <f t="shared" si="142"/>
        <v>0</v>
      </c>
      <c r="GG125" s="16">
        <f t="shared" si="142"/>
        <v>0</v>
      </c>
      <c r="GH125" s="16">
        <f t="shared" si="142"/>
        <v>0</v>
      </c>
      <c r="GI125" s="16">
        <f t="shared" si="142"/>
        <v>-8.5759415958079677E-2</v>
      </c>
      <c r="GJ125" s="16">
        <f t="shared" si="142"/>
        <v>1.1702839723490293</v>
      </c>
      <c r="GK125" s="16">
        <f t="shared" si="142"/>
        <v>-8.2690610822949526E-2</v>
      </c>
      <c r="GL125" s="16">
        <f t="shared" si="142"/>
        <v>0</v>
      </c>
      <c r="GM125" s="16">
        <f t="shared" si="142"/>
        <v>0</v>
      </c>
      <c r="GN125" s="16">
        <f t="shared" si="142"/>
        <v>0</v>
      </c>
      <c r="GO125" s="16">
        <f t="shared" si="142"/>
        <v>0</v>
      </c>
      <c r="GP125" s="16">
        <f t="shared" si="142"/>
        <v>0</v>
      </c>
      <c r="GS125" s="9">
        <f t="shared" si="119"/>
        <v>6</v>
      </c>
      <c r="GT125" s="16">
        <f t="shared" si="143"/>
        <v>0</v>
      </c>
      <c r="GU125" s="16">
        <f t="shared" si="143"/>
        <v>0</v>
      </c>
      <c r="GV125" s="16">
        <f t="shared" si="143"/>
        <v>0</v>
      </c>
      <c r="GW125" s="16">
        <f t="shared" si="143"/>
        <v>0</v>
      </c>
      <c r="GX125" s="16">
        <f t="shared" si="143"/>
        <v>0</v>
      </c>
      <c r="GY125" s="16">
        <f t="shared" si="143"/>
        <v>0</v>
      </c>
      <c r="GZ125" s="16">
        <f t="shared" si="143"/>
        <v>0</v>
      </c>
      <c r="HA125" s="16">
        <f t="shared" si="143"/>
        <v>0</v>
      </c>
      <c r="HB125" s="16">
        <f t="shared" si="143"/>
        <v>0</v>
      </c>
      <c r="HC125" s="16">
        <f t="shared" si="143"/>
        <v>0</v>
      </c>
      <c r="HD125" s="16">
        <f t="shared" si="144"/>
        <v>0</v>
      </c>
      <c r="HE125" s="16">
        <f t="shared" si="144"/>
        <v>0</v>
      </c>
      <c r="HF125" s="16">
        <f t="shared" si="144"/>
        <v>0</v>
      </c>
      <c r="HG125" s="16">
        <f t="shared" si="144"/>
        <v>-1.8561458576432779E-2</v>
      </c>
      <c r="HH125" s="16">
        <f t="shared" si="144"/>
        <v>1.0368556486034366</v>
      </c>
      <c r="HI125" s="16">
        <f t="shared" si="144"/>
        <v>-1.789725746500373E-2</v>
      </c>
      <c r="HJ125" s="16">
        <f t="shared" si="144"/>
        <v>0</v>
      </c>
      <c r="HK125" s="16">
        <f t="shared" si="144"/>
        <v>0</v>
      </c>
      <c r="HL125" s="16">
        <f t="shared" si="144"/>
        <v>0</v>
      </c>
      <c r="HM125" s="16">
        <f t="shared" si="144"/>
        <v>0</v>
      </c>
      <c r="HN125" s="16">
        <f t="shared" si="144"/>
        <v>0</v>
      </c>
      <c r="HQ125" s="9">
        <f t="shared" si="120"/>
        <v>6</v>
      </c>
      <c r="HR125" s="16">
        <f t="shared" si="145"/>
        <v>0</v>
      </c>
      <c r="HS125" s="16">
        <f t="shared" si="145"/>
        <v>0</v>
      </c>
      <c r="HT125" s="16">
        <f t="shared" si="145"/>
        <v>0</v>
      </c>
      <c r="HU125" s="16">
        <f t="shared" si="145"/>
        <v>0</v>
      </c>
      <c r="HV125" s="16">
        <f t="shared" si="145"/>
        <v>0</v>
      </c>
      <c r="HW125" s="16">
        <f t="shared" si="145"/>
        <v>0</v>
      </c>
      <c r="HX125" s="16">
        <f t="shared" si="145"/>
        <v>0</v>
      </c>
      <c r="HY125" s="16">
        <f t="shared" si="145"/>
        <v>0</v>
      </c>
      <c r="HZ125" s="16">
        <f t="shared" si="145"/>
        <v>0</v>
      </c>
      <c r="IA125" s="16">
        <f t="shared" si="145"/>
        <v>0</v>
      </c>
      <c r="IB125" s="16">
        <f t="shared" si="146"/>
        <v>0</v>
      </c>
      <c r="IC125" s="16">
        <f t="shared" si="146"/>
        <v>0</v>
      </c>
      <c r="ID125" s="16">
        <f t="shared" si="146"/>
        <v>0</v>
      </c>
      <c r="IE125" s="16">
        <f t="shared" si="146"/>
        <v>-0.1223122431456346</v>
      </c>
      <c r="IF125" s="16">
        <f t="shared" si="146"/>
        <v>1.2428632984154171</v>
      </c>
      <c r="IG125" s="16">
        <f t="shared" si="146"/>
        <v>-0.1179354358217824</v>
      </c>
      <c r="IH125" s="16">
        <f t="shared" si="146"/>
        <v>0</v>
      </c>
      <c r="II125" s="16">
        <f t="shared" si="146"/>
        <v>0</v>
      </c>
      <c r="IJ125" s="16">
        <f t="shared" si="146"/>
        <v>0</v>
      </c>
      <c r="IK125" s="16">
        <f t="shared" si="146"/>
        <v>0</v>
      </c>
      <c r="IL125" s="16">
        <f t="shared" si="146"/>
        <v>0</v>
      </c>
      <c r="IO125" s="9">
        <f t="shared" si="121"/>
        <v>6</v>
      </c>
      <c r="IP125" s="16">
        <f t="shared" si="147"/>
        <v>0</v>
      </c>
      <c r="IQ125" s="16">
        <f t="shared" si="147"/>
        <v>0</v>
      </c>
      <c r="IR125" s="16">
        <f t="shared" si="147"/>
        <v>0</v>
      </c>
      <c r="IS125" s="16">
        <f t="shared" si="147"/>
        <v>0</v>
      </c>
      <c r="IT125" s="16">
        <f t="shared" si="147"/>
        <v>0</v>
      </c>
      <c r="IU125" s="16">
        <f t="shared" si="147"/>
        <v>0</v>
      </c>
      <c r="IV125" s="16">
        <f t="shared" si="147"/>
        <v>0</v>
      </c>
      <c r="IW125" s="16">
        <f t="shared" si="147"/>
        <v>0</v>
      </c>
      <c r="IX125" s="16">
        <f t="shared" si="147"/>
        <v>0</v>
      </c>
      <c r="IY125" s="16">
        <f t="shared" si="147"/>
        <v>0</v>
      </c>
      <c r="IZ125" s="16">
        <f t="shared" si="148"/>
        <v>0</v>
      </c>
      <c r="JA125" s="16">
        <f t="shared" si="148"/>
        <v>0</v>
      </c>
      <c r="JB125" s="16">
        <f t="shared" si="148"/>
        <v>0</v>
      </c>
      <c r="JC125" s="16">
        <f t="shared" si="148"/>
        <v>-1.8566488782008943E-2</v>
      </c>
      <c r="JD125" s="16">
        <f t="shared" si="148"/>
        <v>1.0368656365840876</v>
      </c>
      <c r="JE125" s="16">
        <f t="shared" si="148"/>
        <v>-1.7902107670278701E-2</v>
      </c>
      <c r="JF125" s="16">
        <f t="shared" si="148"/>
        <v>0</v>
      </c>
      <c r="JG125" s="16">
        <f t="shared" si="148"/>
        <v>0</v>
      </c>
      <c r="JH125" s="16">
        <f t="shared" si="148"/>
        <v>0</v>
      </c>
      <c r="JI125" s="16">
        <f t="shared" si="148"/>
        <v>0</v>
      </c>
      <c r="JJ125" s="16">
        <f t="shared" si="148"/>
        <v>0</v>
      </c>
      <c r="JM125" s="9">
        <f t="shared" si="122"/>
        <v>6</v>
      </c>
      <c r="JN125" s="16">
        <f t="shared" si="149"/>
        <v>0</v>
      </c>
      <c r="JO125" s="16">
        <f t="shared" si="149"/>
        <v>0</v>
      </c>
      <c r="JP125" s="16">
        <f t="shared" si="149"/>
        <v>0</v>
      </c>
      <c r="JQ125" s="16">
        <f t="shared" si="149"/>
        <v>0</v>
      </c>
      <c r="JR125" s="16">
        <f t="shared" si="149"/>
        <v>0</v>
      </c>
      <c r="JS125" s="16">
        <f t="shared" si="149"/>
        <v>0</v>
      </c>
      <c r="JT125" s="16">
        <f t="shared" si="149"/>
        <v>0</v>
      </c>
      <c r="JU125" s="16">
        <f t="shared" si="149"/>
        <v>0</v>
      </c>
      <c r="JV125" s="16">
        <f t="shared" si="149"/>
        <v>0</v>
      </c>
      <c r="JW125" s="16">
        <f t="shared" si="149"/>
        <v>0</v>
      </c>
      <c r="JX125" s="16">
        <f t="shared" si="150"/>
        <v>0</v>
      </c>
      <c r="JY125" s="16">
        <f t="shared" si="150"/>
        <v>0</v>
      </c>
      <c r="JZ125" s="16">
        <f t="shared" si="150"/>
        <v>0</v>
      </c>
      <c r="KA125" s="16">
        <f t="shared" si="150"/>
        <v>-0.12231000749871188</v>
      </c>
      <c r="KB125" s="16">
        <f t="shared" si="150"/>
        <v>1.2428588593129055</v>
      </c>
      <c r="KC125" s="16">
        <f t="shared" si="150"/>
        <v>-0.11793328017499353</v>
      </c>
      <c r="KD125" s="16">
        <f t="shared" si="150"/>
        <v>0</v>
      </c>
      <c r="KE125" s="16">
        <f t="shared" si="150"/>
        <v>0</v>
      </c>
      <c r="KF125" s="16">
        <f t="shared" si="150"/>
        <v>0</v>
      </c>
      <c r="KG125" s="16">
        <f t="shared" si="150"/>
        <v>0</v>
      </c>
      <c r="KH125" s="16">
        <f t="shared" si="150"/>
        <v>0</v>
      </c>
      <c r="KK125" s="9">
        <f t="shared" si="123"/>
        <v>6</v>
      </c>
      <c r="KL125" s="16">
        <f t="shared" si="151"/>
        <v>0</v>
      </c>
      <c r="KM125" s="16">
        <f t="shared" si="151"/>
        <v>0</v>
      </c>
      <c r="KN125" s="16">
        <f t="shared" si="151"/>
        <v>0</v>
      </c>
      <c r="KO125" s="16">
        <f t="shared" si="151"/>
        <v>0</v>
      </c>
      <c r="KP125" s="16">
        <f t="shared" si="151"/>
        <v>0</v>
      </c>
      <c r="KQ125" s="16">
        <f t="shared" si="151"/>
        <v>0</v>
      </c>
      <c r="KR125" s="16">
        <f t="shared" si="151"/>
        <v>0</v>
      </c>
      <c r="KS125" s="16">
        <f t="shared" si="151"/>
        <v>0</v>
      </c>
      <c r="KT125" s="16">
        <f t="shared" si="151"/>
        <v>0</v>
      </c>
      <c r="KU125" s="16">
        <f t="shared" si="151"/>
        <v>0</v>
      </c>
      <c r="KV125" s="16">
        <f t="shared" si="152"/>
        <v>0</v>
      </c>
      <c r="KW125" s="16">
        <f t="shared" si="152"/>
        <v>0</v>
      </c>
      <c r="KX125" s="16">
        <f t="shared" si="152"/>
        <v>0</v>
      </c>
      <c r="KY125" s="16">
        <f t="shared" si="152"/>
        <v>-1.5504211409522498E-2</v>
      </c>
      <c r="KZ125" s="16">
        <f t="shared" si="152"/>
        <v>1.0307851759186788</v>
      </c>
      <c r="LA125" s="16">
        <f t="shared" si="152"/>
        <v>-1.4949410481156293E-2</v>
      </c>
      <c r="LB125" s="16">
        <f t="shared" si="152"/>
        <v>0</v>
      </c>
      <c r="LC125" s="16">
        <f t="shared" si="152"/>
        <v>0</v>
      </c>
      <c r="LD125" s="16">
        <f t="shared" si="152"/>
        <v>0</v>
      </c>
      <c r="LE125" s="16">
        <f t="shared" si="152"/>
        <v>0</v>
      </c>
      <c r="LF125" s="16">
        <f t="shared" si="152"/>
        <v>0</v>
      </c>
      <c r="LI125" s="9">
        <f t="shared" si="124"/>
        <v>6</v>
      </c>
      <c r="LJ125" s="16">
        <f t="shared" si="153"/>
        <v>0</v>
      </c>
      <c r="LK125" s="16">
        <f t="shared" si="153"/>
        <v>0</v>
      </c>
      <c r="LL125" s="16">
        <f t="shared" si="153"/>
        <v>0</v>
      </c>
      <c r="LM125" s="16">
        <f t="shared" si="153"/>
        <v>0</v>
      </c>
      <c r="LN125" s="16">
        <f t="shared" si="153"/>
        <v>0</v>
      </c>
      <c r="LO125" s="16">
        <f t="shared" si="153"/>
        <v>0</v>
      </c>
      <c r="LP125" s="16">
        <f t="shared" si="153"/>
        <v>0</v>
      </c>
      <c r="LQ125" s="16">
        <f t="shared" si="153"/>
        <v>0</v>
      </c>
      <c r="LR125" s="16">
        <f t="shared" si="153"/>
        <v>0</v>
      </c>
      <c r="LS125" s="16">
        <f t="shared" si="153"/>
        <v>0</v>
      </c>
      <c r="LT125" s="16">
        <f t="shared" si="154"/>
        <v>0</v>
      </c>
      <c r="LU125" s="16">
        <f t="shared" si="154"/>
        <v>0</v>
      </c>
      <c r="LV125" s="16">
        <f t="shared" si="154"/>
        <v>0</v>
      </c>
      <c r="LW125" s="16">
        <f t="shared" si="154"/>
        <v>-0.12230944858698117</v>
      </c>
      <c r="LX125" s="16">
        <f t="shared" si="154"/>
        <v>1.2428577495372775</v>
      </c>
      <c r="LY125" s="16">
        <f t="shared" si="154"/>
        <v>-0.1179327412632963</v>
      </c>
      <c r="LZ125" s="16">
        <f t="shared" si="154"/>
        <v>0</v>
      </c>
      <c r="MA125" s="16">
        <f t="shared" si="154"/>
        <v>0</v>
      </c>
      <c r="MB125" s="16">
        <f t="shared" si="154"/>
        <v>0</v>
      </c>
      <c r="MC125" s="16">
        <f t="shared" si="154"/>
        <v>0</v>
      </c>
      <c r="MD125" s="16">
        <f t="shared" si="154"/>
        <v>0</v>
      </c>
      <c r="MG125" s="9">
        <f t="shared" si="125"/>
        <v>6</v>
      </c>
      <c r="MH125" s="16">
        <f t="shared" si="155"/>
        <v>0</v>
      </c>
      <c r="MI125" s="16">
        <f t="shared" si="155"/>
        <v>0</v>
      </c>
      <c r="MJ125" s="16">
        <f t="shared" si="155"/>
        <v>0</v>
      </c>
      <c r="MK125" s="16">
        <f t="shared" si="155"/>
        <v>0</v>
      </c>
      <c r="ML125" s="16">
        <f t="shared" si="155"/>
        <v>0</v>
      </c>
      <c r="MM125" s="16">
        <f t="shared" si="155"/>
        <v>0</v>
      </c>
      <c r="MN125" s="16">
        <f t="shared" si="155"/>
        <v>0</v>
      </c>
      <c r="MO125" s="16">
        <f t="shared" si="155"/>
        <v>0</v>
      </c>
      <c r="MP125" s="16">
        <f t="shared" si="155"/>
        <v>0</v>
      </c>
      <c r="MQ125" s="16">
        <f t="shared" si="155"/>
        <v>0</v>
      </c>
      <c r="MR125" s="16">
        <f t="shared" si="156"/>
        <v>0</v>
      </c>
      <c r="MS125" s="16">
        <f t="shared" si="156"/>
        <v>0</v>
      </c>
      <c r="MT125" s="16">
        <f t="shared" si="156"/>
        <v>0</v>
      </c>
      <c r="MU125" s="16">
        <f t="shared" si="156"/>
        <v>-1.7035629551631078E-2</v>
      </c>
      <c r="MV125" s="16">
        <f t="shared" si="156"/>
        <v>1.0338259611391971</v>
      </c>
      <c r="MW125" s="16">
        <f t="shared" si="156"/>
        <v>-1.642602853156612E-2</v>
      </c>
      <c r="MX125" s="16">
        <f t="shared" si="156"/>
        <v>0</v>
      </c>
      <c r="MY125" s="16">
        <f t="shared" si="156"/>
        <v>0</v>
      </c>
      <c r="MZ125" s="16">
        <f t="shared" si="156"/>
        <v>0</v>
      </c>
      <c r="NA125" s="16">
        <f t="shared" si="156"/>
        <v>0</v>
      </c>
      <c r="NB125" s="16">
        <f t="shared" si="156"/>
        <v>0</v>
      </c>
      <c r="NE125" s="9">
        <f t="shared" si="126"/>
        <v>6</v>
      </c>
      <c r="NF125" s="16">
        <f t="shared" si="157"/>
        <v>0</v>
      </c>
      <c r="NG125" s="16">
        <f t="shared" si="157"/>
        <v>0</v>
      </c>
      <c r="NH125" s="16">
        <f t="shared" si="157"/>
        <v>0</v>
      </c>
      <c r="NI125" s="16">
        <f t="shared" si="157"/>
        <v>0</v>
      </c>
      <c r="NJ125" s="16">
        <f t="shared" si="157"/>
        <v>0</v>
      </c>
      <c r="NK125" s="16">
        <f t="shared" si="157"/>
        <v>0</v>
      </c>
      <c r="NL125" s="16">
        <f t="shared" si="157"/>
        <v>0</v>
      </c>
      <c r="NM125" s="16">
        <f t="shared" si="157"/>
        <v>0</v>
      </c>
      <c r="NN125" s="16">
        <f t="shared" si="157"/>
        <v>0</v>
      </c>
      <c r="NO125" s="16">
        <f t="shared" si="157"/>
        <v>0</v>
      </c>
      <c r="NP125" s="16">
        <f t="shared" si="158"/>
        <v>0</v>
      </c>
      <c r="NQ125" s="16">
        <f t="shared" si="158"/>
        <v>0</v>
      </c>
      <c r="NR125" s="16">
        <f t="shared" si="158"/>
        <v>0</v>
      </c>
      <c r="NS125" s="16">
        <f t="shared" si="158"/>
        <v>-0.12230944858698117</v>
      </c>
      <c r="NT125" s="16">
        <f t="shared" si="158"/>
        <v>1.2428577495372775</v>
      </c>
      <c r="NU125" s="16">
        <f t="shared" si="158"/>
        <v>-0.1179327412632963</v>
      </c>
      <c r="NV125" s="16">
        <f t="shared" si="158"/>
        <v>0</v>
      </c>
      <c r="NW125" s="16">
        <f t="shared" si="158"/>
        <v>0</v>
      </c>
      <c r="NX125" s="16">
        <f t="shared" si="158"/>
        <v>0</v>
      </c>
      <c r="NY125" s="16">
        <f t="shared" si="158"/>
        <v>0</v>
      </c>
      <c r="NZ125" s="16">
        <f t="shared" si="158"/>
        <v>0</v>
      </c>
      <c r="OC125" s="9">
        <f t="shared" si="127"/>
        <v>6</v>
      </c>
      <c r="OD125" s="16">
        <f t="shared" si="159"/>
        <v>0</v>
      </c>
      <c r="OE125" s="16">
        <f t="shared" si="159"/>
        <v>0</v>
      </c>
      <c r="OF125" s="16">
        <f t="shared" si="159"/>
        <v>0</v>
      </c>
      <c r="OG125" s="16">
        <f t="shared" si="159"/>
        <v>0</v>
      </c>
      <c r="OH125" s="16">
        <f t="shared" si="159"/>
        <v>0</v>
      </c>
      <c r="OI125" s="16">
        <f t="shared" si="159"/>
        <v>0</v>
      </c>
      <c r="OJ125" s="16">
        <f t="shared" si="159"/>
        <v>0</v>
      </c>
      <c r="OK125" s="16">
        <f t="shared" si="159"/>
        <v>0</v>
      </c>
      <c r="OL125" s="16">
        <f t="shared" si="159"/>
        <v>0</v>
      </c>
      <c r="OM125" s="16">
        <f t="shared" si="159"/>
        <v>0</v>
      </c>
      <c r="ON125" s="16">
        <f t="shared" si="160"/>
        <v>0</v>
      </c>
      <c r="OO125" s="16">
        <f t="shared" si="160"/>
        <v>0</v>
      </c>
      <c r="OP125" s="16">
        <f t="shared" si="160"/>
        <v>0</v>
      </c>
      <c r="OQ125" s="16">
        <f t="shared" si="160"/>
        <v>-1.8566488782008929E-2</v>
      </c>
      <c r="OR125" s="16">
        <f t="shared" si="160"/>
        <v>1.0368656365840876</v>
      </c>
      <c r="OS125" s="16">
        <f t="shared" si="160"/>
        <v>-1.7902107670278684E-2</v>
      </c>
      <c r="OT125" s="16">
        <f t="shared" si="160"/>
        <v>0</v>
      </c>
      <c r="OU125" s="16">
        <f t="shared" si="160"/>
        <v>0</v>
      </c>
      <c r="OV125" s="16">
        <f t="shared" si="160"/>
        <v>0</v>
      </c>
      <c r="OW125" s="16">
        <f t="shared" si="160"/>
        <v>0</v>
      </c>
      <c r="OX125" s="16">
        <f t="shared" si="160"/>
        <v>0</v>
      </c>
      <c r="PA125" s="9">
        <f t="shared" si="128"/>
        <v>6</v>
      </c>
      <c r="PB125" s="16">
        <f t="shared" si="161"/>
        <v>0</v>
      </c>
      <c r="PC125" s="16">
        <f t="shared" si="161"/>
        <v>0</v>
      </c>
      <c r="PD125" s="16">
        <f t="shared" si="161"/>
        <v>0</v>
      </c>
      <c r="PE125" s="16">
        <f t="shared" si="161"/>
        <v>0</v>
      </c>
      <c r="PF125" s="16">
        <f t="shared" si="161"/>
        <v>0</v>
      </c>
      <c r="PG125" s="16">
        <f t="shared" si="161"/>
        <v>0</v>
      </c>
      <c r="PH125" s="16">
        <f t="shared" si="161"/>
        <v>0</v>
      </c>
      <c r="PI125" s="16">
        <f t="shared" si="161"/>
        <v>0</v>
      </c>
      <c r="PJ125" s="16">
        <f t="shared" si="161"/>
        <v>0</v>
      </c>
      <c r="PK125" s="16">
        <f t="shared" si="161"/>
        <v>0</v>
      </c>
      <c r="PL125" s="16">
        <f t="shared" si="162"/>
        <v>0</v>
      </c>
      <c r="PM125" s="16">
        <f t="shared" si="162"/>
        <v>0</v>
      </c>
      <c r="PN125" s="16">
        <f t="shared" si="162"/>
        <v>0</v>
      </c>
      <c r="PO125" s="16">
        <f t="shared" si="162"/>
        <v>-0.12230441838140489</v>
      </c>
      <c r="PP125" s="16">
        <f t="shared" si="162"/>
        <v>1.242847761556626</v>
      </c>
      <c r="PQ125" s="16">
        <f t="shared" si="162"/>
        <v>-0.11792789105802122</v>
      </c>
      <c r="PR125" s="16">
        <f t="shared" si="162"/>
        <v>0</v>
      </c>
      <c r="PS125" s="16">
        <f t="shared" si="162"/>
        <v>0</v>
      </c>
      <c r="PT125" s="16">
        <f t="shared" si="162"/>
        <v>0</v>
      </c>
      <c r="PU125" s="16">
        <f t="shared" si="162"/>
        <v>0</v>
      </c>
      <c r="PV125" s="16">
        <f t="shared" si="162"/>
        <v>0</v>
      </c>
    </row>
    <row r="126" spans="3:438" x14ac:dyDescent="0.25">
      <c r="C126" s="1"/>
      <c r="D126" s="1"/>
      <c r="F126" s="1"/>
      <c r="H126" s="1"/>
      <c r="I126" s="9">
        <f t="shared" si="111"/>
        <v>5</v>
      </c>
      <c r="J126" s="16">
        <f t="shared" si="110"/>
        <v>0</v>
      </c>
      <c r="K126" s="16">
        <f t="shared" si="110"/>
        <v>0</v>
      </c>
      <c r="L126" s="16">
        <f t="shared" si="110"/>
        <v>0</v>
      </c>
      <c r="M126" s="16">
        <f t="shared" si="110"/>
        <v>0</v>
      </c>
      <c r="N126" s="16">
        <f t="shared" si="110"/>
        <v>0</v>
      </c>
      <c r="O126" s="16">
        <f t="shared" si="110"/>
        <v>0</v>
      </c>
      <c r="P126" s="16">
        <f t="shared" si="110"/>
        <v>0</v>
      </c>
      <c r="Q126" s="16">
        <f t="shared" si="110"/>
        <v>0</v>
      </c>
      <c r="R126" s="16">
        <f t="shared" si="110"/>
        <v>0</v>
      </c>
      <c r="S126" s="16">
        <f t="shared" si="110"/>
        <v>0</v>
      </c>
      <c r="T126" s="16">
        <f t="shared" si="110"/>
        <v>0</v>
      </c>
      <c r="U126" s="16">
        <f t="shared" si="110"/>
        <v>0</v>
      </c>
      <c r="V126" s="16">
        <f t="shared" si="110"/>
        <v>0</v>
      </c>
      <c r="W126" s="16">
        <f t="shared" si="110"/>
        <v>0</v>
      </c>
      <c r="X126" s="16">
        <f t="shared" si="110"/>
        <v>-1.4746840492811986E-2</v>
      </c>
      <c r="Y126" s="16">
        <f t="shared" si="110"/>
        <v>1.0293008347761783</v>
      </c>
      <c r="Z126" s="16">
        <f t="shared" si="163"/>
        <v>-1.4267589690866235E-2</v>
      </c>
      <c r="AA126" s="16">
        <f t="shared" si="163"/>
        <v>0</v>
      </c>
      <c r="AB126" s="16">
        <f t="shared" si="163"/>
        <v>0</v>
      </c>
      <c r="AC126" s="16">
        <f t="shared" si="163"/>
        <v>0</v>
      </c>
      <c r="AD126" s="16">
        <f t="shared" si="163"/>
        <v>0</v>
      </c>
      <c r="AE126" s="1"/>
      <c r="AF126" s="1"/>
      <c r="AG126" s="9">
        <f t="shared" si="112"/>
        <v>5</v>
      </c>
      <c r="AH126" s="16">
        <f t="shared" si="129"/>
        <v>0</v>
      </c>
      <c r="AI126" s="16">
        <f t="shared" si="129"/>
        <v>0</v>
      </c>
      <c r="AJ126" s="16">
        <f t="shared" si="129"/>
        <v>0</v>
      </c>
      <c r="AK126" s="16">
        <f t="shared" si="129"/>
        <v>0</v>
      </c>
      <c r="AL126" s="16">
        <f t="shared" si="129"/>
        <v>0</v>
      </c>
      <c r="AM126" s="16">
        <f t="shared" si="129"/>
        <v>0</v>
      </c>
      <c r="AN126" s="16">
        <f t="shared" si="129"/>
        <v>0</v>
      </c>
      <c r="AO126" s="16">
        <f t="shared" si="129"/>
        <v>0</v>
      </c>
      <c r="AP126" s="16">
        <f t="shared" si="129"/>
        <v>0</v>
      </c>
      <c r="AQ126" s="16">
        <f t="shared" si="129"/>
        <v>0</v>
      </c>
      <c r="AR126" s="16">
        <f t="shared" si="130"/>
        <v>0</v>
      </c>
      <c r="AS126" s="16">
        <f t="shared" si="130"/>
        <v>0</v>
      </c>
      <c r="AT126" s="16">
        <f t="shared" si="130"/>
        <v>0</v>
      </c>
      <c r="AU126" s="16">
        <f t="shared" si="130"/>
        <v>0</v>
      </c>
      <c r="AV126" s="16">
        <f t="shared" si="130"/>
        <v>-0.1180362652695402</v>
      </c>
      <c r="AW126" s="16">
        <f t="shared" si="130"/>
        <v>1.2345289560801675</v>
      </c>
      <c r="AX126" s="16">
        <f t="shared" si="130"/>
        <v>-0.11420025885062748</v>
      </c>
      <c r="AY126" s="16">
        <f t="shared" si="130"/>
        <v>0</v>
      </c>
      <c r="AZ126" s="16">
        <f t="shared" si="130"/>
        <v>0</v>
      </c>
      <c r="BA126" s="16">
        <f t="shared" si="130"/>
        <v>0</v>
      </c>
      <c r="BB126" s="16">
        <f t="shared" si="130"/>
        <v>0</v>
      </c>
      <c r="BE126" s="9">
        <f t="shared" si="113"/>
        <v>5</v>
      </c>
      <c r="BF126" s="16">
        <f t="shared" si="131"/>
        <v>0</v>
      </c>
      <c r="BG126" s="16">
        <f t="shared" si="131"/>
        <v>0</v>
      </c>
      <c r="BH126" s="16">
        <f t="shared" si="131"/>
        <v>0</v>
      </c>
      <c r="BI126" s="16">
        <f t="shared" si="131"/>
        <v>0</v>
      </c>
      <c r="BJ126" s="16">
        <f t="shared" si="131"/>
        <v>0</v>
      </c>
      <c r="BK126" s="16">
        <f t="shared" si="131"/>
        <v>0</v>
      </c>
      <c r="BL126" s="16">
        <f t="shared" si="131"/>
        <v>0</v>
      </c>
      <c r="BM126" s="16">
        <f t="shared" si="131"/>
        <v>0</v>
      </c>
      <c r="BN126" s="16">
        <f t="shared" si="131"/>
        <v>0</v>
      </c>
      <c r="BO126" s="16">
        <f t="shared" si="131"/>
        <v>0</v>
      </c>
      <c r="BP126" s="16">
        <f t="shared" si="132"/>
        <v>0</v>
      </c>
      <c r="BQ126" s="16">
        <f t="shared" si="132"/>
        <v>0</v>
      </c>
      <c r="BR126" s="16">
        <f t="shared" si="132"/>
        <v>0</v>
      </c>
      <c r="BS126" s="16">
        <f t="shared" si="132"/>
        <v>0</v>
      </c>
      <c r="BT126" s="16">
        <f t="shared" si="132"/>
        <v>-0.1180208799377792</v>
      </c>
      <c r="BU126" s="16">
        <f t="shared" si="132"/>
        <v>1.2344983866124823</v>
      </c>
      <c r="BV126" s="16">
        <f t="shared" si="132"/>
        <v>-0.11418537351970316</v>
      </c>
      <c r="BW126" s="16">
        <f t="shared" si="132"/>
        <v>0</v>
      </c>
      <c r="BX126" s="16">
        <f t="shared" si="132"/>
        <v>0</v>
      </c>
      <c r="BY126" s="16">
        <f t="shared" si="132"/>
        <v>0</v>
      </c>
      <c r="BZ126" s="16">
        <f t="shared" si="132"/>
        <v>0</v>
      </c>
      <c r="CC126" s="9">
        <f t="shared" si="114"/>
        <v>5</v>
      </c>
      <c r="CD126" s="16">
        <f t="shared" si="133"/>
        <v>0</v>
      </c>
      <c r="CE126" s="16">
        <f t="shared" si="133"/>
        <v>0</v>
      </c>
      <c r="CF126" s="16">
        <f t="shared" si="133"/>
        <v>0</v>
      </c>
      <c r="CG126" s="16">
        <f t="shared" si="133"/>
        <v>0</v>
      </c>
      <c r="CH126" s="16">
        <f t="shared" si="133"/>
        <v>0</v>
      </c>
      <c r="CI126" s="16">
        <f t="shared" si="133"/>
        <v>0</v>
      </c>
      <c r="CJ126" s="16">
        <f t="shared" si="133"/>
        <v>0</v>
      </c>
      <c r="CK126" s="16">
        <f t="shared" si="133"/>
        <v>0</v>
      </c>
      <c r="CL126" s="16">
        <f t="shared" si="133"/>
        <v>0</v>
      </c>
      <c r="CM126" s="16">
        <f t="shared" si="133"/>
        <v>0</v>
      </c>
      <c r="CN126" s="16">
        <f t="shared" si="134"/>
        <v>0</v>
      </c>
      <c r="CO126" s="16">
        <f t="shared" si="134"/>
        <v>0</v>
      </c>
      <c r="CP126" s="16">
        <f t="shared" si="134"/>
        <v>0</v>
      </c>
      <c r="CQ126" s="16">
        <f t="shared" si="134"/>
        <v>0</v>
      </c>
      <c r="CR126" s="16">
        <f t="shared" si="134"/>
        <v>-0.11802087993777886</v>
      </c>
      <c r="CS126" s="16">
        <f t="shared" si="134"/>
        <v>1.2344983866124817</v>
      </c>
      <c r="CT126" s="16">
        <f t="shared" si="134"/>
        <v>-0.11418537351970283</v>
      </c>
      <c r="CU126" s="16">
        <f t="shared" si="134"/>
        <v>0</v>
      </c>
      <c r="CV126" s="16">
        <f t="shared" si="134"/>
        <v>0</v>
      </c>
      <c r="CW126" s="16">
        <f t="shared" si="134"/>
        <v>0</v>
      </c>
      <c r="CX126" s="16">
        <f t="shared" si="134"/>
        <v>0</v>
      </c>
      <c r="DA126" s="9">
        <f t="shared" si="115"/>
        <v>5</v>
      </c>
      <c r="DB126" s="16">
        <f t="shared" si="135"/>
        <v>0</v>
      </c>
      <c r="DC126" s="16">
        <f t="shared" si="135"/>
        <v>0</v>
      </c>
      <c r="DD126" s="16">
        <f t="shared" si="135"/>
        <v>0</v>
      </c>
      <c r="DE126" s="16">
        <f t="shared" si="135"/>
        <v>0</v>
      </c>
      <c r="DF126" s="16">
        <f t="shared" si="135"/>
        <v>0</v>
      </c>
      <c r="DG126" s="16">
        <f t="shared" si="135"/>
        <v>0</v>
      </c>
      <c r="DH126" s="16">
        <f t="shared" si="135"/>
        <v>0</v>
      </c>
      <c r="DI126" s="16">
        <f t="shared" si="135"/>
        <v>0</v>
      </c>
      <c r="DJ126" s="16">
        <f t="shared" si="135"/>
        <v>0</v>
      </c>
      <c r="DK126" s="16">
        <f t="shared" si="135"/>
        <v>0</v>
      </c>
      <c r="DL126" s="16">
        <f t="shared" si="136"/>
        <v>0</v>
      </c>
      <c r="DM126" s="16">
        <f t="shared" si="136"/>
        <v>0</v>
      </c>
      <c r="DN126" s="16">
        <f t="shared" si="136"/>
        <v>0</v>
      </c>
      <c r="DO126" s="16">
        <f t="shared" si="136"/>
        <v>0</v>
      </c>
      <c r="DP126" s="16">
        <f t="shared" si="136"/>
        <v>-1.4754533158692651E-2</v>
      </c>
      <c r="DQ126" s="16">
        <f t="shared" si="136"/>
        <v>1.0293161195100211</v>
      </c>
      <c r="DR126" s="16">
        <f t="shared" si="136"/>
        <v>-1.4275032356328559E-2</v>
      </c>
      <c r="DS126" s="16">
        <f t="shared" si="136"/>
        <v>0</v>
      </c>
      <c r="DT126" s="16">
        <f t="shared" si="136"/>
        <v>0</v>
      </c>
      <c r="DU126" s="16">
        <f t="shared" si="136"/>
        <v>0</v>
      </c>
      <c r="DV126" s="16">
        <f t="shared" si="136"/>
        <v>0</v>
      </c>
      <c r="DY126" s="9">
        <f t="shared" si="116"/>
        <v>5</v>
      </c>
      <c r="DZ126" s="16">
        <f t="shared" si="137"/>
        <v>0</v>
      </c>
      <c r="EA126" s="16">
        <f t="shared" si="137"/>
        <v>0</v>
      </c>
      <c r="EB126" s="16">
        <f t="shared" si="137"/>
        <v>0</v>
      </c>
      <c r="EC126" s="16">
        <f t="shared" si="137"/>
        <v>0</v>
      </c>
      <c r="ED126" s="16">
        <f t="shared" si="137"/>
        <v>0</v>
      </c>
      <c r="EE126" s="16">
        <f t="shared" si="137"/>
        <v>0</v>
      </c>
      <c r="EF126" s="16">
        <f t="shared" si="137"/>
        <v>0</v>
      </c>
      <c r="EG126" s="16">
        <f t="shared" si="137"/>
        <v>0</v>
      </c>
      <c r="EH126" s="16">
        <f t="shared" si="137"/>
        <v>0</v>
      </c>
      <c r="EI126" s="16">
        <f t="shared" si="137"/>
        <v>0</v>
      </c>
      <c r="EJ126" s="16">
        <f t="shared" si="138"/>
        <v>0</v>
      </c>
      <c r="EK126" s="16">
        <f t="shared" si="138"/>
        <v>0</v>
      </c>
      <c r="EL126" s="16">
        <f t="shared" si="138"/>
        <v>0</v>
      </c>
      <c r="EM126" s="16">
        <f t="shared" si="138"/>
        <v>0</v>
      </c>
      <c r="EN126" s="16">
        <f t="shared" si="138"/>
        <v>-8.6131788365273271E-2</v>
      </c>
      <c r="EO126" s="16">
        <f t="shared" si="138"/>
        <v>1.1707202034674706</v>
      </c>
      <c r="EP126" s="16">
        <f t="shared" si="138"/>
        <v>-8.229628194719725E-2</v>
      </c>
      <c r="EQ126" s="16">
        <f t="shared" si="138"/>
        <v>0</v>
      </c>
      <c r="ER126" s="16">
        <f t="shared" si="138"/>
        <v>0</v>
      </c>
      <c r="ES126" s="16">
        <f t="shared" si="138"/>
        <v>0</v>
      </c>
      <c r="ET126" s="16">
        <f t="shared" si="138"/>
        <v>0</v>
      </c>
      <c r="EW126" s="9">
        <f t="shared" si="117"/>
        <v>5</v>
      </c>
      <c r="EX126" s="16">
        <f t="shared" si="139"/>
        <v>0</v>
      </c>
      <c r="EY126" s="16">
        <f t="shared" si="139"/>
        <v>0</v>
      </c>
      <c r="EZ126" s="16">
        <f t="shared" si="139"/>
        <v>0</v>
      </c>
      <c r="FA126" s="16">
        <f t="shared" si="139"/>
        <v>0</v>
      </c>
      <c r="FB126" s="16">
        <f t="shared" si="139"/>
        <v>0</v>
      </c>
      <c r="FC126" s="16">
        <f t="shared" si="139"/>
        <v>0</v>
      </c>
      <c r="FD126" s="16">
        <f t="shared" si="139"/>
        <v>0</v>
      </c>
      <c r="FE126" s="16">
        <f t="shared" si="139"/>
        <v>0</v>
      </c>
      <c r="FF126" s="16">
        <f t="shared" si="139"/>
        <v>0</v>
      </c>
      <c r="FG126" s="16">
        <f t="shared" si="139"/>
        <v>0</v>
      </c>
      <c r="FH126" s="16">
        <f t="shared" si="140"/>
        <v>0</v>
      </c>
      <c r="FI126" s="16">
        <f t="shared" si="140"/>
        <v>0</v>
      </c>
      <c r="FJ126" s="16">
        <f t="shared" si="140"/>
        <v>0</v>
      </c>
      <c r="FK126" s="16">
        <f t="shared" si="140"/>
        <v>0</v>
      </c>
      <c r="FL126" s="16">
        <f t="shared" si="140"/>
        <v>-8.6131788365273521E-2</v>
      </c>
      <c r="FM126" s="16">
        <f t="shared" si="140"/>
        <v>1.1707202034674711</v>
      </c>
      <c r="FN126" s="16">
        <f t="shared" si="140"/>
        <v>-8.2296281947197486E-2</v>
      </c>
      <c r="FO126" s="16">
        <f t="shared" si="140"/>
        <v>0</v>
      </c>
      <c r="FP126" s="16">
        <f t="shared" si="140"/>
        <v>0</v>
      </c>
      <c r="FQ126" s="16">
        <f t="shared" si="140"/>
        <v>0</v>
      </c>
      <c r="FR126" s="16">
        <f t="shared" si="140"/>
        <v>0</v>
      </c>
      <c r="FU126" s="9">
        <f t="shared" si="118"/>
        <v>5</v>
      </c>
      <c r="FV126" s="16">
        <f t="shared" si="141"/>
        <v>0</v>
      </c>
      <c r="FW126" s="16">
        <f t="shared" si="141"/>
        <v>0</v>
      </c>
      <c r="FX126" s="16">
        <f t="shared" si="141"/>
        <v>0</v>
      </c>
      <c r="FY126" s="16">
        <f t="shared" si="141"/>
        <v>0</v>
      </c>
      <c r="FZ126" s="16">
        <f t="shared" si="141"/>
        <v>0</v>
      </c>
      <c r="GA126" s="16">
        <f t="shared" si="141"/>
        <v>0</v>
      </c>
      <c r="GB126" s="16">
        <f t="shared" si="141"/>
        <v>0</v>
      </c>
      <c r="GC126" s="16">
        <f t="shared" si="141"/>
        <v>0</v>
      </c>
      <c r="GD126" s="16">
        <f t="shared" si="141"/>
        <v>0</v>
      </c>
      <c r="GE126" s="16">
        <f t="shared" si="141"/>
        <v>0</v>
      </c>
      <c r="GF126" s="16">
        <f t="shared" si="142"/>
        <v>0</v>
      </c>
      <c r="GG126" s="16">
        <f t="shared" si="142"/>
        <v>0</v>
      </c>
      <c r="GH126" s="16">
        <f t="shared" si="142"/>
        <v>0</v>
      </c>
      <c r="GI126" s="16">
        <f t="shared" si="142"/>
        <v>0</v>
      </c>
      <c r="GJ126" s="16">
        <f t="shared" si="142"/>
        <v>-8.6143016599970951E-2</v>
      </c>
      <c r="GK126" s="16">
        <f t="shared" si="142"/>
        <v>1.1707424587410291</v>
      </c>
      <c r="GL126" s="16">
        <f t="shared" si="142"/>
        <v>-8.2307010181058252E-2</v>
      </c>
      <c r="GM126" s="16">
        <f t="shared" si="142"/>
        <v>0</v>
      </c>
      <c r="GN126" s="16">
        <f t="shared" si="142"/>
        <v>0</v>
      </c>
      <c r="GO126" s="16">
        <f t="shared" si="142"/>
        <v>0</v>
      </c>
      <c r="GP126" s="16">
        <f t="shared" si="142"/>
        <v>0</v>
      </c>
      <c r="GS126" s="9">
        <f t="shared" si="119"/>
        <v>5</v>
      </c>
      <c r="GT126" s="16">
        <f t="shared" si="143"/>
        <v>0</v>
      </c>
      <c r="GU126" s="16">
        <f t="shared" si="143"/>
        <v>0</v>
      </c>
      <c r="GV126" s="16">
        <f t="shared" si="143"/>
        <v>0</v>
      </c>
      <c r="GW126" s="16">
        <f t="shared" si="143"/>
        <v>0</v>
      </c>
      <c r="GX126" s="16">
        <f t="shared" si="143"/>
        <v>0</v>
      </c>
      <c r="GY126" s="16">
        <f t="shared" si="143"/>
        <v>0</v>
      </c>
      <c r="GZ126" s="16">
        <f t="shared" si="143"/>
        <v>0</v>
      </c>
      <c r="HA126" s="16">
        <f t="shared" si="143"/>
        <v>0</v>
      </c>
      <c r="HB126" s="16">
        <f t="shared" si="143"/>
        <v>0</v>
      </c>
      <c r="HC126" s="16">
        <f t="shared" si="143"/>
        <v>0</v>
      </c>
      <c r="HD126" s="16">
        <f t="shared" si="144"/>
        <v>0</v>
      </c>
      <c r="HE126" s="16">
        <f t="shared" si="144"/>
        <v>0</v>
      </c>
      <c r="HF126" s="16">
        <f t="shared" si="144"/>
        <v>0</v>
      </c>
      <c r="HG126" s="16">
        <f t="shared" si="144"/>
        <v>0</v>
      </c>
      <c r="HH126" s="16">
        <f t="shared" si="144"/>
        <v>-1.8644483715361409E-2</v>
      </c>
      <c r="HI126" s="16">
        <f t="shared" si="144"/>
        <v>1.0369548817439365</v>
      </c>
      <c r="HJ126" s="16">
        <f t="shared" si="144"/>
        <v>-1.78142323260751E-2</v>
      </c>
      <c r="HK126" s="16">
        <f t="shared" si="144"/>
        <v>0</v>
      </c>
      <c r="HL126" s="16">
        <f t="shared" si="144"/>
        <v>0</v>
      </c>
      <c r="HM126" s="16">
        <f t="shared" si="144"/>
        <v>0</v>
      </c>
      <c r="HN126" s="16">
        <f t="shared" si="144"/>
        <v>0</v>
      </c>
      <c r="HQ126" s="9">
        <f t="shared" si="120"/>
        <v>5</v>
      </c>
      <c r="HR126" s="16">
        <f t="shared" si="145"/>
        <v>0</v>
      </c>
      <c r="HS126" s="16">
        <f t="shared" si="145"/>
        <v>0</v>
      </c>
      <c r="HT126" s="16">
        <f t="shared" si="145"/>
        <v>0</v>
      </c>
      <c r="HU126" s="16">
        <f t="shared" si="145"/>
        <v>0</v>
      </c>
      <c r="HV126" s="16">
        <f t="shared" si="145"/>
        <v>0</v>
      </c>
      <c r="HW126" s="16">
        <f t="shared" si="145"/>
        <v>0</v>
      </c>
      <c r="HX126" s="16">
        <f t="shared" si="145"/>
        <v>0</v>
      </c>
      <c r="HY126" s="16">
        <f t="shared" si="145"/>
        <v>0</v>
      </c>
      <c r="HZ126" s="16">
        <f t="shared" si="145"/>
        <v>0</v>
      </c>
      <c r="IA126" s="16">
        <f t="shared" si="145"/>
        <v>0</v>
      </c>
      <c r="IB126" s="16">
        <f t="shared" si="146"/>
        <v>0</v>
      </c>
      <c r="IC126" s="16">
        <f t="shared" si="146"/>
        <v>0</v>
      </c>
      <c r="ID126" s="16">
        <f t="shared" si="146"/>
        <v>0</v>
      </c>
      <c r="IE126" s="16">
        <f t="shared" si="146"/>
        <v>0</v>
      </c>
      <c r="IF126" s="16">
        <f t="shared" si="146"/>
        <v>-0.12285934406111614</v>
      </c>
      <c r="IG126" s="16">
        <f t="shared" si="146"/>
        <v>1.2435172032774169</v>
      </c>
      <c r="IH126" s="16">
        <f t="shared" si="146"/>
        <v>-0.11738833490630086</v>
      </c>
      <c r="II126" s="16">
        <f t="shared" si="146"/>
        <v>0</v>
      </c>
      <c r="IJ126" s="16">
        <f t="shared" si="146"/>
        <v>0</v>
      </c>
      <c r="IK126" s="16">
        <f t="shared" si="146"/>
        <v>0</v>
      </c>
      <c r="IL126" s="16">
        <f t="shared" si="146"/>
        <v>0</v>
      </c>
      <c r="IO126" s="9">
        <f t="shared" si="121"/>
        <v>5</v>
      </c>
      <c r="IP126" s="16">
        <f t="shared" si="147"/>
        <v>0</v>
      </c>
      <c r="IQ126" s="16">
        <f t="shared" si="147"/>
        <v>0</v>
      </c>
      <c r="IR126" s="16">
        <f t="shared" si="147"/>
        <v>0</v>
      </c>
      <c r="IS126" s="16">
        <f t="shared" si="147"/>
        <v>0</v>
      </c>
      <c r="IT126" s="16">
        <f t="shared" si="147"/>
        <v>0</v>
      </c>
      <c r="IU126" s="16">
        <f t="shared" si="147"/>
        <v>0</v>
      </c>
      <c r="IV126" s="16">
        <f t="shared" si="147"/>
        <v>0</v>
      </c>
      <c r="IW126" s="16">
        <f t="shared" si="147"/>
        <v>0</v>
      </c>
      <c r="IX126" s="16">
        <f t="shared" si="147"/>
        <v>0</v>
      </c>
      <c r="IY126" s="16">
        <f t="shared" si="147"/>
        <v>0</v>
      </c>
      <c r="IZ126" s="16">
        <f t="shared" si="148"/>
        <v>0</v>
      </c>
      <c r="JA126" s="16">
        <f t="shared" si="148"/>
        <v>0</v>
      </c>
      <c r="JB126" s="16">
        <f t="shared" si="148"/>
        <v>0</v>
      </c>
      <c r="JC126" s="16">
        <f t="shared" si="148"/>
        <v>0</v>
      </c>
      <c r="JD126" s="16">
        <f t="shared" si="148"/>
        <v>-1.8649536420975225E-2</v>
      </c>
      <c r="JE126" s="16">
        <f t="shared" si="148"/>
        <v>1.0369648966170377</v>
      </c>
      <c r="JF126" s="16">
        <f t="shared" si="148"/>
        <v>-1.7819060031312419E-2</v>
      </c>
      <c r="JG126" s="16">
        <f t="shared" si="148"/>
        <v>0</v>
      </c>
      <c r="JH126" s="16">
        <f t="shared" si="148"/>
        <v>0</v>
      </c>
      <c r="JI126" s="16">
        <f t="shared" si="148"/>
        <v>0</v>
      </c>
      <c r="JJ126" s="16">
        <f t="shared" si="148"/>
        <v>0</v>
      </c>
      <c r="JM126" s="9">
        <f t="shared" si="122"/>
        <v>5</v>
      </c>
      <c r="JN126" s="16">
        <f t="shared" si="149"/>
        <v>0</v>
      </c>
      <c r="JO126" s="16">
        <f t="shared" si="149"/>
        <v>0</v>
      </c>
      <c r="JP126" s="16">
        <f t="shared" si="149"/>
        <v>0</v>
      </c>
      <c r="JQ126" s="16">
        <f t="shared" si="149"/>
        <v>0</v>
      </c>
      <c r="JR126" s="16">
        <f t="shared" si="149"/>
        <v>0</v>
      </c>
      <c r="JS126" s="16">
        <f t="shared" si="149"/>
        <v>0</v>
      </c>
      <c r="JT126" s="16">
        <f t="shared" si="149"/>
        <v>0</v>
      </c>
      <c r="JU126" s="16">
        <f t="shared" si="149"/>
        <v>0</v>
      </c>
      <c r="JV126" s="16">
        <f t="shared" si="149"/>
        <v>0</v>
      </c>
      <c r="JW126" s="16">
        <f t="shared" si="149"/>
        <v>0</v>
      </c>
      <c r="JX126" s="16">
        <f t="shared" si="150"/>
        <v>0</v>
      </c>
      <c r="JY126" s="16">
        <f t="shared" si="150"/>
        <v>0</v>
      </c>
      <c r="JZ126" s="16">
        <f t="shared" si="150"/>
        <v>0</v>
      </c>
      <c r="KA126" s="16">
        <f t="shared" si="150"/>
        <v>0</v>
      </c>
      <c r="KB126" s="16">
        <f t="shared" si="150"/>
        <v>-0.12285709841417668</v>
      </c>
      <c r="KC126" s="16">
        <f t="shared" si="150"/>
        <v>1.2435127522227054</v>
      </c>
      <c r="KD126" s="16">
        <f t="shared" si="150"/>
        <v>-0.11738618925952873</v>
      </c>
      <c r="KE126" s="16">
        <f t="shared" si="150"/>
        <v>0</v>
      </c>
      <c r="KF126" s="16">
        <f t="shared" si="150"/>
        <v>0</v>
      </c>
      <c r="KG126" s="16">
        <f t="shared" si="150"/>
        <v>0</v>
      </c>
      <c r="KH126" s="16">
        <f t="shared" si="150"/>
        <v>0</v>
      </c>
      <c r="KK126" s="9">
        <f t="shared" si="123"/>
        <v>5</v>
      </c>
      <c r="KL126" s="16">
        <f t="shared" si="151"/>
        <v>0</v>
      </c>
      <c r="KM126" s="16">
        <f t="shared" si="151"/>
        <v>0</v>
      </c>
      <c r="KN126" s="16">
        <f t="shared" si="151"/>
        <v>0</v>
      </c>
      <c r="KO126" s="16">
        <f t="shared" si="151"/>
        <v>0</v>
      </c>
      <c r="KP126" s="16">
        <f t="shared" si="151"/>
        <v>0</v>
      </c>
      <c r="KQ126" s="16">
        <f t="shared" si="151"/>
        <v>0</v>
      </c>
      <c r="KR126" s="16">
        <f t="shared" si="151"/>
        <v>0</v>
      </c>
      <c r="KS126" s="16">
        <f t="shared" si="151"/>
        <v>0</v>
      </c>
      <c r="KT126" s="16">
        <f t="shared" si="151"/>
        <v>0</v>
      </c>
      <c r="KU126" s="16">
        <f t="shared" si="151"/>
        <v>0</v>
      </c>
      <c r="KV126" s="16">
        <f t="shared" si="152"/>
        <v>0</v>
      </c>
      <c r="KW126" s="16">
        <f t="shared" si="152"/>
        <v>0</v>
      </c>
      <c r="KX126" s="16">
        <f t="shared" si="152"/>
        <v>0</v>
      </c>
      <c r="KY126" s="16">
        <f t="shared" si="152"/>
        <v>0</v>
      </c>
      <c r="KZ126" s="16">
        <f t="shared" si="152"/>
        <v>-1.5573561525568274E-2</v>
      </c>
      <c r="LA126" s="16">
        <f t="shared" si="152"/>
        <v>1.0308680644256787</v>
      </c>
      <c r="LB126" s="16">
        <f t="shared" si="152"/>
        <v>-1.4880060365110517E-2</v>
      </c>
      <c r="LC126" s="16">
        <f t="shared" si="152"/>
        <v>0</v>
      </c>
      <c r="LD126" s="16">
        <f t="shared" si="152"/>
        <v>0</v>
      </c>
      <c r="LE126" s="16">
        <f t="shared" si="152"/>
        <v>0</v>
      </c>
      <c r="LF126" s="16">
        <f t="shared" si="152"/>
        <v>0</v>
      </c>
      <c r="LI126" s="9">
        <f t="shared" si="124"/>
        <v>5</v>
      </c>
      <c r="LJ126" s="16">
        <f t="shared" si="153"/>
        <v>0</v>
      </c>
      <c r="LK126" s="16">
        <f t="shared" si="153"/>
        <v>0</v>
      </c>
      <c r="LL126" s="16">
        <f t="shared" si="153"/>
        <v>0</v>
      </c>
      <c r="LM126" s="16">
        <f t="shared" si="153"/>
        <v>0</v>
      </c>
      <c r="LN126" s="16">
        <f t="shared" si="153"/>
        <v>0</v>
      </c>
      <c r="LO126" s="16">
        <f t="shared" si="153"/>
        <v>0</v>
      </c>
      <c r="LP126" s="16">
        <f t="shared" si="153"/>
        <v>0</v>
      </c>
      <c r="LQ126" s="16">
        <f t="shared" si="153"/>
        <v>0</v>
      </c>
      <c r="LR126" s="16">
        <f t="shared" si="153"/>
        <v>0</v>
      </c>
      <c r="LS126" s="16">
        <f t="shared" si="153"/>
        <v>0</v>
      </c>
      <c r="LT126" s="16">
        <f t="shared" si="154"/>
        <v>0</v>
      </c>
      <c r="LU126" s="16">
        <f t="shared" si="154"/>
        <v>0</v>
      </c>
      <c r="LV126" s="16">
        <f t="shared" si="154"/>
        <v>0</v>
      </c>
      <c r="LW126" s="16">
        <f t="shared" si="154"/>
        <v>0</v>
      </c>
      <c r="LX126" s="16">
        <f t="shared" si="154"/>
        <v>-0.12285653700244178</v>
      </c>
      <c r="LY126" s="16">
        <f t="shared" si="154"/>
        <v>1.2435116394590275</v>
      </c>
      <c r="LZ126" s="16">
        <f t="shared" si="154"/>
        <v>-0.11738565284783567</v>
      </c>
      <c r="MA126" s="16">
        <f t="shared" si="154"/>
        <v>0</v>
      </c>
      <c r="MB126" s="16">
        <f t="shared" si="154"/>
        <v>0</v>
      </c>
      <c r="MC126" s="16">
        <f t="shared" si="154"/>
        <v>0</v>
      </c>
      <c r="MD126" s="16">
        <f t="shared" si="154"/>
        <v>0</v>
      </c>
      <c r="MG126" s="9">
        <f t="shared" si="125"/>
        <v>5</v>
      </c>
      <c r="MH126" s="16">
        <f t="shared" si="155"/>
        <v>0</v>
      </c>
      <c r="MI126" s="16">
        <f t="shared" si="155"/>
        <v>0</v>
      </c>
      <c r="MJ126" s="16">
        <f t="shared" si="155"/>
        <v>0</v>
      </c>
      <c r="MK126" s="16">
        <f t="shared" si="155"/>
        <v>0</v>
      </c>
      <c r="ML126" s="16">
        <f t="shared" si="155"/>
        <v>0</v>
      </c>
      <c r="MM126" s="16">
        <f t="shared" si="155"/>
        <v>0</v>
      </c>
      <c r="MN126" s="16">
        <f t="shared" si="155"/>
        <v>0</v>
      </c>
      <c r="MO126" s="16">
        <f t="shared" si="155"/>
        <v>0</v>
      </c>
      <c r="MP126" s="16">
        <f t="shared" si="155"/>
        <v>0</v>
      </c>
      <c r="MQ126" s="16">
        <f t="shared" si="155"/>
        <v>0</v>
      </c>
      <c r="MR126" s="16">
        <f t="shared" si="156"/>
        <v>0</v>
      </c>
      <c r="MS126" s="16">
        <f t="shared" si="156"/>
        <v>0</v>
      </c>
      <c r="MT126" s="16">
        <f t="shared" si="156"/>
        <v>0</v>
      </c>
      <c r="MU126" s="16">
        <f t="shared" si="156"/>
        <v>0</v>
      </c>
      <c r="MV126" s="16">
        <f t="shared" si="156"/>
        <v>-1.7111829679139198E-2</v>
      </c>
      <c r="MW126" s="16">
        <f t="shared" si="156"/>
        <v>1.0339170369031971</v>
      </c>
      <c r="MX126" s="16">
        <f t="shared" si="156"/>
        <v>-1.6349828404057999E-2</v>
      </c>
      <c r="MY126" s="16">
        <f t="shared" si="156"/>
        <v>0</v>
      </c>
      <c r="MZ126" s="16">
        <f t="shared" si="156"/>
        <v>0</v>
      </c>
      <c r="NA126" s="16">
        <f t="shared" si="156"/>
        <v>0</v>
      </c>
      <c r="NB126" s="16">
        <f t="shared" si="156"/>
        <v>0</v>
      </c>
      <c r="NE126" s="9">
        <f t="shared" si="126"/>
        <v>5</v>
      </c>
      <c r="NF126" s="16">
        <f t="shared" si="157"/>
        <v>0</v>
      </c>
      <c r="NG126" s="16">
        <f t="shared" si="157"/>
        <v>0</v>
      </c>
      <c r="NH126" s="16">
        <f t="shared" si="157"/>
        <v>0</v>
      </c>
      <c r="NI126" s="16">
        <f t="shared" si="157"/>
        <v>0</v>
      </c>
      <c r="NJ126" s="16">
        <f t="shared" si="157"/>
        <v>0</v>
      </c>
      <c r="NK126" s="16">
        <f t="shared" si="157"/>
        <v>0</v>
      </c>
      <c r="NL126" s="16">
        <f t="shared" si="157"/>
        <v>0</v>
      </c>
      <c r="NM126" s="16">
        <f t="shared" si="157"/>
        <v>0</v>
      </c>
      <c r="NN126" s="16">
        <f t="shared" si="157"/>
        <v>0</v>
      </c>
      <c r="NO126" s="16">
        <f t="shared" si="157"/>
        <v>0</v>
      </c>
      <c r="NP126" s="16">
        <f t="shared" si="158"/>
        <v>0</v>
      </c>
      <c r="NQ126" s="16">
        <f t="shared" si="158"/>
        <v>0</v>
      </c>
      <c r="NR126" s="16">
        <f t="shared" si="158"/>
        <v>0</v>
      </c>
      <c r="NS126" s="16">
        <f t="shared" si="158"/>
        <v>0</v>
      </c>
      <c r="NT126" s="16">
        <f t="shared" si="158"/>
        <v>-0.12285653700244178</v>
      </c>
      <c r="NU126" s="16">
        <f t="shared" si="158"/>
        <v>1.2435116394590275</v>
      </c>
      <c r="NV126" s="16">
        <f t="shared" si="158"/>
        <v>-0.11738565284783567</v>
      </c>
      <c r="NW126" s="16">
        <f t="shared" si="158"/>
        <v>0</v>
      </c>
      <c r="NX126" s="16">
        <f t="shared" si="158"/>
        <v>0</v>
      </c>
      <c r="NY126" s="16">
        <f t="shared" si="158"/>
        <v>0</v>
      </c>
      <c r="NZ126" s="16">
        <f t="shared" si="158"/>
        <v>0</v>
      </c>
      <c r="OC126" s="9">
        <f t="shared" si="127"/>
        <v>5</v>
      </c>
      <c r="OD126" s="16">
        <f t="shared" si="159"/>
        <v>0</v>
      </c>
      <c r="OE126" s="16">
        <f t="shared" si="159"/>
        <v>0</v>
      </c>
      <c r="OF126" s="16">
        <f t="shared" si="159"/>
        <v>0</v>
      </c>
      <c r="OG126" s="16">
        <f t="shared" si="159"/>
        <v>0</v>
      </c>
      <c r="OH126" s="16">
        <f t="shared" si="159"/>
        <v>0</v>
      </c>
      <c r="OI126" s="16">
        <f t="shared" si="159"/>
        <v>0</v>
      </c>
      <c r="OJ126" s="16">
        <f t="shared" si="159"/>
        <v>0</v>
      </c>
      <c r="OK126" s="16">
        <f t="shared" si="159"/>
        <v>0</v>
      </c>
      <c r="OL126" s="16">
        <f t="shared" si="159"/>
        <v>0</v>
      </c>
      <c r="OM126" s="16">
        <f t="shared" si="159"/>
        <v>0</v>
      </c>
      <c r="ON126" s="16">
        <f t="shared" si="160"/>
        <v>0</v>
      </c>
      <c r="OO126" s="16">
        <f t="shared" si="160"/>
        <v>0</v>
      </c>
      <c r="OP126" s="16">
        <f t="shared" si="160"/>
        <v>0</v>
      </c>
      <c r="OQ126" s="16">
        <f t="shared" si="160"/>
        <v>0</v>
      </c>
      <c r="OR126" s="16">
        <f t="shared" si="160"/>
        <v>-1.8649536420975211E-2</v>
      </c>
      <c r="OS126" s="16">
        <f t="shared" si="160"/>
        <v>1.0369648966170377</v>
      </c>
      <c r="OT126" s="16">
        <f t="shared" si="160"/>
        <v>-1.7819060031312402E-2</v>
      </c>
      <c r="OU126" s="16">
        <f t="shared" si="160"/>
        <v>0</v>
      </c>
      <c r="OV126" s="16">
        <f t="shared" si="160"/>
        <v>0</v>
      </c>
      <c r="OW126" s="16">
        <f t="shared" si="160"/>
        <v>0</v>
      </c>
      <c r="OX126" s="16">
        <f t="shared" si="160"/>
        <v>0</v>
      </c>
      <c r="PA126" s="9">
        <f t="shared" si="128"/>
        <v>5</v>
      </c>
      <c r="PB126" s="16">
        <f t="shared" si="161"/>
        <v>0</v>
      </c>
      <c r="PC126" s="16">
        <f t="shared" si="161"/>
        <v>0</v>
      </c>
      <c r="PD126" s="16">
        <f t="shared" si="161"/>
        <v>0</v>
      </c>
      <c r="PE126" s="16">
        <f t="shared" si="161"/>
        <v>0</v>
      </c>
      <c r="PF126" s="16">
        <f t="shared" si="161"/>
        <v>0</v>
      </c>
      <c r="PG126" s="16">
        <f t="shared" si="161"/>
        <v>0</v>
      </c>
      <c r="PH126" s="16">
        <f t="shared" si="161"/>
        <v>0</v>
      </c>
      <c r="PI126" s="16">
        <f t="shared" si="161"/>
        <v>0</v>
      </c>
      <c r="PJ126" s="16">
        <f t="shared" si="161"/>
        <v>0</v>
      </c>
      <c r="PK126" s="16">
        <f t="shared" si="161"/>
        <v>0</v>
      </c>
      <c r="PL126" s="16">
        <f t="shared" si="162"/>
        <v>0</v>
      </c>
      <c r="PM126" s="16">
        <f t="shared" si="162"/>
        <v>0</v>
      </c>
      <c r="PN126" s="16">
        <f t="shared" si="162"/>
        <v>0</v>
      </c>
      <c r="PO126" s="16">
        <f t="shared" si="162"/>
        <v>0</v>
      </c>
      <c r="PP126" s="16">
        <f t="shared" si="162"/>
        <v>-0.12285148429682786</v>
      </c>
      <c r="PQ126" s="16">
        <f t="shared" si="162"/>
        <v>1.2435016245859261</v>
      </c>
      <c r="PR126" s="16">
        <f t="shared" si="162"/>
        <v>-0.11738082514259825</v>
      </c>
      <c r="PS126" s="16">
        <f t="shared" si="162"/>
        <v>0</v>
      </c>
      <c r="PT126" s="16">
        <f t="shared" si="162"/>
        <v>0</v>
      </c>
      <c r="PU126" s="16">
        <f t="shared" si="162"/>
        <v>0</v>
      </c>
      <c r="PV126" s="16">
        <f t="shared" si="162"/>
        <v>0</v>
      </c>
    </row>
    <row r="127" spans="3:438" x14ac:dyDescent="0.25">
      <c r="C127" s="1"/>
      <c r="D127" s="1"/>
      <c r="F127" s="1"/>
      <c r="H127" s="1"/>
      <c r="I127" s="9">
        <f t="shared" si="111"/>
        <v>4</v>
      </c>
      <c r="J127" s="16">
        <f t="shared" si="110"/>
        <v>0</v>
      </c>
      <c r="K127" s="16">
        <f t="shared" si="110"/>
        <v>0</v>
      </c>
      <c r="L127" s="16">
        <f t="shared" si="110"/>
        <v>0</v>
      </c>
      <c r="M127" s="16">
        <f t="shared" si="110"/>
        <v>0</v>
      </c>
      <c r="N127" s="16">
        <f t="shared" si="110"/>
        <v>0</v>
      </c>
      <c r="O127" s="16">
        <f t="shared" si="110"/>
        <v>0</v>
      </c>
      <c r="P127" s="16">
        <f t="shared" si="110"/>
        <v>0</v>
      </c>
      <c r="Q127" s="16">
        <f t="shared" si="110"/>
        <v>0</v>
      </c>
      <c r="R127" s="16">
        <f t="shared" si="110"/>
        <v>0</v>
      </c>
      <c r="S127" s="16">
        <f t="shared" si="110"/>
        <v>0</v>
      </c>
      <c r="T127" s="16">
        <f t="shared" si="110"/>
        <v>0</v>
      </c>
      <c r="U127" s="16">
        <f t="shared" si="110"/>
        <v>0</v>
      </c>
      <c r="V127" s="16">
        <f t="shared" si="110"/>
        <v>0</v>
      </c>
      <c r="W127" s="16">
        <f t="shared" si="110"/>
        <v>0</v>
      </c>
      <c r="X127" s="16">
        <f t="shared" si="110"/>
        <v>0</v>
      </c>
      <c r="Y127" s="16">
        <f t="shared" si="110"/>
        <v>-1.4794765573006562E-2</v>
      </c>
      <c r="Z127" s="16">
        <f t="shared" si="163"/>
        <v>1.0293581156946783</v>
      </c>
      <c r="AA127" s="16">
        <f t="shared" si="163"/>
        <v>-1.4219664610671659E-2</v>
      </c>
      <c r="AB127" s="16">
        <f t="shared" si="163"/>
        <v>0</v>
      </c>
      <c r="AC127" s="16">
        <f t="shared" si="163"/>
        <v>0</v>
      </c>
      <c r="AD127" s="16">
        <f t="shared" si="163"/>
        <v>0</v>
      </c>
      <c r="AE127" s="1"/>
      <c r="AF127" s="1"/>
      <c r="AG127" s="9">
        <f t="shared" si="112"/>
        <v>4</v>
      </c>
      <c r="AH127" s="16">
        <f t="shared" si="129"/>
        <v>0</v>
      </c>
      <c r="AI127" s="16">
        <f t="shared" si="129"/>
        <v>0</v>
      </c>
      <c r="AJ127" s="16">
        <f t="shared" si="129"/>
        <v>0</v>
      </c>
      <c r="AK127" s="16">
        <f t="shared" si="129"/>
        <v>0</v>
      </c>
      <c r="AL127" s="16">
        <f t="shared" si="129"/>
        <v>0</v>
      </c>
      <c r="AM127" s="16">
        <f t="shared" si="129"/>
        <v>0</v>
      </c>
      <c r="AN127" s="16">
        <f t="shared" si="129"/>
        <v>0</v>
      </c>
      <c r="AO127" s="16">
        <f t="shared" si="129"/>
        <v>0</v>
      </c>
      <c r="AP127" s="16">
        <f t="shared" si="129"/>
        <v>0</v>
      </c>
      <c r="AQ127" s="16">
        <f t="shared" si="129"/>
        <v>0</v>
      </c>
      <c r="AR127" s="16">
        <f t="shared" si="130"/>
        <v>0</v>
      </c>
      <c r="AS127" s="16">
        <f t="shared" si="130"/>
        <v>0</v>
      </c>
      <c r="AT127" s="16">
        <f t="shared" si="130"/>
        <v>0</v>
      </c>
      <c r="AU127" s="16">
        <f t="shared" si="130"/>
        <v>0</v>
      </c>
      <c r="AV127" s="16">
        <f t="shared" si="130"/>
        <v>0</v>
      </c>
      <c r="AW127" s="16">
        <f t="shared" si="130"/>
        <v>-0.11841986591143147</v>
      </c>
      <c r="AX127" s="16">
        <f t="shared" si="130"/>
        <v>1.2349874424721676</v>
      </c>
      <c r="AY127" s="16">
        <f t="shared" si="130"/>
        <v>-0.11381665820873621</v>
      </c>
      <c r="AZ127" s="16">
        <f t="shared" si="130"/>
        <v>0</v>
      </c>
      <c r="BA127" s="16">
        <f t="shared" si="130"/>
        <v>0</v>
      </c>
      <c r="BB127" s="16">
        <f t="shared" si="130"/>
        <v>0</v>
      </c>
      <c r="BE127" s="9">
        <f t="shared" si="113"/>
        <v>4</v>
      </c>
      <c r="BF127" s="16">
        <f t="shared" si="131"/>
        <v>0</v>
      </c>
      <c r="BG127" s="16">
        <f t="shared" si="131"/>
        <v>0</v>
      </c>
      <c r="BH127" s="16">
        <f t="shared" si="131"/>
        <v>0</v>
      </c>
      <c r="BI127" s="16">
        <f t="shared" si="131"/>
        <v>0</v>
      </c>
      <c r="BJ127" s="16">
        <f t="shared" si="131"/>
        <v>0</v>
      </c>
      <c r="BK127" s="16">
        <f t="shared" si="131"/>
        <v>0</v>
      </c>
      <c r="BL127" s="16">
        <f t="shared" si="131"/>
        <v>0</v>
      </c>
      <c r="BM127" s="16">
        <f t="shared" si="131"/>
        <v>0</v>
      </c>
      <c r="BN127" s="16">
        <f t="shared" si="131"/>
        <v>0</v>
      </c>
      <c r="BO127" s="16">
        <f t="shared" si="131"/>
        <v>0</v>
      </c>
      <c r="BP127" s="16">
        <f t="shared" si="132"/>
        <v>0</v>
      </c>
      <c r="BQ127" s="16">
        <f t="shared" si="132"/>
        <v>0</v>
      </c>
      <c r="BR127" s="16">
        <f t="shared" si="132"/>
        <v>0</v>
      </c>
      <c r="BS127" s="16">
        <f t="shared" si="132"/>
        <v>0</v>
      </c>
      <c r="BT127" s="16">
        <f t="shared" si="132"/>
        <v>0</v>
      </c>
      <c r="BU127" s="16">
        <f t="shared" si="132"/>
        <v>-0.11840443057958681</v>
      </c>
      <c r="BV127" s="16">
        <f t="shared" si="132"/>
        <v>1.2349568132434823</v>
      </c>
      <c r="BW127" s="16">
        <f t="shared" si="132"/>
        <v>-0.11380182287789556</v>
      </c>
      <c r="BX127" s="16">
        <f t="shared" si="132"/>
        <v>0</v>
      </c>
      <c r="BY127" s="16">
        <f t="shared" si="132"/>
        <v>0</v>
      </c>
      <c r="BZ127" s="16">
        <f t="shared" si="132"/>
        <v>0</v>
      </c>
      <c r="CC127" s="9">
        <f t="shared" si="114"/>
        <v>4</v>
      </c>
      <c r="CD127" s="16">
        <f t="shared" si="133"/>
        <v>0</v>
      </c>
      <c r="CE127" s="16">
        <f t="shared" si="133"/>
        <v>0</v>
      </c>
      <c r="CF127" s="16">
        <f t="shared" si="133"/>
        <v>0</v>
      </c>
      <c r="CG127" s="16">
        <f t="shared" si="133"/>
        <v>0</v>
      </c>
      <c r="CH127" s="16">
        <f t="shared" si="133"/>
        <v>0</v>
      </c>
      <c r="CI127" s="16">
        <f t="shared" si="133"/>
        <v>0</v>
      </c>
      <c r="CJ127" s="16">
        <f t="shared" si="133"/>
        <v>0</v>
      </c>
      <c r="CK127" s="16">
        <f t="shared" si="133"/>
        <v>0</v>
      </c>
      <c r="CL127" s="16">
        <f t="shared" si="133"/>
        <v>0</v>
      </c>
      <c r="CM127" s="16">
        <f t="shared" si="133"/>
        <v>0</v>
      </c>
      <c r="CN127" s="16">
        <f t="shared" si="134"/>
        <v>0</v>
      </c>
      <c r="CO127" s="16">
        <f t="shared" si="134"/>
        <v>0</v>
      </c>
      <c r="CP127" s="16">
        <f t="shared" si="134"/>
        <v>0</v>
      </c>
      <c r="CQ127" s="16">
        <f t="shared" si="134"/>
        <v>0</v>
      </c>
      <c r="CR127" s="16">
        <f t="shared" si="134"/>
        <v>0</v>
      </c>
      <c r="CS127" s="16">
        <f t="shared" si="134"/>
        <v>-0.11840443057958647</v>
      </c>
      <c r="CT127" s="16">
        <f t="shared" si="134"/>
        <v>1.2349568132434816</v>
      </c>
      <c r="CU127" s="16">
        <f t="shared" si="134"/>
        <v>-0.11380182287789523</v>
      </c>
      <c r="CV127" s="16">
        <f t="shared" si="134"/>
        <v>0</v>
      </c>
      <c r="CW127" s="16">
        <f t="shared" si="134"/>
        <v>0</v>
      </c>
      <c r="CX127" s="16">
        <f t="shared" si="134"/>
        <v>0</v>
      </c>
      <c r="DA127" s="9">
        <f t="shared" si="115"/>
        <v>4</v>
      </c>
      <c r="DB127" s="16">
        <f t="shared" si="135"/>
        <v>0</v>
      </c>
      <c r="DC127" s="16">
        <f t="shared" si="135"/>
        <v>0</v>
      </c>
      <c r="DD127" s="16">
        <f t="shared" si="135"/>
        <v>0</v>
      </c>
      <c r="DE127" s="16">
        <f t="shared" si="135"/>
        <v>0</v>
      </c>
      <c r="DF127" s="16">
        <f t="shared" si="135"/>
        <v>0</v>
      </c>
      <c r="DG127" s="16">
        <f t="shared" si="135"/>
        <v>0</v>
      </c>
      <c r="DH127" s="16">
        <f t="shared" si="135"/>
        <v>0</v>
      </c>
      <c r="DI127" s="16">
        <f t="shared" si="135"/>
        <v>0</v>
      </c>
      <c r="DJ127" s="16">
        <f t="shared" si="135"/>
        <v>0</v>
      </c>
      <c r="DK127" s="16">
        <f t="shared" si="135"/>
        <v>0</v>
      </c>
      <c r="DL127" s="16">
        <f t="shared" si="136"/>
        <v>0</v>
      </c>
      <c r="DM127" s="16">
        <f t="shared" si="136"/>
        <v>0</v>
      </c>
      <c r="DN127" s="16">
        <f t="shared" si="136"/>
        <v>0</v>
      </c>
      <c r="DO127" s="16">
        <f t="shared" si="136"/>
        <v>0</v>
      </c>
      <c r="DP127" s="16">
        <f t="shared" si="136"/>
        <v>0</v>
      </c>
      <c r="DQ127" s="16">
        <f t="shared" si="136"/>
        <v>-1.4802483238929062E-2</v>
      </c>
      <c r="DR127" s="16">
        <f t="shared" si="136"/>
        <v>1.0293734303090212</v>
      </c>
      <c r="DS127" s="16">
        <f t="shared" si="136"/>
        <v>-1.4227082276092149E-2</v>
      </c>
      <c r="DT127" s="16">
        <f t="shared" si="136"/>
        <v>0</v>
      </c>
      <c r="DU127" s="16">
        <f t="shared" si="136"/>
        <v>0</v>
      </c>
      <c r="DV127" s="16">
        <f t="shared" si="136"/>
        <v>0</v>
      </c>
      <c r="DY127" s="9">
        <f t="shared" si="116"/>
        <v>4</v>
      </c>
      <c r="DZ127" s="16">
        <f t="shared" si="137"/>
        <v>0</v>
      </c>
      <c r="EA127" s="16">
        <f t="shared" si="137"/>
        <v>0</v>
      </c>
      <c r="EB127" s="16">
        <f t="shared" si="137"/>
        <v>0</v>
      </c>
      <c r="EC127" s="16">
        <f t="shared" si="137"/>
        <v>0</v>
      </c>
      <c r="ED127" s="16">
        <f t="shared" si="137"/>
        <v>0</v>
      </c>
      <c r="EE127" s="16">
        <f t="shared" si="137"/>
        <v>0</v>
      </c>
      <c r="EF127" s="16">
        <f t="shared" si="137"/>
        <v>0</v>
      </c>
      <c r="EG127" s="16">
        <f t="shared" si="137"/>
        <v>0</v>
      </c>
      <c r="EH127" s="16">
        <f t="shared" si="137"/>
        <v>0</v>
      </c>
      <c r="EI127" s="16">
        <f t="shared" si="137"/>
        <v>0</v>
      </c>
      <c r="EJ127" s="16">
        <f t="shared" si="138"/>
        <v>0</v>
      </c>
      <c r="EK127" s="16">
        <f t="shared" si="138"/>
        <v>0</v>
      </c>
      <c r="EL127" s="16">
        <f t="shared" si="138"/>
        <v>0</v>
      </c>
      <c r="EM127" s="16">
        <f t="shared" si="138"/>
        <v>0</v>
      </c>
      <c r="EN127" s="16">
        <f t="shared" si="138"/>
        <v>0</v>
      </c>
      <c r="EO127" s="16">
        <f t="shared" si="138"/>
        <v>-8.6515339007080888E-2</v>
      </c>
      <c r="EP127" s="16">
        <f t="shared" si="138"/>
        <v>1.1711786300984706</v>
      </c>
      <c r="EQ127" s="16">
        <f t="shared" si="138"/>
        <v>-8.1912731305389647E-2</v>
      </c>
      <c r="ER127" s="16">
        <f t="shared" si="138"/>
        <v>0</v>
      </c>
      <c r="ES127" s="16">
        <f t="shared" si="138"/>
        <v>0</v>
      </c>
      <c r="ET127" s="16">
        <f t="shared" si="138"/>
        <v>0</v>
      </c>
      <c r="EW127" s="9">
        <f t="shared" si="117"/>
        <v>4</v>
      </c>
      <c r="EX127" s="16">
        <f t="shared" si="139"/>
        <v>0</v>
      </c>
      <c r="EY127" s="16">
        <f t="shared" si="139"/>
        <v>0</v>
      </c>
      <c r="EZ127" s="16">
        <f t="shared" si="139"/>
        <v>0</v>
      </c>
      <c r="FA127" s="16">
        <f t="shared" si="139"/>
        <v>0</v>
      </c>
      <c r="FB127" s="16">
        <f t="shared" si="139"/>
        <v>0</v>
      </c>
      <c r="FC127" s="16">
        <f t="shared" si="139"/>
        <v>0</v>
      </c>
      <c r="FD127" s="16">
        <f t="shared" si="139"/>
        <v>0</v>
      </c>
      <c r="FE127" s="16">
        <f t="shared" si="139"/>
        <v>0</v>
      </c>
      <c r="FF127" s="16">
        <f t="shared" si="139"/>
        <v>0</v>
      </c>
      <c r="FG127" s="16">
        <f t="shared" si="139"/>
        <v>0</v>
      </c>
      <c r="FH127" s="16">
        <f t="shared" si="140"/>
        <v>0</v>
      </c>
      <c r="FI127" s="16">
        <f t="shared" si="140"/>
        <v>0</v>
      </c>
      <c r="FJ127" s="16">
        <f t="shared" si="140"/>
        <v>0</v>
      </c>
      <c r="FK127" s="16">
        <f t="shared" si="140"/>
        <v>0</v>
      </c>
      <c r="FL127" s="16">
        <f t="shared" si="140"/>
        <v>0</v>
      </c>
      <c r="FM127" s="16">
        <f t="shared" si="140"/>
        <v>-8.6515339007081138E-2</v>
      </c>
      <c r="FN127" s="16">
        <f t="shared" si="140"/>
        <v>1.171178630098471</v>
      </c>
      <c r="FO127" s="16">
        <f t="shared" si="140"/>
        <v>-8.1912731305389883E-2</v>
      </c>
      <c r="FP127" s="16">
        <f t="shared" si="140"/>
        <v>0</v>
      </c>
      <c r="FQ127" s="16">
        <f t="shared" si="140"/>
        <v>0</v>
      </c>
      <c r="FR127" s="16">
        <f t="shared" si="140"/>
        <v>0</v>
      </c>
      <c r="FU127" s="9">
        <f t="shared" si="118"/>
        <v>4</v>
      </c>
      <c r="FV127" s="16">
        <f t="shared" si="141"/>
        <v>0</v>
      </c>
      <c r="FW127" s="16">
        <f t="shared" si="141"/>
        <v>0</v>
      </c>
      <c r="FX127" s="16">
        <f t="shared" si="141"/>
        <v>0</v>
      </c>
      <c r="FY127" s="16">
        <f t="shared" si="141"/>
        <v>0</v>
      </c>
      <c r="FZ127" s="16">
        <f t="shared" si="141"/>
        <v>0</v>
      </c>
      <c r="GA127" s="16">
        <f t="shared" si="141"/>
        <v>0</v>
      </c>
      <c r="GB127" s="16">
        <f t="shared" si="141"/>
        <v>0</v>
      </c>
      <c r="GC127" s="16">
        <f t="shared" si="141"/>
        <v>0</v>
      </c>
      <c r="GD127" s="16">
        <f t="shared" si="141"/>
        <v>0</v>
      </c>
      <c r="GE127" s="16">
        <f t="shared" si="141"/>
        <v>0</v>
      </c>
      <c r="GF127" s="16">
        <f t="shared" si="142"/>
        <v>0</v>
      </c>
      <c r="GG127" s="16">
        <f t="shared" si="142"/>
        <v>0</v>
      </c>
      <c r="GH127" s="16">
        <f t="shared" si="142"/>
        <v>0</v>
      </c>
      <c r="GI127" s="16">
        <f t="shared" si="142"/>
        <v>0</v>
      </c>
      <c r="GJ127" s="16">
        <f t="shared" si="142"/>
        <v>0</v>
      </c>
      <c r="GK127" s="16">
        <f t="shared" si="142"/>
        <v>-8.6526617241862225E-2</v>
      </c>
      <c r="GL127" s="16">
        <f t="shared" si="142"/>
        <v>1.1712009451330292</v>
      </c>
      <c r="GM127" s="16">
        <f t="shared" si="142"/>
        <v>-8.1923409539166978E-2</v>
      </c>
      <c r="GN127" s="16">
        <f t="shared" si="142"/>
        <v>0</v>
      </c>
      <c r="GO127" s="16">
        <f t="shared" si="142"/>
        <v>0</v>
      </c>
      <c r="GP127" s="16">
        <f t="shared" si="142"/>
        <v>0</v>
      </c>
      <c r="GS127" s="9">
        <f t="shared" si="119"/>
        <v>4</v>
      </c>
      <c r="GT127" s="16">
        <f t="shared" si="143"/>
        <v>0</v>
      </c>
      <c r="GU127" s="16">
        <f t="shared" si="143"/>
        <v>0</v>
      </c>
      <c r="GV127" s="16">
        <f t="shared" si="143"/>
        <v>0</v>
      </c>
      <c r="GW127" s="16">
        <f t="shared" si="143"/>
        <v>0</v>
      </c>
      <c r="GX127" s="16">
        <f t="shared" si="143"/>
        <v>0</v>
      </c>
      <c r="GY127" s="16">
        <f t="shared" si="143"/>
        <v>0</v>
      </c>
      <c r="GZ127" s="16">
        <f t="shared" si="143"/>
        <v>0</v>
      </c>
      <c r="HA127" s="16">
        <f t="shared" si="143"/>
        <v>0</v>
      </c>
      <c r="HB127" s="16">
        <f t="shared" si="143"/>
        <v>0</v>
      </c>
      <c r="HC127" s="16">
        <f t="shared" si="143"/>
        <v>0</v>
      </c>
      <c r="HD127" s="16">
        <f t="shared" si="144"/>
        <v>0</v>
      </c>
      <c r="HE127" s="16">
        <f t="shared" si="144"/>
        <v>0</v>
      </c>
      <c r="HF127" s="16">
        <f t="shared" si="144"/>
        <v>0</v>
      </c>
      <c r="HG127" s="16">
        <f t="shared" si="144"/>
        <v>0</v>
      </c>
      <c r="HH127" s="16">
        <f t="shared" si="144"/>
        <v>0</v>
      </c>
      <c r="HI127" s="16">
        <f t="shared" si="144"/>
        <v>-1.8727508854290042E-2</v>
      </c>
      <c r="HJ127" s="16">
        <f t="shared" si="144"/>
        <v>1.0370541148844366</v>
      </c>
      <c r="HK127" s="16">
        <f t="shared" si="144"/>
        <v>-1.7731207187146467E-2</v>
      </c>
      <c r="HL127" s="16">
        <f t="shared" si="144"/>
        <v>0</v>
      </c>
      <c r="HM127" s="16">
        <f t="shared" si="144"/>
        <v>0</v>
      </c>
      <c r="HN127" s="16">
        <f t="shared" si="144"/>
        <v>0</v>
      </c>
      <c r="HQ127" s="9">
        <f t="shared" si="120"/>
        <v>4</v>
      </c>
      <c r="HR127" s="16">
        <f t="shared" si="145"/>
        <v>0</v>
      </c>
      <c r="HS127" s="16">
        <f t="shared" si="145"/>
        <v>0</v>
      </c>
      <c r="HT127" s="16">
        <f t="shared" si="145"/>
        <v>0</v>
      </c>
      <c r="HU127" s="16">
        <f t="shared" si="145"/>
        <v>0</v>
      </c>
      <c r="HV127" s="16">
        <f t="shared" si="145"/>
        <v>0</v>
      </c>
      <c r="HW127" s="16">
        <f t="shared" si="145"/>
        <v>0</v>
      </c>
      <c r="HX127" s="16">
        <f t="shared" si="145"/>
        <v>0</v>
      </c>
      <c r="HY127" s="16">
        <f t="shared" si="145"/>
        <v>0</v>
      </c>
      <c r="HZ127" s="16">
        <f t="shared" si="145"/>
        <v>0</v>
      </c>
      <c r="IA127" s="16">
        <f t="shared" si="145"/>
        <v>0</v>
      </c>
      <c r="IB127" s="16">
        <f t="shared" si="146"/>
        <v>0</v>
      </c>
      <c r="IC127" s="16">
        <f t="shared" si="146"/>
        <v>0</v>
      </c>
      <c r="ID127" s="16">
        <f t="shared" si="146"/>
        <v>0</v>
      </c>
      <c r="IE127" s="16">
        <f t="shared" si="146"/>
        <v>0</v>
      </c>
      <c r="IF127" s="16">
        <f t="shared" si="146"/>
        <v>0</v>
      </c>
      <c r="IG127" s="16">
        <f t="shared" si="146"/>
        <v>-0.12340644497659767</v>
      </c>
      <c r="IH127" s="16">
        <f t="shared" si="146"/>
        <v>1.2441711081394169</v>
      </c>
      <c r="II127" s="16">
        <f t="shared" si="146"/>
        <v>-0.11684123399081933</v>
      </c>
      <c r="IJ127" s="16">
        <f t="shared" si="146"/>
        <v>0</v>
      </c>
      <c r="IK127" s="16">
        <f t="shared" si="146"/>
        <v>0</v>
      </c>
      <c r="IL127" s="16">
        <f t="shared" si="146"/>
        <v>0</v>
      </c>
      <c r="IO127" s="9">
        <f t="shared" si="121"/>
        <v>4</v>
      </c>
      <c r="IP127" s="16">
        <f t="shared" si="147"/>
        <v>0</v>
      </c>
      <c r="IQ127" s="16">
        <f t="shared" si="147"/>
        <v>0</v>
      </c>
      <c r="IR127" s="16">
        <f t="shared" si="147"/>
        <v>0</v>
      </c>
      <c r="IS127" s="16">
        <f t="shared" si="147"/>
        <v>0</v>
      </c>
      <c r="IT127" s="16">
        <f t="shared" si="147"/>
        <v>0</v>
      </c>
      <c r="IU127" s="16">
        <f t="shared" si="147"/>
        <v>0</v>
      </c>
      <c r="IV127" s="16">
        <f t="shared" si="147"/>
        <v>0</v>
      </c>
      <c r="IW127" s="16">
        <f t="shared" si="147"/>
        <v>0</v>
      </c>
      <c r="IX127" s="16">
        <f t="shared" si="147"/>
        <v>0</v>
      </c>
      <c r="IY127" s="16">
        <f t="shared" si="147"/>
        <v>0</v>
      </c>
      <c r="IZ127" s="16">
        <f t="shared" si="148"/>
        <v>0</v>
      </c>
      <c r="JA127" s="16">
        <f t="shared" si="148"/>
        <v>0</v>
      </c>
      <c r="JB127" s="16">
        <f t="shared" si="148"/>
        <v>0</v>
      </c>
      <c r="JC127" s="16">
        <f t="shared" si="148"/>
        <v>0</v>
      </c>
      <c r="JD127" s="16">
        <f t="shared" si="148"/>
        <v>0</v>
      </c>
      <c r="JE127" s="16">
        <f t="shared" si="148"/>
        <v>-1.8732584059941507E-2</v>
      </c>
      <c r="JF127" s="16">
        <f t="shared" si="148"/>
        <v>1.0370641566499876</v>
      </c>
      <c r="JG127" s="16">
        <f t="shared" si="148"/>
        <v>-1.7736012392346137E-2</v>
      </c>
      <c r="JH127" s="16">
        <f t="shared" si="148"/>
        <v>0</v>
      </c>
      <c r="JI127" s="16">
        <f t="shared" si="148"/>
        <v>0</v>
      </c>
      <c r="JJ127" s="16">
        <f t="shared" si="148"/>
        <v>0</v>
      </c>
      <c r="JM127" s="9">
        <f t="shared" si="122"/>
        <v>4</v>
      </c>
      <c r="JN127" s="16">
        <f t="shared" si="149"/>
        <v>0</v>
      </c>
      <c r="JO127" s="16">
        <f t="shared" si="149"/>
        <v>0</v>
      </c>
      <c r="JP127" s="16">
        <f t="shared" si="149"/>
        <v>0</v>
      </c>
      <c r="JQ127" s="16">
        <f t="shared" si="149"/>
        <v>0</v>
      </c>
      <c r="JR127" s="16">
        <f t="shared" si="149"/>
        <v>0</v>
      </c>
      <c r="JS127" s="16">
        <f t="shared" si="149"/>
        <v>0</v>
      </c>
      <c r="JT127" s="16">
        <f t="shared" si="149"/>
        <v>0</v>
      </c>
      <c r="JU127" s="16">
        <f t="shared" si="149"/>
        <v>0</v>
      </c>
      <c r="JV127" s="16">
        <f t="shared" si="149"/>
        <v>0</v>
      </c>
      <c r="JW127" s="16">
        <f t="shared" si="149"/>
        <v>0</v>
      </c>
      <c r="JX127" s="16">
        <f t="shared" si="150"/>
        <v>0</v>
      </c>
      <c r="JY127" s="16">
        <f t="shared" si="150"/>
        <v>0</v>
      </c>
      <c r="JZ127" s="16">
        <f t="shared" si="150"/>
        <v>0</v>
      </c>
      <c r="KA127" s="16">
        <f t="shared" si="150"/>
        <v>0</v>
      </c>
      <c r="KB127" s="16">
        <f t="shared" si="150"/>
        <v>0</v>
      </c>
      <c r="KC127" s="16">
        <f t="shared" si="150"/>
        <v>-0.12340418932964148</v>
      </c>
      <c r="KD127" s="16">
        <f t="shared" si="150"/>
        <v>1.2441666451325053</v>
      </c>
      <c r="KE127" s="16">
        <f t="shared" si="150"/>
        <v>-0.11683909834406393</v>
      </c>
      <c r="KF127" s="16">
        <f t="shared" si="150"/>
        <v>0</v>
      </c>
      <c r="KG127" s="16">
        <f t="shared" si="150"/>
        <v>0</v>
      </c>
      <c r="KH127" s="16">
        <f t="shared" si="150"/>
        <v>0</v>
      </c>
      <c r="KK127" s="9">
        <f t="shared" si="123"/>
        <v>4</v>
      </c>
      <c r="KL127" s="16">
        <f t="shared" si="151"/>
        <v>0</v>
      </c>
      <c r="KM127" s="16">
        <f t="shared" si="151"/>
        <v>0</v>
      </c>
      <c r="KN127" s="16">
        <f t="shared" si="151"/>
        <v>0</v>
      </c>
      <c r="KO127" s="16">
        <f t="shared" si="151"/>
        <v>0</v>
      </c>
      <c r="KP127" s="16">
        <f t="shared" si="151"/>
        <v>0</v>
      </c>
      <c r="KQ127" s="16">
        <f t="shared" si="151"/>
        <v>0</v>
      </c>
      <c r="KR127" s="16">
        <f t="shared" si="151"/>
        <v>0</v>
      </c>
      <c r="KS127" s="16">
        <f t="shared" si="151"/>
        <v>0</v>
      </c>
      <c r="KT127" s="16">
        <f t="shared" si="151"/>
        <v>0</v>
      </c>
      <c r="KU127" s="16">
        <f t="shared" si="151"/>
        <v>0</v>
      </c>
      <c r="KV127" s="16">
        <f t="shared" si="152"/>
        <v>0</v>
      </c>
      <c r="KW127" s="16">
        <f t="shared" si="152"/>
        <v>0</v>
      </c>
      <c r="KX127" s="16">
        <f t="shared" si="152"/>
        <v>0</v>
      </c>
      <c r="KY127" s="16">
        <f t="shared" si="152"/>
        <v>0</v>
      </c>
      <c r="KZ127" s="16">
        <f t="shared" si="152"/>
        <v>0</v>
      </c>
      <c r="LA127" s="16">
        <f t="shared" si="152"/>
        <v>-1.5642911641614052E-2</v>
      </c>
      <c r="LB127" s="16">
        <f t="shared" si="152"/>
        <v>1.0309509529326788</v>
      </c>
      <c r="LC127" s="16">
        <f t="shared" si="152"/>
        <v>-1.4810710249064741E-2</v>
      </c>
      <c r="LD127" s="16">
        <f t="shared" si="152"/>
        <v>0</v>
      </c>
      <c r="LE127" s="16">
        <f t="shared" si="152"/>
        <v>0</v>
      </c>
      <c r="LF127" s="16">
        <f t="shared" si="152"/>
        <v>0</v>
      </c>
      <c r="LI127" s="9">
        <f t="shared" si="124"/>
        <v>4</v>
      </c>
      <c r="LJ127" s="16">
        <f t="shared" si="153"/>
        <v>0</v>
      </c>
      <c r="LK127" s="16">
        <f t="shared" si="153"/>
        <v>0</v>
      </c>
      <c r="LL127" s="16">
        <f t="shared" si="153"/>
        <v>0</v>
      </c>
      <c r="LM127" s="16">
        <f t="shared" si="153"/>
        <v>0</v>
      </c>
      <c r="LN127" s="16">
        <f t="shared" si="153"/>
        <v>0</v>
      </c>
      <c r="LO127" s="16">
        <f t="shared" si="153"/>
        <v>0</v>
      </c>
      <c r="LP127" s="16">
        <f t="shared" si="153"/>
        <v>0</v>
      </c>
      <c r="LQ127" s="16">
        <f t="shared" si="153"/>
        <v>0</v>
      </c>
      <c r="LR127" s="16">
        <f t="shared" si="153"/>
        <v>0</v>
      </c>
      <c r="LS127" s="16">
        <f t="shared" si="153"/>
        <v>0</v>
      </c>
      <c r="LT127" s="16">
        <f t="shared" si="154"/>
        <v>0</v>
      </c>
      <c r="LU127" s="16">
        <f t="shared" si="154"/>
        <v>0</v>
      </c>
      <c r="LV127" s="16">
        <f t="shared" si="154"/>
        <v>0</v>
      </c>
      <c r="LW127" s="16">
        <f t="shared" si="154"/>
        <v>0</v>
      </c>
      <c r="LX127" s="16">
        <f t="shared" si="154"/>
        <v>0</v>
      </c>
      <c r="LY127" s="16">
        <f t="shared" si="154"/>
        <v>-0.1234036254179024</v>
      </c>
      <c r="LZ127" s="16">
        <f t="shared" si="154"/>
        <v>1.2441655293807774</v>
      </c>
      <c r="MA127" s="16">
        <f t="shared" si="154"/>
        <v>-0.11683856443237506</v>
      </c>
      <c r="MB127" s="16">
        <f t="shared" si="154"/>
        <v>0</v>
      </c>
      <c r="MC127" s="16">
        <f t="shared" si="154"/>
        <v>0</v>
      </c>
      <c r="MD127" s="16">
        <f t="shared" si="154"/>
        <v>0</v>
      </c>
      <c r="MG127" s="9">
        <f t="shared" si="125"/>
        <v>4</v>
      </c>
      <c r="MH127" s="16">
        <f t="shared" si="155"/>
        <v>0</v>
      </c>
      <c r="MI127" s="16">
        <f t="shared" si="155"/>
        <v>0</v>
      </c>
      <c r="MJ127" s="16">
        <f t="shared" si="155"/>
        <v>0</v>
      </c>
      <c r="MK127" s="16">
        <f t="shared" si="155"/>
        <v>0</v>
      </c>
      <c r="ML127" s="16">
        <f t="shared" si="155"/>
        <v>0</v>
      </c>
      <c r="MM127" s="16">
        <f t="shared" si="155"/>
        <v>0</v>
      </c>
      <c r="MN127" s="16">
        <f t="shared" si="155"/>
        <v>0</v>
      </c>
      <c r="MO127" s="16">
        <f t="shared" si="155"/>
        <v>0</v>
      </c>
      <c r="MP127" s="16">
        <f t="shared" si="155"/>
        <v>0</v>
      </c>
      <c r="MQ127" s="16">
        <f t="shared" si="155"/>
        <v>0</v>
      </c>
      <c r="MR127" s="16">
        <f t="shared" si="156"/>
        <v>0</v>
      </c>
      <c r="MS127" s="16">
        <f t="shared" si="156"/>
        <v>0</v>
      </c>
      <c r="MT127" s="16">
        <f t="shared" si="156"/>
        <v>0</v>
      </c>
      <c r="MU127" s="16">
        <f t="shared" si="156"/>
        <v>0</v>
      </c>
      <c r="MV127" s="16">
        <f t="shared" si="156"/>
        <v>0</v>
      </c>
      <c r="MW127" s="16">
        <f t="shared" si="156"/>
        <v>-1.7188029806647319E-2</v>
      </c>
      <c r="MX127" s="16">
        <f t="shared" si="156"/>
        <v>1.0340081126671972</v>
      </c>
      <c r="MY127" s="16">
        <f t="shared" si="156"/>
        <v>-1.6273628276549879E-2</v>
      </c>
      <c r="MZ127" s="16">
        <f t="shared" si="156"/>
        <v>0</v>
      </c>
      <c r="NA127" s="16">
        <f t="shared" si="156"/>
        <v>0</v>
      </c>
      <c r="NB127" s="16">
        <f t="shared" si="156"/>
        <v>0</v>
      </c>
      <c r="NE127" s="9">
        <f t="shared" si="126"/>
        <v>4</v>
      </c>
      <c r="NF127" s="16">
        <f t="shared" si="157"/>
        <v>0</v>
      </c>
      <c r="NG127" s="16">
        <f t="shared" si="157"/>
        <v>0</v>
      </c>
      <c r="NH127" s="16">
        <f t="shared" si="157"/>
        <v>0</v>
      </c>
      <c r="NI127" s="16">
        <f t="shared" si="157"/>
        <v>0</v>
      </c>
      <c r="NJ127" s="16">
        <f t="shared" si="157"/>
        <v>0</v>
      </c>
      <c r="NK127" s="16">
        <f t="shared" si="157"/>
        <v>0</v>
      </c>
      <c r="NL127" s="16">
        <f t="shared" si="157"/>
        <v>0</v>
      </c>
      <c r="NM127" s="16">
        <f t="shared" si="157"/>
        <v>0</v>
      </c>
      <c r="NN127" s="16">
        <f t="shared" si="157"/>
        <v>0</v>
      </c>
      <c r="NO127" s="16">
        <f t="shared" si="157"/>
        <v>0</v>
      </c>
      <c r="NP127" s="16">
        <f t="shared" si="158"/>
        <v>0</v>
      </c>
      <c r="NQ127" s="16">
        <f t="shared" si="158"/>
        <v>0</v>
      </c>
      <c r="NR127" s="16">
        <f t="shared" si="158"/>
        <v>0</v>
      </c>
      <c r="NS127" s="16">
        <f t="shared" si="158"/>
        <v>0</v>
      </c>
      <c r="NT127" s="16">
        <f t="shared" si="158"/>
        <v>0</v>
      </c>
      <c r="NU127" s="16">
        <f t="shared" si="158"/>
        <v>-0.1234036254179024</v>
      </c>
      <c r="NV127" s="16">
        <f t="shared" si="158"/>
        <v>1.2441655293807774</v>
      </c>
      <c r="NW127" s="16">
        <f t="shared" si="158"/>
        <v>-0.11683856443237506</v>
      </c>
      <c r="NX127" s="16">
        <f t="shared" si="158"/>
        <v>0</v>
      </c>
      <c r="NY127" s="16">
        <f t="shared" si="158"/>
        <v>0</v>
      </c>
      <c r="NZ127" s="16">
        <f t="shared" si="158"/>
        <v>0</v>
      </c>
      <c r="OC127" s="9">
        <f t="shared" si="127"/>
        <v>4</v>
      </c>
      <c r="OD127" s="16">
        <f t="shared" si="159"/>
        <v>0</v>
      </c>
      <c r="OE127" s="16">
        <f t="shared" si="159"/>
        <v>0</v>
      </c>
      <c r="OF127" s="16">
        <f t="shared" si="159"/>
        <v>0</v>
      </c>
      <c r="OG127" s="16">
        <f t="shared" si="159"/>
        <v>0</v>
      </c>
      <c r="OH127" s="16">
        <f t="shared" si="159"/>
        <v>0</v>
      </c>
      <c r="OI127" s="16">
        <f t="shared" si="159"/>
        <v>0</v>
      </c>
      <c r="OJ127" s="16">
        <f t="shared" si="159"/>
        <v>0</v>
      </c>
      <c r="OK127" s="16">
        <f t="shared" si="159"/>
        <v>0</v>
      </c>
      <c r="OL127" s="16">
        <f t="shared" si="159"/>
        <v>0</v>
      </c>
      <c r="OM127" s="16">
        <f t="shared" si="159"/>
        <v>0</v>
      </c>
      <c r="ON127" s="16">
        <f t="shared" si="160"/>
        <v>0</v>
      </c>
      <c r="OO127" s="16">
        <f t="shared" si="160"/>
        <v>0</v>
      </c>
      <c r="OP127" s="16">
        <f t="shared" si="160"/>
        <v>0</v>
      </c>
      <c r="OQ127" s="16">
        <f t="shared" si="160"/>
        <v>0</v>
      </c>
      <c r="OR127" s="16">
        <f t="shared" si="160"/>
        <v>0</v>
      </c>
      <c r="OS127" s="16">
        <f t="shared" si="160"/>
        <v>-1.8732584059941489E-2</v>
      </c>
      <c r="OT127" s="16">
        <f t="shared" si="160"/>
        <v>1.0370641566499876</v>
      </c>
      <c r="OU127" s="16">
        <f t="shared" si="160"/>
        <v>-1.7736012392346123E-2</v>
      </c>
      <c r="OV127" s="16">
        <f t="shared" si="160"/>
        <v>0</v>
      </c>
      <c r="OW127" s="16">
        <f t="shared" si="160"/>
        <v>0</v>
      </c>
      <c r="OX127" s="16">
        <f t="shared" si="160"/>
        <v>0</v>
      </c>
      <c r="PA127" s="9">
        <f t="shared" si="128"/>
        <v>4</v>
      </c>
      <c r="PB127" s="16">
        <f t="shared" si="161"/>
        <v>0</v>
      </c>
      <c r="PC127" s="16">
        <f t="shared" si="161"/>
        <v>0</v>
      </c>
      <c r="PD127" s="16">
        <f t="shared" si="161"/>
        <v>0</v>
      </c>
      <c r="PE127" s="16">
        <f t="shared" si="161"/>
        <v>0</v>
      </c>
      <c r="PF127" s="16">
        <f t="shared" si="161"/>
        <v>0</v>
      </c>
      <c r="PG127" s="16">
        <f t="shared" si="161"/>
        <v>0</v>
      </c>
      <c r="PH127" s="16">
        <f t="shared" si="161"/>
        <v>0</v>
      </c>
      <c r="PI127" s="16">
        <f t="shared" si="161"/>
        <v>0</v>
      </c>
      <c r="PJ127" s="16">
        <f t="shared" si="161"/>
        <v>0</v>
      </c>
      <c r="PK127" s="16">
        <f t="shared" si="161"/>
        <v>0</v>
      </c>
      <c r="PL127" s="16">
        <f t="shared" si="162"/>
        <v>0</v>
      </c>
      <c r="PM127" s="16">
        <f t="shared" si="162"/>
        <v>0</v>
      </c>
      <c r="PN127" s="16">
        <f t="shared" si="162"/>
        <v>0</v>
      </c>
      <c r="PO127" s="16">
        <f t="shared" si="162"/>
        <v>0</v>
      </c>
      <c r="PP127" s="16">
        <f t="shared" si="162"/>
        <v>0</v>
      </c>
      <c r="PQ127" s="16">
        <f t="shared" si="162"/>
        <v>-0.12339855021225082</v>
      </c>
      <c r="PR127" s="16">
        <f t="shared" si="162"/>
        <v>1.2441554876152261</v>
      </c>
      <c r="PS127" s="16">
        <f t="shared" si="162"/>
        <v>-0.11683375922717529</v>
      </c>
      <c r="PT127" s="16">
        <f t="shared" si="162"/>
        <v>0</v>
      </c>
      <c r="PU127" s="16">
        <f t="shared" si="162"/>
        <v>0</v>
      </c>
      <c r="PV127" s="16">
        <f t="shared" si="162"/>
        <v>0</v>
      </c>
    </row>
    <row r="128" spans="3:438" x14ac:dyDescent="0.25">
      <c r="C128" s="1"/>
      <c r="D128" s="1"/>
      <c r="F128" s="1"/>
      <c r="H128" s="1"/>
      <c r="I128" s="9">
        <f t="shared" si="111"/>
        <v>3</v>
      </c>
      <c r="J128" s="16">
        <f t="shared" si="110"/>
        <v>0</v>
      </c>
      <c r="K128" s="16">
        <f t="shared" si="110"/>
        <v>0</v>
      </c>
      <c r="L128" s="16">
        <f t="shared" si="110"/>
        <v>0</v>
      </c>
      <c r="M128" s="16">
        <f t="shared" si="110"/>
        <v>0</v>
      </c>
      <c r="N128" s="16">
        <f t="shared" si="110"/>
        <v>0</v>
      </c>
      <c r="O128" s="16">
        <f t="shared" si="110"/>
        <v>0</v>
      </c>
      <c r="P128" s="16">
        <f t="shared" si="110"/>
        <v>0</v>
      </c>
      <c r="Q128" s="16">
        <f t="shared" si="110"/>
        <v>0</v>
      </c>
      <c r="R128" s="16">
        <f t="shared" si="110"/>
        <v>0</v>
      </c>
      <c r="S128" s="16">
        <f t="shared" si="110"/>
        <v>0</v>
      </c>
      <c r="T128" s="16">
        <f t="shared" si="110"/>
        <v>0</v>
      </c>
      <c r="U128" s="16">
        <f t="shared" si="110"/>
        <v>0</v>
      </c>
      <c r="V128" s="16">
        <f t="shared" si="110"/>
        <v>0</v>
      </c>
      <c r="W128" s="16">
        <f t="shared" si="110"/>
        <v>0</v>
      </c>
      <c r="X128" s="16">
        <f t="shared" si="110"/>
        <v>0</v>
      </c>
      <c r="Y128" s="16">
        <f t="shared" si="110"/>
        <v>0</v>
      </c>
      <c r="Z128" s="16">
        <f t="shared" si="163"/>
        <v>-1.4842689851255381E-2</v>
      </c>
      <c r="AA128" s="16">
        <f t="shared" si="163"/>
        <v>1.0294153956546783</v>
      </c>
      <c r="AB128" s="16">
        <f t="shared" si="163"/>
        <v>-1.417174033242284E-2</v>
      </c>
      <c r="AC128" s="16">
        <f t="shared" si="163"/>
        <v>0</v>
      </c>
      <c r="AD128" s="16">
        <f t="shared" si="163"/>
        <v>0</v>
      </c>
      <c r="AE128" s="1"/>
      <c r="AF128" s="1"/>
      <c r="AG128" s="9">
        <f t="shared" si="112"/>
        <v>3</v>
      </c>
      <c r="AH128" s="16">
        <f t="shared" si="129"/>
        <v>0</v>
      </c>
      <c r="AI128" s="16">
        <f t="shared" si="129"/>
        <v>0</v>
      </c>
      <c r="AJ128" s="16">
        <f t="shared" si="129"/>
        <v>0</v>
      </c>
      <c r="AK128" s="16">
        <f t="shared" si="129"/>
        <v>0</v>
      </c>
      <c r="AL128" s="16">
        <f t="shared" si="129"/>
        <v>0</v>
      </c>
      <c r="AM128" s="16">
        <f t="shared" si="129"/>
        <v>0</v>
      </c>
      <c r="AN128" s="16">
        <f t="shared" si="129"/>
        <v>0</v>
      </c>
      <c r="AO128" s="16">
        <f t="shared" si="129"/>
        <v>0</v>
      </c>
      <c r="AP128" s="16">
        <f t="shared" si="129"/>
        <v>0</v>
      </c>
      <c r="AQ128" s="16">
        <f t="shared" si="129"/>
        <v>0</v>
      </c>
      <c r="AR128" s="16">
        <f t="shared" si="130"/>
        <v>0</v>
      </c>
      <c r="AS128" s="16">
        <f t="shared" si="130"/>
        <v>0</v>
      </c>
      <c r="AT128" s="16">
        <f t="shared" si="130"/>
        <v>0</v>
      </c>
      <c r="AU128" s="16">
        <f t="shared" si="130"/>
        <v>0</v>
      </c>
      <c r="AV128" s="16">
        <f t="shared" si="130"/>
        <v>0</v>
      </c>
      <c r="AW128" s="16">
        <f t="shared" si="130"/>
        <v>0</v>
      </c>
      <c r="AX128" s="16">
        <f t="shared" si="130"/>
        <v>-0.11880346013441002</v>
      </c>
      <c r="AY128" s="16">
        <f t="shared" si="130"/>
        <v>1.2354459211921678</v>
      </c>
      <c r="AZ128" s="16">
        <f t="shared" si="130"/>
        <v>-0.11343306398575764</v>
      </c>
      <c r="BA128" s="16">
        <f t="shared" si="130"/>
        <v>0</v>
      </c>
      <c r="BB128" s="16">
        <f t="shared" si="130"/>
        <v>0</v>
      </c>
      <c r="BE128" s="9">
        <f t="shared" si="113"/>
        <v>3</v>
      </c>
      <c r="BF128" s="16">
        <f t="shared" si="131"/>
        <v>0</v>
      </c>
      <c r="BG128" s="16">
        <f t="shared" si="131"/>
        <v>0</v>
      </c>
      <c r="BH128" s="16">
        <f t="shared" si="131"/>
        <v>0</v>
      </c>
      <c r="BI128" s="16">
        <f t="shared" si="131"/>
        <v>0</v>
      </c>
      <c r="BJ128" s="16">
        <f t="shared" si="131"/>
        <v>0</v>
      </c>
      <c r="BK128" s="16">
        <f t="shared" si="131"/>
        <v>0</v>
      </c>
      <c r="BL128" s="16">
        <f t="shared" si="131"/>
        <v>0</v>
      </c>
      <c r="BM128" s="16">
        <f t="shared" si="131"/>
        <v>0</v>
      </c>
      <c r="BN128" s="16">
        <f t="shared" si="131"/>
        <v>0</v>
      </c>
      <c r="BO128" s="16">
        <f t="shared" si="131"/>
        <v>0</v>
      </c>
      <c r="BP128" s="16">
        <f t="shared" si="132"/>
        <v>0</v>
      </c>
      <c r="BQ128" s="16">
        <f t="shared" si="132"/>
        <v>0</v>
      </c>
      <c r="BR128" s="16">
        <f t="shared" si="132"/>
        <v>0</v>
      </c>
      <c r="BS128" s="16">
        <f t="shared" si="132"/>
        <v>0</v>
      </c>
      <c r="BT128" s="16">
        <f t="shared" si="132"/>
        <v>0</v>
      </c>
      <c r="BU128" s="16">
        <f t="shared" si="132"/>
        <v>0</v>
      </c>
      <c r="BV128" s="16">
        <f t="shared" si="132"/>
        <v>-0.11878797480331836</v>
      </c>
      <c r="BW128" s="16">
        <f t="shared" si="132"/>
        <v>1.2354152322034824</v>
      </c>
      <c r="BX128" s="16">
        <f t="shared" si="132"/>
        <v>-0.113418278654164</v>
      </c>
      <c r="BY128" s="16">
        <f t="shared" si="132"/>
        <v>0</v>
      </c>
      <c r="BZ128" s="16">
        <f t="shared" si="132"/>
        <v>0</v>
      </c>
      <c r="CC128" s="9">
        <f t="shared" si="114"/>
        <v>3</v>
      </c>
      <c r="CD128" s="16">
        <f t="shared" si="133"/>
        <v>0</v>
      </c>
      <c r="CE128" s="16">
        <f t="shared" si="133"/>
        <v>0</v>
      </c>
      <c r="CF128" s="16">
        <f t="shared" si="133"/>
        <v>0</v>
      </c>
      <c r="CG128" s="16">
        <f t="shared" si="133"/>
        <v>0</v>
      </c>
      <c r="CH128" s="16">
        <f t="shared" si="133"/>
        <v>0</v>
      </c>
      <c r="CI128" s="16">
        <f t="shared" si="133"/>
        <v>0</v>
      </c>
      <c r="CJ128" s="16">
        <f t="shared" si="133"/>
        <v>0</v>
      </c>
      <c r="CK128" s="16">
        <f t="shared" si="133"/>
        <v>0</v>
      </c>
      <c r="CL128" s="16">
        <f t="shared" si="133"/>
        <v>0</v>
      </c>
      <c r="CM128" s="16">
        <f t="shared" si="133"/>
        <v>0</v>
      </c>
      <c r="CN128" s="16">
        <f t="shared" si="134"/>
        <v>0</v>
      </c>
      <c r="CO128" s="16">
        <f t="shared" si="134"/>
        <v>0</v>
      </c>
      <c r="CP128" s="16">
        <f t="shared" si="134"/>
        <v>0</v>
      </c>
      <c r="CQ128" s="16">
        <f t="shared" si="134"/>
        <v>0</v>
      </c>
      <c r="CR128" s="16">
        <f t="shared" si="134"/>
        <v>0</v>
      </c>
      <c r="CS128" s="16">
        <f t="shared" si="134"/>
        <v>0</v>
      </c>
      <c r="CT128" s="16">
        <f t="shared" si="134"/>
        <v>-0.11878797480331803</v>
      </c>
      <c r="CU128" s="16">
        <f t="shared" si="134"/>
        <v>1.2354152322034817</v>
      </c>
      <c r="CV128" s="16">
        <f t="shared" si="134"/>
        <v>-0.11341827865416367</v>
      </c>
      <c r="CW128" s="16">
        <f t="shared" si="134"/>
        <v>0</v>
      </c>
      <c r="CX128" s="16">
        <f t="shared" si="134"/>
        <v>0</v>
      </c>
      <c r="DA128" s="9">
        <f t="shared" si="115"/>
        <v>3</v>
      </c>
      <c r="DB128" s="16">
        <f t="shared" si="135"/>
        <v>0</v>
      </c>
      <c r="DC128" s="16">
        <f t="shared" si="135"/>
        <v>0</v>
      </c>
      <c r="DD128" s="16">
        <f t="shared" si="135"/>
        <v>0</v>
      </c>
      <c r="DE128" s="16">
        <f t="shared" si="135"/>
        <v>0</v>
      </c>
      <c r="DF128" s="16">
        <f t="shared" si="135"/>
        <v>0</v>
      </c>
      <c r="DG128" s="16">
        <f t="shared" si="135"/>
        <v>0</v>
      </c>
      <c r="DH128" s="16">
        <f t="shared" si="135"/>
        <v>0</v>
      </c>
      <c r="DI128" s="16">
        <f t="shared" si="135"/>
        <v>0</v>
      </c>
      <c r="DJ128" s="16">
        <f t="shared" si="135"/>
        <v>0</v>
      </c>
      <c r="DK128" s="16">
        <f t="shared" si="135"/>
        <v>0</v>
      </c>
      <c r="DL128" s="16">
        <f t="shared" si="136"/>
        <v>0</v>
      </c>
      <c r="DM128" s="16">
        <f t="shared" si="136"/>
        <v>0</v>
      </c>
      <c r="DN128" s="16">
        <f t="shared" si="136"/>
        <v>0</v>
      </c>
      <c r="DO128" s="16">
        <f t="shared" si="136"/>
        <v>0</v>
      </c>
      <c r="DP128" s="16">
        <f t="shared" si="136"/>
        <v>0</v>
      </c>
      <c r="DQ128" s="16">
        <f t="shared" si="136"/>
        <v>0</v>
      </c>
      <c r="DR128" s="16">
        <f t="shared" si="136"/>
        <v>-1.4850432516801381E-2</v>
      </c>
      <c r="DS128" s="16">
        <f t="shared" si="136"/>
        <v>1.0294307401490213</v>
      </c>
      <c r="DT128" s="16">
        <f t="shared" si="136"/>
        <v>-1.4179132998219829E-2</v>
      </c>
      <c r="DU128" s="16">
        <f t="shared" si="136"/>
        <v>0</v>
      </c>
      <c r="DV128" s="16">
        <f t="shared" si="136"/>
        <v>0</v>
      </c>
      <c r="DY128" s="9">
        <f t="shared" si="116"/>
        <v>3</v>
      </c>
      <c r="DZ128" s="16">
        <f t="shared" si="137"/>
        <v>0</v>
      </c>
      <c r="EA128" s="16">
        <f t="shared" si="137"/>
        <v>0</v>
      </c>
      <c r="EB128" s="16">
        <f t="shared" si="137"/>
        <v>0</v>
      </c>
      <c r="EC128" s="16">
        <f t="shared" si="137"/>
        <v>0</v>
      </c>
      <c r="ED128" s="16">
        <f t="shared" si="137"/>
        <v>0</v>
      </c>
      <c r="EE128" s="16">
        <f t="shared" si="137"/>
        <v>0</v>
      </c>
      <c r="EF128" s="16">
        <f t="shared" si="137"/>
        <v>0</v>
      </c>
      <c r="EG128" s="16">
        <f t="shared" si="137"/>
        <v>0</v>
      </c>
      <c r="EH128" s="16">
        <f t="shared" si="137"/>
        <v>0</v>
      </c>
      <c r="EI128" s="16">
        <f t="shared" si="137"/>
        <v>0</v>
      </c>
      <c r="EJ128" s="16">
        <f t="shared" si="138"/>
        <v>0</v>
      </c>
      <c r="EK128" s="16">
        <f t="shared" si="138"/>
        <v>0</v>
      </c>
      <c r="EL128" s="16">
        <f t="shared" si="138"/>
        <v>0</v>
      </c>
      <c r="EM128" s="16">
        <f t="shared" si="138"/>
        <v>0</v>
      </c>
      <c r="EN128" s="16">
        <f t="shared" si="138"/>
        <v>0</v>
      </c>
      <c r="EO128" s="16">
        <f t="shared" si="138"/>
        <v>0</v>
      </c>
      <c r="EP128" s="16">
        <f t="shared" si="138"/>
        <v>-8.6898883230812435E-2</v>
      </c>
      <c r="EQ128" s="16">
        <f t="shared" si="138"/>
        <v>1.1716370490584707</v>
      </c>
      <c r="ER128" s="16">
        <f t="shared" si="138"/>
        <v>-8.1529187081658086E-2</v>
      </c>
      <c r="ES128" s="16">
        <f t="shared" si="138"/>
        <v>0</v>
      </c>
      <c r="ET128" s="16">
        <f t="shared" si="138"/>
        <v>0</v>
      </c>
      <c r="EW128" s="9">
        <f t="shared" si="117"/>
        <v>3</v>
      </c>
      <c r="EX128" s="16">
        <f t="shared" si="139"/>
        <v>0</v>
      </c>
      <c r="EY128" s="16">
        <f t="shared" si="139"/>
        <v>0</v>
      </c>
      <c r="EZ128" s="16">
        <f t="shared" si="139"/>
        <v>0</v>
      </c>
      <c r="FA128" s="16">
        <f t="shared" si="139"/>
        <v>0</v>
      </c>
      <c r="FB128" s="16">
        <f t="shared" si="139"/>
        <v>0</v>
      </c>
      <c r="FC128" s="16">
        <f t="shared" si="139"/>
        <v>0</v>
      </c>
      <c r="FD128" s="16">
        <f t="shared" si="139"/>
        <v>0</v>
      </c>
      <c r="FE128" s="16">
        <f t="shared" si="139"/>
        <v>0</v>
      </c>
      <c r="FF128" s="16">
        <f t="shared" si="139"/>
        <v>0</v>
      </c>
      <c r="FG128" s="16">
        <f t="shared" si="139"/>
        <v>0</v>
      </c>
      <c r="FH128" s="16">
        <f t="shared" si="140"/>
        <v>0</v>
      </c>
      <c r="FI128" s="16">
        <f t="shared" si="140"/>
        <v>0</v>
      </c>
      <c r="FJ128" s="16">
        <f t="shared" si="140"/>
        <v>0</v>
      </c>
      <c r="FK128" s="16">
        <f t="shared" si="140"/>
        <v>0</v>
      </c>
      <c r="FL128" s="16">
        <f t="shared" si="140"/>
        <v>0</v>
      </c>
      <c r="FM128" s="16">
        <f t="shared" si="140"/>
        <v>0</v>
      </c>
      <c r="FN128" s="16">
        <f t="shared" si="140"/>
        <v>-8.6898883230812685E-2</v>
      </c>
      <c r="FO128" s="16">
        <f t="shared" si="140"/>
        <v>1.1716370490584711</v>
      </c>
      <c r="FP128" s="16">
        <f t="shared" si="140"/>
        <v>-8.1529187081658322E-2</v>
      </c>
      <c r="FQ128" s="16">
        <f t="shared" si="140"/>
        <v>0</v>
      </c>
      <c r="FR128" s="16">
        <f t="shared" si="140"/>
        <v>0</v>
      </c>
      <c r="FU128" s="9">
        <f t="shared" si="118"/>
        <v>3</v>
      </c>
      <c r="FV128" s="16">
        <f t="shared" si="141"/>
        <v>0</v>
      </c>
      <c r="FW128" s="16">
        <f t="shared" si="141"/>
        <v>0</v>
      </c>
      <c r="FX128" s="16">
        <f t="shared" si="141"/>
        <v>0</v>
      </c>
      <c r="FY128" s="16">
        <f t="shared" si="141"/>
        <v>0</v>
      </c>
      <c r="FZ128" s="16">
        <f t="shared" si="141"/>
        <v>0</v>
      </c>
      <c r="GA128" s="16">
        <f t="shared" si="141"/>
        <v>0</v>
      </c>
      <c r="GB128" s="16">
        <f t="shared" si="141"/>
        <v>0</v>
      </c>
      <c r="GC128" s="16">
        <f t="shared" si="141"/>
        <v>0</v>
      </c>
      <c r="GD128" s="16">
        <f t="shared" si="141"/>
        <v>0</v>
      </c>
      <c r="GE128" s="16">
        <f t="shared" si="141"/>
        <v>0</v>
      </c>
      <c r="GF128" s="16">
        <f t="shared" si="142"/>
        <v>0</v>
      </c>
      <c r="GG128" s="16">
        <f t="shared" si="142"/>
        <v>0</v>
      </c>
      <c r="GH128" s="16">
        <f t="shared" si="142"/>
        <v>0</v>
      </c>
      <c r="GI128" s="16">
        <f t="shared" si="142"/>
        <v>0</v>
      </c>
      <c r="GJ128" s="16">
        <f t="shared" si="142"/>
        <v>0</v>
      </c>
      <c r="GK128" s="16">
        <f t="shared" si="142"/>
        <v>0</v>
      </c>
      <c r="GL128" s="16">
        <f t="shared" si="142"/>
        <v>-8.6910211464840778E-2</v>
      </c>
      <c r="GM128" s="16">
        <f t="shared" si="142"/>
        <v>1.1716594238530291</v>
      </c>
      <c r="GN128" s="16">
        <f t="shared" si="142"/>
        <v>-8.1539815316188424E-2</v>
      </c>
      <c r="GO128" s="16">
        <f t="shared" si="142"/>
        <v>0</v>
      </c>
      <c r="GP128" s="16">
        <f t="shared" si="142"/>
        <v>0</v>
      </c>
      <c r="GS128" s="9">
        <f t="shared" si="119"/>
        <v>3</v>
      </c>
      <c r="GT128" s="16">
        <f t="shared" si="143"/>
        <v>0</v>
      </c>
      <c r="GU128" s="16">
        <f t="shared" si="143"/>
        <v>0</v>
      </c>
      <c r="GV128" s="16">
        <f t="shared" si="143"/>
        <v>0</v>
      </c>
      <c r="GW128" s="16">
        <f t="shared" si="143"/>
        <v>0</v>
      </c>
      <c r="GX128" s="16">
        <f t="shared" si="143"/>
        <v>0</v>
      </c>
      <c r="GY128" s="16">
        <f t="shared" si="143"/>
        <v>0</v>
      </c>
      <c r="GZ128" s="16">
        <f t="shared" si="143"/>
        <v>0</v>
      </c>
      <c r="HA128" s="16">
        <f t="shared" si="143"/>
        <v>0</v>
      </c>
      <c r="HB128" s="16">
        <f t="shared" si="143"/>
        <v>0</v>
      </c>
      <c r="HC128" s="16">
        <f t="shared" si="143"/>
        <v>0</v>
      </c>
      <c r="HD128" s="16">
        <f t="shared" si="144"/>
        <v>0</v>
      </c>
      <c r="HE128" s="16">
        <f t="shared" si="144"/>
        <v>0</v>
      </c>
      <c r="HF128" s="16">
        <f t="shared" si="144"/>
        <v>0</v>
      </c>
      <c r="HG128" s="16">
        <f t="shared" si="144"/>
        <v>0</v>
      </c>
      <c r="HH128" s="16">
        <f t="shared" si="144"/>
        <v>0</v>
      </c>
      <c r="HI128" s="16">
        <f t="shared" si="144"/>
        <v>0</v>
      </c>
      <c r="HJ128" s="16">
        <f t="shared" si="144"/>
        <v>-1.8810532603932364E-2</v>
      </c>
      <c r="HK128" s="16">
        <f t="shared" si="144"/>
        <v>1.0371533463644365</v>
      </c>
      <c r="HL128" s="16">
        <f t="shared" si="144"/>
        <v>-1.7648183437504145E-2</v>
      </c>
      <c r="HM128" s="16">
        <f t="shared" si="144"/>
        <v>0</v>
      </c>
      <c r="HN128" s="16">
        <f t="shared" si="144"/>
        <v>0</v>
      </c>
      <c r="HQ128" s="9">
        <f t="shared" si="120"/>
        <v>3</v>
      </c>
      <c r="HR128" s="16">
        <f t="shared" si="145"/>
        <v>0</v>
      </c>
      <c r="HS128" s="16">
        <f t="shared" si="145"/>
        <v>0</v>
      </c>
      <c r="HT128" s="16">
        <f t="shared" si="145"/>
        <v>0</v>
      </c>
      <c r="HU128" s="16">
        <f t="shared" si="145"/>
        <v>0</v>
      </c>
      <c r="HV128" s="16">
        <f t="shared" si="145"/>
        <v>0</v>
      </c>
      <c r="HW128" s="16">
        <f t="shared" si="145"/>
        <v>0</v>
      </c>
      <c r="HX128" s="16">
        <f t="shared" si="145"/>
        <v>0</v>
      </c>
      <c r="HY128" s="16">
        <f t="shared" si="145"/>
        <v>0</v>
      </c>
      <c r="HZ128" s="16">
        <f t="shared" si="145"/>
        <v>0</v>
      </c>
      <c r="IA128" s="16">
        <f t="shared" si="145"/>
        <v>0</v>
      </c>
      <c r="IB128" s="16">
        <f t="shared" si="146"/>
        <v>0</v>
      </c>
      <c r="IC128" s="16">
        <f t="shared" si="146"/>
        <v>0</v>
      </c>
      <c r="ID128" s="16">
        <f t="shared" si="146"/>
        <v>0</v>
      </c>
      <c r="IE128" s="16">
        <f t="shared" si="146"/>
        <v>0</v>
      </c>
      <c r="IF128" s="16">
        <f t="shared" si="146"/>
        <v>0</v>
      </c>
      <c r="IG128" s="16">
        <f t="shared" si="146"/>
        <v>0</v>
      </c>
      <c r="IH128" s="16">
        <f t="shared" si="146"/>
        <v>-0.12395353673726391</v>
      </c>
      <c r="II128" s="16">
        <f t="shared" si="146"/>
        <v>1.2448250020594169</v>
      </c>
      <c r="IJ128" s="16">
        <f t="shared" si="146"/>
        <v>-0.11629414223015309</v>
      </c>
      <c r="IK128" s="16">
        <f t="shared" si="146"/>
        <v>0</v>
      </c>
      <c r="IL128" s="16">
        <f t="shared" si="146"/>
        <v>0</v>
      </c>
      <c r="IO128" s="9">
        <f t="shared" si="121"/>
        <v>3</v>
      </c>
      <c r="IP128" s="16">
        <f t="shared" si="147"/>
        <v>0</v>
      </c>
      <c r="IQ128" s="16">
        <f t="shared" si="147"/>
        <v>0</v>
      </c>
      <c r="IR128" s="16">
        <f t="shared" si="147"/>
        <v>0</v>
      </c>
      <c r="IS128" s="16">
        <f t="shared" si="147"/>
        <v>0</v>
      </c>
      <c r="IT128" s="16">
        <f t="shared" si="147"/>
        <v>0</v>
      </c>
      <c r="IU128" s="16">
        <f t="shared" si="147"/>
        <v>0</v>
      </c>
      <c r="IV128" s="16">
        <f t="shared" si="147"/>
        <v>0</v>
      </c>
      <c r="IW128" s="16">
        <f t="shared" si="147"/>
        <v>0</v>
      </c>
      <c r="IX128" s="16">
        <f t="shared" si="147"/>
        <v>0</v>
      </c>
      <c r="IY128" s="16">
        <f t="shared" si="147"/>
        <v>0</v>
      </c>
      <c r="IZ128" s="16">
        <f t="shared" si="148"/>
        <v>0</v>
      </c>
      <c r="JA128" s="16">
        <f t="shared" si="148"/>
        <v>0</v>
      </c>
      <c r="JB128" s="16">
        <f t="shared" si="148"/>
        <v>0</v>
      </c>
      <c r="JC128" s="16">
        <f t="shared" si="148"/>
        <v>0</v>
      </c>
      <c r="JD128" s="16">
        <f t="shared" si="148"/>
        <v>0</v>
      </c>
      <c r="JE128" s="16">
        <f t="shared" si="148"/>
        <v>0</v>
      </c>
      <c r="JF128" s="16">
        <f t="shared" si="148"/>
        <v>-1.8815630309244977E-2</v>
      </c>
      <c r="JG128" s="16">
        <f t="shared" si="148"/>
        <v>1.0371634150219877</v>
      </c>
      <c r="JH128" s="16">
        <f t="shared" si="148"/>
        <v>-1.7652966143042664E-2</v>
      </c>
      <c r="JI128" s="16">
        <f t="shared" si="148"/>
        <v>0</v>
      </c>
      <c r="JJ128" s="16">
        <f t="shared" si="148"/>
        <v>0</v>
      </c>
      <c r="JM128" s="9">
        <f t="shared" si="122"/>
        <v>3</v>
      </c>
      <c r="JN128" s="16">
        <f t="shared" si="149"/>
        <v>0</v>
      </c>
      <c r="JO128" s="16">
        <f t="shared" si="149"/>
        <v>0</v>
      </c>
      <c r="JP128" s="16">
        <f t="shared" si="149"/>
        <v>0</v>
      </c>
      <c r="JQ128" s="16">
        <f t="shared" si="149"/>
        <v>0</v>
      </c>
      <c r="JR128" s="16">
        <f t="shared" si="149"/>
        <v>0</v>
      </c>
      <c r="JS128" s="16">
        <f t="shared" si="149"/>
        <v>0</v>
      </c>
      <c r="JT128" s="16">
        <f t="shared" si="149"/>
        <v>0</v>
      </c>
      <c r="JU128" s="16">
        <f t="shared" si="149"/>
        <v>0</v>
      </c>
      <c r="JV128" s="16">
        <f t="shared" si="149"/>
        <v>0</v>
      </c>
      <c r="JW128" s="16">
        <f t="shared" si="149"/>
        <v>0</v>
      </c>
      <c r="JX128" s="16">
        <f t="shared" si="150"/>
        <v>0</v>
      </c>
      <c r="JY128" s="16">
        <f t="shared" si="150"/>
        <v>0</v>
      </c>
      <c r="JZ128" s="16">
        <f t="shared" si="150"/>
        <v>0</v>
      </c>
      <c r="KA128" s="16">
        <f t="shared" si="150"/>
        <v>0</v>
      </c>
      <c r="KB128" s="16">
        <f t="shared" si="150"/>
        <v>0</v>
      </c>
      <c r="KC128" s="16">
        <f t="shared" si="150"/>
        <v>0</v>
      </c>
      <c r="KD128" s="16">
        <f t="shared" si="150"/>
        <v>-0.12395127109045831</v>
      </c>
      <c r="KE128" s="16">
        <f t="shared" si="150"/>
        <v>1.2448205271005055</v>
      </c>
      <c r="KF128" s="16">
        <f t="shared" si="150"/>
        <v>-0.1162920165832471</v>
      </c>
      <c r="KG128" s="16">
        <f t="shared" si="150"/>
        <v>0</v>
      </c>
      <c r="KH128" s="16">
        <f t="shared" si="150"/>
        <v>0</v>
      </c>
      <c r="KK128" s="9">
        <f t="shared" si="123"/>
        <v>3</v>
      </c>
      <c r="KL128" s="16">
        <f t="shared" si="151"/>
        <v>0</v>
      </c>
      <c r="KM128" s="16">
        <f t="shared" si="151"/>
        <v>0</v>
      </c>
      <c r="KN128" s="16">
        <f t="shared" si="151"/>
        <v>0</v>
      </c>
      <c r="KO128" s="16">
        <f t="shared" si="151"/>
        <v>0</v>
      </c>
      <c r="KP128" s="16">
        <f t="shared" si="151"/>
        <v>0</v>
      </c>
      <c r="KQ128" s="16">
        <f t="shared" si="151"/>
        <v>0</v>
      </c>
      <c r="KR128" s="16">
        <f t="shared" si="151"/>
        <v>0</v>
      </c>
      <c r="KS128" s="16">
        <f t="shared" si="151"/>
        <v>0</v>
      </c>
      <c r="KT128" s="16">
        <f t="shared" si="151"/>
        <v>0</v>
      </c>
      <c r="KU128" s="16">
        <f t="shared" si="151"/>
        <v>0</v>
      </c>
      <c r="KV128" s="16">
        <f t="shared" si="152"/>
        <v>0</v>
      </c>
      <c r="KW128" s="16">
        <f t="shared" si="152"/>
        <v>0</v>
      </c>
      <c r="KX128" s="16">
        <f t="shared" si="152"/>
        <v>0</v>
      </c>
      <c r="KY128" s="16">
        <f t="shared" si="152"/>
        <v>0</v>
      </c>
      <c r="KZ128" s="16">
        <f t="shared" si="152"/>
        <v>0</v>
      </c>
      <c r="LA128" s="16">
        <f t="shared" si="152"/>
        <v>0</v>
      </c>
      <c r="LB128" s="16">
        <f t="shared" si="152"/>
        <v>-1.5712260597202068E-2</v>
      </c>
      <c r="LC128" s="16">
        <f t="shared" si="152"/>
        <v>1.0310338400526788</v>
      </c>
      <c r="LD128" s="16">
        <f t="shared" si="152"/>
        <v>-1.4741361293476725E-2</v>
      </c>
      <c r="LE128" s="16">
        <f t="shared" si="152"/>
        <v>0</v>
      </c>
      <c r="LF128" s="16">
        <f t="shared" si="152"/>
        <v>0</v>
      </c>
      <c r="LI128" s="9">
        <f t="shared" si="124"/>
        <v>3</v>
      </c>
      <c r="LJ128" s="16">
        <f t="shared" si="153"/>
        <v>0</v>
      </c>
      <c r="LK128" s="16">
        <f t="shared" si="153"/>
        <v>0</v>
      </c>
      <c r="LL128" s="16">
        <f t="shared" si="153"/>
        <v>0</v>
      </c>
      <c r="LM128" s="16">
        <f t="shared" si="153"/>
        <v>0</v>
      </c>
      <c r="LN128" s="16">
        <f t="shared" si="153"/>
        <v>0</v>
      </c>
      <c r="LO128" s="16">
        <f t="shared" si="153"/>
        <v>0</v>
      </c>
      <c r="LP128" s="16">
        <f t="shared" si="153"/>
        <v>0</v>
      </c>
      <c r="LQ128" s="16">
        <f t="shared" si="153"/>
        <v>0</v>
      </c>
      <c r="LR128" s="16">
        <f t="shared" si="153"/>
        <v>0</v>
      </c>
      <c r="LS128" s="16">
        <f t="shared" si="153"/>
        <v>0</v>
      </c>
      <c r="LT128" s="16">
        <f t="shared" si="154"/>
        <v>0</v>
      </c>
      <c r="LU128" s="16">
        <f t="shared" si="154"/>
        <v>0</v>
      </c>
      <c r="LV128" s="16">
        <f t="shared" si="154"/>
        <v>0</v>
      </c>
      <c r="LW128" s="16">
        <f t="shared" si="154"/>
        <v>0</v>
      </c>
      <c r="LX128" s="16">
        <f t="shared" si="154"/>
        <v>0</v>
      </c>
      <c r="LY128" s="16">
        <f t="shared" si="154"/>
        <v>0</v>
      </c>
      <c r="LZ128" s="16">
        <f t="shared" si="154"/>
        <v>-0.12395070467875689</v>
      </c>
      <c r="MA128" s="16">
        <f t="shared" si="154"/>
        <v>1.2448194083607775</v>
      </c>
      <c r="MB128" s="16">
        <f t="shared" si="154"/>
        <v>-0.11629148517152058</v>
      </c>
      <c r="MC128" s="16">
        <f t="shared" si="154"/>
        <v>0</v>
      </c>
      <c r="MD128" s="16">
        <f t="shared" si="154"/>
        <v>0</v>
      </c>
      <c r="MG128" s="9">
        <f t="shared" si="125"/>
        <v>3</v>
      </c>
      <c r="MH128" s="16">
        <f t="shared" si="155"/>
        <v>0</v>
      </c>
      <c r="MI128" s="16">
        <f t="shared" si="155"/>
        <v>0</v>
      </c>
      <c r="MJ128" s="16">
        <f t="shared" si="155"/>
        <v>0</v>
      </c>
      <c r="MK128" s="16">
        <f t="shared" si="155"/>
        <v>0</v>
      </c>
      <c r="ML128" s="16">
        <f t="shared" si="155"/>
        <v>0</v>
      </c>
      <c r="MM128" s="16">
        <f t="shared" si="155"/>
        <v>0</v>
      </c>
      <c r="MN128" s="16">
        <f t="shared" si="155"/>
        <v>0</v>
      </c>
      <c r="MO128" s="16">
        <f t="shared" si="155"/>
        <v>0</v>
      </c>
      <c r="MP128" s="16">
        <f t="shared" si="155"/>
        <v>0</v>
      </c>
      <c r="MQ128" s="16">
        <f t="shared" si="155"/>
        <v>0</v>
      </c>
      <c r="MR128" s="16">
        <f t="shared" si="156"/>
        <v>0</v>
      </c>
      <c r="MS128" s="16">
        <f t="shared" si="156"/>
        <v>0</v>
      </c>
      <c r="MT128" s="16">
        <f t="shared" si="156"/>
        <v>0</v>
      </c>
      <c r="MU128" s="16">
        <f t="shared" si="156"/>
        <v>0</v>
      </c>
      <c r="MV128" s="16">
        <f t="shared" si="156"/>
        <v>0</v>
      </c>
      <c r="MW128" s="16">
        <f t="shared" si="156"/>
        <v>0</v>
      </c>
      <c r="MX128" s="16">
        <f t="shared" si="156"/>
        <v>-1.7264228659074236E-2</v>
      </c>
      <c r="MY128" s="16">
        <f t="shared" si="156"/>
        <v>1.0340991869071972</v>
      </c>
      <c r="MZ128" s="16">
        <f t="shared" si="156"/>
        <v>-1.6197429424122958E-2</v>
      </c>
      <c r="NA128" s="16">
        <f t="shared" si="156"/>
        <v>0</v>
      </c>
      <c r="NB128" s="16">
        <f t="shared" si="156"/>
        <v>0</v>
      </c>
      <c r="NE128" s="9">
        <f t="shared" si="126"/>
        <v>3</v>
      </c>
      <c r="NF128" s="16">
        <f t="shared" si="157"/>
        <v>0</v>
      </c>
      <c r="NG128" s="16">
        <f t="shared" si="157"/>
        <v>0</v>
      </c>
      <c r="NH128" s="16">
        <f t="shared" si="157"/>
        <v>0</v>
      </c>
      <c r="NI128" s="16">
        <f t="shared" si="157"/>
        <v>0</v>
      </c>
      <c r="NJ128" s="16">
        <f t="shared" si="157"/>
        <v>0</v>
      </c>
      <c r="NK128" s="16">
        <f t="shared" si="157"/>
        <v>0</v>
      </c>
      <c r="NL128" s="16">
        <f t="shared" si="157"/>
        <v>0</v>
      </c>
      <c r="NM128" s="16">
        <f t="shared" si="157"/>
        <v>0</v>
      </c>
      <c r="NN128" s="16">
        <f t="shared" si="157"/>
        <v>0</v>
      </c>
      <c r="NO128" s="16">
        <f t="shared" si="157"/>
        <v>0</v>
      </c>
      <c r="NP128" s="16">
        <f t="shared" si="158"/>
        <v>0</v>
      </c>
      <c r="NQ128" s="16">
        <f t="shared" si="158"/>
        <v>0</v>
      </c>
      <c r="NR128" s="16">
        <f t="shared" si="158"/>
        <v>0</v>
      </c>
      <c r="NS128" s="16">
        <f t="shared" si="158"/>
        <v>0</v>
      </c>
      <c r="NT128" s="16">
        <f t="shared" si="158"/>
        <v>0</v>
      </c>
      <c r="NU128" s="16">
        <f t="shared" si="158"/>
        <v>0</v>
      </c>
      <c r="NV128" s="16">
        <f t="shared" si="158"/>
        <v>-0.12395070467875689</v>
      </c>
      <c r="NW128" s="16">
        <f t="shared" si="158"/>
        <v>1.2448194083607775</v>
      </c>
      <c r="NX128" s="16">
        <f t="shared" si="158"/>
        <v>-0.11629148517152058</v>
      </c>
      <c r="NY128" s="16">
        <f t="shared" si="158"/>
        <v>0</v>
      </c>
      <c r="NZ128" s="16">
        <f t="shared" si="158"/>
        <v>0</v>
      </c>
      <c r="OC128" s="9">
        <f t="shared" si="127"/>
        <v>3</v>
      </c>
      <c r="OD128" s="16">
        <f t="shared" si="159"/>
        <v>0</v>
      </c>
      <c r="OE128" s="16">
        <f t="shared" si="159"/>
        <v>0</v>
      </c>
      <c r="OF128" s="16">
        <f t="shared" si="159"/>
        <v>0</v>
      </c>
      <c r="OG128" s="16">
        <f t="shared" si="159"/>
        <v>0</v>
      </c>
      <c r="OH128" s="16">
        <f t="shared" si="159"/>
        <v>0</v>
      </c>
      <c r="OI128" s="16">
        <f t="shared" si="159"/>
        <v>0</v>
      </c>
      <c r="OJ128" s="16">
        <f t="shared" si="159"/>
        <v>0</v>
      </c>
      <c r="OK128" s="16">
        <f t="shared" si="159"/>
        <v>0</v>
      </c>
      <c r="OL128" s="16">
        <f t="shared" si="159"/>
        <v>0</v>
      </c>
      <c r="OM128" s="16">
        <f t="shared" si="159"/>
        <v>0</v>
      </c>
      <c r="ON128" s="16">
        <f t="shared" si="160"/>
        <v>0</v>
      </c>
      <c r="OO128" s="16">
        <f t="shared" si="160"/>
        <v>0</v>
      </c>
      <c r="OP128" s="16">
        <f t="shared" si="160"/>
        <v>0</v>
      </c>
      <c r="OQ128" s="16">
        <f t="shared" si="160"/>
        <v>0</v>
      </c>
      <c r="OR128" s="16">
        <f t="shared" si="160"/>
        <v>0</v>
      </c>
      <c r="OS128" s="16">
        <f t="shared" si="160"/>
        <v>0</v>
      </c>
      <c r="OT128" s="16">
        <f t="shared" si="160"/>
        <v>-1.8815630309244963E-2</v>
      </c>
      <c r="OU128" s="16">
        <f t="shared" si="160"/>
        <v>1.0371634150219877</v>
      </c>
      <c r="OV128" s="16">
        <f t="shared" si="160"/>
        <v>-1.765296614304265E-2</v>
      </c>
      <c r="OW128" s="16">
        <f t="shared" si="160"/>
        <v>0</v>
      </c>
      <c r="OX128" s="16">
        <f t="shared" si="160"/>
        <v>0</v>
      </c>
      <c r="PA128" s="9">
        <f t="shared" si="128"/>
        <v>3</v>
      </c>
      <c r="PB128" s="16">
        <f t="shared" si="161"/>
        <v>0</v>
      </c>
      <c r="PC128" s="16">
        <f t="shared" si="161"/>
        <v>0</v>
      </c>
      <c r="PD128" s="16">
        <f t="shared" si="161"/>
        <v>0</v>
      </c>
      <c r="PE128" s="16">
        <f t="shared" si="161"/>
        <v>0</v>
      </c>
      <c r="PF128" s="16">
        <f t="shared" si="161"/>
        <v>0</v>
      </c>
      <c r="PG128" s="16">
        <f t="shared" si="161"/>
        <v>0</v>
      </c>
      <c r="PH128" s="16">
        <f t="shared" si="161"/>
        <v>0</v>
      </c>
      <c r="PI128" s="16">
        <f t="shared" si="161"/>
        <v>0</v>
      </c>
      <c r="PJ128" s="16">
        <f t="shared" si="161"/>
        <v>0</v>
      </c>
      <c r="PK128" s="16">
        <f t="shared" si="161"/>
        <v>0</v>
      </c>
      <c r="PL128" s="16">
        <f t="shared" si="162"/>
        <v>0</v>
      </c>
      <c r="PM128" s="16">
        <f t="shared" si="162"/>
        <v>0</v>
      </c>
      <c r="PN128" s="16">
        <f t="shared" si="162"/>
        <v>0</v>
      </c>
      <c r="PO128" s="16">
        <f t="shared" si="162"/>
        <v>0</v>
      </c>
      <c r="PP128" s="16">
        <f t="shared" si="162"/>
        <v>0</v>
      </c>
      <c r="PQ128" s="16">
        <f t="shared" si="162"/>
        <v>0</v>
      </c>
      <c r="PR128" s="16">
        <f t="shared" si="162"/>
        <v>-0.12394560697344416</v>
      </c>
      <c r="PS128" s="16">
        <f t="shared" si="162"/>
        <v>1.244809339703226</v>
      </c>
      <c r="PT128" s="16">
        <f t="shared" si="162"/>
        <v>-0.11628670246598195</v>
      </c>
      <c r="PU128" s="16">
        <f t="shared" si="162"/>
        <v>0</v>
      </c>
      <c r="PV128" s="16">
        <f t="shared" si="162"/>
        <v>0</v>
      </c>
    </row>
    <row r="129" spans="2:438" x14ac:dyDescent="0.25">
      <c r="C129" s="1"/>
      <c r="D129" s="1"/>
      <c r="F129" s="1"/>
      <c r="H129" s="1"/>
      <c r="I129" s="9">
        <f t="shared" si="111"/>
        <v>2</v>
      </c>
      <c r="J129" s="16">
        <f t="shared" si="110"/>
        <v>0</v>
      </c>
      <c r="K129" s="16">
        <f t="shared" si="110"/>
        <v>0</v>
      </c>
      <c r="L129" s="16">
        <f t="shared" si="110"/>
        <v>0</v>
      </c>
      <c r="M129" s="16">
        <f t="shared" si="110"/>
        <v>0</v>
      </c>
      <c r="N129" s="16">
        <f t="shared" si="110"/>
        <v>0</v>
      </c>
      <c r="O129" s="16">
        <f t="shared" si="110"/>
        <v>0</v>
      </c>
      <c r="P129" s="16">
        <f t="shared" si="110"/>
        <v>0</v>
      </c>
      <c r="Q129" s="16">
        <f t="shared" si="110"/>
        <v>0</v>
      </c>
      <c r="R129" s="16">
        <f t="shared" si="110"/>
        <v>0</v>
      </c>
      <c r="S129" s="16">
        <f t="shared" si="110"/>
        <v>0</v>
      </c>
      <c r="T129" s="16">
        <f t="shared" si="110"/>
        <v>0</v>
      </c>
      <c r="U129" s="16">
        <f t="shared" si="110"/>
        <v>0</v>
      </c>
      <c r="V129" s="16">
        <f t="shared" si="110"/>
        <v>0</v>
      </c>
      <c r="W129" s="16">
        <f t="shared" si="110"/>
        <v>0</v>
      </c>
      <c r="X129" s="16">
        <f t="shared" si="110"/>
        <v>0</v>
      </c>
      <c r="Y129" s="16">
        <f t="shared" si="110"/>
        <v>0</v>
      </c>
      <c r="Z129" s="16">
        <f t="shared" si="163"/>
        <v>0</v>
      </c>
      <c r="AA129" s="16">
        <f t="shared" si="163"/>
        <v>-1.4890614931449957E-2</v>
      </c>
      <c r="AB129" s="16">
        <f t="shared" si="163"/>
        <v>1.0294726765731783</v>
      </c>
      <c r="AC129" s="16">
        <f t="shared" si="163"/>
        <v>-1.4123815252228264E-2</v>
      </c>
      <c r="AD129" s="16">
        <f t="shared" si="163"/>
        <v>0</v>
      </c>
      <c r="AE129" s="1"/>
      <c r="AF129" s="1"/>
      <c r="AG129" s="9">
        <f t="shared" si="112"/>
        <v>2</v>
      </c>
      <c r="AH129" s="16">
        <f t="shared" si="129"/>
        <v>0</v>
      </c>
      <c r="AI129" s="16">
        <f t="shared" si="129"/>
        <v>0</v>
      </c>
      <c r="AJ129" s="16">
        <f t="shared" si="129"/>
        <v>0</v>
      </c>
      <c r="AK129" s="16">
        <f t="shared" si="129"/>
        <v>0</v>
      </c>
      <c r="AL129" s="16">
        <f t="shared" si="129"/>
        <v>0</v>
      </c>
      <c r="AM129" s="16">
        <f t="shared" si="129"/>
        <v>0</v>
      </c>
      <c r="AN129" s="16">
        <f t="shared" si="129"/>
        <v>0</v>
      </c>
      <c r="AO129" s="16">
        <f t="shared" si="129"/>
        <v>0</v>
      </c>
      <c r="AP129" s="16">
        <f t="shared" si="129"/>
        <v>0</v>
      </c>
      <c r="AQ129" s="16">
        <f t="shared" si="129"/>
        <v>0</v>
      </c>
      <c r="AR129" s="16">
        <f t="shared" si="130"/>
        <v>0</v>
      </c>
      <c r="AS129" s="16">
        <f t="shared" si="130"/>
        <v>0</v>
      </c>
      <c r="AT129" s="16">
        <f t="shared" si="130"/>
        <v>0</v>
      </c>
      <c r="AU129" s="16">
        <f t="shared" si="130"/>
        <v>0</v>
      </c>
      <c r="AV129" s="16">
        <f t="shared" si="130"/>
        <v>0</v>
      </c>
      <c r="AW129" s="16">
        <f t="shared" si="130"/>
        <v>0</v>
      </c>
      <c r="AX129" s="16">
        <f t="shared" si="130"/>
        <v>0</v>
      </c>
      <c r="AY129" s="16">
        <f t="shared" si="130"/>
        <v>-0.1191870607763013</v>
      </c>
      <c r="AZ129" s="16">
        <f t="shared" si="130"/>
        <v>1.2359044075841676</v>
      </c>
      <c r="BA129" s="16">
        <f t="shared" si="130"/>
        <v>-0.11304946334386637</v>
      </c>
      <c r="BB129" s="16">
        <f t="shared" si="130"/>
        <v>0</v>
      </c>
      <c r="BE129" s="9">
        <f t="shared" si="113"/>
        <v>2</v>
      </c>
      <c r="BF129" s="16">
        <f t="shared" si="131"/>
        <v>0</v>
      </c>
      <c r="BG129" s="16">
        <f t="shared" si="131"/>
        <v>0</v>
      </c>
      <c r="BH129" s="16">
        <f t="shared" si="131"/>
        <v>0</v>
      </c>
      <c r="BI129" s="16">
        <f t="shared" si="131"/>
        <v>0</v>
      </c>
      <c r="BJ129" s="16">
        <f t="shared" si="131"/>
        <v>0</v>
      </c>
      <c r="BK129" s="16">
        <f t="shared" si="131"/>
        <v>0</v>
      </c>
      <c r="BL129" s="16">
        <f t="shared" si="131"/>
        <v>0</v>
      </c>
      <c r="BM129" s="16">
        <f t="shared" si="131"/>
        <v>0</v>
      </c>
      <c r="BN129" s="16">
        <f t="shared" si="131"/>
        <v>0</v>
      </c>
      <c r="BO129" s="16">
        <f t="shared" si="131"/>
        <v>0</v>
      </c>
      <c r="BP129" s="16">
        <f t="shared" si="132"/>
        <v>0</v>
      </c>
      <c r="BQ129" s="16">
        <f t="shared" si="132"/>
        <v>0</v>
      </c>
      <c r="BR129" s="16">
        <f t="shared" si="132"/>
        <v>0</v>
      </c>
      <c r="BS129" s="16">
        <f t="shared" si="132"/>
        <v>0</v>
      </c>
      <c r="BT129" s="16">
        <f t="shared" si="132"/>
        <v>0</v>
      </c>
      <c r="BU129" s="16">
        <f t="shared" si="132"/>
        <v>0</v>
      </c>
      <c r="BV129" s="16">
        <f t="shared" si="132"/>
        <v>0</v>
      </c>
      <c r="BW129" s="16">
        <f t="shared" si="132"/>
        <v>-0.11917152544512598</v>
      </c>
      <c r="BX129" s="16">
        <f t="shared" si="132"/>
        <v>1.2358736588344823</v>
      </c>
      <c r="BY129" s="16">
        <f t="shared" si="132"/>
        <v>-0.11303472801235639</v>
      </c>
      <c r="BZ129" s="16">
        <f t="shared" si="132"/>
        <v>0</v>
      </c>
      <c r="CC129" s="9">
        <f t="shared" si="114"/>
        <v>2</v>
      </c>
      <c r="CD129" s="16">
        <f t="shared" si="133"/>
        <v>0</v>
      </c>
      <c r="CE129" s="16">
        <f t="shared" si="133"/>
        <v>0</v>
      </c>
      <c r="CF129" s="16">
        <f t="shared" si="133"/>
        <v>0</v>
      </c>
      <c r="CG129" s="16">
        <f t="shared" si="133"/>
        <v>0</v>
      </c>
      <c r="CH129" s="16">
        <f t="shared" si="133"/>
        <v>0</v>
      </c>
      <c r="CI129" s="16">
        <f t="shared" si="133"/>
        <v>0</v>
      </c>
      <c r="CJ129" s="16">
        <f t="shared" si="133"/>
        <v>0</v>
      </c>
      <c r="CK129" s="16">
        <f t="shared" si="133"/>
        <v>0</v>
      </c>
      <c r="CL129" s="16">
        <f t="shared" si="133"/>
        <v>0</v>
      </c>
      <c r="CM129" s="16">
        <f t="shared" si="133"/>
        <v>0</v>
      </c>
      <c r="CN129" s="16">
        <f t="shared" si="134"/>
        <v>0</v>
      </c>
      <c r="CO129" s="16">
        <f t="shared" si="134"/>
        <v>0</v>
      </c>
      <c r="CP129" s="16">
        <f t="shared" si="134"/>
        <v>0</v>
      </c>
      <c r="CQ129" s="16">
        <f t="shared" si="134"/>
        <v>0</v>
      </c>
      <c r="CR129" s="16">
        <f t="shared" si="134"/>
        <v>0</v>
      </c>
      <c r="CS129" s="16">
        <f t="shared" si="134"/>
        <v>0</v>
      </c>
      <c r="CT129" s="16">
        <f t="shared" si="134"/>
        <v>0</v>
      </c>
      <c r="CU129" s="16">
        <f t="shared" si="134"/>
        <v>-0.11917152544512563</v>
      </c>
      <c r="CV129" s="16">
        <f t="shared" si="134"/>
        <v>1.2358736588344816</v>
      </c>
      <c r="CW129" s="16">
        <f t="shared" si="134"/>
        <v>-0.11303472801235606</v>
      </c>
      <c r="CX129" s="16">
        <f t="shared" si="134"/>
        <v>0</v>
      </c>
      <c r="DA129" s="9">
        <f t="shared" si="115"/>
        <v>2</v>
      </c>
      <c r="DB129" s="16">
        <f t="shared" si="135"/>
        <v>0</v>
      </c>
      <c r="DC129" s="16">
        <f t="shared" si="135"/>
        <v>0</v>
      </c>
      <c r="DD129" s="16">
        <f t="shared" si="135"/>
        <v>0</v>
      </c>
      <c r="DE129" s="16">
        <f t="shared" si="135"/>
        <v>0</v>
      </c>
      <c r="DF129" s="16">
        <f t="shared" si="135"/>
        <v>0</v>
      </c>
      <c r="DG129" s="16">
        <f t="shared" si="135"/>
        <v>0</v>
      </c>
      <c r="DH129" s="16">
        <f t="shared" si="135"/>
        <v>0</v>
      </c>
      <c r="DI129" s="16">
        <f t="shared" si="135"/>
        <v>0</v>
      </c>
      <c r="DJ129" s="16">
        <f t="shared" si="135"/>
        <v>0</v>
      </c>
      <c r="DK129" s="16">
        <f t="shared" si="135"/>
        <v>0</v>
      </c>
      <c r="DL129" s="16">
        <f t="shared" si="136"/>
        <v>0</v>
      </c>
      <c r="DM129" s="16">
        <f t="shared" si="136"/>
        <v>0</v>
      </c>
      <c r="DN129" s="16">
        <f t="shared" si="136"/>
        <v>0</v>
      </c>
      <c r="DO129" s="16">
        <f t="shared" si="136"/>
        <v>0</v>
      </c>
      <c r="DP129" s="16">
        <f t="shared" si="136"/>
        <v>0</v>
      </c>
      <c r="DQ129" s="16">
        <f t="shared" si="136"/>
        <v>0</v>
      </c>
      <c r="DR129" s="16">
        <f t="shared" si="136"/>
        <v>0</v>
      </c>
      <c r="DS129" s="16">
        <f t="shared" si="136"/>
        <v>-1.4898382597037791E-2</v>
      </c>
      <c r="DT129" s="16">
        <f t="shared" si="136"/>
        <v>1.0294880509480213</v>
      </c>
      <c r="DU129" s="16">
        <f t="shared" si="136"/>
        <v>-1.4131182917983419E-2</v>
      </c>
      <c r="DV129" s="16">
        <f t="shared" si="136"/>
        <v>0</v>
      </c>
      <c r="DY129" s="9">
        <f t="shared" si="116"/>
        <v>2</v>
      </c>
      <c r="DZ129" s="16">
        <f t="shared" si="137"/>
        <v>0</v>
      </c>
      <c r="EA129" s="16">
        <f t="shared" si="137"/>
        <v>0</v>
      </c>
      <c r="EB129" s="16">
        <f t="shared" si="137"/>
        <v>0</v>
      </c>
      <c r="EC129" s="16">
        <f t="shared" si="137"/>
        <v>0</v>
      </c>
      <c r="ED129" s="16">
        <f t="shared" si="137"/>
        <v>0</v>
      </c>
      <c r="EE129" s="16">
        <f t="shared" si="137"/>
        <v>0</v>
      </c>
      <c r="EF129" s="16">
        <f t="shared" si="137"/>
        <v>0</v>
      </c>
      <c r="EG129" s="16">
        <f t="shared" si="137"/>
        <v>0</v>
      </c>
      <c r="EH129" s="16">
        <f t="shared" si="137"/>
        <v>0</v>
      </c>
      <c r="EI129" s="16">
        <f t="shared" si="137"/>
        <v>0</v>
      </c>
      <c r="EJ129" s="16">
        <f t="shared" si="138"/>
        <v>0</v>
      </c>
      <c r="EK129" s="16">
        <f t="shared" si="138"/>
        <v>0</v>
      </c>
      <c r="EL129" s="16">
        <f t="shared" si="138"/>
        <v>0</v>
      </c>
      <c r="EM129" s="16">
        <f t="shared" si="138"/>
        <v>0</v>
      </c>
      <c r="EN129" s="16">
        <f t="shared" si="138"/>
        <v>0</v>
      </c>
      <c r="EO129" s="16">
        <f t="shared" si="138"/>
        <v>0</v>
      </c>
      <c r="EP129" s="16">
        <f t="shared" si="138"/>
        <v>0</v>
      </c>
      <c r="EQ129" s="16">
        <f t="shared" si="138"/>
        <v>-8.7282433872620052E-2</v>
      </c>
      <c r="ER129" s="16">
        <f t="shared" si="138"/>
        <v>1.1720954756894706</v>
      </c>
      <c r="ES129" s="16">
        <f t="shared" si="138"/>
        <v>-8.1145636439850483E-2</v>
      </c>
      <c r="ET129" s="16">
        <f t="shared" si="138"/>
        <v>0</v>
      </c>
      <c r="EW129" s="9">
        <f t="shared" si="117"/>
        <v>2</v>
      </c>
      <c r="EX129" s="16">
        <f t="shared" si="139"/>
        <v>0</v>
      </c>
      <c r="EY129" s="16">
        <f t="shared" si="139"/>
        <v>0</v>
      </c>
      <c r="EZ129" s="16">
        <f t="shared" si="139"/>
        <v>0</v>
      </c>
      <c r="FA129" s="16">
        <f t="shared" si="139"/>
        <v>0</v>
      </c>
      <c r="FB129" s="16">
        <f t="shared" si="139"/>
        <v>0</v>
      </c>
      <c r="FC129" s="16">
        <f t="shared" si="139"/>
        <v>0</v>
      </c>
      <c r="FD129" s="16">
        <f t="shared" si="139"/>
        <v>0</v>
      </c>
      <c r="FE129" s="16">
        <f t="shared" si="139"/>
        <v>0</v>
      </c>
      <c r="FF129" s="16">
        <f t="shared" si="139"/>
        <v>0</v>
      </c>
      <c r="FG129" s="16">
        <f t="shared" si="139"/>
        <v>0</v>
      </c>
      <c r="FH129" s="16">
        <f t="shared" si="140"/>
        <v>0</v>
      </c>
      <c r="FI129" s="16">
        <f t="shared" si="140"/>
        <v>0</v>
      </c>
      <c r="FJ129" s="16">
        <f t="shared" si="140"/>
        <v>0</v>
      </c>
      <c r="FK129" s="16">
        <f t="shared" si="140"/>
        <v>0</v>
      </c>
      <c r="FL129" s="16">
        <f t="shared" si="140"/>
        <v>0</v>
      </c>
      <c r="FM129" s="16">
        <f t="shared" si="140"/>
        <v>0</v>
      </c>
      <c r="FN129" s="16">
        <f t="shared" si="140"/>
        <v>0</v>
      </c>
      <c r="FO129" s="16">
        <f t="shared" si="140"/>
        <v>-8.7282433872620302E-2</v>
      </c>
      <c r="FP129" s="16">
        <f t="shared" si="140"/>
        <v>1.172095475689471</v>
      </c>
      <c r="FQ129" s="16">
        <f t="shared" si="140"/>
        <v>-8.1145636439850719E-2</v>
      </c>
      <c r="FR129" s="16">
        <f t="shared" si="140"/>
        <v>0</v>
      </c>
      <c r="FU129" s="9">
        <f t="shared" si="118"/>
        <v>2</v>
      </c>
      <c r="FV129" s="16">
        <f t="shared" si="141"/>
        <v>0</v>
      </c>
      <c r="FW129" s="16">
        <f t="shared" si="141"/>
        <v>0</v>
      </c>
      <c r="FX129" s="16">
        <f t="shared" si="141"/>
        <v>0</v>
      </c>
      <c r="FY129" s="16">
        <f t="shared" si="141"/>
        <v>0</v>
      </c>
      <c r="FZ129" s="16">
        <f t="shared" si="141"/>
        <v>0</v>
      </c>
      <c r="GA129" s="16">
        <f t="shared" si="141"/>
        <v>0</v>
      </c>
      <c r="GB129" s="16">
        <f t="shared" si="141"/>
        <v>0</v>
      </c>
      <c r="GC129" s="16">
        <f t="shared" si="141"/>
        <v>0</v>
      </c>
      <c r="GD129" s="16">
        <f t="shared" si="141"/>
        <v>0</v>
      </c>
      <c r="GE129" s="16">
        <f t="shared" si="141"/>
        <v>0</v>
      </c>
      <c r="GF129" s="16">
        <f t="shared" si="142"/>
        <v>0</v>
      </c>
      <c r="GG129" s="16">
        <f t="shared" si="142"/>
        <v>0</v>
      </c>
      <c r="GH129" s="16">
        <f t="shared" si="142"/>
        <v>0</v>
      </c>
      <c r="GI129" s="16">
        <f t="shared" si="142"/>
        <v>0</v>
      </c>
      <c r="GJ129" s="16">
        <f t="shared" si="142"/>
        <v>0</v>
      </c>
      <c r="GK129" s="16">
        <f t="shared" si="142"/>
        <v>0</v>
      </c>
      <c r="GL129" s="16">
        <f t="shared" si="142"/>
        <v>0</v>
      </c>
      <c r="GM129" s="16">
        <f t="shared" si="142"/>
        <v>-8.7293812106732052E-2</v>
      </c>
      <c r="GN129" s="16">
        <f t="shared" si="142"/>
        <v>1.1721179102450292</v>
      </c>
      <c r="GO129" s="16">
        <f t="shared" si="142"/>
        <v>-8.115621467429715E-2</v>
      </c>
      <c r="GP129" s="16">
        <f t="shared" si="142"/>
        <v>0</v>
      </c>
      <c r="GS129" s="9">
        <f t="shared" si="119"/>
        <v>2</v>
      </c>
      <c r="GT129" s="16">
        <f t="shared" si="143"/>
        <v>0</v>
      </c>
      <c r="GU129" s="16">
        <f t="shared" si="143"/>
        <v>0</v>
      </c>
      <c r="GV129" s="16">
        <f t="shared" si="143"/>
        <v>0</v>
      </c>
      <c r="GW129" s="16">
        <f t="shared" si="143"/>
        <v>0</v>
      </c>
      <c r="GX129" s="16">
        <f t="shared" si="143"/>
        <v>0</v>
      </c>
      <c r="GY129" s="16">
        <f t="shared" si="143"/>
        <v>0</v>
      </c>
      <c r="GZ129" s="16">
        <f t="shared" si="143"/>
        <v>0</v>
      </c>
      <c r="HA129" s="16">
        <f t="shared" si="143"/>
        <v>0</v>
      </c>
      <c r="HB129" s="16">
        <f t="shared" si="143"/>
        <v>0</v>
      </c>
      <c r="HC129" s="16">
        <f t="shared" si="143"/>
        <v>0</v>
      </c>
      <c r="HD129" s="16">
        <f t="shared" si="144"/>
        <v>0</v>
      </c>
      <c r="HE129" s="16">
        <f t="shared" si="144"/>
        <v>0</v>
      </c>
      <c r="HF129" s="16">
        <f t="shared" si="144"/>
        <v>0</v>
      </c>
      <c r="HG129" s="16">
        <f t="shared" si="144"/>
        <v>0</v>
      </c>
      <c r="HH129" s="16">
        <f t="shared" si="144"/>
        <v>0</v>
      </c>
      <c r="HI129" s="16">
        <f t="shared" si="144"/>
        <v>0</v>
      </c>
      <c r="HJ129" s="16">
        <f t="shared" si="144"/>
        <v>0</v>
      </c>
      <c r="HK129" s="16">
        <f t="shared" si="144"/>
        <v>-1.8893557742860997E-2</v>
      </c>
      <c r="HL129" s="16">
        <f t="shared" si="144"/>
        <v>1.0372525795049365</v>
      </c>
      <c r="HM129" s="16">
        <f t="shared" si="144"/>
        <v>-1.7565158298575512E-2</v>
      </c>
      <c r="HN129" s="16">
        <f t="shared" si="144"/>
        <v>0</v>
      </c>
      <c r="HQ129" s="9">
        <f t="shared" si="120"/>
        <v>2</v>
      </c>
      <c r="HR129" s="16">
        <f t="shared" si="145"/>
        <v>0</v>
      </c>
      <c r="HS129" s="16">
        <f t="shared" si="145"/>
        <v>0</v>
      </c>
      <c r="HT129" s="16">
        <f t="shared" si="145"/>
        <v>0</v>
      </c>
      <c r="HU129" s="16">
        <f t="shared" si="145"/>
        <v>0</v>
      </c>
      <c r="HV129" s="16">
        <f t="shared" si="145"/>
        <v>0</v>
      </c>
      <c r="HW129" s="16">
        <f t="shared" si="145"/>
        <v>0</v>
      </c>
      <c r="HX129" s="16">
        <f t="shared" si="145"/>
        <v>0</v>
      </c>
      <c r="HY129" s="16">
        <f t="shared" si="145"/>
        <v>0</v>
      </c>
      <c r="HZ129" s="16">
        <f t="shared" si="145"/>
        <v>0</v>
      </c>
      <c r="IA129" s="16">
        <f t="shared" si="145"/>
        <v>0</v>
      </c>
      <c r="IB129" s="16">
        <f t="shared" si="146"/>
        <v>0</v>
      </c>
      <c r="IC129" s="16">
        <f t="shared" si="146"/>
        <v>0</v>
      </c>
      <c r="ID129" s="16">
        <f t="shared" si="146"/>
        <v>0</v>
      </c>
      <c r="IE129" s="16">
        <f t="shared" si="146"/>
        <v>0</v>
      </c>
      <c r="IF129" s="16">
        <f t="shared" si="146"/>
        <v>0</v>
      </c>
      <c r="IG129" s="16">
        <f t="shared" si="146"/>
        <v>0</v>
      </c>
      <c r="IH129" s="16">
        <f t="shared" si="146"/>
        <v>0</v>
      </c>
      <c r="II129" s="16">
        <f t="shared" si="146"/>
        <v>-0.12450063765274544</v>
      </c>
      <c r="IJ129" s="16">
        <f t="shared" si="146"/>
        <v>1.2454789069214169</v>
      </c>
      <c r="IK129" s="16">
        <f t="shared" si="146"/>
        <v>-0.11574704131467156</v>
      </c>
      <c r="IL129" s="16">
        <f t="shared" si="146"/>
        <v>0</v>
      </c>
      <c r="IO129" s="9">
        <f t="shared" si="121"/>
        <v>2</v>
      </c>
      <c r="IP129" s="16">
        <f t="shared" si="147"/>
        <v>0</v>
      </c>
      <c r="IQ129" s="16">
        <f t="shared" si="147"/>
        <v>0</v>
      </c>
      <c r="IR129" s="16">
        <f t="shared" si="147"/>
        <v>0</v>
      </c>
      <c r="IS129" s="16">
        <f t="shared" si="147"/>
        <v>0</v>
      </c>
      <c r="IT129" s="16">
        <f t="shared" si="147"/>
        <v>0</v>
      </c>
      <c r="IU129" s="16">
        <f t="shared" si="147"/>
        <v>0</v>
      </c>
      <c r="IV129" s="16">
        <f t="shared" si="147"/>
        <v>0</v>
      </c>
      <c r="IW129" s="16">
        <f t="shared" si="147"/>
        <v>0</v>
      </c>
      <c r="IX129" s="16">
        <f t="shared" si="147"/>
        <v>0</v>
      </c>
      <c r="IY129" s="16">
        <f t="shared" si="147"/>
        <v>0</v>
      </c>
      <c r="IZ129" s="16">
        <f t="shared" si="148"/>
        <v>0</v>
      </c>
      <c r="JA129" s="16">
        <f t="shared" si="148"/>
        <v>0</v>
      </c>
      <c r="JB129" s="16">
        <f t="shared" si="148"/>
        <v>0</v>
      </c>
      <c r="JC129" s="16">
        <f t="shared" si="148"/>
        <v>0</v>
      </c>
      <c r="JD129" s="16">
        <f t="shared" si="148"/>
        <v>0</v>
      </c>
      <c r="JE129" s="16">
        <f t="shared" si="148"/>
        <v>0</v>
      </c>
      <c r="JF129" s="16">
        <f t="shared" si="148"/>
        <v>0</v>
      </c>
      <c r="JG129" s="16">
        <f t="shared" si="148"/>
        <v>-1.8898677948211259E-2</v>
      </c>
      <c r="JH129" s="16">
        <f t="shared" si="148"/>
        <v>1.0372626750549376</v>
      </c>
      <c r="JI129" s="16">
        <f t="shared" si="148"/>
        <v>-1.7569918504076385E-2</v>
      </c>
      <c r="JJ129" s="16">
        <f t="shared" si="148"/>
        <v>0</v>
      </c>
      <c r="JM129" s="9">
        <f t="shared" si="122"/>
        <v>2</v>
      </c>
      <c r="JN129" s="16">
        <f t="shared" si="149"/>
        <v>0</v>
      </c>
      <c r="JO129" s="16">
        <f t="shared" si="149"/>
        <v>0</v>
      </c>
      <c r="JP129" s="16">
        <f t="shared" si="149"/>
        <v>0</v>
      </c>
      <c r="JQ129" s="16">
        <f t="shared" si="149"/>
        <v>0</v>
      </c>
      <c r="JR129" s="16">
        <f t="shared" si="149"/>
        <v>0</v>
      </c>
      <c r="JS129" s="16">
        <f t="shared" si="149"/>
        <v>0</v>
      </c>
      <c r="JT129" s="16">
        <f t="shared" si="149"/>
        <v>0</v>
      </c>
      <c r="JU129" s="16">
        <f t="shared" si="149"/>
        <v>0</v>
      </c>
      <c r="JV129" s="16">
        <f t="shared" si="149"/>
        <v>0</v>
      </c>
      <c r="JW129" s="16">
        <f t="shared" si="149"/>
        <v>0</v>
      </c>
      <c r="JX129" s="16">
        <f t="shared" si="150"/>
        <v>0</v>
      </c>
      <c r="JY129" s="16">
        <f t="shared" si="150"/>
        <v>0</v>
      </c>
      <c r="JZ129" s="16">
        <f t="shared" si="150"/>
        <v>0</v>
      </c>
      <c r="KA129" s="16">
        <f t="shared" si="150"/>
        <v>0</v>
      </c>
      <c r="KB129" s="16">
        <f t="shared" si="150"/>
        <v>0</v>
      </c>
      <c r="KC129" s="16">
        <f t="shared" si="150"/>
        <v>0</v>
      </c>
      <c r="KD129" s="16">
        <f t="shared" si="150"/>
        <v>0</v>
      </c>
      <c r="KE129" s="16">
        <f t="shared" si="150"/>
        <v>-0.12449836200592311</v>
      </c>
      <c r="KF129" s="16">
        <f t="shared" si="150"/>
        <v>1.2454744200103054</v>
      </c>
      <c r="KG129" s="16">
        <f t="shared" si="150"/>
        <v>-0.1157449256677823</v>
      </c>
      <c r="KH129" s="16">
        <f t="shared" si="150"/>
        <v>0</v>
      </c>
      <c r="KK129" s="9">
        <f t="shared" si="123"/>
        <v>2</v>
      </c>
      <c r="KL129" s="16">
        <f t="shared" si="151"/>
        <v>0</v>
      </c>
      <c r="KM129" s="16">
        <f t="shared" si="151"/>
        <v>0</v>
      </c>
      <c r="KN129" s="16">
        <f t="shared" si="151"/>
        <v>0</v>
      </c>
      <c r="KO129" s="16">
        <f t="shared" si="151"/>
        <v>0</v>
      </c>
      <c r="KP129" s="16">
        <f t="shared" si="151"/>
        <v>0</v>
      </c>
      <c r="KQ129" s="16">
        <f t="shared" si="151"/>
        <v>0</v>
      </c>
      <c r="KR129" s="16">
        <f t="shared" si="151"/>
        <v>0</v>
      </c>
      <c r="KS129" s="16">
        <f t="shared" si="151"/>
        <v>0</v>
      </c>
      <c r="KT129" s="16">
        <f t="shared" si="151"/>
        <v>0</v>
      </c>
      <c r="KU129" s="16">
        <f t="shared" si="151"/>
        <v>0</v>
      </c>
      <c r="KV129" s="16">
        <f t="shared" si="152"/>
        <v>0</v>
      </c>
      <c r="KW129" s="16">
        <f t="shared" si="152"/>
        <v>0</v>
      </c>
      <c r="KX129" s="16">
        <f t="shared" si="152"/>
        <v>0</v>
      </c>
      <c r="KY129" s="16">
        <f t="shared" si="152"/>
        <v>0</v>
      </c>
      <c r="KZ129" s="16">
        <f t="shared" si="152"/>
        <v>0</v>
      </c>
      <c r="LA129" s="16">
        <f t="shared" si="152"/>
        <v>0</v>
      </c>
      <c r="LB129" s="16">
        <f t="shared" si="152"/>
        <v>0</v>
      </c>
      <c r="LC129" s="16">
        <f t="shared" si="152"/>
        <v>-1.5781610713247844E-2</v>
      </c>
      <c r="LD129" s="16">
        <f t="shared" si="152"/>
        <v>1.0311167285596787</v>
      </c>
      <c r="LE129" s="16">
        <f t="shared" si="152"/>
        <v>-1.4672011177430949E-2</v>
      </c>
      <c r="LF129" s="16">
        <f t="shared" si="152"/>
        <v>0</v>
      </c>
      <c r="LI129" s="9">
        <f t="shared" si="124"/>
        <v>2</v>
      </c>
      <c r="LJ129" s="16">
        <f t="shared" si="153"/>
        <v>0</v>
      </c>
      <c r="LK129" s="16">
        <f t="shared" si="153"/>
        <v>0</v>
      </c>
      <c r="LL129" s="16">
        <f t="shared" si="153"/>
        <v>0</v>
      </c>
      <c r="LM129" s="16">
        <f t="shared" si="153"/>
        <v>0</v>
      </c>
      <c r="LN129" s="16">
        <f t="shared" si="153"/>
        <v>0</v>
      </c>
      <c r="LO129" s="16">
        <f t="shared" si="153"/>
        <v>0</v>
      </c>
      <c r="LP129" s="16">
        <f t="shared" si="153"/>
        <v>0</v>
      </c>
      <c r="LQ129" s="16">
        <f t="shared" si="153"/>
        <v>0</v>
      </c>
      <c r="LR129" s="16">
        <f t="shared" si="153"/>
        <v>0</v>
      </c>
      <c r="LS129" s="16">
        <f t="shared" si="153"/>
        <v>0</v>
      </c>
      <c r="LT129" s="16">
        <f t="shared" si="154"/>
        <v>0</v>
      </c>
      <c r="LU129" s="16">
        <f t="shared" si="154"/>
        <v>0</v>
      </c>
      <c r="LV129" s="16">
        <f t="shared" si="154"/>
        <v>0</v>
      </c>
      <c r="LW129" s="16">
        <f t="shared" si="154"/>
        <v>0</v>
      </c>
      <c r="LX129" s="16">
        <f t="shared" si="154"/>
        <v>0</v>
      </c>
      <c r="LY129" s="16">
        <f t="shared" si="154"/>
        <v>0</v>
      </c>
      <c r="LZ129" s="16">
        <f t="shared" si="154"/>
        <v>0</v>
      </c>
      <c r="MA129" s="16">
        <f t="shared" si="154"/>
        <v>-0.1244977930942175</v>
      </c>
      <c r="MB129" s="16">
        <f t="shared" si="154"/>
        <v>1.2454732982825274</v>
      </c>
      <c r="MC129" s="16">
        <f t="shared" si="154"/>
        <v>-0.11574439675605995</v>
      </c>
      <c r="MD129" s="16">
        <f t="shared" si="154"/>
        <v>0</v>
      </c>
      <c r="MG129" s="9">
        <f t="shared" si="125"/>
        <v>2</v>
      </c>
      <c r="MH129" s="16">
        <f t="shared" si="155"/>
        <v>0</v>
      </c>
      <c r="MI129" s="16">
        <f t="shared" si="155"/>
        <v>0</v>
      </c>
      <c r="MJ129" s="16">
        <f t="shared" si="155"/>
        <v>0</v>
      </c>
      <c r="MK129" s="16">
        <f t="shared" si="155"/>
        <v>0</v>
      </c>
      <c r="ML129" s="16">
        <f t="shared" si="155"/>
        <v>0</v>
      </c>
      <c r="MM129" s="16">
        <f t="shared" si="155"/>
        <v>0</v>
      </c>
      <c r="MN129" s="16">
        <f t="shared" si="155"/>
        <v>0</v>
      </c>
      <c r="MO129" s="16">
        <f t="shared" si="155"/>
        <v>0</v>
      </c>
      <c r="MP129" s="16">
        <f t="shared" si="155"/>
        <v>0</v>
      </c>
      <c r="MQ129" s="16">
        <f t="shared" si="155"/>
        <v>0</v>
      </c>
      <c r="MR129" s="16">
        <f t="shared" si="156"/>
        <v>0</v>
      </c>
      <c r="MS129" s="16">
        <f t="shared" si="156"/>
        <v>0</v>
      </c>
      <c r="MT129" s="16">
        <f t="shared" si="156"/>
        <v>0</v>
      </c>
      <c r="MU129" s="16">
        <f t="shared" si="156"/>
        <v>0</v>
      </c>
      <c r="MV129" s="16">
        <f t="shared" si="156"/>
        <v>0</v>
      </c>
      <c r="MW129" s="16">
        <f t="shared" si="156"/>
        <v>0</v>
      </c>
      <c r="MX129" s="16">
        <f t="shared" si="156"/>
        <v>0</v>
      </c>
      <c r="MY129" s="16">
        <f t="shared" si="156"/>
        <v>-1.7340428786582356E-2</v>
      </c>
      <c r="MZ129" s="16">
        <f t="shared" si="156"/>
        <v>1.0341902626711972</v>
      </c>
      <c r="NA129" s="16">
        <f t="shared" si="156"/>
        <v>-1.6121229296614838E-2</v>
      </c>
      <c r="NB129" s="16">
        <f t="shared" si="156"/>
        <v>0</v>
      </c>
      <c r="NE129" s="9">
        <f t="shared" si="126"/>
        <v>2</v>
      </c>
      <c r="NF129" s="16">
        <f t="shared" si="157"/>
        <v>0</v>
      </c>
      <c r="NG129" s="16">
        <f t="shared" si="157"/>
        <v>0</v>
      </c>
      <c r="NH129" s="16">
        <f t="shared" si="157"/>
        <v>0</v>
      </c>
      <c r="NI129" s="16">
        <f t="shared" si="157"/>
        <v>0</v>
      </c>
      <c r="NJ129" s="16">
        <f t="shared" si="157"/>
        <v>0</v>
      </c>
      <c r="NK129" s="16">
        <f t="shared" si="157"/>
        <v>0</v>
      </c>
      <c r="NL129" s="16">
        <f t="shared" si="157"/>
        <v>0</v>
      </c>
      <c r="NM129" s="16">
        <f t="shared" si="157"/>
        <v>0</v>
      </c>
      <c r="NN129" s="16">
        <f t="shared" si="157"/>
        <v>0</v>
      </c>
      <c r="NO129" s="16">
        <f t="shared" si="157"/>
        <v>0</v>
      </c>
      <c r="NP129" s="16">
        <f t="shared" si="158"/>
        <v>0</v>
      </c>
      <c r="NQ129" s="16">
        <f t="shared" si="158"/>
        <v>0</v>
      </c>
      <c r="NR129" s="16">
        <f t="shared" si="158"/>
        <v>0</v>
      </c>
      <c r="NS129" s="16">
        <f t="shared" si="158"/>
        <v>0</v>
      </c>
      <c r="NT129" s="16">
        <f t="shared" si="158"/>
        <v>0</v>
      </c>
      <c r="NU129" s="16">
        <f t="shared" si="158"/>
        <v>0</v>
      </c>
      <c r="NV129" s="16">
        <f t="shared" si="158"/>
        <v>0</v>
      </c>
      <c r="NW129" s="16">
        <f t="shared" si="158"/>
        <v>-0.1244977930942175</v>
      </c>
      <c r="NX129" s="16">
        <f t="shared" si="158"/>
        <v>1.2454732982825274</v>
      </c>
      <c r="NY129" s="16">
        <f t="shared" si="158"/>
        <v>-0.11574439675605995</v>
      </c>
      <c r="NZ129" s="16">
        <f t="shared" si="158"/>
        <v>0</v>
      </c>
      <c r="OC129" s="9">
        <f t="shared" si="127"/>
        <v>2</v>
      </c>
      <c r="OD129" s="16">
        <f t="shared" si="159"/>
        <v>0</v>
      </c>
      <c r="OE129" s="16">
        <f t="shared" si="159"/>
        <v>0</v>
      </c>
      <c r="OF129" s="16">
        <f t="shared" si="159"/>
        <v>0</v>
      </c>
      <c r="OG129" s="16">
        <f t="shared" si="159"/>
        <v>0</v>
      </c>
      <c r="OH129" s="16">
        <f t="shared" si="159"/>
        <v>0</v>
      </c>
      <c r="OI129" s="16">
        <f t="shared" si="159"/>
        <v>0</v>
      </c>
      <c r="OJ129" s="16">
        <f t="shared" si="159"/>
        <v>0</v>
      </c>
      <c r="OK129" s="16">
        <f t="shared" si="159"/>
        <v>0</v>
      </c>
      <c r="OL129" s="16">
        <f t="shared" si="159"/>
        <v>0</v>
      </c>
      <c r="OM129" s="16">
        <f t="shared" si="159"/>
        <v>0</v>
      </c>
      <c r="ON129" s="16">
        <f t="shared" si="160"/>
        <v>0</v>
      </c>
      <c r="OO129" s="16">
        <f t="shared" si="160"/>
        <v>0</v>
      </c>
      <c r="OP129" s="16">
        <f t="shared" si="160"/>
        <v>0</v>
      </c>
      <c r="OQ129" s="16">
        <f t="shared" si="160"/>
        <v>0</v>
      </c>
      <c r="OR129" s="16">
        <f t="shared" si="160"/>
        <v>0</v>
      </c>
      <c r="OS129" s="16">
        <f t="shared" si="160"/>
        <v>0</v>
      </c>
      <c r="OT129" s="16">
        <f t="shared" si="160"/>
        <v>0</v>
      </c>
      <c r="OU129" s="16">
        <f t="shared" si="160"/>
        <v>-1.8898677948211245E-2</v>
      </c>
      <c r="OV129" s="16">
        <f t="shared" si="160"/>
        <v>1.0372626750549376</v>
      </c>
      <c r="OW129" s="16">
        <f t="shared" si="160"/>
        <v>-1.7569918504076368E-2</v>
      </c>
      <c r="OX129" s="16">
        <f t="shared" si="160"/>
        <v>0</v>
      </c>
      <c r="PA129" s="9">
        <f t="shared" si="128"/>
        <v>2</v>
      </c>
      <c r="PB129" s="16">
        <f t="shared" si="161"/>
        <v>0</v>
      </c>
      <c r="PC129" s="16">
        <f t="shared" si="161"/>
        <v>0</v>
      </c>
      <c r="PD129" s="16">
        <f t="shared" si="161"/>
        <v>0</v>
      </c>
      <c r="PE129" s="16">
        <f t="shared" si="161"/>
        <v>0</v>
      </c>
      <c r="PF129" s="16">
        <f t="shared" si="161"/>
        <v>0</v>
      </c>
      <c r="PG129" s="16">
        <f t="shared" si="161"/>
        <v>0</v>
      </c>
      <c r="PH129" s="16">
        <f t="shared" si="161"/>
        <v>0</v>
      </c>
      <c r="PI129" s="16">
        <f t="shared" si="161"/>
        <v>0</v>
      </c>
      <c r="PJ129" s="16">
        <f t="shared" si="161"/>
        <v>0</v>
      </c>
      <c r="PK129" s="16">
        <f t="shared" si="161"/>
        <v>0</v>
      </c>
      <c r="PL129" s="16">
        <f t="shared" si="162"/>
        <v>0</v>
      </c>
      <c r="PM129" s="16">
        <f t="shared" si="162"/>
        <v>0</v>
      </c>
      <c r="PN129" s="16">
        <f t="shared" si="162"/>
        <v>0</v>
      </c>
      <c r="PO129" s="16">
        <f t="shared" si="162"/>
        <v>0</v>
      </c>
      <c r="PP129" s="16">
        <f t="shared" si="162"/>
        <v>0</v>
      </c>
      <c r="PQ129" s="16">
        <f t="shared" si="162"/>
        <v>0</v>
      </c>
      <c r="PR129" s="16">
        <f t="shared" si="162"/>
        <v>0</v>
      </c>
      <c r="PS129" s="16">
        <f t="shared" si="162"/>
        <v>-0.12449267288886713</v>
      </c>
      <c r="PT129" s="16">
        <f t="shared" si="162"/>
        <v>1.2454632027325261</v>
      </c>
      <c r="PU129" s="16">
        <f t="shared" si="162"/>
        <v>-0.11573963655055898</v>
      </c>
      <c r="PV129" s="16">
        <f t="shared" si="162"/>
        <v>0</v>
      </c>
    </row>
    <row r="130" spans="2:438" x14ac:dyDescent="0.25">
      <c r="C130" s="1"/>
      <c r="D130" s="1"/>
      <c r="F130" s="1"/>
      <c r="H130" s="1"/>
      <c r="I130" s="9">
        <f t="shared" si="111"/>
        <v>1</v>
      </c>
      <c r="J130" s="16">
        <f t="shared" si="110"/>
        <v>0</v>
      </c>
      <c r="K130" s="16">
        <f t="shared" si="110"/>
        <v>0</v>
      </c>
      <c r="L130" s="16">
        <f t="shared" si="110"/>
        <v>0</v>
      </c>
      <c r="M130" s="16">
        <f t="shared" si="110"/>
        <v>0</v>
      </c>
      <c r="N130" s="16">
        <f t="shared" si="110"/>
        <v>0</v>
      </c>
      <c r="O130" s="16">
        <f t="shared" si="110"/>
        <v>0</v>
      </c>
      <c r="P130" s="16">
        <f t="shared" si="110"/>
        <v>0</v>
      </c>
      <c r="Q130" s="16">
        <f t="shared" si="110"/>
        <v>0</v>
      </c>
      <c r="R130" s="16">
        <f t="shared" si="110"/>
        <v>0</v>
      </c>
      <c r="S130" s="16">
        <f t="shared" si="110"/>
        <v>0</v>
      </c>
      <c r="T130" s="16">
        <f t="shared" si="110"/>
        <v>0</v>
      </c>
      <c r="U130" s="16">
        <f t="shared" si="110"/>
        <v>0</v>
      </c>
      <c r="V130" s="16">
        <f t="shared" si="110"/>
        <v>0</v>
      </c>
      <c r="W130" s="16">
        <f t="shared" si="110"/>
        <v>0</v>
      </c>
      <c r="X130" s="16">
        <f t="shared" si="110"/>
        <v>0</v>
      </c>
      <c r="Y130" s="16">
        <f t="shared" si="110"/>
        <v>0</v>
      </c>
      <c r="Z130" s="16">
        <f t="shared" si="163"/>
        <v>0</v>
      </c>
      <c r="AA130" s="16">
        <f t="shared" si="163"/>
        <v>0</v>
      </c>
      <c r="AB130" s="16">
        <f t="shared" si="163"/>
        <v>-1.4938540011644533E-2</v>
      </c>
      <c r="AC130" s="16">
        <f t="shared" si="163"/>
        <v>1.0295299574916783</v>
      </c>
      <c r="AD130" s="16">
        <f t="shared" si="163"/>
        <v>-1.4075890172033688E-2</v>
      </c>
      <c r="AE130" s="1"/>
      <c r="AF130" s="1"/>
      <c r="AG130" s="9">
        <f t="shared" si="112"/>
        <v>1</v>
      </c>
      <c r="AH130" s="16">
        <f t="shared" si="129"/>
        <v>0</v>
      </c>
      <c r="AI130" s="16">
        <f t="shared" si="129"/>
        <v>0</v>
      </c>
      <c r="AJ130" s="16">
        <f t="shared" si="129"/>
        <v>0</v>
      </c>
      <c r="AK130" s="16">
        <f t="shared" si="129"/>
        <v>0</v>
      </c>
      <c r="AL130" s="16">
        <f t="shared" si="129"/>
        <v>0</v>
      </c>
      <c r="AM130" s="16">
        <f t="shared" si="129"/>
        <v>0</v>
      </c>
      <c r="AN130" s="16">
        <f t="shared" si="129"/>
        <v>0</v>
      </c>
      <c r="AO130" s="16">
        <f t="shared" si="129"/>
        <v>0</v>
      </c>
      <c r="AP130" s="16">
        <f t="shared" si="129"/>
        <v>0</v>
      </c>
      <c r="AQ130" s="16">
        <f t="shared" si="129"/>
        <v>0</v>
      </c>
      <c r="AR130" s="16">
        <f t="shared" si="130"/>
        <v>0</v>
      </c>
      <c r="AS130" s="16">
        <f t="shared" si="130"/>
        <v>0</v>
      </c>
      <c r="AT130" s="16">
        <f t="shared" si="130"/>
        <v>0</v>
      </c>
      <c r="AU130" s="16">
        <f t="shared" si="130"/>
        <v>0</v>
      </c>
      <c r="AV130" s="16">
        <f t="shared" si="130"/>
        <v>0</v>
      </c>
      <c r="AW130" s="16">
        <f t="shared" si="130"/>
        <v>0</v>
      </c>
      <c r="AX130" s="16">
        <f t="shared" si="130"/>
        <v>0</v>
      </c>
      <c r="AY130" s="16">
        <f t="shared" si="130"/>
        <v>0</v>
      </c>
      <c r="AZ130" s="16">
        <f t="shared" si="130"/>
        <v>-0.11957066141819257</v>
      </c>
      <c r="BA130" s="16">
        <f t="shared" si="130"/>
        <v>1.2363628939761677</v>
      </c>
      <c r="BB130" s="16">
        <f t="shared" si="130"/>
        <v>-0.11266586270197509</v>
      </c>
      <c r="BE130" s="9">
        <f t="shared" si="113"/>
        <v>1</v>
      </c>
      <c r="BF130" s="16">
        <f t="shared" si="131"/>
        <v>0</v>
      </c>
      <c r="BG130" s="16">
        <f t="shared" si="131"/>
        <v>0</v>
      </c>
      <c r="BH130" s="16">
        <f t="shared" si="131"/>
        <v>0</v>
      </c>
      <c r="BI130" s="16">
        <f t="shared" si="131"/>
        <v>0</v>
      </c>
      <c r="BJ130" s="16">
        <f t="shared" si="131"/>
        <v>0</v>
      </c>
      <c r="BK130" s="16">
        <f t="shared" si="131"/>
        <v>0</v>
      </c>
      <c r="BL130" s="16">
        <f t="shared" si="131"/>
        <v>0</v>
      </c>
      <c r="BM130" s="16">
        <f t="shared" si="131"/>
        <v>0</v>
      </c>
      <c r="BN130" s="16">
        <f t="shared" si="131"/>
        <v>0</v>
      </c>
      <c r="BO130" s="16">
        <f t="shared" si="131"/>
        <v>0</v>
      </c>
      <c r="BP130" s="16">
        <f t="shared" si="132"/>
        <v>0</v>
      </c>
      <c r="BQ130" s="16">
        <f t="shared" si="132"/>
        <v>0</v>
      </c>
      <c r="BR130" s="16">
        <f t="shared" si="132"/>
        <v>0</v>
      </c>
      <c r="BS130" s="16">
        <f t="shared" si="132"/>
        <v>0</v>
      </c>
      <c r="BT130" s="16">
        <f t="shared" si="132"/>
        <v>0</v>
      </c>
      <c r="BU130" s="16">
        <f t="shared" si="132"/>
        <v>0</v>
      </c>
      <c r="BV130" s="16">
        <f t="shared" si="132"/>
        <v>0</v>
      </c>
      <c r="BW130" s="16">
        <f t="shared" si="132"/>
        <v>0</v>
      </c>
      <c r="BX130" s="16">
        <f t="shared" si="132"/>
        <v>-0.11955507608693358</v>
      </c>
      <c r="BY130" s="16">
        <f t="shared" si="132"/>
        <v>1.2363320854654822</v>
      </c>
      <c r="BZ130" s="16">
        <f t="shared" si="132"/>
        <v>-0.11265117737054878</v>
      </c>
      <c r="CC130" s="9">
        <f t="shared" si="114"/>
        <v>1</v>
      </c>
      <c r="CD130" s="16">
        <f t="shared" si="133"/>
        <v>0</v>
      </c>
      <c r="CE130" s="16">
        <f t="shared" si="133"/>
        <v>0</v>
      </c>
      <c r="CF130" s="16">
        <f t="shared" si="133"/>
        <v>0</v>
      </c>
      <c r="CG130" s="16">
        <f t="shared" si="133"/>
        <v>0</v>
      </c>
      <c r="CH130" s="16">
        <f t="shared" si="133"/>
        <v>0</v>
      </c>
      <c r="CI130" s="16">
        <f t="shared" si="133"/>
        <v>0</v>
      </c>
      <c r="CJ130" s="16">
        <f t="shared" si="133"/>
        <v>0</v>
      </c>
      <c r="CK130" s="16">
        <f t="shared" si="133"/>
        <v>0</v>
      </c>
      <c r="CL130" s="16">
        <f t="shared" si="133"/>
        <v>0</v>
      </c>
      <c r="CM130" s="16">
        <f t="shared" si="133"/>
        <v>0</v>
      </c>
      <c r="CN130" s="16">
        <f t="shared" si="134"/>
        <v>0</v>
      </c>
      <c r="CO130" s="16">
        <f t="shared" si="134"/>
        <v>0</v>
      </c>
      <c r="CP130" s="16">
        <f t="shared" si="134"/>
        <v>0</v>
      </c>
      <c r="CQ130" s="16">
        <f t="shared" si="134"/>
        <v>0</v>
      </c>
      <c r="CR130" s="16">
        <f t="shared" si="134"/>
        <v>0</v>
      </c>
      <c r="CS130" s="16">
        <f t="shared" si="134"/>
        <v>0</v>
      </c>
      <c r="CT130" s="16">
        <f t="shared" si="134"/>
        <v>0</v>
      </c>
      <c r="CU130" s="16">
        <f t="shared" si="134"/>
        <v>0</v>
      </c>
      <c r="CV130" s="16">
        <f t="shared" si="134"/>
        <v>-0.11955507608693323</v>
      </c>
      <c r="CW130" s="16">
        <f t="shared" si="134"/>
        <v>1.2363320854654818</v>
      </c>
      <c r="CX130" s="16">
        <f t="shared" si="134"/>
        <v>-0.11265117737054846</v>
      </c>
      <c r="DA130" s="9">
        <f t="shared" si="115"/>
        <v>1</v>
      </c>
      <c r="DB130" s="16">
        <f t="shared" si="135"/>
        <v>0</v>
      </c>
      <c r="DC130" s="16">
        <f t="shared" si="135"/>
        <v>0</v>
      </c>
      <c r="DD130" s="16">
        <f t="shared" si="135"/>
        <v>0</v>
      </c>
      <c r="DE130" s="16">
        <f t="shared" si="135"/>
        <v>0</v>
      </c>
      <c r="DF130" s="16">
        <f t="shared" si="135"/>
        <v>0</v>
      </c>
      <c r="DG130" s="16">
        <f t="shared" si="135"/>
        <v>0</v>
      </c>
      <c r="DH130" s="16">
        <f t="shared" si="135"/>
        <v>0</v>
      </c>
      <c r="DI130" s="16">
        <f t="shared" si="135"/>
        <v>0</v>
      </c>
      <c r="DJ130" s="16">
        <f t="shared" si="135"/>
        <v>0</v>
      </c>
      <c r="DK130" s="16">
        <f t="shared" si="135"/>
        <v>0</v>
      </c>
      <c r="DL130" s="16">
        <f t="shared" si="136"/>
        <v>0</v>
      </c>
      <c r="DM130" s="16">
        <f t="shared" si="136"/>
        <v>0</v>
      </c>
      <c r="DN130" s="16">
        <f t="shared" si="136"/>
        <v>0</v>
      </c>
      <c r="DO130" s="16">
        <f t="shared" si="136"/>
        <v>0</v>
      </c>
      <c r="DP130" s="16">
        <f t="shared" si="136"/>
        <v>0</v>
      </c>
      <c r="DQ130" s="16">
        <f t="shared" si="136"/>
        <v>0</v>
      </c>
      <c r="DR130" s="16">
        <f t="shared" si="136"/>
        <v>0</v>
      </c>
      <c r="DS130" s="16">
        <f t="shared" si="136"/>
        <v>0</v>
      </c>
      <c r="DT130" s="16">
        <f t="shared" si="136"/>
        <v>-1.4946332677274202E-2</v>
      </c>
      <c r="DU130" s="16">
        <f t="shared" si="136"/>
        <v>1.0295453617470212</v>
      </c>
      <c r="DV130" s="16">
        <f t="shared" si="136"/>
        <v>-1.408323283774701E-2</v>
      </c>
      <c r="DY130" s="9">
        <f t="shared" si="116"/>
        <v>1</v>
      </c>
      <c r="DZ130" s="16">
        <f t="shared" si="137"/>
        <v>0</v>
      </c>
      <c r="EA130" s="16">
        <f t="shared" si="137"/>
        <v>0</v>
      </c>
      <c r="EB130" s="16">
        <f t="shared" si="137"/>
        <v>0</v>
      </c>
      <c r="EC130" s="16">
        <f t="shared" si="137"/>
        <v>0</v>
      </c>
      <c r="ED130" s="16">
        <f t="shared" si="137"/>
        <v>0</v>
      </c>
      <c r="EE130" s="16">
        <f t="shared" si="137"/>
        <v>0</v>
      </c>
      <c r="EF130" s="16">
        <f t="shared" si="137"/>
        <v>0</v>
      </c>
      <c r="EG130" s="16">
        <f t="shared" si="137"/>
        <v>0</v>
      </c>
      <c r="EH130" s="16">
        <f t="shared" si="137"/>
        <v>0</v>
      </c>
      <c r="EI130" s="16">
        <f t="shared" si="137"/>
        <v>0</v>
      </c>
      <c r="EJ130" s="16">
        <f t="shared" si="138"/>
        <v>0</v>
      </c>
      <c r="EK130" s="16">
        <f t="shared" si="138"/>
        <v>0</v>
      </c>
      <c r="EL130" s="16">
        <f t="shared" si="138"/>
        <v>0</v>
      </c>
      <c r="EM130" s="16">
        <f t="shared" si="138"/>
        <v>0</v>
      </c>
      <c r="EN130" s="16">
        <f t="shared" si="138"/>
        <v>0</v>
      </c>
      <c r="EO130" s="16">
        <f t="shared" si="138"/>
        <v>0</v>
      </c>
      <c r="EP130" s="16">
        <f t="shared" si="138"/>
        <v>0</v>
      </c>
      <c r="EQ130" s="16">
        <f t="shared" si="138"/>
        <v>0</v>
      </c>
      <c r="ER130" s="16">
        <f t="shared" si="138"/>
        <v>-8.7665984514427656E-2</v>
      </c>
      <c r="ES130" s="16">
        <f t="shared" si="138"/>
        <v>1.1725539023204705</v>
      </c>
      <c r="ET130" s="16">
        <f t="shared" si="138"/>
        <v>-8.0762085798042879E-2</v>
      </c>
      <c r="EW130" s="9">
        <f t="shared" si="117"/>
        <v>1</v>
      </c>
      <c r="EX130" s="16">
        <f t="shared" si="139"/>
        <v>0</v>
      </c>
      <c r="EY130" s="16">
        <f t="shared" si="139"/>
        <v>0</v>
      </c>
      <c r="EZ130" s="16">
        <f t="shared" si="139"/>
        <v>0</v>
      </c>
      <c r="FA130" s="16">
        <f t="shared" si="139"/>
        <v>0</v>
      </c>
      <c r="FB130" s="16">
        <f t="shared" si="139"/>
        <v>0</v>
      </c>
      <c r="FC130" s="16">
        <f t="shared" si="139"/>
        <v>0</v>
      </c>
      <c r="FD130" s="16">
        <f t="shared" si="139"/>
        <v>0</v>
      </c>
      <c r="FE130" s="16">
        <f t="shared" si="139"/>
        <v>0</v>
      </c>
      <c r="FF130" s="16">
        <f t="shared" si="139"/>
        <v>0</v>
      </c>
      <c r="FG130" s="16">
        <f t="shared" si="139"/>
        <v>0</v>
      </c>
      <c r="FH130" s="16">
        <f t="shared" si="140"/>
        <v>0</v>
      </c>
      <c r="FI130" s="16">
        <f t="shared" si="140"/>
        <v>0</v>
      </c>
      <c r="FJ130" s="16">
        <f t="shared" si="140"/>
        <v>0</v>
      </c>
      <c r="FK130" s="16">
        <f t="shared" si="140"/>
        <v>0</v>
      </c>
      <c r="FL130" s="16">
        <f t="shared" si="140"/>
        <v>0</v>
      </c>
      <c r="FM130" s="16">
        <f t="shared" si="140"/>
        <v>0</v>
      </c>
      <c r="FN130" s="16">
        <f t="shared" si="140"/>
        <v>0</v>
      </c>
      <c r="FO130" s="16">
        <f t="shared" si="140"/>
        <v>0</v>
      </c>
      <c r="FP130" s="16">
        <f t="shared" si="140"/>
        <v>-8.7665984514427905E-2</v>
      </c>
      <c r="FQ130" s="16">
        <f t="shared" si="140"/>
        <v>1.172553902320471</v>
      </c>
      <c r="FR130" s="16">
        <f t="shared" si="140"/>
        <v>-8.0762085798043101E-2</v>
      </c>
      <c r="FU130" s="9">
        <f t="shared" si="118"/>
        <v>1</v>
      </c>
      <c r="FV130" s="16">
        <f t="shared" si="141"/>
        <v>0</v>
      </c>
      <c r="FW130" s="16">
        <f t="shared" si="141"/>
        <v>0</v>
      </c>
      <c r="FX130" s="16">
        <f t="shared" si="141"/>
        <v>0</v>
      </c>
      <c r="FY130" s="16">
        <f t="shared" si="141"/>
        <v>0</v>
      </c>
      <c r="FZ130" s="16">
        <f t="shared" si="141"/>
        <v>0</v>
      </c>
      <c r="GA130" s="16">
        <f t="shared" si="141"/>
        <v>0</v>
      </c>
      <c r="GB130" s="16">
        <f t="shared" si="141"/>
        <v>0</v>
      </c>
      <c r="GC130" s="16">
        <f t="shared" si="141"/>
        <v>0</v>
      </c>
      <c r="GD130" s="16">
        <f t="shared" si="141"/>
        <v>0</v>
      </c>
      <c r="GE130" s="16">
        <f t="shared" si="141"/>
        <v>0</v>
      </c>
      <c r="GF130" s="16">
        <f t="shared" si="142"/>
        <v>0</v>
      </c>
      <c r="GG130" s="16">
        <f t="shared" si="142"/>
        <v>0</v>
      </c>
      <c r="GH130" s="16">
        <f t="shared" si="142"/>
        <v>0</v>
      </c>
      <c r="GI130" s="16">
        <f t="shared" si="142"/>
        <v>0</v>
      </c>
      <c r="GJ130" s="16">
        <f t="shared" si="142"/>
        <v>0</v>
      </c>
      <c r="GK130" s="16">
        <f t="shared" si="142"/>
        <v>0</v>
      </c>
      <c r="GL130" s="16">
        <f t="shared" si="142"/>
        <v>0</v>
      </c>
      <c r="GM130" s="16">
        <f t="shared" si="142"/>
        <v>0</v>
      </c>
      <c r="GN130" s="16">
        <f t="shared" si="142"/>
        <v>-8.7677412748623326E-2</v>
      </c>
      <c r="GO130" s="16">
        <f t="shared" si="142"/>
        <v>1.1725763966370293</v>
      </c>
      <c r="GP130" s="16">
        <f t="shared" si="142"/>
        <v>-8.0772614032405876E-2</v>
      </c>
      <c r="GS130" s="9">
        <f t="shared" si="119"/>
        <v>1</v>
      </c>
      <c r="GT130" s="16">
        <f t="shared" si="143"/>
        <v>0</v>
      </c>
      <c r="GU130" s="16">
        <f t="shared" si="143"/>
        <v>0</v>
      </c>
      <c r="GV130" s="16">
        <f t="shared" si="143"/>
        <v>0</v>
      </c>
      <c r="GW130" s="16">
        <f t="shared" si="143"/>
        <v>0</v>
      </c>
      <c r="GX130" s="16">
        <f t="shared" si="143"/>
        <v>0</v>
      </c>
      <c r="GY130" s="16">
        <f t="shared" si="143"/>
        <v>0</v>
      </c>
      <c r="GZ130" s="16">
        <f t="shared" si="143"/>
        <v>0</v>
      </c>
      <c r="HA130" s="16">
        <f t="shared" si="143"/>
        <v>0</v>
      </c>
      <c r="HB130" s="16">
        <f t="shared" si="143"/>
        <v>0</v>
      </c>
      <c r="HC130" s="16">
        <f t="shared" si="143"/>
        <v>0</v>
      </c>
      <c r="HD130" s="16">
        <f t="shared" si="144"/>
        <v>0</v>
      </c>
      <c r="HE130" s="16">
        <f t="shared" si="144"/>
        <v>0</v>
      </c>
      <c r="HF130" s="16">
        <f t="shared" si="144"/>
        <v>0</v>
      </c>
      <c r="HG130" s="16">
        <f t="shared" si="144"/>
        <v>0</v>
      </c>
      <c r="HH130" s="16">
        <f t="shared" si="144"/>
        <v>0</v>
      </c>
      <c r="HI130" s="16">
        <f t="shared" si="144"/>
        <v>0</v>
      </c>
      <c r="HJ130" s="16">
        <f t="shared" si="144"/>
        <v>0</v>
      </c>
      <c r="HK130" s="16">
        <f t="shared" si="144"/>
        <v>0</v>
      </c>
      <c r="HL130" s="16">
        <f t="shared" si="144"/>
        <v>-1.897658288178963E-2</v>
      </c>
      <c r="HM130" s="16">
        <f t="shared" si="144"/>
        <v>1.0373518126454364</v>
      </c>
      <c r="HN130" s="16">
        <f t="shared" si="144"/>
        <v>-1.7482133159646879E-2</v>
      </c>
      <c r="HQ130" s="9">
        <f t="shared" si="120"/>
        <v>1</v>
      </c>
      <c r="HR130" s="16">
        <f t="shared" si="145"/>
        <v>0</v>
      </c>
      <c r="HS130" s="16">
        <f t="shared" si="145"/>
        <v>0</v>
      </c>
      <c r="HT130" s="16">
        <f t="shared" si="145"/>
        <v>0</v>
      </c>
      <c r="HU130" s="16">
        <f t="shared" si="145"/>
        <v>0</v>
      </c>
      <c r="HV130" s="16">
        <f t="shared" si="145"/>
        <v>0</v>
      </c>
      <c r="HW130" s="16">
        <f t="shared" si="145"/>
        <v>0</v>
      </c>
      <c r="HX130" s="16">
        <f t="shared" si="145"/>
        <v>0</v>
      </c>
      <c r="HY130" s="16">
        <f t="shared" si="145"/>
        <v>0</v>
      </c>
      <c r="HZ130" s="16">
        <f t="shared" si="145"/>
        <v>0</v>
      </c>
      <c r="IA130" s="16">
        <f t="shared" si="145"/>
        <v>0</v>
      </c>
      <c r="IB130" s="16">
        <f t="shared" si="146"/>
        <v>0</v>
      </c>
      <c r="IC130" s="16">
        <f t="shared" si="146"/>
        <v>0</v>
      </c>
      <c r="ID130" s="16">
        <f t="shared" si="146"/>
        <v>0</v>
      </c>
      <c r="IE130" s="16">
        <f t="shared" si="146"/>
        <v>0</v>
      </c>
      <c r="IF130" s="16">
        <f t="shared" si="146"/>
        <v>0</v>
      </c>
      <c r="IG130" s="16">
        <f t="shared" si="146"/>
        <v>0</v>
      </c>
      <c r="IH130" s="16">
        <f t="shared" si="146"/>
        <v>0</v>
      </c>
      <c r="II130" s="16">
        <f t="shared" si="146"/>
        <v>0</v>
      </c>
      <c r="IJ130" s="16">
        <f t="shared" si="146"/>
        <v>-0.12504773856822698</v>
      </c>
      <c r="IK130" s="16">
        <f t="shared" si="146"/>
        <v>1.2461328117834169</v>
      </c>
      <c r="IL130" s="16">
        <f t="shared" si="146"/>
        <v>-0.11519994039919003</v>
      </c>
      <c r="IO130" s="9">
        <f t="shared" si="121"/>
        <v>1</v>
      </c>
      <c r="IP130" s="16">
        <f t="shared" si="147"/>
        <v>0</v>
      </c>
      <c r="IQ130" s="16">
        <f t="shared" si="147"/>
        <v>0</v>
      </c>
      <c r="IR130" s="16">
        <f t="shared" si="147"/>
        <v>0</v>
      </c>
      <c r="IS130" s="16">
        <f t="shared" si="147"/>
        <v>0</v>
      </c>
      <c r="IT130" s="16">
        <f t="shared" si="147"/>
        <v>0</v>
      </c>
      <c r="IU130" s="16">
        <f t="shared" si="147"/>
        <v>0</v>
      </c>
      <c r="IV130" s="16">
        <f t="shared" si="147"/>
        <v>0</v>
      </c>
      <c r="IW130" s="16">
        <f t="shared" si="147"/>
        <v>0</v>
      </c>
      <c r="IX130" s="16">
        <f t="shared" si="147"/>
        <v>0</v>
      </c>
      <c r="IY130" s="16">
        <f t="shared" si="147"/>
        <v>0</v>
      </c>
      <c r="IZ130" s="16">
        <f t="shared" si="148"/>
        <v>0</v>
      </c>
      <c r="JA130" s="16">
        <f t="shared" si="148"/>
        <v>0</v>
      </c>
      <c r="JB130" s="16">
        <f t="shared" si="148"/>
        <v>0</v>
      </c>
      <c r="JC130" s="16">
        <f t="shared" si="148"/>
        <v>0</v>
      </c>
      <c r="JD130" s="16">
        <f t="shared" si="148"/>
        <v>0</v>
      </c>
      <c r="JE130" s="16">
        <f t="shared" si="148"/>
        <v>0</v>
      </c>
      <c r="JF130" s="16">
        <f t="shared" si="148"/>
        <v>0</v>
      </c>
      <c r="JG130" s="16">
        <f t="shared" si="148"/>
        <v>0</v>
      </c>
      <c r="JH130" s="16">
        <f t="shared" si="148"/>
        <v>-1.8981725587177541E-2</v>
      </c>
      <c r="JI130" s="16">
        <f t="shared" si="148"/>
        <v>1.0373619350878875</v>
      </c>
      <c r="JJ130" s="16">
        <f t="shared" si="148"/>
        <v>-1.7486870865110103E-2</v>
      </c>
      <c r="JM130" s="9">
        <f t="shared" si="122"/>
        <v>1</v>
      </c>
      <c r="JN130" s="16">
        <f t="shared" si="149"/>
        <v>0</v>
      </c>
      <c r="JO130" s="16">
        <f t="shared" si="149"/>
        <v>0</v>
      </c>
      <c r="JP130" s="16">
        <f t="shared" si="149"/>
        <v>0</v>
      </c>
      <c r="JQ130" s="16">
        <f t="shared" si="149"/>
        <v>0</v>
      </c>
      <c r="JR130" s="16">
        <f t="shared" si="149"/>
        <v>0</v>
      </c>
      <c r="JS130" s="16">
        <f t="shared" si="149"/>
        <v>0</v>
      </c>
      <c r="JT130" s="16">
        <f t="shared" si="149"/>
        <v>0</v>
      </c>
      <c r="JU130" s="16">
        <f t="shared" si="149"/>
        <v>0</v>
      </c>
      <c r="JV130" s="16">
        <f t="shared" si="149"/>
        <v>0</v>
      </c>
      <c r="JW130" s="16">
        <f t="shared" si="149"/>
        <v>0</v>
      </c>
      <c r="JX130" s="16">
        <f t="shared" si="150"/>
        <v>0</v>
      </c>
      <c r="JY130" s="16">
        <f t="shared" si="150"/>
        <v>0</v>
      </c>
      <c r="JZ130" s="16">
        <f t="shared" si="150"/>
        <v>0</v>
      </c>
      <c r="KA130" s="16">
        <f t="shared" si="150"/>
        <v>0</v>
      </c>
      <c r="KB130" s="16">
        <f t="shared" si="150"/>
        <v>0</v>
      </c>
      <c r="KC130" s="16">
        <f t="shared" si="150"/>
        <v>0</v>
      </c>
      <c r="KD130" s="16">
        <f t="shared" si="150"/>
        <v>0</v>
      </c>
      <c r="KE130" s="16">
        <f t="shared" si="150"/>
        <v>0</v>
      </c>
      <c r="KF130" s="16">
        <f t="shared" si="150"/>
        <v>-0.12504545292138791</v>
      </c>
      <c r="KG130" s="16">
        <f t="shared" si="150"/>
        <v>1.2461283129201055</v>
      </c>
      <c r="KH130" s="16">
        <f t="shared" si="150"/>
        <v>-0.1151978347523175</v>
      </c>
      <c r="KK130" s="9">
        <f t="shared" si="123"/>
        <v>1</v>
      </c>
      <c r="KL130" s="16">
        <f t="shared" si="151"/>
        <v>0</v>
      </c>
      <c r="KM130" s="16">
        <f t="shared" si="151"/>
        <v>0</v>
      </c>
      <c r="KN130" s="16">
        <f t="shared" si="151"/>
        <v>0</v>
      </c>
      <c r="KO130" s="16">
        <f t="shared" si="151"/>
        <v>0</v>
      </c>
      <c r="KP130" s="16">
        <f t="shared" si="151"/>
        <v>0</v>
      </c>
      <c r="KQ130" s="16">
        <f t="shared" si="151"/>
        <v>0</v>
      </c>
      <c r="KR130" s="16">
        <f t="shared" si="151"/>
        <v>0</v>
      </c>
      <c r="KS130" s="16">
        <f t="shared" si="151"/>
        <v>0</v>
      </c>
      <c r="KT130" s="16">
        <f t="shared" si="151"/>
        <v>0</v>
      </c>
      <c r="KU130" s="16">
        <f t="shared" si="151"/>
        <v>0</v>
      </c>
      <c r="KV130" s="16">
        <f t="shared" si="152"/>
        <v>0</v>
      </c>
      <c r="KW130" s="16">
        <f t="shared" si="152"/>
        <v>0</v>
      </c>
      <c r="KX130" s="16">
        <f t="shared" si="152"/>
        <v>0</v>
      </c>
      <c r="KY130" s="16">
        <f t="shared" si="152"/>
        <v>0</v>
      </c>
      <c r="KZ130" s="16">
        <f t="shared" si="152"/>
        <v>0</v>
      </c>
      <c r="LA130" s="16">
        <f t="shared" si="152"/>
        <v>0</v>
      </c>
      <c r="LB130" s="16">
        <f t="shared" si="152"/>
        <v>0</v>
      </c>
      <c r="LC130" s="16">
        <f t="shared" si="152"/>
        <v>0</v>
      </c>
      <c r="LD130" s="16">
        <f t="shared" si="152"/>
        <v>-1.5850960829293621E-2</v>
      </c>
      <c r="LE130" s="16">
        <f t="shared" si="152"/>
        <v>1.0311996170666788</v>
      </c>
      <c r="LF130" s="16">
        <f t="shared" si="152"/>
        <v>-1.4602661061385172E-2</v>
      </c>
      <c r="LI130" s="9">
        <f t="shared" si="124"/>
        <v>1</v>
      </c>
      <c r="LJ130" s="16">
        <f t="shared" si="153"/>
        <v>0</v>
      </c>
      <c r="LK130" s="16">
        <f t="shared" si="153"/>
        <v>0</v>
      </c>
      <c r="LL130" s="16">
        <f t="shared" si="153"/>
        <v>0</v>
      </c>
      <c r="LM130" s="16">
        <f t="shared" si="153"/>
        <v>0</v>
      </c>
      <c r="LN130" s="16">
        <f t="shared" si="153"/>
        <v>0</v>
      </c>
      <c r="LO130" s="16">
        <f t="shared" si="153"/>
        <v>0</v>
      </c>
      <c r="LP130" s="16">
        <f t="shared" si="153"/>
        <v>0</v>
      </c>
      <c r="LQ130" s="16">
        <f t="shared" si="153"/>
        <v>0</v>
      </c>
      <c r="LR130" s="16">
        <f t="shared" si="153"/>
        <v>0</v>
      </c>
      <c r="LS130" s="16">
        <f t="shared" si="153"/>
        <v>0</v>
      </c>
      <c r="LT130" s="16">
        <f t="shared" si="154"/>
        <v>0</v>
      </c>
      <c r="LU130" s="16">
        <f t="shared" si="154"/>
        <v>0</v>
      </c>
      <c r="LV130" s="16">
        <f t="shared" si="154"/>
        <v>0</v>
      </c>
      <c r="LW130" s="16">
        <f t="shared" si="154"/>
        <v>0</v>
      </c>
      <c r="LX130" s="16">
        <f t="shared" si="154"/>
        <v>0</v>
      </c>
      <c r="LY130" s="16">
        <f t="shared" si="154"/>
        <v>0</v>
      </c>
      <c r="LZ130" s="16">
        <f t="shared" si="154"/>
        <v>0</v>
      </c>
      <c r="MA130" s="16">
        <f t="shared" si="154"/>
        <v>0</v>
      </c>
      <c r="MB130" s="16">
        <f t="shared" si="154"/>
        <v>-0.12504488150967813</v>
      </c>
      <c r="MC130" s="16">
        <f t="shared" si="154"/>
        <v>1.2461271882042775</v>
      </c>
      <c r="MD130" s="16">
        <f t="shared" si="154"/>
        <v>-0.11519730834059934</v>
      </c>
      <c r="MG130" s="9">
        <f t="shared" si="125"/>
        <v>1</v>
      </c>
      <c r="MH130" s="16">
        <f t="shared" si="155"/>
        <v>0</v>
      </c>
      <c r="MI130" s="16">
        <f t="shared" si="155"/>
        <v>0</v>
      </c>
      <c r="MJ130" s="16">
        <f t="shared" si="155"/>
        <v>0</v>
      </c>
      <c r="MK130" s="16">
        <f t="shared" si="155"/>
        <v>0</v>
      </c>
      <c r="ML130" s="16">
        <f t="shared" si="155"/>
        <v>0</v>
      </c>
      <c r="MM130" s="16">
        <f t="shared" si="155"/>
        <v>0</v>
      </c>
      <c r="MN130" s="16">
        <f t="shared" si="155"/>
        <v>0</v>
      </c>
      <c r="MO130" s="16">
        <f t="shared" si="155"/>
        <v>0</v>
      </c>
      <c r="MP130" s="16">
        <f t="shared" si="155"/>
        <v>0</v>
      </c>
      <c r="MQ130" s="16">
        <f t="shared" si="155"/>
        <v>0</v>
      </c>
      <c r="MR130" s="16">
        <f t="shared" si="156"/>
        <v>0</v>
      </c>
      <c r="MS130" s="16">
        <f t="shared" si="156"/>
        <v>0</v>
      </c>
      <c r="MT130" s="16">
        <f t="shared" si="156"/>
        <v>0</v>
      </c>
      <c r="MU130" s="16">
        <f t="shared" si="156"/>
        <v>0</v>
      </c>
      <c r="MV130" s="16">
        <f t="shared" si="156"/>
        <v>0</v>
      </c>
      <c r="MW130" s="16">
        <f t="shared" si="156"/>
        <v>0</v>
      </c>
      <c r="MX130" s="16">
        <f t="shared" si="156"/>
        <v>0</v>
      </c>
      <c r="MY130" s="16">
        <f t="shared" si="156"/>
        <v>0</v>
      </c>
      <c r="MZ130" s="16">
        <f t="shared" si="156"/>
        <v>-1.7416628914090477E-2</v>
      </c>
      <c r="NA130" s="16">
        <f t="shared" si="156"/>
        <v>1.0342813384351972</v>
      </c>
      <c r="NB130" s="16">
        <f t="shared" si="156"/>
        <v>-1.6045029169106717E-2</v>
      </c>
      <c r="NE130" s="9">
        <f t="shared" si="126"/>
        <v>1</v>
      </c>
      <c r="NF130" s="16">
        <f t="shared" si="157"/>
        <v>0</v>
      </c>
      <c r="NG130" s="16">
        <f t="shared" si="157"/>
        <v>0</v>
      </c>
      <c r="NH130" s="16">
        <f t="shared" si="157"/>
        <v>0</v>
      </c>
      <c r="NI130" s="16">
        <f t="shared" si="157"/>
        <v>0</v>
      </c>
      <c r="NJ130" s="16">
        <f t="shared" si="157"/>
        <v>0</v>
      </c>
      <c r="NK130" s="16">
        <f t="shared" si="157"/>
        <v>0</v>
      </c>
      <c r="NL130" s="16">
        <f t="shared" si="157"/>
        <v>0</v>
      </c>
      <c r="NM130" s="16">
        <f t="shared" si="157"/>
        <v>0</v>
      </c>
      <c r="NN130" s="16">
        <f t="shared" si="157"/>
        <v>0</v>
      </c>
      <c r="NO130" s="16">
        <f t="shared" si="157"/>
        <v>0</v>
      </c>
      <c r="NP130" s="16">
        <f t="shared" si="158"/>
        <v>0</v>
      </c>
      <c r="NQ130" s="16">
        <f t="shared" si="158"/>
        <v>0</v>
      </c>
      <c r="NR130" s="16">
        <f t="shared" si="158"/>
        <v>0</v>
      </c>
      <c r="NS130" s="16">
        <f t="shared" si="158"/>
        <v>0</v>
      </c>
      <c r="NT130" s="16">
        <f t="shared" si="158"/>
        <v>0</v>
      </c>
      <c r="NU130" s="16">
        <f t="shared" si="158"/>
        <v>0</v>
      </c>
      <c r="NV130" s="16">
        <f t="shared" si="158"/>
        <v>0</v>
      </c>
      <c r="NW130" s="16">
        <f t="shared" si="158"/>
        <v>0</v>
      </c>
      <c r="NX130" s="16">
        <f t="shared" si="158"/>
        <v>-0.12504488150967813</v>
      </c>
      <c r="NY130" s="16">
        <f t="shared" si="158"/>
        <v>1.2461271882042775</v>
      </c>
      <c r="NZ130" s="16">
        <f t="shared" si="158"/>
        <v>-0.11519730834059934</v>
      </c>
      <c r="OC130" s="9">
        <f t="shared" si="127"/>
        <v>1</v>
      </c>
      <c r="OD130" s="16">
        <f t="shared" si="159"/>
        <v>0</v>
      </c>
      <c r="OE130" s="16">
        <f t="shared" si="159"/>
        <v>0</v>
      </c>
      <c r="OF130" s="16">
        <f t="shared" si="159"/>
        <v>0</v>
      </c>
      <c r="OG130" s="16">
        <f t="shared" si="159"/>
        <v>0</v>
      </c>
      <c r="OH130" s="16">
        <f t="shared" si="159"/>
        <v>0</v>
      </c>
      <c r="OI130" s="16">
        <f t="shared" si="159"/>
        <v>0</v>
      </c>
      <c r="OJ130" s="16">
        <f t="shared" si="159"/>
        <v>0</v>
      </c>
      <c r="OK130" s="16">
        <f t="shared" si="159"/>
        <v>0</v>
      </c>
      <c r="OL130" s="16">
        <f t="shared" si="159"/>
        <v>0</v>
      </c>
      <c r="OM130" s="16">
        <f t="shared" si="159"/>
        <v>0</v>
      </c>
      <c r="ON130" s="16">
        <f t="shared" si="160"/>
        <v>0</v>
      </c>
      <c r="OO130" s="16">
        <f t="shared" si="160"/>
        <v>0</v>
      </c>
      <c r="OP130" s="16">
        <f t="shared" si="160"/>
        <v>0</v>
      </c>
      <c r="OQ130" s="16">
        <f t="shared" si="160"/>
        <v>0</v>
      </c>
      <c r="OR130" s="16">
        <f t="shared" si="160"/>
        <v>0</v>
      </c>
      <c r="OS130" s="16">
        <f t="shared" si="160"/>
        <v>0</v>
      </c>
      <c r="OT130" s="16">
        <f t="shared" si="160"/>
        <v>0</v>
      </c>
      <c r="OU130" s="16">
        <f t="shared" si="160"/>
        <v>0</v>
      </c>
      <c r="OV130" s="16">
        <f t="shared" si="160"/>
        <v>-1.8981725587177527E-2</v>
      </c>
      <c r="OW130" s="16">
        <f t="shared" si="160"/>
        <v>1.0373619350878875</v>
      </c>
      <c r="OX130" s="16">
        <f t="shared" si="160"/>
        <v>-1.7486870865110089E-2</v>
      </c>
      <c r="PA130" s="9">
        <f t="shared" si="128"/>
        <v>1</v>
      </c>
      <c r="PB130" s="16">
        <f t="shared" si="161"/>
        <v>0</v>
      </c>
      <c r="PC130" s="16">
        <f t="shared" si="161"/>
        <v>0</v>
      </c>
      <c r="PD130" s="16">
        <f t="shared" si="161"/>
        <v>0</v>
      </c>
      <c r="PE130" s="16">
        <f t="shared" si="161"/>
        <v>0</v>
      </c>
      <c r="PF130" s="16">
        <f t="shared" si="161"/>
        <v>0</v>
      </c>
      <c r="PG130" s="16">
        <f t="shared" si="161"/>
        <v>0</v>
      </c>
      <c r="PH130" s="16">
        <f t="shared" si="161"/>
        <v>0</v>
      </c>
      <c r="PI130" s="16">
        <f t="shared" si="161"/>
        <v>0</v>
      </c>
      <c r="PJ130" s="16">
        <f t="shared" si="161"/>
        <v>0</v>
      </c>
      <c r="PK130" s="16">
        <f t="shared" si="161"/>
        <v>0</v>
      </c>
      <c r="PL130" s="16">
        <f t="shared" si="162"/>
        <v>0</v>
      </c>
      <c r="PM130" s="16">
        <f t="shared" si="162"/>
        <v>0</v>
      </c>
      <c r="PN130" s="16">
        <f t="shared" si="162"/>
        <v>0</v>
      </c>
      <c r="PO130" s="16">
        <f t="shared" si="162"/>
        <v>0</v>
      </c>
      <c r="PP130" s="16">
        <f t="shared" si="162"/>
        <v>0</v>
      </c>
      <c r="PQ130" s="16">
        <f t="shared" si="162"/>
        <v>0</v>
      </c>
      <c r="PR130" s="16">
        <f t="shared" si="162"/>
        <v>0</v>
      </c>
      <c r="PS130" s="16">
        <f t="shared" si="162"/>
        <v>0</v>
      </c>
      <c r="PT130" s="16">
        <f t="shared" si="162"/>
        <v>-0.12503973880429009</v>
      </c>
      <c r="PU130" s="16">
        <f t="shared" si="162"/>
        <v>1.2461170657618261</v>
      </c>
      <c r="PV130" s="16">
        <f t="shared" si="162"/>
        <v>-0.11519257063513602</v>
      </c>
    </row>
    <row r="131" spans="2:438" x14ac:dyDescent="0.25">
      <c r="B131" s="12"/>
      <c r="C131" s="1"/>
      <c r="D131" s="1"/>
      <c r="F131" s="1"/>
      <c r="H131" s="1"/>
      <c r="I131" s="9">
        <f t="shared" si="111"/>
        <v>0</v>
      </c>
      <c r="J131" s="16">
        <f t="shared" si="110"/>
        <v>0</v>
      </c>
      <c r="K131" s="16">
        <f t="shared" si="110"/>
        <v>0</v>
      </c>
      <c r="L131" s="16">
        <f t="shared" si="110"/>
        <v>0</v>
      </c>
      <c r="M131" s="16">
        <f t="shared" si="110"/>
        <v>0</v>
      </c>
      <c r="N131" s="16">
        <f t="shared" si="110"/>
        <v>0</v>
      </c>
      <c r="O131" s="16">
        <f t="shared" si="110"/>
        <v>0</v>
      </c>
      <c r="P131" s="16">
        <f t="shared" si="110"/>
        <v>0</v>
      </c>
      <c r="Q131" s="16">
        <f t="shared" si="110"/>
        <v>0</v>
      </c>
      <c r="R131" s="16">
        <f t="shared" si="110"/>
        <v>0</v>
      </c>
      <c r="S131" s="16">
        <f t="shared" si="110"/>
        <v>0</v>
      </c>
      <c r="T131" s="16">
        <f t="shared" si="110"/>
        <v>0</v>
      </c>
      <c r="U131" s="16">
        <f t="shared" si="110"/>
        <v>0</v>
      </c>
      <c r="V131" s="16">
        <f t="shared" si="110"/>
        <v>0</v>
      </c>
      <c r="W131" s="16">
        <f t="shared" si="110"/>
        <v>0</v>
      </c>
      <c r="X131" s="16">
        <f t="shared" si="110"/>
        <v>0</v>
      </c>
      <c r="Y131" s="16">
        <f t="shared" si="110"/>
        <v>0</v>
      </c>
      <c r="Z131" s="16">
        <f t="shared" si="163"/>
        <v>0</v>
      </c>
      <c r="AA131" s="16">
        <f t="shared" si="163"/>
        <v>0</v>
      </c>
      <c r="AB131" s="16">
        <f t="shared" si="163"/>
        <v>0</v>
      </c>
      <c r="AC131" s="16">
        <f t="shared" si="163"/>
        <v>-9.5849999999999549E-4</v>
      </c>
      <c r="AD131" s="16">
        <f t="shared" si="163"/>
        <v>1.0015313082265</v>
      </c>
      <c r="AE131" s="1"/>
      <c r="AF131" s="1"/>
      <c r="AG131" s="9">
        <f t="shared" si="112"/>
        <v>0</v>
      </c>
      <c r="AH131" s="16">
        <f t="shared" si="129"/>
        <v>0</v>
      </c>
      <c r="AI131" s="16">
        <f t="shared" si="129"/>
        <v>0</v>
      </c>
      <c r="AJ131" s="16">
        <f t="shared" si="129"/>
        <v>0</v>
      </c>
      <c r="AK131" s="16">
        <f t="shared" si="129"/>
        <v>0</v>
      </c>
      <c r="AL131" s="16">
        <f t="shared" si="129"/>
        <v>0</v>
      </c>
      <c r="AM131" s="16">
        <f t="shared" si="129"/>
        <v>0</v>
      </c>
      <c r="AN131" s="16">
        <f t="shared" si="129"/>
        <v>0</v>
      </c>
      <c r="AO131" s="16">
        <f t="shared" si="129"/>
        <v>0</v>
      </c>
      <c r="AP131" s="16">
        <f t="shared" si="129"/>
        <v>0</v>
      </c>
      <c r="AQ131" s="16">
        <f t="shared" si="129"/>
        <v>0</v>
      </c>
      <c r="AR131" s="16">
        <f t="shared" si="130"/>
        <v>0</v>
      </c>
      <c r="AS131" s="16">
        <f t="shared" si="130"/>
        <v>0</v>
      </c>
      <c r="AT131" s="16">
        <f t="shared" si="130"/>
        <v>0</v>
      </c>
      <c r="AU131" s="16">
        <f t="shared" si="130"/>
        <v>0</v>
      </c>
      <c r="AV131" s="16">
        <f t="shared" si="130"/>
        <v>0</v>
      </c>
      <c r="AW131" s="16">
        <f t="shared" si="130"/>
        <v>0</v>
      </c>
      <c r="AX131" s="16">
        <f t="shared" si="130"/>
        <v>0</v>
      </c>
      <c r="AY131" s="16">
        <f t="shared" si="130"/>
        <v>0</v>
      </c>
      <c r="AZ131" s="16">
        <f t="shared" si="130"/>
        <v>0</v>
      </c>
      <c r="BA131" s="16">
        <f t="shared" si="130"/>
        <v>-7.6720000000000121E-3</v>
      </c>
      <c r="BB131" s="16">
        <f t="shared" si="130"/>
        <v>1.0122568562480001</v>
      </c>
      <c r="BE131" s="9">
        <f t="shared" si="113"/>
        <v>0</v>
      </c>
      <c r="BF131" s="16">
        <f t="shared" si="131"/>
        <v>0</v>
      </c>
      <c r="BG131" s="16">
        <f t="shared" si="131"/>
        <v>0</v>
      </c>
      <c r="BH131" s="16">
        <f t="shared" si="131"/>
        <v>0</v>
      </c>
      <c r="BI131" s="16">
        <f t="shared" si="131"/>
        <v>0</v>
      </c>
      <c r="BJ131" s="16">
        <f t="shared" si="131"/>
        <v>0</v>
      </c>
      <c r="BK131" s="16">
        <f t="shared" si="131"/>
        <v>0</v>
      </c>
      <c r="BL131" s="16">
        <f t="shared" si="131"/>
        <v>0</v>
      </c>
      <c r="BM131" s="16">
        <f t="shared" si="131"/>
        <v>0</v>
      </c>
      <c r="BN131" s="16">
        <f t="shared" si="131"/>
        <v>0</v>
      </c>
      <c r="BO131" s="16">
        <f t="shared" si="131"/>
        <v>0</v>
      </c>
      <c r="BP131" s="16">
        <f t="shared" si="132"/>
        <v>0</v>
      </c>
      <c r="BQ131" s="16">
        <f t="shared" si="132"/>
        <v>0</v>
      </c>
      <c r="BR131" s="16">
        <f t="shared" si="132"/>
        <v>0</v>
      </c>
      <c r="BS131" s="16">
        <f t="shared" si="132"/>
        <v>0</v>
      </c>
      <c r="BT131" s="16">
        <f t="shared" si="132"/>
        <v>0</v>
      </c>
      <c r="BU131" s="16">
        <f t="shared" si="132"/>
        <v>0</v>
      </c>
      <c r="BV131" s="16">
        <f t="shared" si="132"/>
        <v>0</v>
      </c>
      <c r="BW131" s="16">
        <f t="shared" si="132"/>
        <v>0</v>
      </c>
      <c r="BX131" s="16">
        <f t="shared" si="132"/>
        <v>0</v>
      </c>
      <c r="BY131" s="16">
        <f t="shared" si="132"/>
        <v>-7.6710000000000059E-3</v>
      </c>
      <c r="BZ131" s="16">
        <f t="shared" si="132"/>
        <v>1.0122552586389999</v>
      </c>
      <c r="CC131" s="9">
        <f t="shared" si="114"/>
        <v>0</v>
      </c>
      <c r="CD131" s="16">
        <f t="shared" si="133"/>
        <v>0</v>
      </c>
      <c r="CE131" s="16">
        <f t="shared" si="133"/>
        <v>0</v>
      </c>
      <c r="CF131" s="16">
        <f t="shared" si="133"/>
        <v>0</v>
      </c>
      <c r="CG131" s="16">
        <f t="shared" si="133"/>
        <v>0</v>
      </c>
      <c r="CH131" s="16">
        <f t="shared" si="133"/>
        <v>0</v>
      </c>
      <c r="CI131" s="16">
        <f t="shared" si="133"/>
        <v>0</v>
      </c>
      <c r="CJ131" s="16">
        <f t="shared" si="133"/>
        <v>0</v>
      </c>
      <c r="CK131" s="16">
        <f t="shared" si="133"/>
        <v>0</v>
      </c>
      <c r="CL131" s="16">
        <f t="shared" si="133"/>
        <v>0</v>
      </c>
      <c r="CM131" s="16">
        <f t="shared" si="133"/>
        <v>0</v>
      </c>
      <c r="CN131" s="16">
        <f t="shared" si="134"/>
        <v>0</v>
      </c>
      <c r="CO131" s="16">
        <f t="shared" si="134"/>
        <v>0</v>
      </c>
      <c r="CP131" s="16">
        <f t="shared" si="134"/>
        <v>0</v>
      </c>
      <c r="CQ131" s="16">
        <f t="shared" si="134"/>
        <v>0</v>
      </c>
      <c r="CR131" s="16">
        <f t="shared" si="134"/>
        <v>0</v>
      </c>
      <c r="CS131" s="16">
        <f t="shared" si="134"/>
        <v>0</v>
      </c>
      <c r="CT131" s="16">
        <f t="shared" si="134"/>
        <v>0</v>
      </c>
      <c r="CU131" s="16">
        <f t="shared" si="134"/>
        <v>0</v>
      </c>
      <c r="CV131" s="16">
        <f t="shared" si="134"/>
        <v>0</v>
      </c>
      <c r="CW131" s="16">
        <f t="shared" si="134"/>
        <v>-7.6709999999999834E-3</v>
      </c>
      <c r="CX131" s="16">
        <f t="shared" si="134"/>
        <v>1.0122552586389999</v>
      </c>
      <c r="DA131" s="9">
        <f t="shared" si="115"/>
        <v>0</v>
      </c>
      <c r="DB131" s="16">
        <f t="shared" si="135"/>
        <v>0</v>
      </c>
      <c r="DC131" s="16">
        <f t="shared" si="135"/>
        <v>0</v>
      </c>
      <c r="DD131" s="16">
        <f t="shared" si="135"/>
        <v>0</v>
      </c>
      <c r="DE131" s="16">
        <f t="shared" si="135"/>
        <v>0</v>
      </c>
      <c r="DF131" s="16">
        <f t="shared" si="135"/>
        <v>0</v>
      </c>
      <c r="DG131" s="16">
        <f t="shared" si="135"/>
        <v>0</v>
      </c>
      <c r="DH131" s="16">
        <f t="shared" si="135"/>
        <v>0</v>
      </c>
      <c r="DI131" s="16">
        <f t="shared" si="135"/>
        <v>0</v>
      </c>
      <c r="DJ131" s="16">
        <f t="shared" si="135"/>
        <v>0</v>
      </c>
      <c r="DK131" s="16">
        <f t="shared" si="135"/>
        <v>0</v>
      </c>
      <c r="DL131" s="16">
        <f t="shared" si="136"/>
        <v>0</v>
      </c>
      <c r="DM131" s="16">
        <f t="shared" si="136"/>
        <v>0</v>
      </c>
      <c r="DN131" s="16">
        <f t="shared" si="136"/>
        <v>0</v>
      </c>
      <c r="DO131" s="16">
        <f t="shared" si="136"/>
        <v>0</v>
      </c>
      <c r="DP131" s="16">
        <f t="shared" si="136"/>
        <v>0</v>
      </c>
      <c r="DQ131" s="16">
        <f t="shared" si="136"/>
        <v>0</v>
      </c>
      <c r="DR131" s="16">
        <f t="shared" si="136"/>
        <v>0</v>
      </c>
      <c r="DS131" s="16">
        <f t="shared" si="136"/>
        <v>0</v>
      </c>
      <c r="DT131" s="16">
        <f t="shared" si="136"/>
        <v>0</v>
      </c>
      <c r="DU131" s="16">
        <f t="shared" si="136"/>
        <v>-9.5900000000000987E-4</v>
      </c>
      <c r="DV131" s="16">
        <f t="shared" si="136"/>
        <v>1.0015321070309999</v>
      </c>
      <c r="DY131" s="9">
        <f t="shared" si="116"/>
        <v>0</v>
      </c>
      <c r="DZ131" s="16">
        <f t="shared" si="137"/>
        <v>0</v>
      </c>
      <c r="EA131" s="16">
        <f t="shared" si="137"/>
        <v>0</v>
      </c>
      <c r="EB131" s="16">
        <f t="shared" si="137"/>
        <v>0</v>
      </c>
      <c r="EC131" s="16">
        <f t="shared" si="137"/>
        <v>0</v>
      </c>
      <c r="ED131" s="16">
        <f t="shared" si="137"/>
        <v>0</v>
      </c>
      <c r="EE131" s="16">
        <f t="shared" si="137"/>
        <v>0</v>
      </c>
      <c r="EF131" s="16">
        <f t="shared" si="137"/>
        <v>0</v>
      </c>
      <c r="EG131" s="16">
        <f t="shared" si="137"/>
        <v>0</v>
      </c>
      <c r="EH131" s="16">
        <f t="shared" si="137"/>
        <v>0</v>
      </c>
      <c r="EI131" s="16">
        <f t="shared" si="137"/>
        <v>0</v>
      </c>
      <c r="EJ131" s="16">
        <f t="shared" si="138"/>
        <v>0</v>
      </c>
      <c r="EK131" s="16">
        <f t="shared" si="138"/>
        <v>0</v>
      </c>
      <c r="EL131" s="16">
        <f t="shared" si="138"/>
        <v>0</v>
      </c>
      <c r="EM131" s="16">
        <f t="shared" si="138"/>
        <v>0</v>
      </c>
      <c r="EN131" s="16">
        <f t="shared" si="138"/>
        <v>0</v>
      </c>
      <c r="EO131" s="16">
        <f t="shared" si="138"/>
        <v>0</v>
      </c>
      <c r="EP131" s="16">
        <f t="shared" si="138"/>
        <v>0</v>
      </c>
      <c r="EQ131" s="16">
        <f t="shared" si="138"/>
        <v>0</v>
      </c>
      <c r="ER131" s="16">
        <f t="shared" si="138"/>
        <v>0</v>
      </c>
      <c r="ES131" s="16">
        <f t="shared" si="138"/>
        <v>-7.6709999999999834E-3</v>
      </c>
      <c r="ET131" s="16">
        <f t="shared" si="138"/>
        <v>1.0122552586389999</v>
      </c>
      <c r="EW131" s="9">
        <f t="shared" si="117"/>
        <v>0</v>
      </c>
      <c r="EX131" s="16">
        <f t="shared" si="139"/>
        <v>0</v>
      </c>
      <c r="EY131" s="16">
        <f t="shared" si="139"/>
        <v>0</v>
      </c>
      <c r="EZ131" s="16">
        <f t="shared" si="139"/>
        <v>0</v>
      </c>
      <c r="FA131" s="16">
        <f t="shared" si="139"/>
        <v>0</v>
      </c>
      <c r="FB131" s="16">
        <f t="shared" si="139"/>
        <v>0</v>
      </c>
      <c r="FC131" s="16">
        <f t="shared" si="139"/>
        <v>0</v>
      </c>
      <c r="FD131" s="16">
        <f t="shared" si="139"/>
        <v>0</v>
      </c>
      <c r="FE131" s="16">
        <f t="shared" si="139"/>
        <v>0</v>
      </c>
      <c r="FF131" s="16">
        <f t="shared" si="139"/>
        <v>0</v>
      </c>
      <c r="FG131" s="16">
        <f t="shared" si="139"/>
        <v>0</v>
      </c>
      <c r="FH131" s="16">
        <f t="shared" si="140"/>
        <v>0</v>
      </c>
      <c r="FI131" s="16">
        <f t="shared" si="140"/>
        <v>0</v>
      </c>
      <c r="FJ131" s="16">
        <f t="shared" si="140"/>
        <v>0</v>
      </c>
      <c r="FK131" s="16">
        <f t="shared" si="140"/>
        <v>0</v>
      </c>
      <c r="FL131" s="16">
        <f t="shared" si="140"/>
        <v>0</v>
      </c>
      <c r="FM131" s="16">
        <f t="shared" si="140"/>
        <v>0</v>
      </c>
      <c r="FN131" s="16">
        <f t="shared" si="140"/>
        <v>0</v>
      </c>
      <c r="FO131" s="16">
        <f t="shared" si="140"/>
        <v>0</v>
      </c>
      <c r="FP131" s="16">
        <f t="shared" si="140"/>
        <v>0</v>
      </c>
      <c r="FQ131" s="16">
        <f t="shared" si="140"/>
        <v>-7.6710000000000059E-3</v>
      </c>
      <c r="FR131" s="16">
        <f t="shared" si="140"/>
        <v>1.0122552586389999</v>
      </c>
      <c r="FU131" s="9">
        <f t="shared" si="118"/>
        <v>0</v>
      </c>
      <c r="FV131" s="16">
        <f t="shared" si="141"/>
        <v>0</v>
      </c>
      <c r="FW131" s="16">
        <f t="shared" si="141"/>
        <v>0</v>
      </c>
      <c r="FX131" s="16">
        <f t="shared" si="141"/>
        <v>0</v>
      </c>
      <c r="FY131" s="16">
        <f t="shared" si="141"/>
        <v>0</v>
      </c>
      <c r="FZ131" s="16">
        <f t="shared" si="141"/>
        <v>0</v>
      </c>
      <c r="GA131" s="16">
        <f t="shared" si="141"/>
        <v>0</v>
      </c>
      <c r="GB131" s="16">
        <f t="shared" si="141"/>
        <v>0</v>
      </c>
      <c r="GC131" s="16">
        <f t="shared" si="141"/>
        <v>0</v>
      </c>
      <c r="GD131" s="16">
        <f t="shared" si="141"/>
        <v>0</v>
      </c>
      <c r="GE131" s="16">
        <f t="shared" si="141"/>
        <v>0</v>
      </c>
      <c r="GF131" s="16">
        <f t="shared" si="142"/>
        <v>0</v>
      </c>
      <c r="GG131" s="16">
        <f t="shared" si="142"/>
        <v>0</v>
      </c>
      <c r="GH131" s="16">
        <f t="shared" si="142"/>
        <v>0</v>
      </c>
      <c r="GI131" s="16">
        <f t="shared" si="142"/>
        <v>0</v>
      </c>
      <c r="GJ131" s="16">
        <f t="shared" si="142"/>
        <v>0</v>
      </c>
      <c r="GK131" s="16">
        <f t="shared" si="142"/>
        <v>0</v>
      </c>
      <c r="GL131" s="16">
        <f t="shared" si="142"/>
        <v>0</v>
      </c>
      <c r="GM131" s="16">
        <f t="shared" si="142"/>
        <v>0</v>
      </c>
      <c r="GN131" s="16">
        <f t="shared" si="142"/>
        <v>0</v>
      </c>
      <c r="GO131" s="16">
        <f t="shared" si="142"/>
        <v>-7.6719999999999905E-3</v>
      </c>
      <c r="GP131" s="16">
        <f t="shared" si="142"/>
        <v>1.0122568562479999</v>
      </c>
      <c r="GS131" s="9">
        <f t="shared" si="119"/>
        <v>0</v>
      </c>
      <c r="GT131" s="16">
        <f t="shared" si="143"/>
        <v>0</v>
      </c>
      <c r="GU131" s="16">
        <f t="shared" si="143"/>
        <v>0</v>
      </c>
      <c r="GV131" s="16">
        <f t="shared" si="143"/>
        <v>0</v>
      </c>
      <c r="GW131" s="16">
        <f t="shared" si="143"/>
        <v>0</v>
      </c>
      <c r="GX131" s="16">
        <f t="shared" si="143"/>
        <v>0</v>
      </c>
      <c r="GY131" s="16">
        <f t="shared" si="143"/>
        <v>0</v>
      </c>
      <c r="GZ131" s="16">
        <f t="shared" si="143"/>
        <v>0</v>
      </c>
      <c r="HA131" s="16">
        <f t="shared" si="143"/>
        <v>0</v>
      </c>
      <c r="HB131" s="16">
        <f t="shared" si="143"/>
        <v>0</v>
      </c>
      <c r="HC131" s="16">
        <f t="shared" si="143"/>
        <v>0</v>
      </c>
      <c r="HD131" s="16">
        <f t="shared" si="144"/>
        <v>0</v>
      </c>
      <c r="HE131" s="16">
        <f t="shared" si="144"/>
        <v>0</v>
      </c>
      <c r="HF131" s="16">
        <f t="shared" si="144"/>
        <v>0</v>
      </c>
      <c r="HG131" s="16">
        <f t="shared" si="144"/>
        <v>0</v>
      </c>
      <c r="HH131" s="16">
        <f t="shared" si="144"/>
        <v>0</v>
      </c>
      <c r="HI131" s="16">
        <f t="shared" si="144"/>
        <v>0</v>
      </c>
      <c r="HJ131" s="16">
        <f t="shared" si="144"/>
        <v>0</v>
      </c>
      <c r="HK131" s="16">
        <f t="shared" si="144"/>
        <v>0</v>
      </c>
      <c r="HL131" s="16">
        <f t="shared" si="144"/>
        <v>0</v>
      </c>
      <c r="HM131" s="16">
        <f t="shared" si="144"/>
        <v>-1.6605000000000092E-3</v>
      </c>
      <c r="HN131" s="16">
        <f t="shared" si="144"/>
        <v>1.0026528297445001</v>
      </c>
      <c r="HQ131" s="9">
        <f t="shared" si="120"/>
        <v>0</v>
      </c>
      <c r="HR131" s="16">
        <f t="shared" si="145"/>
        <v>0</v>
      </c>
      <c r="HS131" s="16">
        <f t="shared" si="145"/>
        <v>0</v>
      </c>
      <c r="HT131" s="16">
        <f t="shared" si="145"/>
        <v>0</v>
      </c>
      <c r="HU131" s="16">
        <f t="shared" si="145"/>
        <v>0</v>
      </c>
      <c r="HV131" s="16">
        <f t="shared" si="145"/>
        <v>0</v>
      </c>
      <c r="HW131" s="16">
        <f t="shared" si="145"/>
        <v>0</v>
      </c>
      <c r="HX131" s="16">
        <f t="shared" si="145"/>
        <v>0</v>
      </c>
      <c r="HY131" s="16">
        <f t="shared" si="145"/>
        <v>0</v>
      </c>
      <c r="HZ131" s="16">
        <f t="shared" si="145"/>
        <v>0</v>
      </c>
      <c r="IA131" s="16">
        <f t="shared" si="145"/>
        <v>0</v>
      </c>
      <c r="IB131" s="16">
        <f t="shared" si="146"/>
        <v>0</v>
      </c>
      <c r="IC131" s="16">
        <f t="shared" si="146"/>
        <v>0</v>
      </c>
      <c r="ID131" s="16">
        <f t="shared" si="146"/>
        <v>0</v>
      </c>
      <c r="IE131" s="16">
        <f t="shared" si="146"/>
        <v>0</v>
      </c>
      <c r="IF131" s="16">
        <f t="shared" si="146"/>
        <v>0</v>
      </c>
      <c r="IG131" s="16">
        <f t="shared" si="146"/>
        <v>0</v>
      </c>
      <c r="IH131" s="16">
        <f t="shared" si="146"/>
        <v>0</v>
      </c>
      <c r="II131" s="16">
        <f t="shared" si="146"/>
        <v>0</v>
      </c>
      <c r="IJ131" s="16">
        <f t="shared" si="146"/>
        <v>0</v>
      </c>
      <c r="IK131" s="16">
        <f t="shared" si="146"/>
        <v>-1.0941999999999997E-2</v>
      </c>
      <c r="IL131" s="16">
        <f t="shared" si="146"/>
        <v>1.0174810376779999</v>
      </c>
      <c r="IO131" s="9">
        <f t="shared" si="121"/>
        <v>0</v>
      </c>
      <c r="IP131" s="16">
        <f t="shared" si="147"/>
        <v>0</v>
      </c>
      <c r="IQ131" s="16">
        <f t="shared" si="147"/>
        <v>0</v>
      </c>
      <c r="IR131" s="16">
        <f t="shared" si="147"/>
        <v>0</v>
      </c>
      <c r="IS131" s="16">
        <f t="shared" si="147"/>
        <v>0</v>
      </c>
      <c r="IT131" s="16">
        <f t="shared" si="147"/>
        <v>0</v>
      </c>
      <c r="IU131" s="16">
        <f t="shared" si="147"/>
        <v>0</v>
      </c>
      <c r="IV131" s="16">
        <f t="shared" si="147"/>
        <v>0</v>
      </c>
      <c r="IW131" s="16">
        <f t="shared" si="147"/>
        <v>0</v>
      </c>
      <c r="IX131" s="16">
        <f t="shared" si="147"/>
        <v>0</v>
      </c>
      <c r="IY131" s="16">
        <f t="shared" si="147"/>
        <v>0</v>
      </c>
      <c r="IZ131" s="16">
        <f t="shared" si="148"/>
        <v>0</v>
      </c>
      <c r="JA131" s="16">
        <f t="shared" si="148"/>
        <v>0</v>
      </c>
      <c r="JB131" s="16">
        <f t="shared" si="148"/>
        <v>0</v>
      </c>
      <c r="JC131" s="16">
        <f t="shared" si="148"/>
        <v>0</v>
      </c>
      <c r="JD131" s="16">
        <f t="shared" si="148"/>
        <v>0</v>
      </c>
      <c r="JE131" s="16">
        <f t="shared" si="148"/>
        <v>0</v>
      </c>
      <c r="JF131" s="16">
        <f t="shared" si="148"/>
        <v>0</v>
      </c>
      <c r="JG131" s="16">
        <f t="shared" si="148"/>
        <v>0</v>
      </c>
      <c r="JH131" s="16">
        <f t="shared" si="148"/>
        <v>0</v>
      </c>
      <c r="JI131" s="16">
        <f t="shared" si="148"/>
        <v>-1.66095E-3</v>
      </c>
      <c r="JJ131" s="16">
        <f t="shared" si="148"/>
        <v>1.0026535486685499</v>
      </c>
      <c r="JM131" s="9">
        <f t="shared" si="122"/>
        <v>0</v>
      </c>
      <c r="JN131" s="16">
        <f t="shared" si="149"/>
        <v>0</v>
      </c>
      <c r="JO131" s="16">
        <f t="shared" si="149"/>
        <v>0</v>
      </c>
      <c r="JP131" s="16">
        <f t="shared" si="149"/>
        <v>0</v>
      </c>
      <c r="JQ131" s="16">
        <f t="shared" si="149"/>
        <v>0</v>
      </c>
      <c r="JR131" s="16">
        <f t="shared" si="149"/>
        <v>0</v>
      </c>
      <c r="JS131" s="16">
        <f t="shared" si="149"/>
        <v>0</v>
      </c>
      <c r="JT131" s="16">
        <f t="shared" si="149"/>
        <v>0</v>
      </c>
      <c r="JU131" s="16">
        <f t="shared" si="149"/>
        <v>0</v>
      </c>
      <c r="JV131" s="16">
        <f t="shared" si="149"/>
        <v>0</v>
      </c>
      <c r="JW131" s="16">
        <f t="shared" si="149"/>
        <v>0</v>
      </c>
      <c r="JX131" s="16">
        <f t="shared" si="150"/>
        <v>0</v>
      </c>
      <c r="JY131" s="16">
        <f t="shared" si="150"/>
        <v>0</v>
      </c>
      <c r="JZ131" s="16">
        <f t="shared" si="150"/>
        <v>0</v>
      </c>
      <c r="KA131" s="16">
        <f t="shared" si="150"/>
        <v>0</v>
      </c>
      <c r="KB131" s="16">
        <f t="shared" si="150"/>
        <v>0</v>
      </c>
      <c r="KC131" s="16">
        <f t="shared" si="150"/>
        <v>0</v>
      </c>
      <c r="KD131" s="16">
        <f t="shared" si="150"/>
        <v>0</v>
      </c>
      <c r="KE131" s="16">
        <f t="shared" si="150"/>
        <v>0</v>
      </c>
      <c r="KF131" s="16">
        <f t="shared" si="150"/>
        <v>0</v>
      </c>
      <c r="KG131" s="16">
        <f t="shared" si="150"/>
        <v>-1.0941800000000002E-2</v>
      </c>
      <c r="KH131" s="16">
        <f t="shared" si="150"/>
        <v>1.0174807181562</v>
      </c>
      <c r="KK131" s="9">
        <f t="shared" si="123"/>
        <v>0</v>
      </c>
      <c r="KL131" s="16">
        <f t="shared" si="151"/>
        <v>0</v>
      </c>
      <c r="KM131" s="16">
        <f t="shared" si="151"/>
        <v>0</v>
      </c>
      <c r="KN131" s="16">
        <f t="shared" si="151"/>
        <v>0</v>
      </c>
      <c r="KO131" s="16">
        <f t="shared" si="151"/>
        <v>0</v>
      </c>
      <c r="KP131" s="16">
        <f t="shared" si="151"/>
        <v>0</v>
      </c>
      <c r="KQ131" s="16">
        <f t="shared" si="151"/>
        <v>0</v>
      </c>
      <c r="KR131" s="16">
        <f t="shared" si="151"/>
        <v>0</v>
      </c>
      <c r="KS131" s="16">
        <f t="shared" si="151"/>
        <v>0</v>
      </c>
      <c r="KT131" s="16">
        <f t="shared" si="151"/>
        <v>0</v>
      </c>
      <c r="KU131" s="16">
        <f t="shared" si="151"/>
        <v>0</v>
      </c>
      <c r="KV131" s="16">
        <f t="shared" si="152"/>
        <v>0</v>
      </c>
      <c r="KW131" s="16">
        <f t="shared" si="152"/>
        <v>0</v>
      </c>
      <c r="KX131" s="16">
        <f t="shared" si="152"/>
        <v>0</v>
      </c>
      <c r="KY131" s="16">
        <f t="shared" si="152"/>
        <v>0</v>
      </c>
      <c r="KZ131" s="16">
        <f t="shared" si="152"/>
        <v>0</v>
      </c>
      <c r="LA131" s="16">
        <f t="shared" si="152"/>
        <v>0</v>
      </c>
      <c r="LB131" s="16">
        <f t="shared" si="152"/>
        <v>0</v>
      </c>
      <c r="LC131" s="16">
        <f t="shared" si="152"/>
        <v>0</v>
      </c>
      <c r="LD131" s="16">
        <f t="shared" si="152"/>
        <v>0</v>
      </c>
      <c r="LE131" s="16">
        <f t="shared" si="152"/>
        <v>-1.3869999999999993E-3</v>
      </c>
      <c r="LF131" s="16">
        <f t="shared" si="152"/>
        <v>1.002215883683</v>
      </c>
      <c r="LI131" s="9">
        <f t="shared" si="124"/>
        <v>0</v>
      </c>
      <c r="LJ131" s="16">
        <f t="shared" si="153"/>
        <v>0</v>
      </c>
      <c r="LK131" s="16">
        <f t="shared" si="153"/>
        <v>0</v>
      </c>
      <c r="LL131" s="16">
        <f t="shared" si="153"/>
        <v>0</v>
      </c>
      <c r="LM131" s="16">
        <f t="shared" si="153"/>
        <v>0</v>
      </c>
      <c r="LN131" s="16">
        <f t="shared" si="153"/>
        <v>0</v>
      </c>
      <c r="LO131" s="16">
        <f t="shared" si="153"/>
        <v>0</v>
      </c>
      <c r="LP131" s="16">
        <f t="shared" si="153"/>
        <v>0</v>
      </c>
      <c r="LQ131" s="16">
        <f t="shared" si="153"/>
        <v>0</v>
      </c>
      <c r="LR131" s="16">
        <f t="shared" si="153"/>
        <v>0</v>
      </c>
      <c r="LS131" s="16">
        <f t="shared" si="153"/>
        <v>0</v>
      </c>
      <c r="LT131" s="16">
        <f t="shared" si="154"/>
        <v>0</v>
      </c>
      <c r="LU131" s="16">
        <f t="shared" si="154"/>
        <v>0</v>
      </c>
      <c r="LV131" s="16">
        <f t="shared" si="154"/>
        <v>0</v>
      </c>
      <c r="LW131" s="16">
        <f t="shared" si="154"/>
        <v>0</v>
      </c>
      <c r="LX131" s="16">
        <f t="shared" si="154"/>
        <v>0</v>
      </c>
      <c r="LY131" s="16">
        <f t="shared" si="154"/>
        <v>0</v>
      </c>
      <c r="LZ131" s="16">
        <f t="shared" si="154"/>
        <v>0</v>
      </c>
      <c r="MA131" s="16">
        <f t="shared" si="154"/>
        <v>0</v>
      </c>
      <c r="MB131" s="16">
        <f t="shared" si="154"/>
        <v>0</v>
      </c>
      <c r="MC131" s="16">
        <f t="shared" si="154"/>
        <v>-1.094175E-2</v>
      </c>
      <c r="MD131" s="16">
        <f t="shared" si="154"/>
        <v>1.01748063827575</v>
      </c>
      <c r="MG131" s="9">
        <f t="shared" si="125"/>
        <v>0</v>
      </c>
      <c r="MH131" s="16">
        <f t="shared" si="155"/>
        <v>0</v>
      </c>
      <c r="MI131" s="16">
        <f t="shared" si="155"/>
        <v>0</v>
      </c>
      <c r="MJ131" s="16">
        <f t="shared" si="155"/>
        <v>0</v>
      </c>
      <c r="MK131" s="16">
        <f t="shared" si="155"/>
        <v>0</v>
      </c>
      <c r="ML131" s="16">
        <f t="shared" si="155"/>
        <v>0</v>
      </c>
      <c r="MM131" s="16">
        <f t="shared" si="155"/>
        <v>0</v>
      </c>
      <c r="MN131" s="16">
        <f t="shared" si="155"/>
        <v>0</v>
      </c>
      <c r="MO131" s="16">
        <f t="shared" si="155"/>
        <v>0</v>
      </c>
      <c r="MP131" s="16">
        <f t="shared" si="155"/>
        <v>0</v>
      </c>
      <c r="MQ131" s="16">
        <f t="shared" si="155"/>
        <v>0</v>
      </c>
      <c r="MR131" s="16">
        <f t="shared" si="156"/>
        <v>0</v>
      </c>
      <c r="MS131" s="16">
        <f t="shared" si="156"/>
        <v>0</v>
      </c>
      <c r="MT131" s="16">
        <f t="shared" si="156"/>
        <v>0</v>
      </c>
      <c r="MU131" s="16">
        <f t="shared" si="156"/>
        <v>0</v>
      </c>
      <c r="MV131" s="16">
        <f t="shared" si="156"/>
        <v>0</v>
      </c>
      <c r="MW131" s="16">
        <f t="shared" si="156"/>
        <v>0</v>
      </c>
      <c r="MX131" s="16">
        <f t="shared" si="156"/>
        <v>0</v>
      </c>
      <c r="MY131" s="16">
        <f t="shared" si="156"/>
        <v>0</v>
      </c>
      <c r="MZ131" s="16">
        <f t="shared" si="156"/>
        <v>0</v>
      </c>
      <c r="NA131" s="16">
        <f t="shared" si="156"/>
        <v>-1.5240000000000004E-3</v>
      </c>
      <c r="NB131" s="16">
        <f t="shared" si="156"/>
        <v>1.0024347561160001</v>
      </c>
      <c r="NE131" s="9">
        <f t="shared" si="126"/>
        <v>0</v>
      </c>
      <c r="NF131" s="16">
        <f t="shared" si="157"/>
        <v>0</v>
      </c>
      <c r="NG131" s="16">
        <f t="shared" si="157"/>
        <v>0</v>
      </c>
      <c r="NH131" s="16">
        <f t="shared" si="157"/>
        <v>0</v>
      </c>
      <c r="NI131" s="16">
        <f t="shared" si="157"/>
        <v>0</v>
      </c>
      <c r="NJ131" s="16">
        <f t="shared" si="157"/>
        <v>0</v>
      </c>
      <c r="NK131" s="16">
        <f t="shared" si="157"/>
        <v>0</v>
      </c>
      <c r="NL131" s="16">
        <f t="shared" si="157"/>
        <v>0</v>
      </c>
      <c r="NM131" s="16">
        <f t="shared" si="157"/>
        <v>0</v>
      </c>
      <c r="NN131" s="16">
        <f t="shared" si="157"/>
        <v>0</v>
      </c>
      <c r="NO131" s="16">
        <f t="shared" si="157"/>
        <v>0</v>
      </c>
      <c r="NP131" s="16">
        <f t="shared" si="158"/>
        <v>0</v>
      </c>
      <c r="NQ131" s="16">
        <f t="shared" si="158"/>
        <v>0</v>
      </c>
      <c r="NR131" s="16">
        <f t="shared" si="158"/>
        <v>0</v>
      </c>
      <c r="NS131" s="16">
        <f t="shared" si="158"/>
        <v>0</v>
      </c>
      <c r="NT131" s="16">
        <f t="shared" si="158"/>
        <v>0</v>
      </c>
      <c r="NU131" s="16">
        <f t="shared" si="158"/>
        <v>0</v>
      </c>
      <c r="NV131" s="16">
        <f t="shared" si="158"/>
        <v>0</v>
      </c>
      <c r="NW131" s="16">
        <f t="shared" si="158"/>
        <v>0</v>
      </c>
      <c r="NX131" s="16">
        <f t="shared" si="158"/>
        <v>0</v>
      </c>
      <c r="NY131" s="16">
        <f t="shared" si="158"/>
        <v>-1.094175E-2</v>
      </c>
      <c r="NZ131" s="16">
        <f t="shared" si="158"/>
        <v>1.01748063827575</v>
      </c>
      <c r="OC131" s="9">
        <f t="shared" si="127"/>
        <v>0</v>
      </c>
      <c r="OD131" s="16">
        <f t="shared" si="159"/>
        <v>0</v>
      </c>
      <c r="OE131" s="16">
        <f t="shared" si="159"/>
        <v>0</v>
      </c>
      <c r="OF131" s="16">
        <f t="shared" si="159"/>
        <v>0</v>
      </c>
      <c r="OG131" s="16">
        <f t="shared" si="159"/>
        <v>0</v>
      </c>
      <c r="OH131" s="16">
        <f t="shared" si="159"/>
        <v>0</v>
      </c>
      <c r="OI131" s="16">
        <f t="shared" si="159"/>
        <v>0</v>
      </c>
      <c r="OJ131" s="16">
        <f t="shared" si="159"/>
        <v>0</v>
      </c>
      <c r="OK131" s="16">
        <f t="shared" si="159"/>
        <v>0</v>
      </c>
      <c r="OL131" s="16">
        <f t="shared" si="159"/>
        <v>0</v>
      </c>
      <c r="OM131" s="16">
        <f t="shared" si="159"/>
        <v>0</v>
      </c>
      <c r="ON131" s="16">
        <f t="shared" si="160"/>
        <v>0</v>
      </c>
      <c r="OO131" s="16">
        <f t="shared" si="160"/>
        <v>0</v>
      </c>
      <c r="OP131" s="16">
        <f t="shared" si="160"/>
        <v>0</v>
      </c>
      <c r="OQ131" s="16">
        <f t="shared" si="160"/>
        <v>0</v>
      </c>
      <c r="OR131" s="16">
        <f t="shared" si="160"/>
        <v>0</v>
      </c>
      <c r="OS131" s="16">
        <f t="shared" si="160"/>
        <v>0</v>
      </c>
      <c r="OT131" s="16">
        <f t="shared" si="160"/>
        <v>0</v>
      </c>
      <c r="OU131" s="16">
        <f t="shared" si="160"/>
        <v>0</v>
      </c>
      <c r="OV131" s="16">
        <f t="shared" si="160"/>
        <v>0</v>
      </c>
      <c r="OW131" s="16">
        <f t="shared" si="160"/>
        <v>-1.6609499999999987E-3</v>
      </c>
      <c r="OX131" s="16">
        <f t="shared" si="160"/>
        <v>1.0026535486685499</v>
      </c>
      <c r="PA131" s="9">
        <f t="shared" si="128"/>
        <v>0</v>
      </c>
      <c r="PB131" s="16">
        <f t="shared" si="161"/>
        <v>0</v>
      </c>
      <c r="PC131" s="16">
        <f t="shared" si="161"/>
        <v>0</v>
      </c>
      <c r="PD131" s="16">
        <f t="shared" si="161"/>
        <v>0</v>
      </c>
      <c r="PE131" s="16">
        <f t="shared" si="161"/>
        <v>0</v>
      </c>
      <c r="PF131" s="16">
        <f t="shared" si="161"/>
        <v>0</v>
      </c>
      <c r="PG131" s="16">
        <f t="shared" si="161"/>
        <v>0</v>
      </c>
      <c r="PH131" s="16">
        <f t="shared" si="161"/>
        <v>0</v>
      </c>
      <c r="PI131" s="16">
        <f t="shared" si="161"/>
        <v>0</v>
      </c>
      <c r="PJ131" s="16">
        <f t="shared" si="161"/>
        <v>0</v>
      </c>
      <c r="PK131" s="16">
        <f t="shared" si="161"/>
        <v>0</v>
      </c>
      <c r="PL131" s="16">
        <f t="shared" si="162"/>
        <v>0</v>
      </c>
      <c r="PM131" s="16">
        <f t="shared" si="162"/>
        <v>0</v>
      </c>
      <c r="PN131" s="16">
        <f t="shared" si="162"/>
        <v>0</v>
      </c>
      <c r="PO131" s="16">
        <f t="shared" si="162"/>
        <v>0</v>
      </c>
      <c r="PP131" s="16">
        <f t="shared" si="162"/>
        <v>0</v>
      </c>
      <c r="PQ131" s="16">
        <f t="shared" si="162"/>
        <v>0</v>
      </c>
      <c r="PR131" s="16">
        <f t="shared" si="162"/>
        <v>0</v>
      </c>
      <c r="PS131" s="16">
        <f t="shared" si="162"/>
        <v>0</v>
      </c>
      <c r="PT131" s="16">
        <f t="shared" si="162"/>
        <v>0</v>
      </c>
      <c r="PU131" s="16">
        <f t="shared" si="162"/>
        <v>-1.0941300000000001E-2</v>
      </c>
      <c r="PV131" s="16">
        <f t="shared" si="162"/>
        <v>1.0174799193516999</v>
      </c>
    </row>
    <row r="132" spans="2:438" x14ac:dyDescent="0.25">
      <c r="C132" s="1"/>
      <c r="D132" s="1"/>
      <c r="I132" s="9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G132" s="9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E132" s="9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C132" s="9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DA132" s="9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Y132" s="9"/>
      <c r="DZ132" s="16"/>
      <c r="EA132" s="16"/>
      <c r="EB132" s="16"/>
      <c r="EC132" s="16"/>
      <c r="ED132" s="16"/>
      <c r="EE132" s="16"/>
      <c r="EF132" s="16"/>
      <c r="EG132" s="16"/>
      <c r="EH132" s="16"/>
      <c r="EI132" s="16"/>
      <c r="EJ132" s="16"/>
      <c r="EK132" s="16"/>
      <c r="EL132" s="16"/>
      <c r="EM132" s="16"/>
      <c r="EN132" s="16"/>
      <c r="EO132" s="16"/>
      <c r="EP132" s="16"/>
      <c r="EQ132" s="16"/>
      <c r="ER132" s="16"/>
      <c r="ES132" s="16"/>
      <c r="ET132" s="16"/>
      <c r="EW132" s="9"/>
      <c r="EX132" s="16"/>
      <c r="EY132" s="16"/>
      <c r="EZ132" s="16"/>
      <c r="FA132" s="16"/>
      <c r="FB132" s="16"/>
      <c r="FC132" s="16"/>
      <c r="FD132" s="16"/>
      <c r="FE132" s="16"/>
      <c r="FF132" s="16"/>
      <c r="FG132" s="16"/>
      <c r="FH132" s="16"/>
      <c r="FI132" s="16"/>
      <c r="FJ132" s="16"/>
      <c r="FK132" s="16"/>
      <c r="FL132" s="16"/>
      <c r="FM132" s="16"/>
      <c r="FN132" s="16"/>
      <c r="FO132" s="16"/>
      <c r="FP132" s="16"/>
      <c r="FQ132" s="16"/>
      <c r="FR132" s="16"/>
      <c r="FU132" s="9"/>
      <c r="FV132" s="16"/>
      <c r="FW132" s="16"/>
      <c r="FX132" s="16"/>
      <c r="FY132" s="16"/>
      <c r="FZ132" s="16"/>
      <c r="GA132" s="16"/>
      <c r="GB132" s="16"/>
      <c r="GC132" s="16"/>
      <c r="GD132" s="16"/>
      <c r="GE132" s="16"/>
      <c r="GF132" s="16"/>
      <c r="GG132" s="16"/>
      <c r="GH132" s="16"/>
      <c r="GI132" s="16"/>
      <c r="GJ132" s="16"/>
      <c r="GK132" s="16"/>
      <c r="GL132" s="16"/>
      <c r="GM132" s="16"/>
      <c r="GN132" s="16"/>
      <c r="GO132" s="16"/>
      <c r="GP132" s="16"/>
      <c r="GS132" s="9"/>
      <c r="GT132" s="16"/>
      <c r="GU132" s="16"/>
      <c r="GV132" s="16"/>
      <c r="GW132" s="16"/>
      <c r="GX132" s="16"/>
      <c r="GY132" s="16"/>
      <c r="GZ132" s="16"/>
      <c r="HA132" s="16"/>
      <c r="HB132" s="16"/>
      <c r="HC132" s="16"/>
      <c r="HD132" s="16"/>
      <c r="HE132" s="16"/>
      <c r="HF132" s="16"/>
      <c r="HG132" s="16"/>
      <c r="HH132" s="16"/>
      <c r="HI132" s="16"/>
      <c r="HJ132" s="16"/>
      <c r="HK132" s="16"/>
      <c r="HL132" s="16"/>
      <c r="HM132" s="16"/>
      <c r="HN132" s="16"/>
      <c r="HQ132" s="9"/>
      <c r="HR132" s="16"/>
      <c r="HS132" s="16"/>
      <c r="HT132" s="16"/>
      <c r="HU132" s="16"/>
      <c r="HV132" s="16"/>
      <c r="HW132" s="16"/>
      <c r="HX132" s="16"/>
      <c r="HY132" s="16"/>
      <c r="HZ132" s="16"/>
      <c r="IA132" s="16"/>
      <c r="IB132" s="16"/>
      <c r="IC132" s="16"/>
      <c r="ID132" s="16"/>
      <c r="IE132" s="16"/>
      <c r="IF132" s="16"/>
      <c r="IG132" s="16"/>
      <c r="IH132" s="16"/>
      <c r="II132" s="16"/>
      <c r="IJ132" s="16"/>
      <c r="IK132" s="16"/>
      <c r="IL132" s="16"/>
      <c r="IO132" s="9"/>
      <c r="IP132" s="16"/>
      <c r="IQ132" s="16"/>
      <c r="IR132" s="16"/>
      <c r="IS132" s="16"/>
      <c r="IT132" s="16"/>
      <c r="IU132" s="16"/>
      <c r="IV132" s="16"/>
      <c r="IW132" s="16"/>
      <c r="IX132" s="16"/>
      <c r="IY132" s="16"/>
      <c r="IZ132" s="16"/>
      <c r="JA132" s="16"/>
      <c r="JB132" s="16"/>
      <c r="JC132" s="16"/>
      <c r="JD132" s="16"/>
      <c r="JE132" s="16"/>
      <c r="JF132" s="16"/>
      <c r="JG132" s="16"/>
      <c r="JH132" s="16"/>
      <c r="JI132" s="16"/>
      <c r="JJ132" s="16"/>
      <c r="JM132" s="9"/>
      <c r="JN132" s="16"/>
      <c r="JO132" s="16"/>
      <c r="JP132" s="16"/>
      <c r="JQ132" s="16"/>
      <c r="JR132" s="16"/>
      <c r="JS132" s="16"/>
      <c r="JT132" s="16"/>
      <c r="JU132" s="16"/>
      <c r="JV132" s="16"/>
      <c r="JW132" s="16"/>
      <c r="JX132" s="16"/>
      <c r="JY132" s="16"/>
      <c r="JZ132" s="16"/>
      <c r="KA132" s="16"/>
      <c r="KB132" s="16"/>
      <c r="KC132" s="16"/>
      <c r="KD132" s="16"/>
      <c r="KE132" s="16"/>
      <c r="KF132" s="16"/>
      <c r="KG132" s="16"/>
      <c r="KH132" s="16"/>
      <c r="KK132" s="9"/>
      <c r="KL132" s="16"/>
      <c r="KM132" s="16"/>
      <c r="KN132" s="16"/>
      <c r="KO132" s="16"/>
      <c r="KP132" s="16"/>
      <c r="KQ132" s="16"/>
      <c r="KR132" s="16"/>
      <c r="KS132" s="16"/>
      <c r="KT132" s="16"/>
      <c r="KU132" s="16"/>
      <c r="KV132" s="16"/>
      <c r="KW132" s="16"/>
      <c r="KX132" s="16"/>
      <c r="KY132" s="16"/>
      <c r="KZ132" s="16"/>
      <c r="LA132" s="16"/>
      <c r="LB132" s="16"/>
      <c r="LC132" s="16"/>
      <c r="LD132" s="16"/>
      <c r="LE132" s="16"/>
      <c r="LF132" s="16"/>
      <c r="LI132" s="9"/>
      <c r="LJ132" s="16"/>
      <c r="LK132" s="16"/>
      <c r="LL132" s="16"/>
      <c r="LM132" s="16"/>
      <c r="LN132" s="16"/>
      <c r="LO132" s="16"/>
      <c r="LP132" s="16"/>
      <c r="LQ132" s="16"/>
      <c r="LR132" s="16"/>
      <c r="LS132" s="16"/>
      <c r="LT132" s="16"/>
      <c r="LU132" s="16"/>
      <c r="LV132" s="16"/>
      <c r="LW132" s="16"/>
      <c r="LX132" s="16"/>
      <c r="LY132" s="16"/>
      <c r="LZ132" s="16"/>
      <c r="MA132" s="16"/>
      <c r="MB132" s="16"/>
      <c r="MC132" s="16"/>
      <c r="MD132" s="16"/>
      <c r="MG132" s="9"/>
      <c r="MH132" s="16"/>
      <c r="MI132" s="16"/>
      <c r="MJ132" s="16"/>
      <c r="MK132" s="16"/>
      <c r="ML132" s="16"/>
      <c r="MM132" s="16"/>
      <c r="MN132" s="16"/>
      <c r="MO132" s="16"/>
      <c r="MP132" s="16"/>
      <c r="MQ132" s="16"/>
      <c r="MR132" s="16"/>
      <c r="MS132" s="16"/>
      <c r="MT132" s="16"/>
      <c r="MU132" s="16"/>
      <c r="MV132" s="16"/>
      <c r="MW132" s="16"/>
      <c r="MX132" s="16"/>
      <c r="MY132" s="16"/>
      <c r="MZ132" s="16"/>
      <c r="NA132" s="16"/>
      <c r="NB132" s="16"/>
      <c r="NE132" s="9"/>
      <c r="NF132" s="16"/>
      <c r="NG132" s="16"/>
      <c r="NH132" s="16"/>
      <c r="NI132" s="16"/>
      <c r="NJ132" s="16"/>
      <c r="NK132" s="16"/>
      <c r="NL132" s="16"/>
      <c r="NM132" s="16"/>
      <c r="NN132" s="16"/>
      <c r="NO132" s="16"/>
      <c r="NP132" s="16"/>
      <c r="NQ132" s="16"/>
      <c r="NR132" s="16"/>
      <c r="NS132" s="16"/>
      <c r="NT132" s="16"/>
      <c r="NU132" s="16"/>
      <c r="NV132" s="16"/>
      <c r="NW132" s="16"/>
      <c r="NX132" s="16"/>
      <c r="NY132" s="16"/>
      <c r="NZ132" s="16"/>
      <c r="OC132" s="9"/>
      <c r="OD132" s="16"/>
      <c r="OE132" s="16"/>
      <c r="OF132" s="16"/>
      <c r="OG132" s="16"/>
      <c r="OH132" s="16"/>
      <c r="OI132" s="16"/>
      <c r="OJ132" s="16"/>
      <c r="OK132" s="16"/>
      <c r="OL132" s="16"/>
      <c r="OM132" s="16"/>
      <c r="ON132" s="16"/>
      <c r="OO132" s="16"/>
      <c r="OP132" s="16"/>
      <c r="OQ132" s="16"/>
      <c r="OR132" s="16"/>
      <c r="OS132" s="16"/>
      <c r="OT132" s="16"/>
      <c r="OU132" s="16"/>
      <c r="OV132" s="16"/>
      <c r="OW132" s="16"/>
      <c r="OX132" s="16"/>
      <c r="PA132" s="9"/>
      <c r="PB132" s="16"/>
      <c r="PC132" s="16"/>
      <c r="PD132" s="16"/>
      <c r="PE132" s="16"/>
      <c r="PF132" s="16"/>
      <c r="PG132" s="16"/>
      <c r="PH132" s="16"/>
      <c r="PI132" s="16"/>
      <c r="PJ132" s="16"/>
      <c r="PK132" s="16"/>
      <c r="PL132" s="16"/>
      <c r="PM132" s="16"/>
      <c r="PN132" s="16"/>
      <c r="PO132" s="16"/>
      <c r="PP132" s="16"/>
      <c r="PQ132" s="16"/>
      <c r="PR132" s="16"/>
      <c r="PS132" s="16"/>
      <c r="PT132" s="16"/>
      <c r="PU132" s="16"/>
      <c r="PV132" s="16"/>
    </row>
    <row r="133" spans="2:438" x14ac:dyDescent="0.25">
      <c r="C133" s="1"/>
      <c r="D133" s="1"/>
      <c r="I133" s="9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G133" s="9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E133" s="9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C133" s="9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DA133" s="9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Y133" s="9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/>
      <c r="EW133" s="9"/>
      <c r="EX133" s="16"/>
      <c r="EY133" s="16"/>
      <c r="EZ133" s="16"/>
      <c r="FA133" s="16"/>
      <c r="FB133" s="16"/>
      <c r="FC133" s="16"/>
      <c r="FD133" s="16"/>
      <c r="FE133" s="16"/>
      <c r="FF133" s="16"/>
      <c r="FG133" s="16"/>
      <c r="FH133" s="16"/>
      <c r="FI133" s="16"/>
      <c r="FJ133" s="16"/>
      <c r="FK133" s="16"/>
      <c r="FL133" s="16"/>
      <c r="FM133" s="16"/>
      <c r="FN133" s="16"/>
      <c r="FO133" s="16"/>
      <c r="FP133" s="16"/>
      <c r="FQ133" s="16"/>
      <c r="FR133" s="16"/>
      <c r="FU133" s="9"/>
      <c r="FV133" s="16"/>
      <c r="FW133" s="16"/>
      <c r="FX133" s="16"/>
      <c r="FY133" s="16"/>
      <c r="FZ133" s="16"/>
      <c r="GA133" s="16"/>
      <c r="GB133" s="16"/>
      <c r="GC133" s="16"/>
      <c r="GD133" s="16"/>
      <c r="GE133" s="16"/>
      <c r="GF133" s="16"/>
      <c r="GG133" s="16"/>
      <c r="GH133" s="16"/>
      <c r="GI133" s="16"/>
      <c r="GJ133" s="16"/>
      <c r="GK133" s="16"/>
      <c r="GL133" s="16"/>
      <c r="GM133" s="16"/>
      <c r="GN133" s="16"/>
      <c r="GO133" s="16"/>
      <c r="GP133" s="16"/>
      <c r="GS133" s="9"/>
      <c r="GT133" s="16"/>
      <c r="GU133" s="16"/>
      <c r="GV133" s="16"/>
      <c r="GW133" s="16"/>
      <c r="GX133" s="16"/>
      <c r="GY133" s="16"/>
      <c r="GZ133" s="16"/>
      <c r="HA133" s="16"/>
      <c r="HB133" s="16"/>
      <c r="HC133" s="16"/>
      <c r="HD133" s="16"/>
      <c r="HE133" s="16"/>
      <c r="HF133" s="16"/>
      <c r="HG133" s="16"/>
      <c r="HH133" s="16"/>
      <c r="HI133" s="16"/>
      <c r="HJ133" s="16"/>
      <c r="HK133" s="16"/>
      <c r="HL133" s="16"/>
      <c r="HM133" s="16"/>
      <c r="HN133" s="16"/>
      <c r="HQ133" s="9"/>
      <c r="HR133" s="16"/>
      <c r="HS133" s="16"/>
      <c r="HT133" s="16"/>
      <c r="HU133" s="16"/>
      <c r="HV133" s="16"/>
      <c r="HW133" s="16"/>
      <c r="HX133" s="16"/>
      <c r="HY133" s="16"/>
      <c r="HZ133" s="16"/>
      <c r="IA133" s="16"/>
      <c r="IB133" s="16"/>
      <c r="IC133" s="16"/>
      <c r="ID133" s="16"/>
      <c r="IE133" s="16"/>
      <c r="IF133" s="16"/>
      <c r="IG133" s="16"/>
      <c r="IH133" s="16"/>
      <c r="II133" s="16"/>
      <c r="IJ133" s="16"/>
      <c r="IK133" s="16"/>
      <c r="IL133" s="16"/>
      <c r="IO133" s="9"/>
      <c r="IP133" s="16"/>
      <c r="IQ133" s="16"/>
      <c r="IR133" s="16"/>
      <c r="IS133" s="16"/>
      <c r="IT133" s="16"/>
      <c r="IU133" s="16"/>
      <c r="IV133" s="16"/>
      <c r="IW133" s="16"/>
      <c r="IX133" s="16"/>
      <c r="IY133" s="16"/>
      <c r="IZ133" s="16"/>
      <c r="JA133" s="16"/>
      <c r="JB133" s="16"/>
      <c r="JC133" s="16"/>
      <c r="JD133" s="16"/>
      <c r="JE133" s="16"/>
      <c r="JF133" s="16"/>
      <c r="JG133" s="16"/>
      <c r="JH133" s="16"/>
      <c r="JI133" s="16"/>
      <c r="JJ133" s="16"/>
      <c r="JM133" s="9"/>
      <c r="JN133" s="16"/>
      <c r="JO133" s="16"/>
      <c r="JP133" s="16"/>
      <c r="JQ133" s="16"/>
      <c r="JR133" s="16"/>
      <c r="JS133" s="16"/>
      <c r="JT133" s="16"/>
      <c r="JU133" s="16"/>
      <c r="JV133" s="16"/>
      <c r="JW133" s="16"/>
      <c r="JX133" s="16"/>
      <c r="JY133" s="16"/>
      <c r="JZ133" s="16"/>
      <c r="KA133" s="16"/>
      <c r="KB133" s="16"/>
      <c r="KC133" s="16"/>
      <c r="KD133" s="16"/>
      <c r="KE133" s="16"/>
      <c r="KF133" s="16"/>
      <c r="KG133" s="16"/>
      <c r="KH133" s="16"/>
      <c r="KK133" s="9"/>
      <c r="KL133" s="16"/>
      <c r="KM133" s="16"/>
      <c r="KN133" s="16"/>
      <c r="KO133" s="16"/>
      <c r="KP133" s="16"/>
      <c r="KQ133" s="16"/>
      <c r="KR133" s="16"/>
      <c r="KS133" s="16"/>
      <c r="KT133" s="16"/>
      <c r="KU133" s="16"/>
      <c r="KV133" s="16"/>
      <c r="KW133" s="16"/>
      <c r="KX133" s="16"/>
      <c r="KY133" s="16"/>
      <c r="KZ133" s="16"/>
      <c r="LA133" s="16"/>
      <c r="LB133" s="16"/>
      <c r="LC133" s="16"/>
      <c r="LD133" s="16"/>
      <c r="LE133" s="16"/>
      <c r="LF133" s="16"/>
      <c r="LI133" s="9"/>
      <c r="LJ133" s="16"/>
      <c r="LK133" s="16"/>
      <c r="LL133" s="16"/>
      <c r="LM133" s="16"/>
      <c r="LN133" s="16"/>
      <c r="LO133" s="16"/>
      <c r="LP133" s="16"/>
      <c r="LQ133" s="16"/>
      <c r="LR133" s="16"/>
      <c r="LS133" s="16"/>
      <c r="LT133" s="16"/>
      <c r="LU133" s="16"/>
      <c r="LV133" s="16"/>
      <c r="LW133" s="16"/>
      <c r="LX133" s="16"/>
      <c r="LY133" s="16"/>
      <c r="LZ133" s="16"/>
      <c r="MA133" s="16"/>
      <c r="MB133" s="16"/>
      <c r="MC133" s="16"/>
      <c r="MD133" s="16"/>
      <c r="MG133" s="9"/>
      <c r="MH133" s="16"/>
      <c r="MI133" s="16"/>
      <c r="MJ133" s="16"/>
      <c r="MK133" s="16"/>
      <c r="ML133" s="16"/>
      <c r="MM133" s="16"/>
      <c r="MN133" s="16"/>
      <c r="MO133" s="16"/>
      <c r="MP133" s="16"/>
      <c r="MQ133" s="16"/>
      <c r="MR133" s="16"/>
      <c r="MS133" s="16"/>
      <c r="MT133" s="16"/>
      <c r="MU133" s="16"/>
      <c r="MV133" s="16"/>
      <c r="MW133" s="16"/>
      <c r="MX133" s="16"/>
      <c r="MY133" s="16"/>
      <c r="MZ133" s="16"/>
      <c r="NA133" s="16"/>
      <c r="NB133" s="16"/>
      <c r="NE133" s="9"/>
      <c r="NF133" s="16"/>
      <c r="NG133" s="16"/>
      <c r="NH133" s="16"/>
      <c r="NI133" s="16"/>
      <c r="NJ133" s="16"/>
      <c r="NK133" s="16"/>
      <c r="NL133" s="16"/>
      <c r="NM133" s="16"/>
      <c r="NN133" s="16"/>
      <c r="NO133" s="16"/>
      <c r="NP133" s="16"/>
      <c r="NQ133" s="16"/>
      <c r="NR133" s="16"/>
      <c r="NS133" s="16"/>
      <c r="NT133" s="16"/>
      <c r="NU133" s="16"/>
      <c r="NV133" s="16"/>
      <c r="NW133" s="16"/>
      <c r="NX133" s="16"/>
      <c r="NY133" s="16"/>
      <c r="NZ133" s="16"/>
      <c r="OC133" s="9"/>
      <c r="OD133" s="16"/>
      <c r="OE133" s="16"/>
      <c r="OF133" s="16"/>
      <c r="OG133" s="16"/>
      <c r="OH133" s="16"/>
      <c r="OI133" s="16"/>
      <c r="OJ133" s="16"/>
      <c r="OK133" s="16"/>
      <c r="OL133" s="16"/>
      <c r="OM133" s="16"/>
      <c r="ON133" s="16"/>
      <c r="OO133" s="16"/>
      <c r="OP133" s="16"/>
      <c r="OQ133" s="16"/>
      <c r="OR133" s="16"/>
      <c r="OS133" s="16"/>
      <c r="OT133" s="16"/>
      <c r="OU133" s="16"/>
      <c r="OV133" s="16"/>
      <c r="OW133" s="16"/>
      <c r="OX133" s="16"/>
      <c r="PA133" s="9"/>
      <c r="PB133" s="16"/>
      <c r="PC133" s="16"/>
      <c r="PD133" s="16"/>
      <c r="PE133" s="16"/>
      <c r="PF133" s="16"/>
      <c r="PG133" s="16"/>
      <c r="PH133" s="16"/>
      <c r="PI133" s="16"/>
      <c r="PJ133" s="16"/>
      <c r="PK133" s="16"/>
      <c r="PL133" s="16"/>
      <c r="PM133" s="16"/>
      <c r="PN133" s="16"/>
      <c r="PO133" s="16"/>
      <c r="PP133" s="16"/>
      <c r="PQ133" s="16"/>
      <c r="PR133" s="16"/>
      <c r="PS133" s="16"/>
      <c r="PT133" s="16"/>
      <c r="PU133" s="16"/>
      <c r="PV133" s="16"/>
    </row>
    <row r="134" spans="2:438" x14ac:dyDescent="0.25">
      <c r="C134" s="1"/>
      <c r="D134" s="1"/>
      <c r="I134" s="9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G134" s="9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E134" s="9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C134" s="9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DA134" s="9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Y134" s="9"/>
      <c r="DZ134" s="16"/>
      <c r="EA134" s="16"/>
      <c r="EB134" s="16"/>
      <c r="EC134" s="16"/>
      <c r="ED134" s="16"/>
      <c r="EE134" s="16"/>
      <c r="EF134" s="16"/>
      <c r="EG134" s="16"/>
      <c r="EH134" s="16"/>
      <c r="EI134" s="16"/>
      <c r="EJ134" s="16"/>
      <c r="EK134" s="16"/>
      <c r="EL134" s="16"/>
      <c r="EM134" s="16"/>
      <c r="EN134" s="16"/>
      <c r="EO134" s="16"/>
      <c r="EP134" s="16"/>
      <c r="EQ134" s="16"/>
      <c r="ER134" s="16"/>
      <c r="ES134" s="16"/>
      <c r="ET134" s="16"/>
      <c r="EW134" s="9"/>
      <c r="EX134" s="16"/>
      <c r="EY134" s="16"/>
      <c r="EZ134" s="16"/>
      <c r="FA134" s="16"/>
      <c r="FB134" s="16"/>
      <c r="FC134" s="16"/>
      <c r="FD134" s="16"/>
      <c r="FE134" s="16"/>
      <c r="FF134" s="16"/>
      <c r="FG134" s="16"/>
      <c r="FH134" s="16"/>
      <c r="FI134" s="16"/>
      <c r="FJ134" s="16"/>
      <c r="FK134" s="16"/>
      <c r="FL134" s="16"/>
      <c r="FM134" s="16"/>
      <c r="FN134" s="16"/>
      <c r="FO134" s="16"/>
      <c r="FP134" s="16"/>
      <c r="FQ134" s="16"/>
      <c r="FR134" s="16"/>
      <c r="FU134" s="9"/>
      <c r="FV134" s="16"/>
      <c r="FW134" s="16"/>
      <c r="FX134" s="16"/>
      <c r="FY134" s="16"/>
      <c r="FZ134" s="16"/>
      <c r="GA134" s="16"/>
      <c r="GB134" s="16"/>
      <c r="GC134" s="16"/>
      <c r="GD134" s="16"/>
      <c r="GE134" s="16"/>
      <c r="GF134" s="16"/>
      <c r="GG134" s="16"/>
      <c r="GH134" s="16"/>
      <c r="GI134" s="16"/>
      <c r="GJ134" s="16"/>
      <c r="GK134" s="16"/>
      <c r="GL134" s="16"/>
      <c r="GM134" s="16"/>
      <c r="GN134" s="16"/>
      <c r="GO134" s="16"/>
      <c r="GP134" s="16"/>
      <c r="GS134" s="9"/>
      <c r="GT134" s="16"/>
      <c r="GU134" s="16"/>
      <c r="GV134" s="16"/>
      <c r="GW134" s="16"/>
      <c r="GX134" s="16"/>
      <c r="GY134" s="16"/>
      <c r="GZ134" s="16"/>
      <c r="HA134" s="16"/>
      <c r="HB134" s="16"/>
      <c r="HC134" s="16"/>
      <c r="HD134" s="16"/>
      <c r="HE134" s="16"/>
      <c r="HF134" s="16"/>
      <c r="HG134" s="16"/>
      <c r="HH134" s="16"/>
      <c r="HI134" s="16"/>
      <c r="HJ134" s="16"/>
      <c r="HK134" s="16"/>
      <c r="HL134" s="16"/>
      <c r="HM134" s="16"/>
      <c r="HN134" s="16"/>
      <c r="HQ134" s="9"/>
      <c r="HR134" s="16"/>
      <c r="HS134" s="16"/>
      <c r="HT134" s="16"/>
      <c r="HU134" s="16"/>
      <c r="HV134" s="16"/>
      <c r="HW134" s="16"/>
      <c r="HX134" s="16"/>
      <c r="HY134" s="16"/>
      <c r="HZ134" s="16"/>
      <c r="IA134" s="16"/>
      <c r="IB134" s="16"/>
      <c r="IC134" s="16"/>
      <c r="ID134" s="16"/>
      <c r="IE134" s="16"/>
      <c r="IF134" s="16"/>
      <c r="IG134" s="16"/>
      <c r="IH134" s="16"/>
      <c r="II134" s="16"/>
      <c r="IJ134" s="16"/>
      <c r="IK134" s="16"/>
      <c r="IL134" s="16"/>
      <c r="IO134" s="9"/>
      <c r="IP134" s="16"/>
      <c r="IQ134" s="16"/>
      <c r="IR134" s="16"/>
      <c r="IS134" s="16"/>
      <c r="IT134" s="16"/>
      <c r="IU134" s="16"/>
      <c r="IV134" s="16"/>
      <c r="IW134" s="16"/>
      <c r="IX134" s="16"/>
      <c r="IY134" s="16"/>
      <c r="IZ134" s="16"/>
      <c r="JA134" s="16"/>
      <c r="JB134" s="16"/>
      <c r="JC134" s="16"/>
      <c r="JD134" s="16"/>
      <c r="JE134" s="16"/>
      <c r="JF134" s="16"/>
      <c r="JG134" s="16"/>
      <c r="JH134" s="16"/>
      <c r="JI134" s="16"/>
      <c r="JJ134" s="16"/>
      <c r="JM134" s="9"/>
      <c r="JN134" s="16"/>
      <c r="JO134" s="16"/>
      <c r="JP134" s="16"/>
      <c r="JQ134" s="16"/>
      <c r="JR134" s="16"/>
      <c r="JS134" s="16"/>
      <c r="JT134" s="16"/>
      <c r="JU134" s="16"/>
      <c r="JV134" s="16"/>
      <c r="JW134" s="16"/>
      <c r="JX134" s="16"/>
      <c r="JY134" s="16"/>
      <c r="JZ134" s="16"/>
      <c r="KA134" s="16"/>
      <c r="KB134" s="16"/>
      <c r="KC134" s="16"/>
      <c r="KD134" s="16"/>
      <c r="KE134" s="16"/>
      <c r="KF134" s="16"/>
      <c r="KG134" s="16"/>
      <c r="KH134" s="16"/>
      <c r="KK134" s="9"/>
      <c r="KL134" s="16"/>
      <c r="KM134" s="16"/>
      <c r="KN134" s="16"/>
      <c r="KO134" s="16"/>
      <c r="KP134" s="16"/>
      <c r="KQ134" s="16"/>
      <c r="KR134" s="16"/>
      <c r="KS134" s="16"/>
      <c r="KT134" s="16"/>
      <c r="KU134" s="16"/>
      <c r="KV134" s="16"/>
      <c r="KW134" s="16"/>
      <c r="KX134" s="16"/>
      <c r="KY134" s="16"/>
      <c r="KZ134" s="16"/>
      <c r="LA134" s="16"/>
      <c r="LB134" s="16"/>
      <c r="LC134" s="16"/>
      <c r="LD134" s="16"/>
      <c r="LE134" s="16"/>
      <c r="LF134" s="16"/>
      <c r="LI134" s="9"/>
      <c r="LJ134" s="16"/>
      <c r="LK134" s="16"/>
      <c r="LL134" s="16"/>
      <c r="LM134" s="16"/>
      <c r="LN134" s="16"/>
      <c r="LO134" s="16"/>
      <c r="LP134" s="16"/>
      <c r="LQ134" s="16"/>
      <c r="LR134" s="16"/>
      <c r="LS134" s="16"/>
      <c r="LT134" s="16"/>
      <c r="LU134" s="16"/>
      <c r="LV134" s="16"/>
      <c r="LW134" s="16"/>
      <c r="LX134" s="16"/>
      <c r="LY134" s="16"/>
      <c r="LZ134" s="16"/>
      <c r="MA134" s="16"/>
      <c r="MB134" s="16"/>
      <c r="MC134" s="16"/>
      <c r="MD134" s="16"/>
      <c r="MG134" s="9"/>
      <c r="MH134" s="16"/>
      <c r="MI134" s="16"/>
      <c r="MJ134" s="16"/>
      <c r="MK134" s="16"/>
      <c r="ML134" s="16"/>
      <c r="MM134" s="16"/>
      <c r="MN134" s="16"/>
      <c r="MO134" s="16"/>
      <c r="MP134" s="16"/>
      <c r="MQ134" s="16"/>
      <c r="MR134" s="16"/>
      <c r="MS134" s="16"/>
      <c r="MT134" s="16"/>
      <c r="MU134" s="16"/>
      <c r="MV134" s="16"/>
      <c r="MW134" s="16"/>
      <c r="MX134" s="16"/>
      <c r="MY134" s="16"/>
      <c r="MZ134" s="16"/>
      <c r="NA134" s="16"/>
      <c r="NB134" s="16"/>
      <c r="NE134" s="9"/>
      <c r="NF134" s="16"/>
      <c r="NG134" s="16"/>
      <c r="NH134" s="16"/>
      <c r="NI134" s="16"/>
      <c r="NJ134" s="16"/>
      <c r="NK134" s="16"/>
      <c r="NL134" s="16"/>
      <c r="NM134" s="16"/>
      <c r="NN134" s="16"/>
      <c r="NO134" s="16"/>
      <c r="NP134" s="16"/>
      <c r="NQ134" s="16"/>
      <c r="NR134" s="16"/>
      <c r="NS134" s="16"/>
      <c r="NT134" s="16"/>
      <c r="NU134" s="16"/>
      <c r="NV134" s="16"/>
      <c r="NW134" s="16"/>
      <c r="NX134" s="16"/>
      <c r="NY134" s="16"/>
      <c r="NZ134" s="16"/>
      <c r="OC134" s="9"/>
      <c r="OD134" s="16"/>
      <c r="OE134" s="16"/>
      <c r="OF134" s="16"/>
      <c r="OG134" s="16"/>
      <c r="OH134" s="16"/>
      <c r="OI134" s="16"/>
      <c r="OJ134" s="16"/>
      <c r="OK134" s="16"/>
      <c r="OL134" s="16"/>
      <c r="OM134" s="16"/>
      <c r="ON134" s="16"/>
      <c r="OO134" s="16"/>
      <c r="OP134" s="16"/>
      <c r="OQ134" s="16"/>
      <c r="OR134" s="16"/>
      <c r="OS134" s="16"/>
      <c r="OT134" s="16"/>
      <c r="OU134" s="16"/>
      <c r="OV134" s="16"/>
      <c r="OW134" s="16"/>
      <c r="OX134" s="16"/>
      <c r="PA134" s="9"/>
      <c r="PB134" s="16"/>
      <c r="PC134" s="16"/>
      <c r="PD134" s="16"/>
      <c r="PE134" s="16"/>
      <c r="PF134" s="16"/>
      <c r="PG134" s="16"/>
      <c r="PH134" s="16"/>
      <c r="PI134" s="16"/>
      <c r="PJ134" s="16"/>
      <c r="PK134" s="16"/>
      <c r="PL134" s="16"/>
      <c r="PM134" s="16"/>
      <c r="PN134" s="16"/>
      <c r="PO134" s="16"/>
      <c r="PP134" s="16"/>
      <c r="PQ134" s="16"/>
      <c r="PR134" s="16"/>
      <c r="PS134" s="16"/>
      <c r="PT134" s="16"/>
      <c r="PU134" s="16"/>
      <c r="PV134" s="16"/>
    </row>
    <row r="135" spans="2:438" x14ac:dyDescent="0.25">
      <c r="C135" s="1"/>
      <c r="D135" s="1"/>
      <c r="I135" s="9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G135" s="9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E135" s="9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C135" s="9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DA135" s="9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Y135" s="9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/>
      <c r="EW135" s="9"/>
      <c r="EX135" s="16"/>
      <c r="EY135" s="16"/>
      <c r="EZ135" s="16"/>
      <c r="FA135" s="16"/>
      <c r="FB135" s="16"/>
      <c r="FC135" s="16"/>
      <c r="FD135" s="16"/>
      <c r="FE135" s="16"/>
      <c r="FF135" s="16"/>
      <c r="FG135" s="16"/>
      <c r="FH135" s="16"/>
      <c r="FI135" s="16"/>
      <c r="FJ135" s="16"/>
      <c r="FK135" s="16"/>
      <c r="FL135" s="16"/>
      <c r="FM135" s="16"/>
      <c r="FN135" s="16"/>
      <c r="FO135" s="16"/>
      <c r="FP135" s="16"/>
      <c r="FQ135" s="16"/>
      <c r="FR135" s="16"/>
      <c r="FU135" s="9"/>
      <c r="FV135" s="16"/>
      <c r="FW135" s="16"/>
      <c r="FX135" s="16"/>
      <c r="FY135" s="16"/>
      <c r="FZ135" s="16"/>
      <c r="GA135" s="16"/>
      <c r="GB135" s="16"/>
      <c r="GC135" s="16"/>
      <c r="GD135" s="16"/>
      <c r="GE135" s="16"/>
      <c r="GF135" s="16"/>
      <c r="GG135" s="16"/>
      <c r="GH135" s="16"/>
      <c r="GI135" s="16"/>
      <c r="GJ135" s="16"/>
      <c r="GK135" s="16"/>
      <c r="GL135" s="16"/>
      <c r="GM135" s="16"/>
      <c r="GN135" s="16"/>
      <c r="GO135" s="16"/>
      <c r="GP135" s="16"/>
      <c r="GS135" s="9"/>
      <c r="GT135" s="16"/>
      <c r="GU135" s="16"/>
      <c r="GV135" s="16"/>
      <c r="GW135" s="16"/>
      <c r="GX135" s="16"/>
      <c r="GY135" s="16"/>
      <c r="GZ135" s="16"/>
      <c r="HA135" s="16"/>
      <c r="HB135" s="16"/>
      <c r="HC135" s="16"/>
      <c r="HD135" s="16"/>
      <c r="HE135" s="16"/>
      <c r="HF135" s="16"/>
      <c r="HG135" s="16"/>
      <c r="HH135" s="16"/>
      <c r="HI135" s="16"/>
      <c r="HJ135" s="16"/>
      <c r="HK135" s="16"/>
      <c r="HL135" s="16"/>
      <c r="HM135" s="16"/>
      <c r="HN135" s="16"/>
      <c r="HQ135" s="9"/>
      <c r="HR135" s="16"/>
      <c r="HS135" s="16"/>
      <c r="HT135" s="16"/>
      <c r="HU135" s="16"/>
      <c r="HV135" s="16"/>
      <c r="HW135" s="16"/>
      <c r="HX135" s="16"/>
      <c r="HY135" s="16"/>
      <c r="HZ135" s="16"/>
      <c r="IA135" s="16"/>
      <c r="IB135" s="16"/>
      <c r="IC135" s="16"/>
      <c r="ID135" s="16"/>
      <c r="IE135" s="16"/>
      <c r="IF135" s="16"/>
      <c r="IG135" s="16"/>
      <c r="IH135" s="16"/>
      <c r="II135" s="16"/>
      <c r="IJ135" s="16"/>
      <c r="IK135" s="16"/>
      <c r="IL135" s="16"/>
      <c r="IO135" s="9"/>
      <c r="IP135" s="16"/>
      <c r="IQ135" s="16"/>
      <c r="IR135" s="16"/>
      <c r="IS135" s="16"/>
      <c r="IT135" s="16"/>
      <c r="IU135" s="16"/>
      <c r="IV135" s="16"/>
      <c r="IW135" s="16"/>
      <c r="IX135" s="16"/>
      <c r="IY135" s="16"/>
      <c r="IZ135" s="16"/>
      <c r="JA135" s="16"/>
      <c r="JB135" s="16"/>
      <c r="JC135" s="16"/>
      <c r="JD135" s="16"/>
      <c r="JE135" s="16"/>
      <c r="JF135" s="16"/>
      <c r="JG135" s="16"/>
      <c r="JH135" s="16"/>
      <c r="JI135" s="16"/>
      <c r="JJ135" s="16"/>
      <c r="JM135" s="9"/>
      <c r="JN135" s="16"/>
      <c r="JO135" s="16"/>
      <c r="JP135" s="16"/>
      <c r="JQ135" s="16"/>
      <c r="JR135" s="16"/>
      <c r="JS135" s="16"/>
      <c r="JT135" s="16"/>
      <c r="JU135" s="16"/>
      <c r="JV135" s="16"/>
      <c r="JW135" s="16"/>
      <c r="JX135" s="16"/>
      <c r="JY135" s="16"/>
      <c r="JZ135" s="16"/>
      <c r="KA135" s="16"/>
      <c r="KB135" s="16"/>
      <c r="KC135" s="16"/>
      <c r="KD135" s="16"/>
      <c r="KE135" s="16"/>
      <c r="KF135" s="16"/>
      <c r="KG135" s="16"/>
      <c r="KH135" s="16"/>
      <c r="KK135" s="9"/>
      <c r="KL135" s="16"/>
      <c r="KM135" s="16"/>
      <c r="KN135" s="16"/>
      <c r="KO135" s="16"/>
      <c r="KP135" s="16"/>
      <c r="KQ135" s="16"/>
      <c r="KR135" s="16"/>
      <c r="KS135" s="16"/>
      <c r="KT135" s="16"/>
      <c r="KU135" s="16"/>
      <c r="KV135" s="16"/>
      <c r="KW135" s="16"/>
      <c r="KX135" s="16"/>
      <c r="KY135" s="16"/>
      <c r="KZ135" s="16"/>
      <c r="LA135" s="16"/>
      <c r="LB135" s="16"/>
      <c r="LC135" s="16"/>
      <c r="LD135" s="16"/>
      <c r="LE135" s="16"/>
      <c r="LF135" s="16"/>
      <c r="LI135" s="9"/>
      <c r="LJ135" s="16"/>
      <c r="LK135" s="16"/>
      <c r="LL135" s="16"/>
      <c r="LM135" s="16"/>
      <c r="LN135" s="16"/>
      <c r="LO135" s="16"/>
      <c r="LP135" s="16"/>
      <c r="LQ135" s="16"/>
      <c r="LR135" s="16"/>
      <c r="LS135" s="16"/>
      <c r="LT135" s="16"/>
      <c r="LU135" s="16"/>
      <c r="LV135" s="16"/>
      <c r="LW135" s="16"/>
      <c r="LX135" s="16"/>
      <c r="LY135" s="16"/>
      <c r="LZ135" s="16"/>
      <c r="MA135" s="16"/>
      <c r="MB135" s="16"/>
      <c r="MC135" s="16"/>
      <c r="MD135" s="16"/>
      <c r="MG135" s="9"/>
      <c r="MH135" s="16"/>
      <c r="MI135" s="16"/>
      <c r="MJ135" s="16"/>
      <c r="MK135" s="16"/>
      <c r="ML135" s="16"/>
      <c r="MM135" s="16"/>
      <c r="MN135" s="16"/>
      <c r="MO135" s="16"/>
      <c r="MP135" s="16"/>
      <c r="MQ135" s="16"/>
      <c r="MR135" s="16"/>
      <c r="MS135" s="16"/>
      <c r="MT135" s="16"/>
      <c r="MU135" s="16"/>
      <c r="MV135" s="16"/>
      <c r="MW135" s="16"/>
      <c r="MX135" s="16"/>
      <c r="MY135" s="16"/>
      <c r="MZ135" s="16"/>
      <c r="NA135" s="16"/>
      <c r="NB135" s="16"/>
      <c r="NE135" s="9"/>
      <c r="NF135" s="16"/>
      <c r="NG135" s="16"/>
      <c r="NH135" s="16"/>
      <c r="NI135" s="16"/>
      <c r="NJ135" s="16"/>
      <c r="NK135" s="16"/>
      <c r="NL135" s="16"/>
      <c r="NM135" s="16"/>
      <c r="NN135" s="16"/>
      <c r="NO135" s="16"/>
      <c r="NP135" s="16"/>
      <c r="NQ135" s="16"/>
      <c r="NR135" s="16"/>
      <c r="NS135" s="16"/>
      <c r="NT135" s="16"/>
      <c r="NU135" s="16"/>
      <c r="NV135" s="16"/>
      <c r="NW135" s="16"/>
      <c r="NX135" s="16"/>
      <c r="NY135" s="16"/>
      <c r="NZ135" s="16"/>
      <c r="OC135" s="9"/>
      <c r="OD135" s="16"/>
      <c r="OE135" s="16"/>
      <c r="OF135" s="16"/>
      <c r="OG135" s="16"/>
      <c r="OH135" s="16"/>
      <c r="OI135" s="16"/>
      <c r="OJ135" s="16"/>
      <c r="OK135" s="16"/>
      <c r="OL135" s="16"/>
      <c r="OM135" s="16"/>
      <c r="ON135" s="16"/>
      <c r="OO135" s="16"/>
      <c r="OP135" s="16"/>
      <c r="OQ135" s="16"/>
      <c r="OR135" s="16"/>
      <c r="OS135" s="16"/>
      <c r="OT135" s="16"/>
      <c r="OU135" s="16"/>
      <c r="OV135" s="16"/>
      <c r="OW135" s="16"/>
      <c r="OX135" s="16"/>
      <c r="PA135" s="9"/>
      <c r="PB135" s="16"/>
      <c r="PC135" s="16"/>
      <c r="PD135" s="16"/>
      <c r="PE135" s="16"/>
      <c r="PF135" s="16"/>
      <c r="PG135" s="16"/>
      <c r="PH135" s="16"/>
      <c r="PI135" s="16"/>
      <c r="PJ135" s="16"/>
      <c r="PK135" s="16"/>
      <c r="PL135" s="16"/>
      <c r="PM135" s="16"/>
      <c r="PN135" s="16"/>
      <c r="PO135" s="16"/>
      <c r="PP135" s="16"/>
      <c r="PQ135" s="16"/>
      <c r="PR135" s="16"/>
      <c r="PS135" s="16"/>
      <c r="PT135" s="16"/>
      <c r="PU135" s="16"/>
      <c r="PV135" s="16"/>
    </row>
    <row r="136" spans="2:438" x14ac:dyDescent="0.25">
      <c r="C136" s="1"/>
      <c r="D136" s="1"/>
      <c r="I136" s="9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G136" s="9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E136" s="9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C136" s="9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DA136" s="9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Y136" s="9"/>
      <c r="DZ136" s="16"/>
      <c r="EA136" s="16"/>
      <c r="EB136" s="16"/>
      <c r="EC136" s="16"/>
      <c r="ED136" s="16"/>
      <c r="EE136" s="16"/>
      <c r="EF136" s="16"/>
      <c r="EG136" s="16"/>
      <c r="EH136" s="16"/>
      <c r="EI136" s="16"/>
      <c r="EJ136" s="16"/>
      <c r="EK136" s="16"/>
      <c r="EL136" s="16"/>
      <c r="EM136" s="16"/>
      <c r="EN136" s="16"/>
      <c r="EO136" s="16"/>
      <c r="EP136" s="16"/>
      <c r="EQ136" s="16"/>
      <c r="ER136" s="16"/>
      <c r="ES136" s="16"/>
      <c r="ET136" s="16"/>
      <c r="EW136" s="9"/>
      <c r="EX136" s="16"/>
      <c r="EY136" s="16"/>
      <c r="EZ136" s="16"/>
      <c r="FA136" s="16"/>
      <c r="FB136" s="16"/>
      <c r="FC136" s="16"/>
      <c r="FD136" s="16"/>
      <c r="FE136" s="16"/>
      <c r="FF136" s="16"/>
      <c r="FG136" s="16"/>
      <c r="FH136" s="16"/>
      <c r="FI136" s="16"/>
      <c r="FJ136" s="16"/>
      <c r="FK136" s="16"/>
      <c r="FL136" s="16"/>
      <c r="FM136" s="16"/>
      <c r="FN136" s="16"/>
      <c r="FO136" s="16"/>
      <c r="FP136" s="16"/>
      <c r="FQ136" s="16"/>
      <c r="FR136" s="16"/>
      <c r="FU136" s="9"/>
      <c r="FV136" s="16"/>
      <c r="FW136" s="16"/>
      <c r="FX136" s="16"/>
      <c r="FY136" s="16"/>
      <c r="FZ136" s="16"/>
      <c r="GA136" s="16"/>
      <c r="GB136" s="16"/>
      <c r="GC136" s="16"/>
      <c r="GD136" s="16"/>
      <c r="GE136" s="16"/>
      <c r="GF136" s="16"/>
      <c r="GG136" s="16"/>
      <c r="GH136" s="16"/>
      <c r="GI136" s="16"/>
      <c r="GJ136" s="16"/>
      <c r="GK136" s="16"/>
      <c r="GL136" s="16"/>
      <c r="GM136" s="16"/>
      <c r="GN136" s="16"/>
      <c r="GO136" s="16"/>
      <c r="GP136" s="16"/>
      <c r="GS136" s="9"/>
      <c r="GT136" s="16"/>
      <c r="GU136" s="16"/>
      <c r="GV136" s="16"/>
      <c r="GW136" s="16"/>
      <c r="GX136" s="16"/>
      <c r="GY136" s="16"/>
      <c r="GZ136" s="16"/>
      <c r="HA136" s="16"/>
      <c r="HB136" s="16"/>
      <c r="HC136" s="16"/>
      <c r="HD136" s="16"/>
      <c r="HE136" s="16"/>
      <c r="HF136" s="16"/>
      <c r="HG136" s="16"/>
      <c r="HH136" s="16"/>
      <c r="HI136" s="16"/>
      <c r="HJ136" s="16"/>
      <c r="HK136" s="16"/>
      <c r="HL136" s="16"/>
      <c r="HM136" s="16"/>
      <c r="HN136" s="16"/>
      <c r="HQ136" s="9"/>
      <c r="HR136" s="16"/>
      <c r="HS136" s="16"/>
      <c r="HT136" s="16"/>
      <c r="HU136" s="16"/>
      <c r="HV136" s="16"/>
      <c r="HW136" s="16"/>
      <c r="HX136" s="16"/>
      <c r="HY136" s="16"/>
      <c r="HZ136" s="16"/>
      <c r="IA136" s="16"/>
      <c r="IB136" s="16"/>
      <c r="IC136" s="16"/>
      <c r="ID136" s="16"/>
      <c r="IE136" s="16"/>
      <c r="IF136" s="16"/>
      <c r="IG136" s="16"/>
      <c r="IH136" s="16"/>
      <c r="II136" s="16"/>
      <c r="IJ136" s="16"/>
      <c r="IK136" s="16"/>
      <c r="IL136" s="16"/>
      <c r="IO136" s="9"/>
      <c r="IP136" s="16"/>
      <c r="IQ136" s="16"/>
      <c r="IR136" s="16"/>
      <c r="IS136" s="16"/>
      <c r="IT136" s="16"/>
      <c r="IU136" s="16"/>
      <c r="IV136" s="16"/>
      <c r="IW136" s="16"/>
      <c r="IX136" s="16"/>
      <c r="IY136" s="16"/>
      <c r="IZ136" s="16"/>
      <c r="JA136" s="16"/>
      <c r="JB136" s="16"/>
      <c r="JC136" s="16"/>
      <c r="JD136" s="16"/>
      <c r="JE136" s="16"/>
      <c r="JF136" s="16"/>
      <c r="JG136" s="16"/>
      <c r="JH136" s="16"/>
      <c r="JI136" s="16"/>
      <c r="JJ136" s="16"/>
      <c r="JM136" s="9"/>
      <c r="JN136" s="16"/>
      <c r="JO136" s="16"/>
      <c r="JP136" s="16"/>
      <c r="JQ136" s="16"/>
      <c r="JR136" s="16"/>
      <c r="JS136" s="16"/>
      <c r="JT136" s="16"/>
      <c r="JU136" s="16"/>
      <c r="JV136" s="16"/>
      <c r="JW136" s="16"/>
      <c r="JX136" s="16"/>
      <c r="JY136" s="16"/>
      <c r="JZ136" s="16"/>
      <c r="KA136" s="16"/>
      <c r="KB136" s="16"/>
      <c r="KC136" s="16"/>
      <c r="KD136" s="16"/>
      <c r="KE136" s="16"/>
      <c r="KF136" s="16"/>
      <c r="KG136" s="16"/>
      <c r="KH136" s="16"/>
      <c r="KK136" s="9"/>
      <c r="KL136" s="16"/>
      <c r="KM136" s="16"/>
      <c r="KN136" s="16"/>
      <c r="KO136" s="16"/>
      <c r="KP136" s="16"/>
      <c r="KQ136" s="16"/>
      <c r="KR136" s="16"/>
      <c r="KS136" s="16"/>
      <c r="KT136" s="16"/>
      <c r="KU136" s="16"/>
      <c r="KV136" s="16"/>
      <c r="KW136" s="16"/>
      <c r="KX136" s="16"/>
      <c r="KY136" s="16"/>
      <c r="KZ136" s="16"/>
      <c r="LA136" s="16"/>
      <c r="LB136" s="16"/>
      <c r="LC136" s="16"/>
      <c r="LD136" s="16"/>
      <c r="LE136" s="16"/>
      <c r="LF136" s="16"/>
      <c r="LI136" s="9"/>
      <c r="LJ136" s="16"/>
      <c r="LK136" s="16"/>
      <c r="LL136" s="16"/>
      <c r="LM136" s="16"/>
      <c r="LN136" s="16"/>
      <c r="LO136" s="16"/>
      <c r="LP136" s="16"/>
      <c r="LQ136" s="16"/>
      <c r="LR136" s="16"/>
      <c r="LS136" s="16"/>
      <c r="LT136" s="16"/>
      <c r="LU136" s="16"/>
      <c r="LV136" s="16"/>
      <c r="LW136" s="16"/>
      <c r="LX136" s="16"/>
      <c r="LY136" s="16"/>
      <c r="LZ136" s="16"/>
      <c r="MA136" s="16"/>
      <c r="MB136" s="16"/>
      <c r="MC136" s="16"/>
      <c r="MD136" s="16"/>
      <c r="MG136" s="9"/>
      <c r="MH136" s="16"/>
      <c r="MI136" s="16"/>
      <c r="MJ136" s="16"/>
      <c r="MK136" s="16"/>
      <c r="ML136" s="16"/>
      <c r="MM136" s="16"/>
      <c r="MN136" s="16"/>
      <c r="MO136" s="16"/>
      <c r="MP136" s="16"/>
      <c r="MQ136" s="16"/>
      <c r="MR136" s="16"/>
      <c r="MS136" s="16"/>
      <c r="MT136" s="16"/>
      <c r="MU136" s="16"/>
      <c r="MV136" s="16"/>
      <c r="MW136" s="16"/>
      <c r="MX136" s="16"/>
      <c r="MY136" s="16"/>
      <c r="MZ136" s="16"/>
      <c r="NA136" s="16"/>
      <c r="NB136" s="16"/>
      <c r="NE136" s="9"/>
      <c r="NF136" s="16"/>
      <c r="NG136" s="16"/>
      <c r="NH136" s="16"/>
      <c r="NI136" s="16"/>
      <c r="NJ136" s="16"/>
      <c r="NK136" s="16"/>
      <c r="NL136" s="16"/>
      <c r="NM136" s="16"/>
      <c r="NN136" s="16"/>
      <c r="NO136" s="16"/>
      <c r="NP136" s="16"/>
      <c r="NQ136" s="16"/>
      <c r="NR136" s="16"/>
      <c r="NS136" s="16"/>
      <c r="NT136" s="16"/>
      <c r="NU136" s="16"/>
      <c r="NV136" s="16"/>
      <c r="NW136" s="16"/>
      <c r="NX136" s="16"/>
      <c r="NY136" s="16"/>
      <c r="NZ136" s="16"/>
      <c r="OC136" s="9"/>
      <c r="OD136" s="16"/>
      <c r="OE136" s="16"/>
      <c r="OF136" s="16"/>
      <c r="OG136" s="16"/>
      <c r="OH136" s="16"/>
      <c r="OI136" s="16"/>
      <c r="OJ136" s="16"/>
      <c r="OK136" s="16"/>
      <c r="OL136" s="16"/>
      <c r="OM136" s="16"/>
      <c r="ON136" s="16"/>
      <c r="OO136" s="16"/>
      <c r="OP136" s="16"/>
      <c r="OQ136" s="16"/>
      <c r="OR136" s="16"/>
      <c r="OS136" s="16"/>
      <c r="OT136" s="16"/>
      <c r="OU136" s="16"/>
      <c r="OV136" s="16"/>
      <c r="OW136" s="16"/>
      <c r="OX136" s="16"/>
      <c r="PA136" s="9"/>
      <c r="PB136" s="16"/>
      <c r="PC136" s="16"/>
      <c r="PD136" s="16"/>
      <c r="PE136" s="16"/>
      <c r="PF136" s="16"/>
      <c r="PG136" s="16"/>
      <c r="PH136" s="16"/>
      <c r="PI136" s="16"/>
      <c r="PJ136" s="16"/>
      <c r="PK136" s="16"/>
      <c r="PL136" s="16"/>
      <c r="PM136" s="16"/>
      <c r="PN136" s="16"/>
      <c r="PO136" s="16"/>
      <c r="PP136" s="16"/>
      <c r="PQ136" s="16"/>
      <c r="PR136" s="16"/>
      <c r="PS136" s="16"/>
      <c r="PT136" s="16"/>
      <c r="PU136" s="16"/>
      <c r="PV136" s="16"/>
    </row>
    <row r="137" spans="2:438" x14ac:dyDescent="0.25">
      <c r="C137" s="1"/>
      <c r="D137" s="1"/>
      <c r="I137" s="9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G137" s="9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E137" s="9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C137" s="9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DA137" s="9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Y137" s="9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/>
      <c r="EW137" s="9"/>
      <c r="EX137" s="16"/>
      <c r="EY137" s="16"/>
      <c r="EZ137" s="16"/>
      <c r="FA137" s="16"/>
      <c r="FB137" s="16"/>
      <c r="FC137" s="16"/>
      <c r="FD137" s="16"/>
      <c r="FE137" s="16"/>
      <c r="FF137" s="16"/>
      <c r="FG137" s="16"/>
      <c r="FH137" s="16"/>
      <c r="FI137" s="16"/>
      <c r="FJ137" s="16"/>
      <c r="FK137" s="16"/>
      <c r="FL137" s="16"/>
      <c r="FM137" s="16"/>
      <c r="FN137" s="16"/>
      <c r="FO137" s="16"/>
      <c r="FP137" s="16"/>
      <c r="FQ137" s="16"/>
      <c r="FR137" s="16"/>
      <c r="FU137" s="9"/>
      <c r="FV137" s="16"/>
      <c r="FW137" s="16"/>
      <c r="FX137" s="16"/>
      <c r="FY137" s="16"/>
      <c r="FZ137" s="16"/>
      <c r="GA137" s="16"/>
      <c r="GB137" s="16"/>
      <c r="GC137" s="16"/>
      <c r="GD137" s="16"/>
      <c r="GE137" s="16"/>
      <c r="GF137" s="16"/>
      <c r="GG137" s="16"/>
      <c r="GH137" s="16"/>
      <c r="GI137" s="16"/>
      <c r="GJ137" s="16"/>
      <c r="GK137" s="16"/>
      <c r="GL137" s="16"/>
      <c r="GM137" s="16"/>
      <c r="GN137" s="16"/>
      <c r="GO137" s="16"/>
      <c r="GP137" s="16"/>
      <c r="GS137" s="9"/>
      <c r="GT137" s="16"/>
      <c r="GU137" s="16"/>
      <c r="GV137" s="16"/>
      <c r="GW137" s="16"/>
      <c r="GX137" s="16"/>
      <c r="GY137" s="16"/>
      <c r="GZ137" s="16"/>
      <c r="HA137" s="16"/>
      <c r="HB137" s="16"/>
      <c r="HC137" s="16"/>
      <c r="HD137" s="16"/>
      <c r="HE137" s="16"/>
      <c r="HF137" s="16"/>
      <c r="HG137" s="16"/>
      <c r="HH137" s="16"/>
      <c r="HI137" s="16"/>
      <c r="HJ137" s="16"/>
      <c r="HK137" s="16"/>
      <c r="HL137" s="16"/>
      <c r="HM137" s="16"/>
      <c r="HN137" s="16"/>
      <c r="HQ137" s="9"/>
      <c r="HR137" s="16"/>
      <c r="HS137" s="16"/>
      <c r="HT137" s="16"/>
      <c r="HU137" s="16"/>
      <c r="HV137" s="16"/>
      <c r="HW137" s="16"/>
      <c r="HX137" s="16"/>
      <c r="HY137" s="16"/>
      <c r="HZ137" s="16"/>
      <c r="IA137" s="16"/>
      <c r="IB137" s="16"/>
      <c r="IC137" s="16"/>
      <c r="ID137" s="16"/>
      <c r="IE137" s="16"/>
      <c r="IF137" s="16"/>
      <c r="IG137" s="16"/>
      <c r="IH137" s="16"/>
      <c r="II137" s="16"/>
      <c r="IJ137" s="16"/>
      <c r="IK137" s="16"/>
      <c r="IL137" s="16"/>
      <c r="IO137" s="9"/>
      <c r="IP137" s="16"/>
      <c r="IQ137" s="16"/>
      <c r="IR137" s="16"/>
      <c r="IS137" s="16"/>
      <c r="IT137" s="16"/>
      <c r="IU137" s="16"/>
      <c r="IV137" s="16"/>
      <c r="IW137" s="16"/>
      <c r="IX137" s="16"/>
      <c r="IY137" s="16"/>
      <c r="IZ137" s="16"/>
      <c r="JA137" s="16"/>
      <c r="JB137" s="16"/>
      <c r="JC137" s="16"/>
      <c r="JD137" s="16"/>
      <c r="JE137" s="16"/>
      <c r="JF137" s="16"/>
      <c r="JG137" s="16"/>
      <c r="JH137" s="16"/>
      <c r="JI137" s="16"/>
      <c r="JJ137" s="16"/>
      <c r="JM137" s="9"/>
      <c r="JN137" s="16"/>
      <c r="JO137" s="16"/>
      <c r="JP137" s="16"/>
      <c r="JQ137" s="16"/>
      <c r="JR137" s="16"/>
      <c r="JS137" s="16"/>
      <c r="JT137" s="16"/>
      <c r="JU137" s="16"/>
      <c r="JV137" s="16"/>
      <c r="JW137" s="16"/>
      <c r="JX137" s="16"/>
      <c r="JY137" s="16"/>
      <c r="JZ137" s="16"/>
      <c r="KA137" s="16"/>
      <c r="KB137" s="16"/>
      <c r="KC137" s="16"/>
      <c r="KD137" s="16"/>
      <c r="KE137" s="16"/>
      <c r="KF137" s="16"/>
      <c r="KG137" s="16"/>
      <c r="KH137" s="16"/>
      <c r="KK137" s="9"/>
      <c r="KL137" s="16"/>
      <c r="KM137" s="16"/>
      <c r="KN137" s="16"/>
      <c r="KO137" s="16"/>
      <c r="KP137" s="16"/>
      <c r="KQ137" s="16"/>
      <c r="KR137" s="16"/>
      <c r="KS137" s="16"/>
      <c r="KT137" s="16"/>
      <c r="KU137" s="16"/>
      <c r="KV137" s="16"/>
      <c r="KW137" s="16"/>
      <c r="KX137" s="16"/>
      <c r="KY137" s="16"/>
      <c r="KZ137" s="16"/>
      <c r="LA137" s="16"/>
      <c r="LB137" s="16"/>
      <c r="LC137" s="16"/>
      <c r="LD137" s="16"/>
      <c r="LE137" s="16"/>
      <c r="LF137" s="16"/>
      <c r="LI137" s="9"/>
      <c r="LJ137" s="16"/>
      <c r="LK137" s="16"/>
      <c r="LL137" s="16"/>
      <c r="LM137" s="16"/>
      <c r="LN137" s="16"/>
      <c r="LO137" s="16"/>
      <c r="LP137" s="16"/>
      <c r="LQ137" s="16"/>
      <c r="LR137" s="16"/>
      <c r="LS137" s="16"/>
      <c r="LT137" s="16"/>
      <c r="LU137" s="16"/>
      <c r="LV137" s="16"/>
      <c r="LW137" s="16"/>
      <c r="LX137" s="16"/>
      <c r="LY137" s="16"/>
      <c r="LZ137" s="16"/>
      <c r="MA137" s="16"/>
      <c r="MB137" s="16"/>
      <c r="MC137" s="16"/>
      <c r="MD137" s="16"/>
      <c r="MG137" s="9"/>
      <c r="MH137" s="16"/>
      <c r="MI137" s="16"/>
      <c r="MJ137" s="16"/>
      <c r="MK137" s="16"/>
      <c r="ML137" s="16"/>
      <c r="MM137" s="16"/>
      <c r="MN137" s="16"/>
      <c r="MO137" s="16"/>
      <c r="MP137" s="16"/>
      <c r="MQ137" s="16"/>
      <c r="MR137" s="16"/>
      <c r="MS137" s="16"/>
      <c r="MT137" s="16"/>
      <c r="MU137" s="16"/>
      <c r="MV137" s="16"/>
      <c r="MW137" s="16"/>
      <c r="MX137" s="16"/>
      <c r="MY137" s="16"/>
      <c r="MZ137" s="16"/>
      <c r="NA137" s="16"/>
      <c r="NB137" s="16"/>
      <c r="NE137" s="9"/>
      <c r="NF137" s="16"/>
      <c r="NG137" s="16"/>
      <c r="NH137" s="16"/>
      <c r="NI137" s="16"/>
      <c r="NJ137" s="16"/>
      <c r="NK137" s="16"/>
      <c r="NL137" s="16"/>
      <c r="NM137" s="16"/>
      <c r="NN137" s="16"/>
      <c r="NO137" s="16"/>
      <c r="NP137" s="16"/>
      <c r="NQ137" s="16"/>
      <c r="NR137" s="16"/>
      <c r="NS137" s="16"/>
      <c r="NT137" s="16"/>
      <c r="NU137" s="16"/>
      <c r="NV137" s="16"/>
      <c r="NW137" s="16"/>
      <c r="NX137" s="16"/>
      <c r="NY137" s="16"/>
      <c r="NZ137" s="16"/>
      <c r="OC137" s="9"/>
      <c r="OD137" s="16"/>
      <c r="OE137" s="16"/>
      <c r="OF137" s="16"/>
      <c r="OG137" s="16"/>
      <c r="OH137" s="16"/>
      <c r="OI137" s="16"/>
      <c r="OJ137" s="16"/>
      <c r="OK137" s="16"/>
      <c r="OL137" s="16"/>
      <c r="OM137" s="16"/>
      <c r="ON137" s="16"/>
      <c r="OO137" s="16"/>
      <c r="OP137" s="16"/>
      <c r="OQ137" s="16"/>
      <c r="OR137" s="16"/>
      <c r="OS137" s="16"/>
      <c r="OT137" s="16"/>
      <c r="OU137" s="16"/>
      <c r="OV137" s="16"/>
      <c r="OW137" s="16"/>
      <c r="OX137" s="16"/>
      <c r="PA137" s="9"/>
      <c r="PB137" s="16"/>
      <c r="PC137" s="16"/>
      <c r="PD137" s="16"/>
      <c r="PE137" s="16"/>
      <c r="PF137" s="16"/>
      <c r="PG137" s="16"/>
      <c r="PH137" s="16"/>
      <c r="PI137" s="16"/>
      <c r="PJ137" s="16"/>
      <c r="PK137" s="16"/>
      <c r="PL137" s="16"/>
      <c r="PM137" s="16"/>
      <c r="PN137" s="16"/>
      <c r="PO137" s="16"/>
      <c r="PP137" s="16"/>
      <c r="PQ137" s="16"/>
      <c r="PR137" s="16"/>
      <c r="PS137" s="16"/>
      <c r="PT137" s="16"/>
      <c r="PU137" s="16"/>
      <c r="PV137" s="16"/>
    </row>
    <row r="138" spans="2:438" x14ac:dyDescent="0.25">
      <c r="C138" s="1"/>
      <c r="D138" s="1"/>
      <c r="I138" s="9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G138" s="9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E138" s="9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C138" s="9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DA138" s="9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Y138" s="9"/>
      <c r="DZ138" s="16"/>
      <c r="EA138" s="16"/>
      <c r="EB138" s="16"/>
      <c r="EC138" s="16"/>
      <c r="ED138" s="16"/>
      <c r="EE138" s="16"/>
      <c r="EF138" s="16"/>
      <c r="EG138" s="16"/>
      <c r="EH138" s="16"/>
      <c r="EI138" s="16"/>
      <c r="EJ138" s="16"/>
      <c r="EK138" s="16"/>
      <c r="EL138" s="16"/>
      <c r="EM138" s="16"/>
      <c r="EN138" s="16"/>
      <c r="EO138" s="16"/>
      <c r="EP138" s="16"/>
      <c r="EQ138" s="16"/>
      <c r="ER138" s="16"/>
      <c r="ES138" s="16"/>
      <c r="ET138" s="16"/>
      <c r="EW138" s="9"/>
      <c r="EX138" s="16"/>
      <c r="EY138" s="16"/>
      <c r="EZ138" s="16"/>
      <c r="FA138" s="16"/>
      <c r="FB138" s="16"/>
      <c r="FC138" s="16"/>
      <c r="FD138" s="16"/>
      <c r="FE138" s="16"/>
      <c r="FF138" s="16"/>
      <c r="FG138" s="16"/>
      <c r="FH138" s="16"/>
      <c r="FI138" s="16"/>
      <c r="FJ138" s="16"/>
      <c r="FK138" s="16"/>
      <c r="FL138" s="16"/>
      <c r="FM138" s="16"/>
      <c r="FN138" s="16"/>
      <c r="FO138" s="16"/>
      <c r="FP138" s="16"/>
      <c r="FQ138" s="16"/>
      <c r="FR138" s="16"/>
      <c r="FU138" s="9"/>
      <c r="FV138" s="16"/>
      <c r="FW138" s="16"/>
      <c r="FX138" s="16"/>
      <c r="FY138" s="16"/>
      <c r="FZ138" s="16"/>
      <c r="GA138" s="16"/>
      <c r="GB138" s="16"/>
      <c r="GC138" s="16"/>
      <c r="GD138" s="16"/>
      <c r="GE138" s="16"/>
      <c r="GF138" s="16"/>
      <c r="GG138" s="16"/>
      <c r="GH138" s="16"/>
      <c r="GI138" s="16"/>
      <c r="GJ138" s="16"/>
      <c r="GK138" s="16"/>
      <c r="GL138" s="16"/>
      <c r="GM138" s="16"/>
      <c r="GN138" s="16"/>
      <c r="GO138" s="16"/>
      <c r="GP138" s="16"/>
      <c r="GS138" s="9"/>
      <c r="GT138" s="16"/>
      <c r="GU138" s="16"/>
      <c r="GV138" s="16"/>
      <c r="GW138" s="16"/>
      <c r="GX138" s="16"/>
      <c r="GY138" s="16"/>
      <c r="GZ138" s="16"/>
      <c r="HA138" s="16"/>
      <c r="HB138" s="16"/>
      <c r="HC138" s="16"/>
      <c r="HD138" s="16"/>
      <c r="HE138" s="16"/>
      <c r="HF138" s="16"/>
      <c r="HG138" s="16"/>
      <c r="HH138" s="16"/>
      <c r="HI138" s="16"/>
      <c r="HJ138" s="16"/>
      <c r="HK138" s="16"/>
      <c r="HL138" s="16"/>
      <c r="HM138" s="16"/>
      <c r="HN138" s="16"/>
      <c r="HQ138" s="9"/>
      <c r="HR138" s="16"/>
      <c r="HS138" s="16"/>
      <c r="HT138" s="16"/>
      <c r="HU138" s="16"/>
      <c r="HV138" s="16"/>
      <c r="HW138" s="16"/>
      <c r="HX138" s="16"/>
      <c r="HY138" s="16"/>
      <c r="HZ138" s="16"/>
      <c r="IA138" s="16"/>
      <c r="IB138" s="16"/>
      <c r="IC138" s="16"/>
      <c r="ID138" s="16"/>
      <c r="IE138" s="16"/>
      <c r="IF138" s="16"/>
      <c r="IG138" s="16"/>
      <c r="IH138" s="16"/>
      <c r="II138" s="16"/>
      <c r="IJ138" s="16"/>
      <c r="IK138" s="16"/>
      <c r="IL138" s="16"/>
      <c r="IO138" s="9"/>
      <c r="IP138" s="16"/>
      <c r="IQ138" s="16"/>
      <c r="IR138" s="16"/>
      <c r="IS138" s="16"/>
      <c r="IT138" s="16"/>
      <c r="IU138" s="16"/>
      <c r="IV138" s="16"/>
      <c r="IW138" s="16"/>
      <c r="IX138" s="16"/>
      <c r="IY138" s="16"/>
      <c r="IZ138" s="16"/>
      <c r="JA138" s="16"/>
      <c r="JB138" s="16"/>
      <c r="JC138" s="16"/>
      <c r="JD138" s="16"/>
      <c r="JE138" s="16"/>
      <c r="JF138" s="16"/>
      <c r="JG138" s="16"/>
      <c r="JH138" s="16"/>
      <c r="JI138" s="16"/>
      <c r="JJ138" s="16"/>
      <c r="JM138" s="9"/>
      <c r="JN138" s="16"/>
      <c r="JO138" s="16"/>
      <c r="JP138" s="16"/>
      <c r="JQ138" s="16"/>
      <c r="JR138" s="16"/>
      <c r="JS138" s="16"/>
      <c r="JT138" s="16"/>
      <c r="JU138" s="16"/>
      <c r="JV138" s="16"/>
      <c r="JW138" s="16"/>
      <c r="JX138" s="16"/>
      <c r="JY138" s="16"/>
      <c r="JZ138" s="16"/>
      <c r="KA138" s="16"/>
      <c r="KB138" s="16"/>
      <c r="KC138" s="16"/>
      <c r="KD138" s="16"/>
      <c r="KE138" s="16"/>
      <c r="KF138" s="16"/>
      <c r="KG138" s="16"/>
      <c r="KH138" s="16"/>
      <c r="KK138" s="9"/>
      <c r="KL138" s="16"/>
      <c r="KM138" s="16"/>
      <c r="KN138" s="16"/>
      <c r="KO138" s="16"/>
      <c r="KP138" s="16"/>
      <c r="KQ138" s="16"/>
      <c r="KR138" s="16"/>
      <c r="KS138" s="16"/>
      <c r="KT138" s="16"/>
      <c r="KU138" s="16"/>
      <c r="KV138" s="16"/>
      <c r="KW138" s="16"/>
      <c r="KX138" s="16"/>
      <c r="KY138" s="16"/>
      <c r="KZ138" s="16"/>
      <c r="LA138" s="16"/>
      <c r="LB138" s="16"/>
      <c r="LC138" s="16"/>
      <c r="LD138" s="16"/>
      <c r="LE138" s="16"/>
      <c r="LF138" s="16"/>
      <c r="LI138" s="9"/>
      <c r="LJ138" s="16"/>
      <c r="LK138" s="16"/>
      <c r="LL138" s="16"/>
      <c r="LM138" s="16"/>
      <c r="LN138" s="16"/>
      <c r="LO138" s="16"/>
      <c r="LP138" s="16"/>
      <c r="LQ138" s="16"/>
      <c r="LR138" s="16"/>
      <c r="LS138" s="16"/>
      <c r="LT138" s="16"/>
      <c r="LU138" s="16"/>
      <c r="LV138" s="16"/>
      <c r="LW138" s="16"/>
      <c r="LX138" s="16"/>
      <c r="LY138" s="16"/>
      <c r="LZ138" s="16"/>
      <c r="MA138" s="16"/>
      <c r="MB138" s="16"/>
      <c r="MC138" s="16"/>
      <c r="MD138" s="16"/>
      <c r="MG138" s="9"/>
      <c r="MH138" s="16"/>
      <c r="MI138" s="16"/>
      <c r="MJ138" s="16"/>
      <c r="MK138" s="16"/>
      <c r="ML138" s="16"/>
      <c r="MM138" s="16"/>
      <c r="MN138" s="16"/>
      <c r="MO138" s="16"/>
      <c r="MP138" s="16"/>
      <c r="MQ138" s="16"/>
      <c r="MR138" s="16"/>
      <c r="MS138" s="16"/>
      <c r="MT138" s="16"/>
      <c r="MU138" s="16"/>
      <c r="MV138" s="16"/>
      <c r="MW138" s="16"/>
      <c r="MX138" s="16"/>
      <c r="MY138" s="16"/>
      <c r="MZ138" s="16"/>
      <c r="NA138" s="16"/>
      <c r="NB138" s="16"/>
      <c r="NE138" s="9"/>
      <c r="NF138" s="16"/>
      <c r="NG138" s="16"/>
      <c r="NH138" s="16"/>
      <c r="NI138" s="16"/>
      <c r="NJ138" s="16"/>
      <c r="NK138" s="16"/>
      <c r="NL138" s="16"/>
      <c r="NM138" s="16"/>
      <c r="NN138" s="16"/>
      <c r="NO138" s="16"/>
      <c r="NP138" s="16"/>
      <c r="NQ138" s="16"/>
      <c r="NR138" s="16"/>
      <c r="NS138" s="16"/>
      <c r="NT138" s="16"/>
      <c r="NU138" s="16"/>
      <c r="NV138" s="16"/>
      <c r="NW138" s="16"/>
      <c r="NX138" s="16"/>
      <c r="NY138" s="16"/>
      <c r="NZ138" s="16"/>
      <c r="OC138" s="9"/>
      <c r="OD138" s="16"/>
      <c r="OE138" s="16"/>
      <c r="OF138" s="16"/>
      <c r="OG138" s="16"/>
      <c r="OH138" s="16"/>
      <c r="OI138" s="16"/>
      <c r="OJ138" s="16"/>
      <c r="OK138" s="16"/>
      <c r="OL138" s="16"/>
      <c r="OM138" s="16"/>
      <c r="ON138" s="16"/>
      <c r="OO138" s="16"/>
      <c r="OP138" s="16"/>
      <c r="OQ138" s="16"/>
      <c r="OR138" s="16"/>
      <c r="OS138" s="16"/>
      <c r="OT138" s="16"/>
      <c r="OU138" s="16"/>
      <c r="OV138" s="16"/>
      <c r="OW138" s="16"/>
      <c r="OX138" s="16"/>
      <c r="PA138" s="9"/>
      <c r="PB138" s="16"/>
      <c r="PC138" s="16"/>
      <c r="PD138" s="16"/>
      <c r="PE138" s="16"/>
      <c r="PF138" s="16"/>
      <c r="PG138" s="16"/>
      <c r="PH138" s="16"/>
      <c r="PI138" s="16"/>
      <c r="PJ138" s="16"/>
      <c r="PK138" s="16"/>
      <c r="PL138" s="16"/>
      <c r="PM138" s="16"/>
      <c r="PN138" s="16"/>
      <c r="PO138" s="16"/>
      <c r="PP138" s="16"/>
      <c r="PQ138" s="16"/>
      <c r="PR138" s="16"/>
      <c r="PS138" s="16"/>
      <c r="PT138" s="16"/>
      <c r="PU138" s="16"/>
      <c r="PV138" s="16"/>
    </row>
    <row r="139" spans="2:438" x14ac:dyDescent="0.25">
      <c r="C139" s="1"/>
      <c r="D139" s="1"/>
      <c r="I139" s="9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G139" s="9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E139" s="9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C139" s="9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DA139" s="9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Y139" s="9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W139" s="9"/>
      <c r="EX139" s="16"/>
      <c r="EY139" s="16"/>
      <c r="EZ139" s="16"/>
      <c r="FA139" s="16"/>
      <c r="FB139" s="16"/>
      <c r="FC139" s="16"/>
      <c r="FD139" s="16"/>
      <c r="FE139" s="16"/>
      <c r="FF139" s="16"/>
      <c r="FG139" s="16"/>
      <c r="FH139" s="16"/>
      <c r="FI139" s="16"/>
      <c r="FJ139" s="16"/>
      <c r="FK139" s="16"/>
      <c r="FL139" s="16"/>
      <c r="FM139" s="16"/>
      <c r="FN139" s="16"/>
      <c r="FO139" s="16"/>
      <c r="FP139" s="16"/>
      <c r="FQ139" s="16"/>
      <c r="FR139" s="16"/>
      <c r="FU139" s="9"/>
      <c r="FV139" s="16"/>
      <c r="FW139" s="16"/>
      <c r="FX139" s="16"/>
      <c r="FY139" s="16"/>
      <c r="FZ139" s="16"/>
      <c r="GA139" s="16"/>
      <c r="GB139" s="16"/>
      <c r="GC139" s="16"/>
      <c r="GD139" s="16"/>
      <c r="GE139" s="16"/>
      <c r="GF139" s="16"/>
      <c r="GG139" s="16"/>
      <c r="GH139" s="16"/>
      <c r="GI139" s="16"/>
      <c r="GJ139" s="16"/>
      <c r="GK139" s="16"/>
      <c r="GL139" s="16"/>
      <c r="GM139" s="16"/>
      <c r="GN139" s="16"/>
      <c r="GO139" s="16"/>
      <c r="GP139" s="16"/>
      <c r="GS139" s="9"/>
      <c r="GT139" s="16"/>
      <c r="GU139" s="16"/>
      <c r="GV139" s="16"/>
      <c r="GW139" s="16"/>
      <c r="GX139" s="16"/>
      <c r="GY139" s="16"/>
      <c r="GZ139" s="16"/>
      <c r="HA139" s="16"/>
      <c r="HB139" s="16"/>
      <c r="HC139" s="16"/>
      <c r="HD139" s="16"/>
      <c r="HE139" s="16"/>
      <c r="HF139" s="16"/>
      <c r="HG139" s="16"/>
      <c r="HH139" s="16"/>
      <c r="HI139" s="16"/>
      <c r="HJ139" s="16"/>
      <c r="HK139" s="16"/>
      <c r="HL139" s="16"/>
      <c r="HM139" s="16"/>
      <c r="HN139" s="16"/>
      <c r="HQ139" s="9"/>
      <c r="HR139" s="16"/>
      <c r="HS139" s="16"/>
      <c r="HT139" s="16"/>
      <c r="HU139" s="16"/>
      <c r="HV139" s="16"/>
      <c r="HW139" s="16"/>
      <c r="HX139" s="16"/>
      <c r="HY139" s="16"/>
      <c r="HZ139" s="16"/>
      <c r="IA139" s="16"/>
      <c r="IB139" s="16"/>
      <c r="IC139" s="16"/>
      <c r="ID139" s="16"/>
      <c r="IE139" s="16"/>
      <c r="IF139" s="16"/>
      <c r="IG139" s="16"/>
      <c r="IH139" s="16"/>
      <c r="II139" s="16"/>
      <c r="IJ139" s="16"/>
      <c r="IK139" s="16"/>
      <c r="IL139" s="16"/>
      <c r="IO139" s="9"/>
      <c r="IP139" s="16"/>
      <c r="IQ139" s="16"/>
      <c r="IR139" s="16"/>
      <c r="IS139" s="16"/>
      <c r="IT139" s="16"/>
      <c r="IU139" s="16"/>
      <c r="IV139" s="16"/>
      <c r="IW139" s="16"/>
      <c r="IX139" s="16"/>
      <c r="IY139" s="16"/>
      <c r="IZ139" s="16"/>
      <c r="JA139" s="16"/>
      <c r="JB139" s="16"/>
      <c r="JC139" s="16"/>
      <c r="JD139" s="16"/>
      <c r="JE139" s="16"/>
      <c r="JF139" s="16"/>
      <c r="JG139" s="16"/>
      <c r="JH139" s="16"/>
      <c r="JI139" s="16"/>
      <c r="JJ139" s="16"/>
      <c r="JM139" s="9"/>
      <c r="JN139" s="16"/>
      <c r="JO139" s="16"/>
      <c r="JP139" s="16"/>
      <c r="JQ139" s="16"/>
      <c r="JR139" s="16"/>
      <c r="JS139" s="16"/>
      <c r="JT139" s="16"/>
      <c r="JU139" s="16"/>
      <c r="JV139" s="16"/>
      <c r="JW139" s="16"/>
      <c r="JX139" s="16"/>
      <c r="JY139" s="16"/>
      <c r="JZ139" s="16"/>
      <c r="KA139" s="16"/>
      <c r="KB139" s="16"/>
      <c r="KC139" s="16"/>
      <c r="KD139" s="16"/>
      <c r="KE139" s="16"/>
      <c r="KF139" s="16"/>
      <c r="KG139" s="16"/>
      <c r="KH139" s="16"/>
      <c r="KK139" s="9"/>
      <c r="KL139" s="16"/>
      <c r="KM139" s="16"/>
      <c r="KN139" s="16"/>
      <c r="KO139" s="16"/>
      <c r="KP139" s="16"/>
      <c r="KQ139" s="16"/>
      <c r="KR139" s="16"/>
      <c r="KS139" s="16"/>
      <c r="KT139" s="16"/>
      <c r="KU139" s="16"/>
      <c r="KV139" s="16"/>
      <c r="KW139" s="16"/>
      <c r="KX139" s="16"/>
      <c r="KY139" s="16"/>
      <c r="KZ139" s="16"/>
      <c r="LA139" s="16"/>
      <c r="LB139" s="16"/>
      <c r="LC139" s="16"/>
      <c r="LD139" s="16"/>
      <c r="LE139" s="16"/>
      <c r="LF139" s="16"/>
      <c r="LI139" s="9"/>
      <c r="LJ139" s="16"/>
      <c r="LK139" s="16"/>
      <c r="LL139" s="16"/>
      <c r="LM139" s="16"/>
      <c r="LN139" s="16"/>
      <c r="LO139" s="16"/>
      <c r="LP139" s="16"/>
      <c r="LQ139" s="16"/>
      <c r="LR139" s="16"/>
      <c r="LS139" s="16"/>
      <c r="LT139" s="16"/>
      <c r="LU139" s="16"/>
      <c r="LV139" s="16"/>
      <c r="LW139" s="16"/>
      <c r="LX139" s="16"/>
      <c r="LY139" s="16"/>
      <c r="LZ139" s="16"/>
      <c r="MA139" s="16"/>
      <c r="MB139" s="16"/>
      <c r="MC139" s="16"/>
      <c r="MD139" s="16"/>
      <c r="MG139" s="9"/>
      <c r="MH139" s="16"/>
      <c r="MI139" s="16"/>
      <c r="MJ139" s="16"/>
      <c r="MK139" s="16"/>
      <c r="ML139" s="16"/>
      <c r="MM139" s="16"/>
      <c r="MN139" s="16"/>
      <c r="MO139" s="16"/>
      <c r="MP139" s="16"/>
      <c r="MQ139" s="16"/>
      <c r="MR139" s="16"/>
      <c r="MS139" s="16"/>
      <c r="MT139" s="16"/>
      <c r="MU139" s="16"/>
      <c r="MV139" s="16"/>
      <c r="MW139" s="16"/>
      <c r="MX139" s="16"/>
      <c r="MY139" s="16"/>
      <c r="MZ139" s="16"/>
      <c r="NA139" s="16"/>
      <c r="NB139" s="16"/>
      <c r="NE139" s="9"/>
      <c r="NF139" s="16"/>
      <c r="NG139" s="16"/>
      <c r="NH139" s="16"/>
      <c r="NI139" s="16"/>
      <c r="NJ139" s="16"/>
      <c r="NK139" s="16"/>
      <c r="NL139" s="16"/>
      <c r="NM139" s="16"/>
      <c r="NN139" s="16"/>
      <c r="NO139" s="16"/>
      <c r="NP139" s="16"/>
      <c r="NQ139" s="16"/>
      <c r="NR139" s="16"/>
      <c r="NS139" s="16"/>
      <c r="NT139" s="16"/>
      <c r="NU139" s="16"/>
      <c r="NV139" s="16"/>
      <c r="NW139" s="16"/>
      <c r="NX139" s="16"/>
      <c r="NY139" s="16"/>
      <c r="NZ139" s="16"/>
      <c r="OC139" s="9"/>
      <c r="OD139" s="16"/>
      <c r="OE139" s="16"/>
      <c r="OF139" s="16"/>
      <c r="OG139" s="16"/>
      <c r="OH139" s="16"/>
      <c r="OI139" s="16"/>
      <c r="OJ139" s="16"/>
      <c r="OK139" s="16"/>
      <c r="OL139" s="16"/>
      <c r="OM139" s="16"/>
      <c r="ON139" s="16"/>
      <c r="OO139" s="16"/>
      <c r="OP139" s="16"/>
      <c r="OQ139" s="16"/>
      <c r="OR139" s="16"/>
      <c r="OS139" s="16"/>
      <c r="OT139" s="16"/>
      <c r="OU139" s="16"/>
      <c r="OV139" s="16"/>
      <c r="OW139" s="16"/>
      <c r="OX139" s="16"/>
      <c r="PA139" s="9"/>
      <c r="PB139" s="16"/>
      <c r="PC139" s="16"/>
      <c r="PD139" s="16"/>
      <c r="PE139" s="16"/>
      <c r="PF139" s="16"/>
      <c r="PG139" s="16"/>
      <c r="PH139" s="16"/>
      <c r="PI139" s="16"/>
      <c r="PJ139" s="16"/>
      <c r="PK139" s="16"/>
      <c r="PL139" s="16"/>
      <c r="PM139" s="16"/>
      <c r="PN139" s="16"/>
      <c r="PO139" s="16"/>
      <c r="PP139" s="16"/>
      <c r="PQ139" s="16"/>
      <c r="PR139" s="16"/>
      <c r="PS139" s="16"/>
      <c r="PT139" s="16"/>
      <c r="PU139" s="16"/>
      <c r="PV139" s="16"/>
    </row>
    <row r="140" spans="2:438" x14ac:dyDescent="0.25">
      <c r="C140" s="1"/>
      <c r="D140" s="1"/>
      <c r="I140" s="9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G140" s="9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E140" s="9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C140" s="9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DA140" s="9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Y140" s="9"/>
      <c r="DZ140" s="16"/>
      <c r="EA140" s="16"/>
      <c r="EB140" s="16"/>
      <c r="EC140" s="16"/>
      <c r="ED140" s="16"/>
      <c r="EE140" s="16"/>
      <c r="EF140" s="16"/>
      <c r="EG140" s="16"/>
      <c r="EH140" s="16"/>
      <c r="EI140" s="16"/>
      <c r="EJ140" s="16"/>
      <c r="EK140" s="16"/>
      <c r="EL140" s="16"/>
      <c r="EM140" s="16"/>
      <c r="EN140" s="16"/>
      <c r="EO140" s="16"/>
      <c r="EP140" s="16"/>
      <c r="EQ140" s="16"/>
      <c r="ER140" s="16"/>
      <c r="ES140" s="16"/>
      <c r="ET140" s="16"/>
      <c r="EW140" s="9"/>
      <c r="EX140" s="16"/>
      <c r="EY140" s="16"/>
      <c r="EZ140" s="16"/>
      <c r="FA140" s="16"/>
      <c r="FB140" s="16"/>
      <c r="FC140" s="16"/>
      <c r="FD140" s="16"/>
      <c r="FE140" s="16"/>
      <c r="FF140" s="16"/>
      <c r="FG140" s="16"/>
      <c r="FH140" s="16"/>
      <c r="FI140" s="16"/>
      <c r="FJ140" s="16"/>
      <c r="FK140" s="16"/>
      <c r="FL140" s="16"/>
      <c r="FM140" s="16"/>
      <c r="FN140" s="16"/>
      <c r="FO140" s="16"/>
      <c r="FP140" s="16"/>
      <c r="FQ140" s="16"/>
      <c r="FR140" s="16"/>
      <c r="FU140" s="9"/>
      <c r="FV140" s="16"/>
      <c r="FW140" s="16"/>
      <c r="FX140" s="16"/>
      <c r="FY140" s="16"/>
      <c r="FZ140" s="16"/>
      <c r="GA140" s="16"/>
      <c r="GB140" s="16"/>
      <c r="GC140" s="16"/>
      <c r="GD140" s="16"/>
      <c r="GE140" s="16"/>
      <c r="GF140" s="16"/>
      <c r="GG140" s="16"/>
      <c r="GH140" s="16"/>
      <c r="GI140" s="16"/>
      <c r="GJ140" s="16"/>
      <c r="GK140" s="16"/>
      <c r="GL140" s="16"/>
      <c r="GM140" s="16"/>
      <c r="GN140" s="16"/>
      <c r="GO140" s="16"/>
      <c r="GP140" s="16"/>
      <c r="GS140" s="9"/>
      <c r="GT140" s="16"/>
      <c r="GU140" s="16"/>
      <c r="GV140" s="16"/>
      <c r="GW140" s="16"/>
      <c r="GX140" s="16"/>
      <c r="GY140" s="16"/>
      <c r="GZ140" s="16"/>
      <c r="HA140" s="16"/>
      <c r="HB140" s="16"/>
      <c r="HC140" s="16"/>
      <c r="HD140" s="16"/>
      <c r="HE140" s="16"/>
      <c r="HF140" s="16"/>
      <c r="HG140" s="16"/>
      <c r="HH140" s="16"/>
      <c r="HI140" s="16"/>
      <c r="HJ140" s="16"/>
      <c r="HK140" s="16"/>
      <c r="HL140" s="16"/>
      <c r="HM140" s="16"/>
      <c r="HN140" s="16"/>
      <c r="HQ140" s="9"/>
      <c r="HR140" s="16"/>
      <c r="HS140" s="16"/>
      <c r="HT140" s="16"/>
      <c r="HU140" s="16"/>
      <c r="HV140" s="16"/>
      <c r="HW140" s="16"/>
      <c r="HX140" s="16"/>
      <c r="HY140" s="16"/>
      <c r="HZ140" s="16"/>
      <c r="IA140" s="16"/>
      <c r="IB140" s="16"/>
      <c r="IC140" s="16"/>
      <c r="ID140" s="16"/>
      <c r="IE140" s="16"/>
      <c r="IF140" s="16"/>
      <c r="IG140" s="16"/>
      <c r="IH140" s="16"/>
      <c r="II140" s="16"/>
      <c r="IJ140" s="16"/>
      <c r="IK140" s="16"/>
      <c r="IL140" s="16"/>
      <c r="IO140" s="9"/>
      <c r="IP140" s="16"/>
      <c r="IQ140" s="16"/>
      <c r="IR140" s="16"/>
      <c r="IS140" s="16"/>
      <c r="IT140" s="16"/>
      <c r="IU140" s="16"/>
      <c r="IV140" s="16"/>
      <c r="IW140" s="16"/>
      <c r="IX140" s="16"/>
      <c r="IY140" s="16"/>
      <c r="IZ140" s="16"/>
      <c r="JA140" s="16"/>
      <c r="JB140" s="16"/>
      <c r="JC140" s="16"/>
      <c r="JD140" s="16"/>
      <c r="JE140" s="16"/>
      <c r="JF140" s="16"/>
      <c r="JG140" s="16"/>
      <c r="JH140" s="16"/>
      <c r="JI140" s="16"/>
      <c r="JJ140" s="16"/>
      <c r="JM140" s="9"/>
      <c r="JN140" s="16"/>
      <c r="JO140" s="16"/>
      <c r="JP140" s="16"/>
      <c r="JQ140" s="16"/>
      <c r="JR140" s="16"/>
      <c r="JS140" s="16"/>
      <c r="JT140" s="16"/>
      <c r="JU140" s="16"/>
      <c r="JV140" s="16"/>
      <c r="JW140" s="16"/>
      <c r="JX140" s="16"/>
      <c r="JY140" s="16"/>
      <c r="JZ140" s="16"/>
      <c r="KA140" s="16"/>
      <c r="KB140" s="16"/>
      <c r="KC140" s="16"/>
      <c r="KD140" s="16"/>
      <c r="KE140" s="16"/>
      <c r="KF140" s="16"/>
      <c r="KG140" s="16"/>
      <c r="KH140" s="16"/>
      <c r="KK140" s="9"/>
      <c r="KL140" s="16"/>
      <c r="KM140" s="16"/>
      <c r="KN140" s="16"/>
      <c r="KO140" s="16"/>
      <c r="KP140" s="16"/>
      <c r="KQ140" s="16"/>
      <c r="KR140" s="16"/>
      <c r="KS140" s="16"/>
      <c r="KT140" s="16"/>
      <c r="KU140" s="16"/>
      <c r="KV140" s="16"/>
      <c r="KW140" s="16"/>
      <c r="KX140" s="16"/>
      <c r="KY140" s="16"/>
      <c r="KZ140" s="16"/>
      <c r="LA140" s="16"/>
      <c r="LB140" s="16"/>
      <c r="LC140" s="16"/>
      <c r="LD140" s="16"/>
      <c r="LE140" s="16"/>
      <c r="LF140" s="16"/>
      <c r="LI140" s="9"/>
      <c r="LJ140" s="16"/>
      <c r="LK140" s="16"/>
      <c r="LL140" s="16"/>
      <c r="LM140" s="16"/>
      <c r="LN140" s="16"/>
      <c r="LO140" s="16"/>
      <c r="LP140" s="16"/>
      <c r="LQ140" s="16"/>
      <c r="LR140" s="16"/>
      <c r="LS140" s="16"/>
      <c r="LT140" s="16"/>
      <c r="LU140" s="16"/>
      <c r="LV140" s="16"/>
      <c r="LW140" s="16"/>
      <c r="LX140" s="16"/>
      <c r="LY140" s="16"/>
      <c r="LZ140" s="16"/>
      <c r="MA140" s="16"/>
      <c r="MB140" s="16"/>
      <c r="MC140" s="16"/>
      <c r="MD140" s="16"/>
      <c r="MG140" s="9"/>
      <c r="MH140" s="16"/>
      <c r="MI140" s="16"/>
      <c r="MJ140" s="16"/>
      <c r="MK140" s="16"/>
      <c r="ML140" s="16"/>
      <c r="MM140" s="16"/>
      <c r="MN140" s="16"/>
      <c r="MO140" s="16"/>
      <c r="MP140" s="16"/>
      <c r="MQ140" s="16"/>
      <c r="MR140" s="16"/>
      <c r="MS140" s="16"/>
      <c r="MT140" s="16"/>
      <c r="MU140" s="16"/>
      <c r="MV140" s="16"/>
      <c r="MW140" s="16"/>
      <c r="MX140" s="16"/>
      <c r="MY140" s="16"/>
      <c r="MZ140" s="16"/>
      <c r="NA140" s="16"/>
      <c r="NB140" s="16"/>
      <c r="NE140" s="9"/>
      <c r="NF140" s="16"/>
      <c r="NG140" s="16"/>
      <c r="NH140" s="16"/>
      <c r="NI140" s="16"/>
      <c r="NJ140" s="16"/>
      <c r="NK140" s="16"/>
      <c r="NL140" s="16"/>
      <c r="NM140" s="16"/>
      <c r="NN140" s="16"/>
      <c r="NO140" s="16"/>
      <c r="NP140" s="16"/>
      <c r="NQ140" s="16"/>
      <c r="NR140" s="16"/>
      <c r="NS140" s="16"/>
      <c r="NT140" s="16"/>
      <c r="NU140" s="16"/>
      <c r="NV140" s="16"/>
      <c r="NW140" s="16"/>
      <c r="NX140" s="16"/>
      <c r="NY140" s="16"/>
      <c r="NZ140" s="16"/>
      <c r="OC140" s="9"/>
      <c r="OD140" s="16"/>
      <c r="OE140" s="16"/>
      <c r="OF140" s="16"/>
      <c r="OG140" s="16"/>
      <c r="OH140" s="16"/>
      <c r="OI140" s="16"/>
      <c r="OJ140" s="16"/>
      <c r="OK140" s="16"/>
      <c r="OL140" s="16"/>
      <c r="OM140" s="16"/>
      <c r="ON140" s="16"/>
      <c r="OO140" s="16"/>
      <c r="OP140" s="16"/>
      <c r="OQ140" s="16"/>
      <c r="OR140" s="16"/>
      <c r="OS140" s="16"/>
      <c r="OT140" s="16"/>
      <c r="OU140" s="16"/>
      <c r="OV140" s="16"/>
      <c r="OW140" s="16"/>
      <c r="OX140" s="16"/>
      <c r="PA140" s="9"/>
      <c r="PB140" s="16"/>
      <c r="PC140" s="16"/>
      <c r="PD140" s="16"/>
      <c r="PE140" s="16"/>
      <c r="PF140" s="16"/>
      <c r="PG140" s="16"/>
      <c r="PH140" s="16"/>
      <c r="PI140" s="16"/>
      <c r="PJ140" s="16"/>
      <c r="PK140" s="16"/>
      <c r="PL140" s="16"/>
      <c r="PM140" s="16"/>
      <c r="PN140" s="16"/>
      <c r="PO140" s="16"/>
      <c r="PP140" s="16"/>
      <c r="PQ140" s="16"/>
      <c r="PR140" s="16"/>
      <c r="PS140" s="16"/>
      <c r="PT140" s="16"/>
      <c r="PU140" s="16"/>
      <c r="PV140" s="16"/>
    </row>
    <row r="141" spans="2:438" x14ac:dyDescent="0.25">
      <c r="C141" s="1"/>
      <c r="D141" s="1"/>
      <c r="I141" s="9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G141" s="9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E141" s="9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C141" s="9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DA141" s="9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Y141" s="9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/>
      <c r="EW141" s="9"/>
      <c r="EX141" s="16"/>
      <c r="EY141" s="16"/>
      <c r="EZ141" s="16"/>
      <c r="FA141" s="16"/>
      <c r="FB141" s="16"/>
      <c r="FC141" s="16"/>
      <c r="FD141" s="16"/>
      <c r="FE141" s="16"/>
      <c r="FF141" s="16"/>
      <c r="FG141" s="16"/>
      <c r="FH141" s="16"/>
      <c r="FI141" s="16"/>
      <c r="FJ141" s="16"/>
      <c r="FK141" s="16"/>
      <c r="FL141" s="16"/>
      <c r="FM141" s="16"/>
      <c r="FN141" s="16"/>
      <c r="FO141" s="16"/>
      <c r="FP141" s="16"/>
      <c r="FQ141" s="16"/>
      <c r="FR141" s="16"/>
      <c r="FU141" s="9"/>
      <c r="FV141" s="16"/>
      <c r="FW141" s="16"/>
      <c r="FX141" s="16"/>
      <c r="FY141" s="16"/>
      <c r="FZ141" s="16"/>
      <c r="GA141" s="16"/>
      <c r="GB141" s="16"/>
      <c r="GC141" s="16"/>
      <c r="GD141" s="16"/>
      <c r="GE141" s="16"/>
      <c r="GF141" s="16"/>
      <c r="GG141" s="16"/>
      <c r="GH141" s="16"/>
      <c r="GI141" s="16"/>
      <c r="GJ141" s="16"/>
      <c r="GK141" s="16"/>
      <c r="GL141" s="16"/>
      <c r="GM141" s="16"/>
      <c r="GN141" s="16"/>
      <c r="GO141" s="16"/>
      <c r="GP141" s="16"/>
      <c r="GS141" s="9"/>
      <c r="GT141" s="16"/>
      <c r="GU141" s="16"/>
      <c r="GV141" s="16"/>
      <c r="GW141" s="16"/>
      <c r="GX141" s="16"/>
      <c r="GY141" s="16"/>
      <c r="GZ141" s="16"/>
      <c r="HA141" s="16"/>
      <c r="HB141" s="16"/>
      <c r="HC141" s="16"/>
      <c r="HD141" s="16"/>
      <c r="HE141" s="16"/>
      <c r="HF141" s="16"/>
      <c r="HG141" s="16"/>
      <c r="HH141" s="16"/>
      <c r="HI141" s="16"/>
      <c r="HJ141" s="16"/>
      <c r="HK141" s="16"/>
      <c r="HL141" s="16"/>
      <c r="HM141" s="16"/>
      <c r="HN141" s="16"/>
      <c r="HQ141" s="9"/>
      <c r="HR141" s="16"/>
      <c r="HS141" s="16"/>
      <c r="HT141" s="16"/>
      <c r="HU141" s="16"/>
      <c r="HV141" s="16"/>
      <c r="HW141" s="16"/>
      <c r="HX141" s="16"/>
      <c r="HY141" s="16"/>
      <c r="HZ141" s="16"/>
      <c r="IA141" s="16"/>
      <c r="IB141" s="16"/>
      <c r="IC141" s="16"/>
      <c r="ID141" s="16"/>
      <c r="IE141" s="16"/>
      <c r="IF141" s="16"/>
      <c r="IG141" s="16"/>
      <c r="IH141" s="16"/>
      <c r="II141" s="16"/>
      <c r="IJ141" s="16"/>
      <c r="IK141" s="16"/>
      <c r="IL141" s="16"/>
      <c r="IO141" s="9"/>
      <c r="IP141" s="16"/>
      <c r="IQ141" s="16"/>
      <c r="IR141" s="16"/>
      <c r="IS141" s="16"/>
      <c r="IT141" s="16"/>
      <c r="IU141" s="16"/>
      <c r="IV141" s="16"/>
      <c r="IW141" s="16"/>
      <c r="IX141" s="16"/>
      <c r="IY141" s="16"/>
      <c r="IZ141" s="16"/>
      <c r="JA141" s="16"/>
      <c r="JB141" s="16"/>
      <c r="JC141" s="16"/>
      <c r="JD141" s="16"/>
      <c r="JE141" s="16"/>
      <c r="JF141" s="16"/>
      <c r="JG141" s="16"/>
      <c r="JH141" s="16"/>
      <c r="JI141" s="16"/>
      <c r="JJ141" s="16"/>
      <c r="JM141" s="9"/>
      <c r="JN141" s="16"/>
      <c r="JO141" s="16"/>
      <c r="JP141" s="16"/>
      <c r="JQ141" s="16"/>
      <c r="JR141" s="16"/>
      <c r="JS141" s="16"/>
      <c r="JT141" s="16"/>
      <c r="JU141" s="16"/>
      <c r="JV141" s="16"/>
      <c r="JW141" s="16"/>
      <c r="JX141" s="16"/>
      <c r="JY141" s="16"/>
      <c r="JZ141" s="16"/>
      <c r="KA141" s="16"/>
      <c r="KB141" s="16"/>
      <c r="KC141" s="16"/>
      <c r="KD141" s="16"/>
      <c r="KE141" s="16"/>
      <c r="KF141" s="16"/>
      <c r="KG141" s="16"/>
      <c r="KH141" s="16"/>
      <c r="KK141" s="9"/>
      <c r="KL141" s="16"/>
      <c r="KM141" s="16"/>
      <c r="KN141" s="16"/>
      <c r="KO141" s="16"/>
      <c r="KP141" s="16"/>
      <c r="KQ141" s="16"/>
      <c r="KR141" s="16"/>
      <c r="KS141" s="16"/>
      <c r="KT141" s="16"/>
      <c r="KU141" s="16"/>
      <c r="KV141" s="16"/>
      <c r="KW141" s="16"/>
      <c r="KX141" s="16"/>
      <c r="KY141" s="16"/>
      <c r="KZ141" s="16"/>
      <c r="LA141" s="16"/>
      <c r="LB141" s="16"/>
      <c r="LC141" s="16"/>
      <c r="LD141" s="16"/>
      <c r="LE141" s="16"/>
      <c r="LF141" s="16"/>
      <c r="LI141" s="9"/>
      <c r="LJ141" s="16"/>
      <c r="LK141" s="16"/>
      <c r="LL141" s="16"/>
      <c r="LM141" s="16"/>
      <c r="LN141" s="16"/>
      <c r="LO141" s="16"/>
      <c r="LP141" s="16"/>
      <c r="LQ141" s="16"/>
      <c r="LR141" s="16"/>
      <c r="LS141" s="16"/>
      <c r="LT141" s="16"/>
      <c r="LU141" s="16"/>
      <c r="LV141" s="16"/>
      <c r="LW141" s="16"/>
      <c r="LX141" s="16"/>
      <c r="LY141" s="16"/>
      <c r="LZ141" s="16"/>
      <c r="MA141" s="16"/>
      <c r="MB141" s="16"/>
      <c r="MC141" s="16"/>
      <c r="MD141" s="16"/>
      <c r="MG141" s="9"/>
      <c r="MH141" s="16"/>
      <c r="MI141" s="16"/>
      <c r="MJ141" s="16"/>
      <c r="MK141" s="16"/>
      <c r="ML141" s="16"/>
      <c r="MM141" s="16"/>
      <c r="MN141" s="16"/>
      <c r="MO141" s="16"/>
      <c r="MP141" s="16"/>
      <c r="MQ141" s="16"/>
      <c r="MR141" s="16"/>
      <c r="MS141" s="16"/>
      <c r="MT141" s="16"/>
      <c r="MU141" s="16"/>
      <c r="MV141" s="16"/>
      <c r="MW141" s="16"/>
      <c r="MX141" s="16"/>
      <c r="MY141" s="16"/>
      <c r="MZ141" s="16"/>
      <c r="NA141" s="16"/>
      <c r="NB141" s="16"/>
      <c r="NE141" s="9"/>
      <c r="NF141" s="16"/>
      <c r="NG141" s="16"/>
      <c r="NH141" s="16"/>
      <c r="NI141" s="16"/>
      <c r="NJ141" s="16"/>
      <c r="NK141" s="16"/>
      <c r="NL141" s="16"/>
      <c r="NM141" s="16"/>
      <c r="NN141" s="16"/>
      <c r="NO141" s="16"/>
      <c r="NP141" s="16"/>
      <c r="NQ141" s="16"/>
      <c r="NR141" s="16"/>
      <c r="NS141" s="16"/>
      <c r="NT141" s="16"/>
      <c r="NU141" s="16"/>
      <c r="NV141" s="16"/>
      <c r="NW141" s="16"/>
      <c r="NX141" s="16"/>
      <c r="NY141" s="16"/>
      <c r="NZ141" s="16"/>
      <c r="OC141" s="9"/>
      <c r="OD141" s="16"/>
      <c r="OE141" s="16"/>
      <c r="OF141" s="16"/>
      <c r="OG141" s="16"/>
      <c r="OH141" s="16"/>
      <c r="OI141" s="16"/>
      <c r="OJ141" s="16"/>
      <c r="OK141" s="16"/>
      <c r="OL141" s="16"/>
      <c r="OM141" s="16"/>
      <c r="ON141" s="16"/>
      <c r="OO141" s="16"/>
      <c r="OP141" s="16"/>
      <c r="OQ141" s="16"/>
      <c r="OR141" s="16"/>
      <c r="OS141" s="16"/>
      <c r="OT141" s="16"/>
      <c r="OU141" s="16"/>
      <c r="OV141" s="16"/>
      <c r="OW141" s="16"/>
      <c r="OX141" s="16"/>
      <c r="PA141" s="9"/>
      <c r="PB141" s="16"/>
      <c r="PC141" s="16"/>
      <c r="PD141" s="16"/>
      <c r="PE141" s="16"/>
      <c r="PF141" s="16"/>
      <c r="PG141" s="16"/>
      <c r="PH141" s="16"/>
      <c r="PI141" s="16"/>
      <c r="PJ141" s="16"/>
      <c r="PK141" s="16"/>
      <c r="PL141" s="16"/>
      <c r="PM141" s="16"/>
      <c r="PN141" s="16"/>
      <c r="PO141" s="16"/>
      <c r="PP141" s="16"/>
      <c r="PQ141" s="16"/>
      <c r="PR141" s="16"/>
      <c r="PS141" s="16"/>
      <c r="PT141" s="16"/>
      <c r="PU141" s="16"/>
      <c r="PV141" s="16"/>
    </row>
    <row r="142" spans="2:438" x14ac:dyDescent="0.25">
      <c r="C142" s="1"/>
      <c r="D142" s="1"/>
      <c r="I142" s="9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G142" s="9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E142" s="9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C142" s="9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DA142" s="9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Y142" s="9"/>
      <c r="DZ142" s="16"/>
      <c r="EA142" s="16"/>
      <c r="EB142" s="16"/>
      <c r="EC142" s="16"/>
      <c r="ED142" s="16"/>
      <c r="EE142" s="16"/>
      <c r="EF142" s="16"/>
      <c r="EG142" s="16"/>
      <c r="EH142" s="16"/>
      <c r="EI142" s="16"/>
      <c r="EJ142" s="16"/>
      <c r="EK142" s="16"/>
      <c r="EL142" s="16"/>
      <c r="EM142" s="16"/>
      <c r="EN142" s="16"/>
      <c r="EO142" s="16"/>
      <c r="EP142" s="16"/>
      <c r="EQ142" s="16"/>
      <c r="ER142" s="16"/>
      <c r="ES142" s="16"/>
      <c r="ET142" s="16"/>
      <c r="EW142" s="9"/>
      <c r="EX142" s="16"/>
      <c r="EY142" s="16"/>
      <c r="EZ142" s="16"/>
      <c r="FA142" s="16"/>
      <c r="FB142" s="16"/>
      <c r="FC142" s="16"/>
      <c r="FD142" s="16"/>
      <c r="FE142" s="16"/>
      <c r="FF142" s="16"/>
      <c r="FG142" s="16"/>
      <c r="FH142" s="16"/>
      <c r="FI142" s="16"/>
      <c r="FJ142" s="16"/>
      <c r="FK142" s="16"/>
      <c r="FL142" s="16"/>
      <c r="FM142" s="16"/>
      <c r="FN142" s="16"/>
      <c r="FO142" s="16"/>
      <c r="FP142" s="16"/>
      <c r="FQ142" s="16"/>
      <c r="FR142" s="16"/>
      <c r="FU142" s="9"/>
      <c r="FV142" s="16"/>
      <c r="FW142" s="16"/>
      <c r="FX142" s="16"/>
      <c r="FY142" s="16"/>
      <c r="FZ142" s="16"/>
      <c r="GA142" s="16"/>
      <c r="GB142" s="16"/>
      <c r="GC142" s="16"/>
      <c r="GD142" s="16"/>
      <c r="GE142" s="16"/>
      <c r="GF142" s="16"/>
      <c r="GG142" s="16"/>
      <c r="GH142" s="16"/>
      <c r="GI142" s="16"/>
      <c r="GJ142" s="16"/>
      <c r="GK142" s="16"/>
      <c r="GL142" s="16"/>
      <c r="GM142" s="16"/>
      <c r="GN142" s="16"/>
      <c r="GO142" s="16"/>
      <c r="GP142" s="16"/>
      <c r="GS142" s="9"/>
      <c r="GT142" s="16"/>
      <c r="GU142" s="16"/>
      <c r="GV142" s="16"/>
      <c r="GW142" s="16"/>
      <c r="GX142" s="16"/>
      <c r="GY142" s="16"/>
      <c r="GZ142" s="16"/>
      <c r="HA142" s="16"/>
      <c r="HB142" s="16"/>
      <c r="HC142" s="16"/>
      <c r="HD142" s="16"/>
      <c r="HE142" s="16"/>
      <c r="HF142" s="16"/>
      <c r="HG142" s="16"/>
      <c r="HH142" s="16"/>
      <c r="HI142" s="16"/>
      <c r="HJ142" s="16"/>
      <c r="HK142" s="16"/>
      <c r="HL142" s="16"/>
      <c r="HM142" s="16"/>
      <c r="HN142" s="16"/>
      <c r="HQ142" s="9"/>
      <c r="HR142" s="16"/>
      <c r="HS142" s="16"/>
      <c r="HT142" s="16"/>
      <c r="HU142" s="16"/>
      <c r="HV142" s="16"/>
      <c r="HW142" s="16"/>
      <c r="HX142" s="16"/>
      <c r="HY142" s="16"/>
      <c r="HZ142" s="16"/>
      <c r="IA142" s="16"/>
      <c r="IB142" s="16"/>
      <c r="IC142" s="16"/>
      <c r="ID142" s="16"/>
      <c r="IE142" s="16"/>
      <c r="IF142" s="16"/>
      <c r="IG142" s="16"/>
      <c r="IH142" s="16"/>
      <c r="II142" s="16"/>
      <c r="IJ142" s="16"/>
      <c r="IK142" s="16"/>
      <c r="IL142" s="16"/>
      <c r="IO142" s="9"/>
      <c r="IP142" s="16"/>
      <c r="IQ142" s="16"/>
      <c r="IR142" s="16"/>
      <c r="IS142" s="16"/>
      <c r="IT142" s="16"/>
      <c r="IU142" s="16"/>
      <c r="IV142" s="16"/>
      <c r="IW142" s="16"/>
      <c r="IX142" s="16"/>
      <c r="IY142" s="16"/>
      <c r="IZ142" s="16"/>
      <c r="JA142" s="16"/>
      <c r="JB142" s="16"/>
      <c r="JC142" s="16"/>
      <c r="JD142" s="16"/>
      <c r="JE142" s="16"/>
      <c r="JF142" s="16"/>
      <c r="JG142" s="16"/>
      <c r="JH142" s="16"/>
      <c r="JI142" s="16"/>
      <c r="JJ142" s="16"/>
      <c r="JM142" s="9"/>
      <c r="JN142" s="16"/>
      <c r="JO142" s="16"/>
      <c r="JP142" s="16"/>
      <c r="JQ142" s="16"/>
      <c r="JR142" s="16"/>
      <c r="JS142" s="16"/>
      <c r="JT142" s="16"/>
      <c r="JU142" s="16"/>
      <c r="JV142" s="16"/>
      <c r="JW142" s="16"/>
      <c r="JX142" s="16"/>
      <c r="JY142" s="16"/>
      <c r="JZ142" s="16"/>
      <c r="KA142" s="16"/>
      <c r="KB142" s="16"/>
      <c r="KC142" s="16"/>
      <c r="KD142" s="16"/>
      <c r="KE142" s="16"/>
      <c r="KF142" s="16"/>
      <c r="KG142" s="16"/>
      <c r="KH142" s="16"/>
      <c r="KK142" s="9"/>
      <c r="KL142" s="16"/>
      <c r="KM142" s="16"/>
      <c r="KN142" s="16"/>
      <c r="KO142" s="16"/>
      <c r="KP142" s="16"/>
      <c r="KQ142" s="16"/>
      <c r="KR142" s="16"/>
      <c r="KS142" s="16"/>
      <c r="KT142" s="16"/>
      <c r="KU142" s="16"/>
      <c r="KV142" s="16"/>
      <c r="KW142" s="16"/>
      <c r="KX142" s="16"/>
      <c r="KY142" s="16"/>
      <c r="KZ142" s="16"/>
      <c r="LA142" s="16"/>
      <c r="LB142" s="16"/>
      <c r="LC142" s="16"/>
      <c r="LD142" s="16"/>
      <c r="LE142" s="16"/>
      <c r="LF142" s="16"/>
      <c r="LI142" s="9"/>
      <c r="LJ142" s="16"/>
      <c r="LK142" s="16"/>
      <c r="LL142" s="16"/>
      <c r="LM142" s="16"/>
      <c r="LN142" s="16"/>
      <c r="LO142" s="16"/>
      <c r="LP142" s="16"/>
      <c r="LQ142" s="16"/>
      <c r="LR142" s="16"/>
      <c r="LS142" s="16"/>
      <c r="LT142" s="16"/>
      <c r="LU142" s="16"/>
      <c r="LV142" s="16"/>
      <c r="LW142" s="16"/>
      <c r="LX142" s="16"/>
      <c r="LY142" s="16"/>
      <c r="LZ142" s="16"/>
      <c r="MA142" s="16"/>
      <c r="MB142" s="16"/>
      <c r="MC142" s="16"/>
      <c r="MD142" s="16"/>
      <c r="MG142" s="9"/>
      <c r="MH142" s="16"/>
      <c r="MI142" s="16"/>
      <c r="MJ142" s="16"/>
      <c r="MK142" s="16"/>
      <c r="ML142" s="16"/>
      <c r="MM142" s="16"/>
      <c r="MN142" s="16"/>
      <c r="MO142" s="16"/>
      <c r="MP142" s="16"/>
      <c r="MQ142" s="16"/>
      <c r="MR142" s="16"/>
      <c r="MS142" s="16"/>
      <c r="MT142" s="16"/>
      <c r="MU142" s="16"/>
      <c r="MV142" s="16"/>
      <c r="MW142" s="16"/>
      <c r="MX142" s="16"/>
      <c r="MY142" s="16"/>
      <c r="MZ142" s="16"/>
      <c r="NA142" s="16"/>
      <c r="NB142" s="16"/>
      <c r="NE142" s="9"/>
      <c r="NF142" s="16"/>
      <c r="NG142" s="16"/>
      <c r="NH142" s="16"/>
      <c r="NI142" s="16"/>
      <c r="NJ142" s="16"/>
      <c r="NK142" s="16"/>
      <c r="NL142" s="16"/>
      <c r="NM142" s="16"/>
      <c r="NN142" s="16"/>
      <c r="NO142" s="16"/>
      <c r="NP142" s="16"/>
      <c r="NQ142" s="16"/>
      <c r="NR142" s="16"/>
      <c r="NS142" s="16"/>
      <c r="NT142" s="16"/>
      <c r="NU142" s="16"/>
      <c r="NV142" s="16"/>
      <c r="NW142" s="16"/>
      <c r="NX142" s="16"/>
      <c r="NY142" s="16"/>
      <c r="NZ142" s="16"/>
      <c r="OC142" s="9"/>
      <c r="OD142" s="16"/>
      <c r="OE142" s="16"/>
      <c r="OF142" s="16"/>
      <c r="OG142" s="16"/>
      <c r="OH142" s="16"/>
      <c r="OI142" s="16"/>
      <c r="OJ142" s="16"/>
      <c r="OK142" s="16"/>
      <c r="OL142" s="16"/>
      <c r="OM142" s="16"/>
      <c r="ON142" s="16"/>
      <c r="OO142" s="16"/>
      <c r="OP142" s="16"/>
      <c r="OQ142" s="16"/>
      <c r="OR142" s="16"/>
      <c r="OS142" s="16"/>
      <c r="OT142" s="16"/>
      <c r="OU142" s="16"/>
      <c r="OV142" s="16"/>
      <c r="OW142" s="16"/>
      <c r="OX142" s="16"/>
      <c r="PA142" s="9"/>
      <c r="PB142" s="16"/>
      <c r="PC142" s="16"/>
      <c r="PD142" s="16"/>
      <c r="PE142" s="16"/>
      <c r="PF142" s="16"/>
      <c r="PG142" s="16"/>
      <c r="PH142" s="16"/>
      <c r="PI142" s="16"/>
      <c r="PJ142" s="16"/>
      <c r="PK142" s="16"/>
      <c r="PL142" s="16"/>
      <c r="PM142" s="16"/>
      <c r="PN142" s="16"/>
      <c r="PO142" s="16"/>
      <c r="PP142" s="16"/>
      <c r="PQ142" s="16"/>
      <c r="PR142" s="16"/>
      <c r="PS142" s="16"/>
      <c r="PT142" s="16"/>
      <c r="PU142" s="16"/>
      <c r="PV142" s="16"/>
    </row>
    <row r="143" spans="2:438" x14ac:dyDescent="0.25">
      <c r="C143" s="1"/>
      <c r="D143" s="1"/>
      <c r="I143" s="9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G143" s="9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E143" s="9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C143" s="9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DA143" s="9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Y143" s="9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/>
      <c r="EW143" s="9"/>
      <c r="EX143" s="16"/>
      <c r="EY143" s="16"/>
      <c r="EZ143" s="16"/>
      <c r="FA143" s="16"/>
      <c r="FB143" s="16"/>
      <c r="FC143" s="16"/>
      <c r="FD143" s="16"/>
      <c r="FE143" s="16"/>
      <c r="FF143" s="16"/>
      <c r="FG143" s="16"/>
      <c r="FH143" s="16"/>
      <c r="FI143" s="16"/>
      <c r="FJ143" s="16"/>
      <c r="FK143" s="16"/>
      <c r="FL143" s="16"/>
      <c r="FM143" s="16"/>
      <c r="FN143" s="16"/>
      <c r="FO143" s="16"/>
      <c r="FP143" s="16"/>
      <c r="FQ143" s="16"/>
      <c r="FR143" s="16"/>
      <c r="FU143" s="9"/>
      <c r="FV143" s="16"/>
      <c r="FW143" s="16"/>
      <c r="FX143" s="16"/>
      <c r="FY143" s="16"/>
      <c r="FZ143" s="16"/>
      <c r="GA143" s="16"/>
      <c r="GB143" s="16"/>
      <c r="GC143" s="16"/>
      <c r="GD143" s="16"/>
      <c r="GE143" s="16"/>
      <c r="GF143" s="16"/>
      <c r="GG143" s="16"/>
      <c r="GH143" s="16"/>
      <c r="GI143" s="16"/>
      <c r="GJ143" s="16"/>
      <c r="GK143" s="16"/>
      <c r="GL143" s="16"/>
      <c r="GM143" s="16"/>
      <c r="GN143" s="16"/>
      <c r="GO143" s="16"/>
      <c r="GP143" s="16"/>
      <c r="GS143" s="9"/>
      <c r="GT143" s="16"/>
      <c r="GU143" s="16"/>
      <c r="GV143" s="16"/>
      <c r="GW143" s="16"/>
      <c r="GX143" s="16"/>
      <c r="GY143" s="16"/>
      <c r="GZ143" s="16"/>
      <c r="HA143" s="16"/>
      <c r="HB143" s="16"/>
      <c r="HC143" s="16"/>
      <c r="HD143" s="16"/>
      <c r="HE143" s="16"/>
      <c r="HF143" s="16"/>
      <c r="HG143" s="16"/>
      <c r="HH143" s="16"/>
      <c r="HI143" s="16"/>
      <c r="HJ143" s="16"/>
      <c r="HK143" s="16"/>
      <c r="HL143" s="16"/>
      <c r="HM143" s="16"/>
      <c r="HN143" s="16"/>
      <c r="HQ143" s="9"/>
      <c r="HR143" s="16"/>
      <c r="HS143" s="16"/>
      <c r="HT143" s="16"/>
      <c r="HU143" s="16"/>
      <c r="HV143" s="16"/>
      <c r="HW143" s="16"/>
      <c r="HX143" s="16"/>
      <c r="HY143" s="16"/>
      <c r="HZ143" s="16"/>
      <c r="IA143" s="16"/>
      <c r="IB143" s="16"/>
      <c r="IC143" s="16"/>
      <c r="ID143" s="16"/>
      <c r="IE143" s="16"/>
      <c r="IF143" s="16"/>
      <c r="IG143" s="16"/>
      <c r="IH143" s="16"/>
      <c r="II143" s="16"/>
      <c r="IJ143" s="16"/>
      <c r="IK143" s="16"/>
      <c r="IL143" s="16"/>
      <c r="IO143" s="9"/>
      <c r="IP143" s="16"/>
      <c r="IQ143" s="16"/>
      <c r="IR143" s="16"/>
      <c r="IS143" s="16"/>
      <c r="IT143" s="16"/>
      <c r="IU143" s="16"/>
      <c r="IV143" s="16"/>
      <c r="IW143" s="16"/>
      <c r="IX143" s="16"/>
      <c r="IY143" s="16"/>
      <c r="IZ143" s="16"/>
      <c r="JA143" s="16"/>
      <c r="JB143" s="16"/>
      <c r="JC143" s="16"/>
      <c r="JD143" s="16"/>
      <c r="JE143" s="16"/>
      <c r="JF143" s="16"/>
      <c r="JG143" s="16"/>
      <c r="JH143" s="16"/>
      <c r="JI143" s="16"/>
      <c r="JJ143" s="16"/>
      <c r="JM143" s="9"/>
      <c r="JN143" s="16"/>
      <c r="JO143" s="16"/>
      <c r="JP143" s="16"/>
      <c r="JQ143" s="16"/>
      <c r="JR143" s="16"/>
      <c r="JS143" s="16"/>
      <c r="JT143" s="16"/>
      <c r="JU143" s="16"/>
      <c r="JV143" s="16"/>
      <c r="JW143" s="16"/>
      <c r="JX143" s="16"/>
      <c r="JY143" s="16"/>
      <c r="JZ143" s="16"/>
      <c r="KA143" s="16"/>
      <c r="KB143" s="16"/>
      <c r="KC143" s="16"/>
      <c r="KD143" s="16"/>
      <c r="KE143" s="16"/>
      <c r="KF143" s="16"/>
      <c r="KG143" s="16"/>
      <c r="KH143" s="16"/>
      <c r="KK143" s="9"/>
      <c r="KL143" s="16"/>
      <c r="KM143" s="16"/>
      <c r="KN143" s="16"/>
      <c r="KO143" s="16"/>
      <c r="KP143" s="16"/>
      <c r="KQ143" s="16"/>
      <c r="KR143" s="16"/>
      <c r="KS143" s="16"/>
      <c r="KT143" s="16"/>
      <c r="KU143" s="16"/>
      <c r="KV143" s="16"/>
      <c r="KW143" s="16"/>
      <c r="KX143" s="16"/>
      <c r="KY143" s="16"/>
      <c r="KZ143" s="16"/>
      <c r="LA143" s="16"/>
      <c r="LB143" s="16"/>
      <c r="LC143" s="16"/>
      <c r="LD143" s="16"/>
      <c r="LE143" s="16"/>
      <c r="LF143" s="16"/>
      <c r="LI143" s="9"/>
      <c r="LJ143" s="16"/>
      <c r="LK143" s="16"/>
      <c r="LL143" s="16"/>
      <c r="LM143" s="16"/>
      <c r="LN143" s="16"/>
      <c r="LO143" s="16"/>
      <c r="LP143" s="16"/>
      <c r="LQ143" s="16"/>
      <c r="LR143" s="16"/>
      <c r="LS143" s="16"/>
      <c r="LT143" s="16"/>
      <c r="LU143" s="16"/>
      <c r="LV143" s="16"/>
      <c r="LW143" s="16"/>
      <c r="LX143" s="16"/>
      <c r="LY143" s="16"/>
      <c r="LZ143" s="16"/>
      <c r="MA143" s="16"/>
      <c r="MB143" s="16"/>
      <c r="MC143" s="16"/>
      <c r="MD143" s="16"/>
      <c r="MG143" s="9"/>
      <c r="MH143" s="16"/>
      <c r="MI143" s="16"/>
      <c r="MJ143" s="16"/>
      <c r="MK143" s="16"/>
      <c r="ML143" s="16"/>
      <c r="MM143" s="16"/>
      <c r="MN143" s="16"/>
      <c r="MO143" s="16"/>
      <c r="MP143" s="16"/>
      <c r="MQ143" s="16"/>
      <c r="MR143" s="16"/>
      <c r="MS143" s="16"/>
      <c r="MT143" s="16"/>
      <c r="MU143" s="16"/>
      <c r="MV143" s="16"/>
      <c r="MW143" s="16"/>
      <c r="MX143" s="16"/>
      <c r="MY143" s="16"/>
      <c r="MZ143" s="16"/>
      <c r="NA143" s="16"/>
      <c r="NB143" s="16"/>
      <c r="NE143" s="9"/>
      <c r="NF143" s="16"/>
      <c r="NG143" s="16"/>
      <c r="NH143" s="16"/>
      <c r="NI143" s="16"/>
      <c r="NJ143" s="16"/>
      <c r="NK143" s="16"/>
      <c r="NL143" s="16"/>
      <c r="NM143" s="16"/>
      <c r="NN143" s="16"/>
      <c r="NO143" s="16"/>
      <c r="NP143" s="16"/>
      <c r="NQ143" s="16"/>
      <c r="NR143" s="16"/>
      <c r="NS143" s="16"/>
      <c r="NT143" s="16"/>
      <c r="NU143" s="16"/>
      <c r="NV143" s="16"/>
      <c r="NW143" s="16"/>
      <c r="NX143" s="16"/>
      <c r="NY143" s="16"/>
      <c r="NZ143" s="16"/>
      <c r="OC143" s="9"/>
      <c r="OD143" s="16"/>
      <c r="OE143" s="16"/>
      <c r="OF143" s="16"/>
      <c r="OG143" s="16"/>
      <c r="OH143" s="16"/>
      <c r="OI143" s="16"/>
      <c r="OJ143" s="16"/>
      <c r="OK143" s="16"/>
      <c r="OL143" s="16"/>
      <c r="OM143" s="16"/>
      <c r="ON143" s="16"/>
      <c r="OO143" s="16"/>
      <c r="OP143" s="16"/>
      <c r="OQ143" s="16"/>
      <c r="OR143" s="16"/>
      <c r="OS143" s="16"/>
      <c r="OT143" s="16"/>
      <c r="OU143" s="16"/>
      <c r="OV143" s="16"/>
      <c r="OW143" s="16"/>
      <c r="OX143" s="16"/>
      <c r="PA143" s="9"/>
      <c r="PB143" s="16"/>
      <c r="PC143" s="16"/>
      <c r="PD143" s="16"/>
      <c r="PE143" s="16"/>
      <c r="PF143" s="16"/>
      <c r="PG143" s="16"/>
      <c r="PH143" s="16"/>
      <c r="PI143" s="16"/>
      <c r="PJ143" s="16"/>
      <c r="PK143" s="16"/>
      <c r="PL143" s="16"/>
      <c r="PM143" s="16"/>
      <c r="PN143" s="16"/>
      <c r="PO143" s="16"/>
      <c r="PP143" s="16"/>
      <c r="PQ143" s="16"/>
      <c r="PR143" s="16"/>
      <c r="PS143" s="16"/>
      <c r="PT143" s="16"/>
      <c r="PU143" s="16"/>
      <c r="PV143" s="16"/>
    </row>
    <row r="144" spans="2:438" x14ac:dyDescent="0.25">
      <c r="C144" s="1"/>
      <c r="D144" s="1"/>
      <c r="I144" s="9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G144" s="9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E144" s="9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C144" s="9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DA144" s="9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Y144" s="9"/>
      <c r="DZ144" s="16"/>
      <c r="EA144" s="16"/>
      <c r="EB144" s="16"/>
      <c r="EC144" s="16"/>
      <c r="ED144" s="16"/>
      <c r="EE144" s="16"/>
      <c r="EF144" s="16"/>
      <c r="EG144" s="16"/>
      <c r="EH144" s="16"/>
      <c r="EI144" s="16"/>
      <c r="EJ144" s="16"/>
      <c r="EK144" s="16"/>
      <c r="EL144" s="16"/>
      <c r="EM144" s="16"/>
      <c r="EN144" s="16"/>
      <c r="EO144" s="16"/>
      <c r="EP144" s="16"/>
      <c r="EQ144" s="16"/>
      <c r="ER144" s="16"/>
      <c r="ES144" s="16"/>
      <c r="ET144" s="16"/>
      <c r="EW144" s="9"/>
      <c r="EX144" s="16"/>
      <c r="EY144" s="16"/>
      <c r="EZ144" s="16"/>
      <c r="FA144" s="16"/>
      <c r="FB144" s="16"/>
      <c r="FC144" s="16"/>
      <c r="FD144" s="16"/>
      <c r="FE144" s="16"/>
      <c r="FF144" s="16"/>
      <c r="FG144" s="16"/>
      <c r="FH144" s="16"/>
      <c r="FI144" s="16"/>
      <c r="FJ144" s="16"/>
      <c r="FK144" s="16"/>
      <c r="FL144" s="16"/>
      <c r="FM144" s="16"/>
      <c r="FN144" s="16"/>
      <c r="FO144" s="16"/>
      <c r="FP144" s="16"/>
      <c r="FQ144" s="16"/>
      <c r="FR144" s="16"/>
      <c r="FU144" s="9"/>
      <c r="FV144" s="16"/>
      <c r="FW144" s="16"/>
      <c r="FX144" s="16"/>
      <c r="FY144" s="16"/>
      <c r="FZ144" s="16"/>
      <c r="GA144" s="16"/>
      <c r="GB144" s="16"/>
      <c r="GC144" s="16"/>
      <c r="GD144" s="16"/>
      <c r="GE144" s="16"/>
      <c r="GF144" s="16"/>
      <c r="GG144" s="16"/>
      <c r="GH144" s="16"/>
      <c r="GI144" s="16"/>
      <c r="GJ144" s="16"/>
      <c r="GK144" s="16"/>
      <c r="GL144" s="16"/>
      <c r="GM144" s="16"/>
      <c r="GN144" s="16"/>
      <c r="GO144" s="16"/>
      <c r="GP144" s="16"/>
      <c r="GS144" s="9"/>
      <c r="GT144" s="16"/>
      <c r="GU144" s="16"/>
      <c r="GV144" s="16"/>
      <c r="GW144" s="16"/>
      <c r="GX144" s="16"/>
      <c r="GY144" s="16"/>
      <c r="GZ144" s="16"/>
      <c r="HA144" s="16"/>
      <c r="HB144" s="16"/>
      <c r="HC144" s="16"/>
      <c r="HD144" s="16"/>
      <c r="HE144" s="16"/>
      <c r="HF144" s="16"/>
      <c r="HG144" s="16"/>
      <c r="HH144" s="16"/>
      <c r="HI144" s="16"/>
      <c r="HJ144" s="16"/>
      <c r="HK144" s="16"/>
      <c r="HL144" s="16"/>
      <c r="HM144" s="16"/>
      <c r="HN144" s="16"/>
      <c r="HQ144" s="9"/>
      <c r="HR144" s="16"/>
      <c r="HS144" s="16"/>
      <c r="HT144" s="16"/>
      <c r="HU144" s="16"/>
      <c r="HV144" s="16"/>
      <c r="HW144" s="16"/>
      <c r="HX144" s="16"/>
      <c r="HY144" s="16"/>
      <c r="HZ144" s="16"/>
      <c r="IA144" s="16"/>
      <c r="IB144" s="16"/>
      <c r="IC144" s="16"/>
      <c r="ID144" s="16"/>
      <c r="IE144" s="16"/>
      <c r="IF144" s="16"/>
      <c r="IG144" s="16"/>
      <c r="IH144" s="16"/>
      <c r="II144" s="16"/>
      <c r="IJ144" s="16"/>
      <c r="IK144" s="16"/>
      <c r="IL144" s="16"/>
      <c r="IO144" s="9"/>
      <c r="IP144" s="16"/>
      <c r="IQ144" s="16"/>
      <c r="IR144" s="16"/>
      <c r="IS144" s="16"/>
      <c r="IT144" s="16"/>
      <c r="IU144" s="16"/>
      <c r="IV144" s="16"/>
      <c r="IW144" s="16"/>
      <c r="IX144" s="16"/>
      <c r="IY144" s="16"/>
      <c r="IZ144" s="16"/>
      <c r="JA144" s="16"/>
      <c r="JB144" s="16"/>
      <c r="JC144" s="16"/>
      <c r="JD144" s="16"/>
      <c r="JE144" s="16"/>
      <c r="JF144" s="16"/>
      <c r="JG144" s="16"/>
      <c r="JH144" s="16"/>
      <c r="JI144" s="16"/>
      <c r="JJ144" s="16"/>
      <c r="JM144" s="9"/>
      <c r="JN144" s="16"/>
      <c r="JO144" s="16"/>
      <c r="JP144" s="16"/>
      <c r="JQ144" s="16"/>
      <c r="JR144" s="16"/>
      <c r="JS144" s="16"/>
      <c r="JT144" s="16"/>
      <c r="JU144" s="16"/>
      <c r="JV144" s="16"/>
      <c r="JW144" s="16"/>
      <c r="JX144" s="16"/>
      <c r="JY144" s="16"/>
      <c r="JZ144" s="16"/>
      <c r="KA144" s="16"/>
      <c r="KB144" s="16"/>
      <c r="KC144" s="16"/>
      <c r="KD144" s="16"/>
      <c r="KE144" s="16"/>
      <c r="KF144" s="16"/>
      <c r="KG144" s="16"/>
      <c r="KH144" s="16"/>
      <c r="KK144" s="9"/>
      <c r="KL144" s="16"/>
      <c r="KM144" s="16"/>
      <c r="KN144" s="16"/>
      <c r="KO144" s="16"/>
      <c r="KP144" s="16"/>
      <c r="KQ144" s="16"/>
      <c r="KR144" s="16"/>
      <c r="KS144" s="16"/>
      <c r="KT144" s="16"/>
      <c r="KU144" s="16"/>
      <c r="KV144" s="16"/>
      <c r="KW144" s="16"/>
      <c r="KX144" s="16"/>
      <c r="KY144" s="16"/>
      <c r="KZ144" s="16"/>
      <c r="LA144" s="16"/>
      <c r="LB144" s="16"/>
      <c r="LC144" s="16"/>
      <c r="LD144" s="16"/>
      <c r="LE144" s="16"/>
      <c r="LF144" s="16"/>
      <c r="LI144" s="9"/>
      <c r="LJ144" s="16"/>
      <c r="LK144" s="16"/>
      <c r="LL144" s="16"/>
      <c r="LM144" s="16"/>
      <c r="LN144" s="16"/>
      <c r="LO144" s="16"/>
      <c r="LP144" s="16"/>
      <c r="LQ144" s="16"/>
      <c r="LR144" s="16"/>
      <c r="LS144" s="16"/>
      <c r="LT144" s="16"/>
      <c r="LU144" s="16"/>
      <c r="LV144" s="16"/>
      <c r="LW144" s="16"/>
      <c r="LX144" s="16"/>
      <c r="LY144" s="16"/>
      <c r="LZ144" s="16"/>
      <c r="MA144" s="16"/>
      <c r="MB144" s="16"/>
      <c r="MC144" s="16"/>
      <c r="MD144" s="16"/>
      <c r="MG144" s="9"/>
      <c r="MH144" s="16"/>
      <c r="MI144" s="16"/>
      <c r="MJ144" s="16"/>
      <c r="MK144" s="16"/>
      <c r="ML144" s="16"/>
      <c r="MM144" s="16"/>
      <c r="MN144" s="16"/>
      <c r="MO144" s="16"/>
      <c r="MP144" s="16"/>
      <c r="MQ144" s="16"/>
      <c r="MR144" s="16"/>
      <c r="MS144" s="16"/>
      <c r="MT144" s="16"/>
      <c r="MU144" s="16"/>
      <c r="MV144" s="16"/>
      <c r="MW144" s="16"/>
      <c r="MX144" s="16"/>
      <c r="MY144" s="16"/>
      <c r="MZ144" s="16"/>
      <c r="NA144" s="16"/>
      <c r="NB144" s="16"/>
      <c r="NE144" s="9"/>
      <c r="NF144" s="16"/>
      <c r="NG144" s="16"/>
      <c r="NH144" s="16"/>
      <c r="NI144" s="16"/>
      <c r="NJ144" s="16"/>
      <c r="NK144" s="16"/>
      <c r="NL144" s="16"/>
      <c r="NM144" s="16"/>
      <c r="NN144" s="16"/>
      <c r="NO144" s="16"/>
      <c r="NP144" s="16"/>
      <c r="NQ144" s="16"/>
      <c r="NR144" s="16"/>
      <c r="NS144" s="16"/>
      <c r="NT144" s="16"/>
      <c r="NU144" s="16"/>
      <c r="NV144" s="16"/>
      <c r="NW144" s="16"/>
      <c r="NX144" s="16"/>
      <c r="NY144" s="16"/>
      <c r="NZ144" s="16"/>
      <c r="OC144" s="9"/>
      <c r="OD144" s="16"/>
      <c r="OE144" s="16"/>
      <c r="OF144" s="16"/>
      <c r="OG144" s="16"/>
      <c r="OH144" s="16"/>
      <c r="OI144" s="16"/>
      <c r="OJ144" s="16"/>
      <c r="OK144" s="16"/>
      <c r="OL144" s="16"/>
      <c r="OM144" s="16"/>
      <c r="ON144" s="16"/>
      <c r="OO144" s="16"/>
      <c r="OP144" s="16"/>
      <c r="OQ144" s="16"/>
      <c r="OR144" s="16"/>
      <c r="OS144" s="16"/>
      <c r="OT144" s="16"/>
      <c r="OU144" s="16"/>
      <c r="OV144" s="16"/>
      <c r="OW144" s="16"/>
      <c r="OX144" s="16"/>
      <c r="PA144" s="9"/>
      <c r="PB144" s="16"/>
      <c r="PC144" s="16"/>
      <c r="PD144" s="16"/>
      <c r="PE144" s="16"/>
      <c r="PF144" s="16"/>
      <c r="PG144" s="16"/>
      <c r="PH144" s="16"/>
      <c r="PI144" s="16"/>
      <c r="PJ144" s="16"/>
      <c r="PK144" s="16"/>
      <c r="PL144" s="16"/>
      <c r="PM144" s="16"/>
      <c r="PN144" s="16"/>
      <c r="PO144" s="16"/>
      <c r="PP144" s="16"/>
      <c r="PQ144" s="16"/>
      <c r="PR144" s="16"/>
      <c r="PS144" s="16"/>
      <c r="PT144" s="16"/>
      <c r="PU144" s="16"/>
      <c r="PV144" s="16"/>
    </row>
    <row r="145" spans="3:438" x14ac:dyDescent="0.25">
      <c r="C145" s="1"/>
      <c r="D145" s="1"/>
      <c r="I145" s="9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G145" s="9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E145" s="9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C145" s="9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DA145" s="9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Y145" s="9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/>
      <c r="EW145" s="9"/>
      <c r="EX145" s="16"/>
      <c r="EY145" s="16"/>
      <c r="EZ145" s="16"/>
      <c r="FA145" s="16"/>
      <c r="FB145" s="16"/>
      <c r="FC145" s="16"/>
      <c r="FD145" s="16"/>
      <c r="FE145" s="16"/>
      <c r="FF145" s="16"/>
      <c r="FG145" s="16"/>
      <c r="FH145" s="16"/>
      <c r="FI145" s="16"/>
      <c r="FJ145" s="16"/>
      <c r="FK145" s="16"/>
      <c r="FL145" s="16"/>
      <c r="FM145" s="16"/>
      <c r="FN145" s="16"/>
      <c r="FO145" s="16"/>
      <c r="FP145" s="16"/>
      <c r="FQ145" s="16"/>
      <c r="FR145" s="16"/>
      <c r="FU145" s="9"/>
      <c r="FV145" s="16"/>
      <c r="FW145" s="16"/>
      <c r="FX145" s="16"/>
      <c r="FY145" s="16"/>
      <c r="FZ145" s="16"/>
      <c r="GA145" s="16"/>
      <c r="GB145" s="16"/>
      <c r="GC145" s="16"/>
      <c r="GD145" s="16"/>
      <c r="GE145" s="16"/>
      <c r="GF145" s="16"/>
      <c r="GG145" s="16"/>
      <c r="GH145" s="16"/>
      <c r="GI145" s="16"/>
      <c r="GJ145" s="16"/>
      <c r="GK145" s="16"/>
      <c r="GL145" s="16"/>
      <c r="GM145" s="16"/>
      <c r="GN145" s="16"/>
      <c r="GO145" s="16"/>
      <c r="GP145" s="16"/>
      <c r="GS145" s="9"/>
      <c r="GT145" s="16"/>
      <c r="GU145" s="16"/>
      <c r="GV145" s="16"/>
      <c r="GW145" s="16"/>
      <c r="GX145" s="16"/>
      <c r="GY145" s="16"/>
      <c r="GZ145" s="16"/>
      <c r="HA145" s="16"/>
      <c r="HB145" s="16"/>
      <c r="HC145" s="16"/>
      <c r="HD145" s="16"/>
      <c r="HE145" s="16"/>
      <c r="HF145" s="16"/>
      <c r="HG145" s="16"/>
      <c r="HH145" s="16"/>
      <c r="HI145" s="16"/>
      <c r="HJ145" s="16"/>
      <c r="HK145" s="16"/>
      <c r="HL145" s="16"/>
      <c r="HM145" s="16"/>
      <c r="HN145" s="16"/>
      <c r="HQ145" s="9"/>
      <c r="HR145" s="16"/>
      <c r="HS145" s="16"/>
      <c r="HT145" s="16"/>
      <c r="HU145" s="16"/>
      <c r="HV145" s="16"/>
      <c r="HW145" s="16"/>
      <c r="HX145" s="16"/>
      <c r="HY145" s="16"/>
      <c r="HZ145" s="16"/>
      <c r="IA145" s="16"/>
      <c r="IB145" s="16"/>
      <c r="IC145" s="16"/>
      <c r="ID145" s="16"/>
      <c r="IE145" s="16"/>
      <c r="IF145" s="16"/>
      <c r="IG145" s="16"/>
      <c r="IH145" s="16"/>
      <c r="II145" s="16"/>
      <c r="IJ145" s="16"/>
      <c r="IK145" s="16"/>
      <c r="IL145" s="16"/>
      <c r="IO145" s="9"/>
      <c r="IP145" s="16"/>
      <c r="IQ145" s="16"/>
      <c r="IR145" s="16"/>
      <c r="IS145" s="16"/>
      <c r="IT145" s="16"/>
      <c r="IU145" s="16"/>
      <c r="IV145" s="16"/>
      <c r="IW145" s="16"/>
      <c r="IX145" s="16"/>
      <c r="IY145" s="16"/>
      <c r="IZ145" s="16"/>
      <c r="JA145" s="16"/>
      <c r="JB145" s="16"/>
      <c r="JC145" s="16"/>
      <c r="JD145" s="16"/>
      <c r="JE145" s="16"/>
      <c r="JF145" s="16"/>
      <c r="JG145" s="16"/>
      <c r="JH145" s="16"/>
      <c r="JI145" s="16"/>
      <c r="JJ145" s="16"/>
      <c r="JM145" s="9"/>
      <c r="JN145" s="16"/>
      <c r="JO145" s="16"/>
      <c r="JP145" s="16"/>
      <c r="JQ145" s="16"/>
      <c r="JR145" s="16"/>
      <c r="JS145" s="16"/>
      <c r="JT145" s="16"/>
      <c r="JU145" s="16"/>
      <c r="JV145" s="16"/>
      <c r="JW145" s="16"/>
      <c r="JX145" s="16"/>
      <c r="JY145" s="16"/>
      <c r="JZ145" s="16"/>
      <c r="KA145" s="16"/>
      <c r="KB145" s="16"/>
      <c r="KC145" s="16"/>
      <c r="KD145" s="16"/>
      <c r="KE145" s="16"/>
      <c r="KF145" s="16"/>
      <c r="KG145" s="16"/>
      <c r="KH145" s="16"/>
      <c r="KK145" s="9"/>
      <c r="KL145" s="16"/>
      <c r="KM145" s="16"/>
      <c r="KN145" s="16"/>
      <c r="KO145" s="16"/>
      <c r="KP145" s="16"/>
      <c r="KQ145" s="16"/>
      <c r="KR145" s="16"/>
      <c r="KS145" s="16"/>
      <c r="KT145" s="16"/>
      <c r="KU145" s="16"/>
      <c r="KV145" s="16"/>
      <c r="KW145" s="16"/>
      <c r="KX145" s="16"/>
      <c r="KY145" s="16"/>
      <c r="KZ145" s="16"/>
      <c r="LA145" s="16"/>
      <c r="LB145" s="16"/>
      <c r="LC145" s="16"/>
      <c r="LD145" s="16"/>
      <c r="LE145" s="16"/>
      <c r="LF145" s="16"/>
      <c r="LI145" s="9"/>
      <c r="LJ145" s="16"/>
      <c r="LK145" s="16"/>
      <c r="LL145" s="16"/>
      <c r="LM145" s="16"/>
      <c r="LN145" s="16"/>
      <c r="LO145" s="16"/>
      <c r="LP145" s="16"/>
      <c r="LQ145" s="16"/>
      <c r="LR145" s="16"/>
      <c r="LS145" s="16"/>
      <c r="LT145" s="16"/>
      <c r="LU145" s="16"/>
      <c r="LV145" s="16"/>
      <c r="LW145" s="16"/>
      <c r="LX145" s="16"/>
      <c r="LY145" s="16"/>
      <c r="LZ145" s="16"/>
      <c r="MA145" s="16"/>
      <c r="MB145" s="16"/>
      <c r="MC145" s="16"/>
      <c r="MD145" s="16"/>
      <c r="MG145" s="9"/>
      <c r="MH145" s="16"/>
      <c r="MI145" s="16"/>
      <c r="MJ145" s="16"/>
      <c r="MK145" s="16"/>
      <c r="ML145" s="16"/>
      <c r="MM145" s="16"/>
      <c r="MN145" s="16"/>
      <c r="MO145" s="16"/>
      <c r="MP145" s="16"/>
      <c r="MQ145" s="16"/>
      <c r="MR145" s="16"/>
      <c r="MS145" s="16"/>
      <c r="MT145" s="16"/>
      <c r="MU145" s="16"/>
      <c r="MV145" s="16"/>
      <c r="MW145" s="16"/>
      <c r="MX145" s="16"/>
      <c r="MY145" s="16"/>
      <c r="MZ145" s="16"/>
      <c r="NA145" s="16"/>
      <c r="NB145" s="16"/>
      <c r="NE145" s="9"/>
      <c r="NF145" s="16"/>
      <c r="NG145" s="16"/>
      <c r="NH145" s="16"/>
      <c r="NI145" s="16"/>
      <c r="NJ145" s="16"/>
      <c r="NK145" s="16"/>
      <c r="NL145" s="16"/>
      <c r="NM145" s="16"/>
      <c r="NN145" s="16"/>
      <c r="NO145" s="16"/>
      <c r="NP145" s="16"/>
      <c r="NQ145" s="16"/>
      <c r="NR145" s="16"/>
      <c r="NS145" s="16"/>
      <c r="NT145" s="16"/>
      <c r="NU145" s="16"/>
      <c r="NV145" s="16"/>
      <c r="NW145" s="16"/>
      <c r="NX145" s="16"/>
      <c r="NY145" s="16"/>
      <c r="NZ145" s="16"/>
      <c r="OC145" s="9"/>
      <c r="OD145" s="16"/>
      <c r="OE145" s="16"/>
      <c r="OF145" s="16"/>
      <c r="OG145" s="16"/>
      <c r="OH145" s="16"/>
      <c r="OI145" s="16"/>
      <c r="OJ145" s="16"/>
      <c r="OK145" s="16"/>
      <c r="OL145" s="16"/>
      <c r="OM145" s="16"/>
      <c r="ON145" s="16"/>
      <c r="OO145" s="16"/>
      <c r="OP145" s="16"/>
      <c r="OQ145" s="16"/>
      <c r="OR145" s="16"/>
      <c r="OS145" s="16"/>
      <c r="OT145" s="16"/>
      <c r="OU145" s="16"/>
      <c r="OV145" s="16"/>
      <c r="OW145" s="16"/>
      <c r="OX145" s="16"/>
      <c r="PA145" s="9"/>
      <c r="PB145" s="16"/>
      <c r="PC145" s="16"/>
      <c r="PD145" s="16"/>
      <c r="PE145" s="16"/>
      <c r="PF145" s="16"/>
      <c r="PG145" s="16"/>
      <c r="PH145" s="16"/>
      <c r="PI145" s="16"/>
      <c r="PJ145" s="16"/>
      <c r="PK145" s="16"/>
      <c r="PL145" s="16"/>
      <c r="PM145" s="16"/>
      <c r="PN145" s="16"/>
      <c r="PO145" s="16"/>
      <c r="PP145" s="16"/>
      <c r="PQ145" s="16"/>
      <c r="PR145" s="16"/>
      <c r="PS145" s="16"/>
      <c r="PT145" s="16"/>
      <c r="PU145" s="16"/>
      <c r="PV145" s="16"/>
    </row>
    <row r="146" spans="3:438" x14ac:dyDescent="0.25">
      <c r="C146" s="1"/>
      <c r="D146" s="1"/>
      <c r="I146" s="9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G146" s="9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E146" s="9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C146" s="9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DA146" s="9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Y146" s="9"/>
      <c r="DZ146" s="16"/>
      <c r="EA146" s="16"/>
      <c r="EB146" s="16"/>
      <c r="EC146" s="16"/>
      <c r="ED146" s="16"/>
      <c r="EE146" s="16"/>
      <c r="EF146" s="16"/>
      <c r="EG146" s="16"/>
      <c r="EH146" s="16"/>
      <c r="EI146" s="16"/>
      <c r="EJ146" s="16"/>
      <c r="EK146" s="16"/>
      <c r="EL146" s="16"/>
      <c r="EM146" s="16"/>
      <c r="EN146" s="16"/>
      <c r="EO146" s="16"/>
      <c r="EP146" s="16"/>
      <c r="EQ146" s="16"/>
      <c r="ER146" s="16"/>
      <c r="ES146" s="16"/>
      <c r="ET146" s="16"/>
      <c r="EW146" s="9"/>
      <c r="EX146" s="16"/>
      <c r="EY146" s="16"/>
      <c r="EZ146" s="16"/>
      <c r="FA146" s="16"/>
      <c r="FB146" s="16"/>
      <c r="FC146" s="16"/>
      <c r="FD146" s="16"/>
      <c r="FE146" s="16"/>
      <c r="FF146" s="16"/>
      <c r="FG146" s="16"/>
      <c r="FH146" s="16"/>
      <c r="FI146" s="16"/>
      <c r="FJ146" s="16"/>
      <c r="FK146" s="16"/>
      <c r="FL146" s="16"/>
      <c r="FM146" s="16"/>
      <c r="FN146" s="16"/>
      <c r="FO146" s="16"/>
      <c r="FP146" s="16"/>
      <c r="FQ146" s="16"/>
      <c r="FR146" s="16"/>
      <c r="FU146" s="9"/>
      <c r="FV146" s="16"/>
      <c r="FW146" s="16"/>
      <c r="FX146" s="16"/>
      <c r="FY146" s="16"/>
      <c r="FZ146" s="16"/>
      <c r="GA146" s="16"/>
      <c r="GB146" s="16"/>
      <c r="GC146" s="16"/>
      <c r="GD146" s="16"/>
      <c r="GE146" s="16"/>
      <c r="GF146" s="16"/>
      <c r="GG146" s="16"/>
      <c r="GH146" s="16"/>
      <c r="GI146" s="16"/>
      <c r="GJ146" s="16"/>
      <c r="GK146" s="16"/>
      <c r="GL146" s="16"/>
      <c r="GM146" s="16"/>
      <c r="GN146" s="16"/>
      <c r="GO146" s="16"/>
      <c r="GP146" s="16"/>
      <c r="GS146" s="9"/>
      <c r="GT146" s="16"/>
      <c r="GU146" s="16"/>
      <c r="GV146" s="16"/>
      <c r="GW146" s="16"/>
      <c r="GX146" s="16"/>
      <c r="GY146" s="16"/>
      <c r="GZ146" s="16"/>
      <c r="HA146" s="16"/>
      <c r="HB146" s="16"/>
      <c r="HC146" s="16"/>
      <c r="HD146" s="16"/>
      <c r="HE146" s="16"/>
      <c r="HF146" s="16"/>
      <c r="HG146" s="16"/>
      <c r="HH146" s="16"/>
      <c r="HI146" s="16"/>
      <c r="HJ146" s="16"/>
      <c r="HK146" s="16"/>
      <c r="HL146" s="16"/>
      <c r="HM146" s="16"/>
      <c r="HN146" s="16"/>
      <c r="HQ146" s="9"/>
      <c r="HR146" s="16"/>
      <c r="HS146" s="16"/>
      <c r="HT146" s="16"/>
      <c r="HU146" s="16"/>
      <c r="HV146" s="16"/>
      <c r="HW146" s="16"/>
      <c r="HX146" s="16"/>
      <c r="HY146" s="16"/>
      <c r="HZ146" s="16"/>
      <c r="IA146" s="16"/>
      <c r="IB146" s="16"/>
      <c r="IC146" s="16"/>
      <c r="ID146" s="16"/>
      <c r="IE146" s="16"/>
      <c r="IF146" s="16"/>
      <c r="IG146" s="16"/>
      <c r="IH146" s="16"/>
      <c r="II146" s="16"/>
      <c r="IJ146" s="16"/>
      <c r="IK146" s="16"/>
      <c r="IL146" s="16"/>
      <c r="IO146" s="9"/>
      <c r="IP146" s="16"/>
      <c r="IQ146" s="16"/>
      <c r="IR146" s="16"/>
      <c r="IS146" s="16"/>
      <c r="IT146" s="16"/>
      <c r="IU146" s="16"/>
      <c r="IV146" s="16"/>
      <c r="IW146" s="16"/>
      <c r="IX146" s="16"/>
      <c r="IY146" s="16"/>
      <c r="IZ146" s="16"/>
      <c r="JA146" s="16"/>
      <c r="JB146" s="16"/>
      <c r="JC146" s="16"/>
      <c r="JD146" s="16"/>
      <c r="JE146" s="16"/>
      <c r="JF146" s="16"/>
      <c r="JG146" s="16"/>
      <c r="JH146" s="16"/>
      <c r="JI146" s="16"/>
      <c r="JJ146" s="16"/>
      <c r="JM146" s="9"/>
      <c r="JN146" s="16"/>
      <c r="JO146" s="16"/>
      <c r="JP146" s="16"/>
      <c r="JQ146" s="16"/>
      <c r="JR146" s="16"/>
      <c r="JS146" s="16"/>
      <c r="JT146" s="16"/>
      <c r="JU146" s="16"/>
      <c r="JV146" s="16"/>
      <c r="JW146" s="16"/>
      <c r="JX146" s="16"/>
      <c r="JY146" s="16"/>
      <c r="JZ146" s="16"/>
      <c r="KA146" s="16"/>
      <c r="KB146" s="16"/>
      <c r="KC146" s="16"/>
      <c r="KD146" s="16"/>
      <c r="KE146" s="16"/>
      <c r="KF146" s="16"/>
      <c r="KG146" s="16"/>
      <c r="KH146" s="16"/>
      <c r="KK146" s="9"/>
      <c r="KL146" s="16"/>
      <c r="KM146" s="16"/>
      <c r="KN146" s="16"/>
      <c r="KO146" s="16"/>
      <c r="KP146" s="16"/>
      <c r="KQ146" s="16"/>
      <c r="KR146" s="16"/>
      <c r="KS146" s="16"/>
      <c r="KT146" s="16"/>
      <c r="KU146" s="16"/>
      <c r="KV146" s="16"/>
      <c r="KW146" s="16"/>
      <c r="KX146" s="16"/>
      <c r="KY146" s="16"/>
      <c r="KZ146" s="16"/>
      <c r="LA146" s="16"/>
      <c r="LB146" s="16"/>
      <c r="LC146" s="16"/>
      <c r="LD146" s="16"/>
      <c r="LE146" s="16"/>
      <c r="LF146" s="16"/>
      <c r="LI146" s="9"/>
      <c r="LJ146" s="16"/>
      <c r="LK146" s="16"/>
      <c r="LL146" s="16"/>
      <c r="LM146" s="16"/>
      <c r="LN146" s="16"/>
      <c r="LO146" s="16"/>
      <c r="LP146" s="16"/>
      <c r="LQ146" s="16"/>
      <c r="LR146" s="16"/>
      <c r="LS146" s="16"/>
      <c r="LT146" s="16"/>
      <c r="LU146" s="16"/>
      <c r="LV146" s="16"/>
      <c r="LW146" s="16"/>
      <c r="LX146" s="16"/>
      <c r="LY146" s="16"/>
      <c r="LZ146" s="16"/>
      <c r="MA146" s="16"/>
      <c r="MB146" s="16"/>
      <c r="MC146" s="16"/>
      <c r="MD146" s="16"/>
      <c r="MG146" s="9"/>
      <c r="MH146" s="16"/>
      <c r="MI146" s="16"/>
      <c r="MJ146" s="16"/>
      <c r="MK146" s="16"/>
      <c r="ML146" s="16"/>
      <c r="MM146" s="16"/>
      <c r="MN146" s="16"/>
      <c r="MO146" s="16"/>
      <c r="MP146" s="16"/>
      <c r="MQ146" s="16"/>
      <c r="MR146" s="16"/>
      <c r="MS146" s="16"/>
      <c r="MT146" s="16"/>
      <c r="MU146" s="16"/>
      <c r="MV146" s="16"/>
      <c r="MW146" s="16"/>
      <c r="MX146" s="16"/>
      <c r="MY146" s="16"/>
      <c r="MZ146" s="16"/>
      <c r="NA146" s="16"/>
      <c r="NB146" s="16"/>
      <c r="NE146" s="9"/>
      <c r="NF146" s="16"/>
      <c r="NG146" s="16"/>
      <c r="NH146" s="16"/>
      <c r="NI146" s="16"/>
      <c r="NJ146" s="16"/>
      <c r="NK146" s="16"/>
      <c r="NL146" s="16"/>
      <c r="NM146" s="16"/>
      <c r="NN146" s="16"/>
      <c r="NO146" s="16"/>
      <c r="NP146" s="16"/>
      <c r="NQ146" s="16"/>
      <c r="NR146" s="16"/>
      <c r="NS146" s="16"/>
      <c r="NT146" s="16"/>
      <c r="NU146" s="16"/>
      <c r="NV146" s="16"/>
      <c r="NW146" s="16"/>
      <c r="NX146" s="16"/>
      <c r="NY146" s="16"/>
      <c r="NZ146" s="16"/>
      <c r="OC146" s="9"/>
      <c r="OD146" s="16"/>
      <c r="OE146" s="16"/>
      <c r="OF146" s="16"/>
      <c r="OG146" s="16"/>
      <c r="OH146" s="16"/>
      <c r="OI146" s="16"/>
      <c r="OJ146" s="16"/>
      <c r="OK146" s="16"/>
      <c r="OL146" s="16"/>
      <c r="OM146" s="16"/>
      <c r="ON146" s="16"/>
      <c r="OO146" s="16"/>
      <c r="OP146" s="16"/>
      <c r="OQ146" s="16"/>
      <c r="OR146" s="16"/>
      <c r="OS146" s="16"/>
      <c r="OT146" s="16"/>
      <c r="OU146" s="16"/>
      <c r="OV146" s="16"/>
      <c r="OW146" s="16"/>
      <c r="OX146" s="16"/>
      <c r="PA146" s="9"/>
      <c r="PB146" s="16"/>
      <c r="PC146" s="16"/>
      <c r="PD146" s="16"/>
      <c r="PE146" s="16"/>
      <c r="PF146" s="16"/>
      <c r="PG146" s="16"/>
      <c r="PH146" s="16"/>
      <c r="PI146" s="16"/>
      <c r="PJ146" s="16"/>
      <c r="PK146" s="16"/>
      <c r="PL146" s="16"/>
      <c r="PM146" s="16"/>
      <c r="PN146" s="16"/>
      <c r="PO146" s="16"/>
      <c r="PP146" s="16"/>
      <c r="PQ146" s="16"/>
      <c r="PR146" s="16"/>
      <c r="PS146" s="16"/>
      <c r="PT146" s="16"/>
      <c r="PU146" s="16"/>
      <c r="PV146" s="16"/>
    </row>
    <row r="147" spans="3:438" x14ac:dyDescent="0.25">
      <c r="C147" s="1"/>
      <c r="D147" s="1"/>
      <c r="I147" s="9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G147" s="9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E147" s="9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C147" s="9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DA147" s="9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Y147" s="9"/>
      <c r="DZ147" s="16"/>
      <c r="EA147" s="16"/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6"/>
      <c r="ER147" s="16"/>
      <c r="ES147" s="16"/>
      <c r="ET147" s="16"/>
      <c r="EW147" s="9"/>
      <c r="EX147" s="16"/>
      <c r="EY147" s="16"/>
      <c r="EZ147" s="16"/>
      <c r="FA147" s="16"/>
      <c r="FB147" s="16"/>
      <c r="FC147" s="16"/>
      <c r="FD147" s="16"/>
      <c r="FE147" s="16"/>
      <c r="FF147" s="16"/>
      <c r="FG147" s="16"/>
      <c r="FH147" s="16"/>
      <c r="FI147" s="16"/>
      <c r="FJ147" s="16"/>
      <c r="FK147" s="16"/>
      <c r="FL147" s="16"/>
      <c r="FM147" s="16"/>
      <c r="FN147" s="16"/>
      <c r="FO147" s="16"/>
      <c r="FP147" s="16"/>
      <c r="FQ147" s="16"/>
      <c r="FR147" s="16"/>
      <c r="FU147" s="9"/>
      <c r="FV147" s="16"/>
      <c r="FW147" s="16"/>
      <c r="FX147" s="16"/>
      <c r="FY147" s="16"/>
      <c r="FZ147" s="16"/>
      <c r="GA147" s="16"/>
      <c r="GB147" s="16"/>
      <c r="GC147" s="16"/>
      <c r="GD147" s="16"/>
      <c r="GE147" s="16"/>
      <c r="GF147" s="16"/>
      <c r="GG147" s="16"/>
      <c r="GH147" s="16"/>
      <c r="GI147" s="16"/>
      <c r="GJ147" s="16"/>
      <c r="GK147" s="16"/>
      <c r="GL147" s="16"/>
      <c r="GM147" s="16"/>
      <c r="GN147" s="16"/>
      <c r="GO147" s="16"/>
      <c r="GP147" s="16"/>
      <c r="GS147" s="9"/>
      <c r="GT147" s="16"/>
      <c r="GU147" s="16"/>
      <c r="GV147" s="16"/>
      <c r="GW147" s="16"/>
      <c r="GX147" s="16"/>
      <c r="GY147" s="16"/>
      <c r="GZ147" s="16"/>
      <c r="HA147" s="16"/>
      <c r="HB147" s="16"/>
      <c r="HC147" s="16"/>
      <c r="HD147" s="16"/>
      <c r="HE147" s="16"/>
      <c r="HF147" s="16"/>
      <c r="HG147" s="16"/>
      <c r="HH147" s="16"/>
      <c r="HI147" s="16"/>
      <c r="HJ147" s="16"/>
      <c r="HK147" s="16"/>
      <c r="HL147" s="16"/>
      <c r="HM147" s="16"/>
      <c r="HN147" s="16"/>
      <c r="HQ147" s="9"/>
      <c r="HR147" s="16"/>
      <c r="HS147" s="16"/>
      <c r="HT147" s="16"/>
      <c r="HU147" s="16"/>
      <c r="HV147" s="16"/>
      <c r="HW147" s="16"/>
      <c r="HX147" s="16"/>
      <c r="HY147" s="16"/>
      <c r="HZ147" s="16"/>
      <c r="IA147" s="16"/>
      <c r="IB147" s="16"/>
      <c r="IC147" s="16"/>
      <c r="ID147" s="16"/>
      <c r="IE147" s="16"/>
      <c r="IF147" s="16"/>
      <c r="IG147" s="16"/>
      <c r="IH147" s="16"/>
      <c r="II147" s="16"/>
      <c r="IJ147" s="16"/>
      <c r="IK147" s="16"/>
      <c r="IL147" s="16"/>
      <c r="IO147" s="9"/>
      <c r="IP147" s="16"/>
      <c r="IQ147" s="16"/>
      <c r="IR147" s="16"/>
      <c r="IS147" s="16"/>
      <c r="IT147" s="16"/>
      <c r="IU147" s="16"/>
      <c r="IV147" s="16"/>
      <c r="IW147" s="16"/>
      <c r="IX147" s="16"/>
      <c r="IY147" s="16"/>
      <c r="IZ147" s="16"/>
      <c r="JA147" s="16"/>
      <c r="JB147" s="16"/>
      <c r="JC147" s="16"/>
      <c r="JD147" s="16"/>
      <c r="JE147" s="16"/>
      <c r="JF147" s="16"/>
      <c r="JG147" s="16"/>
      <c r="JH147" s="16"/>
      <c r="JI147" s="16"/>
      <c r="JJ147" s="16"/>
      <c r="JM147" s="9"/>
      <c r="JN147" s="16"/>
      <c r="JO147" s="16"/>
      <c r="JP147" s="16"/>
      <c r="JQ147" s="16"/>
      <c r="JR147" s="16"/>
      <c r="JS147" s="16"/>
      <c r="JT147" s="16"/>
      <c r="JU147" s="16"/>
      <c r="JV147" s="16"/>
      <c r="JW147" s="16"/>
      <c r="JX147" s="16"/>
      <c r="JY147" s="16"/>
      <c r="JZ147" s="16"/>
      <c r="KA147" s="16"/>
      <c r="KB147" s="16"/>
      <c r="KC147" s="16"/>
      <c r="KD147" s="16"/>
      <c r="KE147" s="16"/>
      <c r="KF147" s="16"/>
      <c r="KG147" s="16"/>
      <c r="KH147" s="16"/>
      <c r="KK147" s="9"/>
      <c r="KL147" s="16"/>
      <c r="KM147" s="16"/>
      <c r="KN147" s="16"/>
      <c r="KO147" s="16"/>
      <c r="KP147" s="16"/>
      <c r="KQ147" s="16"/>
      <c r="KR147" s="16"/>
      <c r="KS147" s="16"/>
      <c r="KT147" s="16"/>
      <c r="KU147" s="16"/>
      <c r="KV147" s="16"/>
      <c r="KW147" s="16"/>
      <c r="KX147" s="16"/>
      <c r="KY147" s="16"/>
      <c r="KZ147" s="16"/>
      <c r="LA147" s="16"/>
      <c r="LB147" s="16"/>
      <c r="LC147" s="16"/>
      <c r="LD147" s="16"/>
      <c r="LE147" s="16"/>
      <c r="LF147" s="16"/>
      <c r="LI147" s="9"/>
      <c r="LJ147" s="16"/>
      <c r="LK147" s="16"/>
      <c r="LL147" s="16"/>
      <c r="LM147" s="16"/>
      <c r="LN147" s="16"/>
      <c r="LO147" s="16"/>
      <c r="LP147" s="16"/>
      <c r="LQ147" s="16"/>
      <c r="LR147" s="16"/>
      <c r="LS147" s="16"/>
      <c r="LT147" s="16"/>
      <c r="LU147" s="16"/>
      <c r="LV147" s="16"/>
      <c r="LW147" s="16"/>
      <c r="LX147" s="16"/>
      <c r="LY147" s="16"/>
      <c r="LZ147" s="16"/>
      <c r="MA147" s="16"/>
      <c r="MB147" s="16"/>
      <c r="MC147" s="16"/>
      <c r="MD147" s="16"/>
      <c r="MG147" s="9"/>
      <c r="MH147" s="16"/>
      <c r="MI147" s="16"/>
      <c r="MJ147" s="16"/>
      <c r="MK147" s="16"/>
      <c r="ML147" s="16"/>
      <c r="MM147" s="16"/>
      <c r="MN147" s="16"/>
      <c r="MO147" s="16"/>
      <c r="MP147" s="16"/>
      <c r="MQ147" s="16"/>
      <c r="MR147" s="16"/>
      <c r="MS147" s="16"/>
      <c r="MT147" s="16"/>
      <c r="MU147" s="16"/>
      <c r="MV147" s="16"/>
      <c r="MW147" s="16"/>
      <c r="MX147" s="16"/>
      <c r="MY147" s="16"/>
      <c r="MZ147" s="16"/>
      <c r="NA147" s="16"/>
      <c r="NB147" s="16"/>
      <c r="NE147" s="9"/>
      <c r="NF147" s="16"/>
      <c r="NG147" s="16"/>
      <c r="NH147" s="16"/>
      <c r="NI147" s="16"/>
      <c r="NJ147" s="16"/>
      <c r="NK147" s="16"/>
      <c r="NL147" s="16"/>
      <c r="NM147" s="16"/>
      <c r="NN147" s="16"/>
      <c r="NO147" s="16"/>
      <c r="NP147" s="16"/>
      <c r="NQ147" s="16"/>
      <c r="NR147" s="16"/>
      <c r="NS147" s="16"/>
      <c r="NT147" s="16"/>
      <c r="NU147" s="16"/>
      <c r="NV147" s="16"/>
      <c r="NW147" s="16"/>
      <c r="NX147" s="16"/>
      <c r="NY147" s="16"/>
      <c r="NZ147" s="16"/>
      <c r="OC147" s="9"/>
      <c r="OD147" s="16"/>
      <c r="OE147" s="16"/>
      <c r="OF147" s="16"/>
      <c r="OG147" s="16"/>
      <c r="OH147" s="16"/>
      <c r="OI147" s="16"/>
      <c r="OJ147" s="16"/>
      <c r="OK147" s="16"/>
      <c r="OL147" s="16"/>
      <c r="OM147" s="16"/>
      <c r="ON147" s="16"/>
      <c r="OO147" s="16"/>
      <c r="OP147" s="16"/>
      <c r="OQ147" s="16"/>
      <c r="OR147" s="16"/>
      <c r="OS147" s="16"/>
      <c r="OT147" s="16"/>
      <c r="OU147" s="16"/>
      <c r="OV147" s="16"/>
      <c r="OW147" s="16"/>
      <c r="OX147" s="16"/>
      <c r="PA147" s="9"/>
      <c r="PB147" s="16"/>
      <c r="PC147" s="16"/>
      <c r="PD147" s="16"/>
      <c r="PE147" s="16"/>
      <c r="PF147" s="16"/>
      <c r="PG147" s="16"/>
      <c r="PH147" s="16"/>
      <c r="PI147" s="16"/>
      <c r="PJ147" s="16"/>
      <c r="PK147" s="16"/>
      <c r="PL147" s="16"/>
      <c r="PM147" s="16"/>
      <c r="PN147" s="16"/>
      <c r="PO147" s="16"/>
      <c r="PP147" s="16"/>
      <c r="PQ147" s="16"/>
      <c r="PR147" s="16"/>
      <c r="PS147" s="16"/>
      <c r="PT147" s="16"/>
      <c r="PU147" s="16"/>
      <c r="PV147" s="16"/>
    </row>
    <row r="148" spans="3:438" x14ac:dyDescent="0.25">
      <c r="C148" s="1"/>
      <c r="D148" s="1"/>
      <c r="I148" s="9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G148" s="9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E148" s="9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C148" s="9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DA148" s="9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Y148" s="9"/>
      <c r="DZ148" s="16"/>
      <c r="EA148" s="16"/>
      <c r="EB148" s="16"/>
      <c r="EC148" s="16"/>
      <c r="ED148" s="16"/>
      <c r="EE148" s="16"/>
      <c r="EF148" s="16"/>
      <c r="EG148" s="16"/>
      <c r="EH148" s="16"/>
      <c r="EI148" s="16"/>
      <c r="EJ148" s="16"/>
      <c r="EK148" s="16"/>
      <c r="EL148" s="16"/>
      <c r="EM148" s="16"/>
      <c r="EN148" s="16"/>
      <c r="EO148" s="16"/>
      <c r="EP148" s="16"/>
      <c r="EQ148" s="16"/>
      <c r="ER148" s="16"/>
      <c r="ES148" s="16"/>
      <c r="ET148" s="16"/>
      <c r="EW148" s="9"/>
      <c r="EX148" s="16"/>
      <c r="EY148" s="16"/>
      <c r="EZ148" s="16"/>
      <c r="FA148" s="16"/>
      <c r="FB148" s="16"/>
      <c r="FC148" s="16"/>
      <c r="FD148" s="16"/>
      <c r="FE148" s="16"/>
      <c r="FF148" s="16"/>
      <c r="FG148" s="16"/>
      <c r="FH148" s="16"/>
      <c r="FI148" s="16"/>
      <c r="FJ148" s="16"/>
      <c r="FK148" s="16"/>
      <c r="FL148" s="16"/>
      <c r="FM148" s="16"/>
      <c r="FN148" s="16"/>
      <c r="FO148" s="16"/>
      <c r="FP148" s="16"/>
      <c r="FQ148" s="16"/>
      <c r="FR148" s="16"/>
      <c r="FU148" s="9"/>
      <c r="FV148" s="16"/>
      <c r="FW148" s="16"/>
      <c r="FX148" s="16"/>
      <c r="FY148" s="16"/>
      <c r="FZ148" s="16"/>
      <c r="GA148" s="16"/>
      <c r="GB148" s="16"/>
      <c r="GC148" s="16"/>
      <c r="GD148" s="16"/>
      <c r="GE148" s="16"/>
      <c r="GF148" s="16"/>
      <c r="GG148" s="16"/>
      <c r="GH148" s="16"/>
      <c r="GI148" s="16"/>
      <c r="GJ148" s="16"/>
      <c r="GK148" s="16"/>
      <c r="GL148" s="16"/>
      <c r="GM148" s="16"/>
      <c r="GN148" s="16"/>
      <c r="GO148" s="16"/>
      <c r="GP148" s="16"/>
      <c r="GS148" s="9"/>
      <c r="GT148" s="16"/>
      <c r="GU148" s="16"/>
      <c r="GV148" s="16"/>
      <c r="GW148" s="16"/>
      <c r="GX148" s="16"/>
      <c r="GY148" s="16"/>
      <c r="GZ148" s="16"/>
      <c r="HA148" s="16"/>
      <c r="HB148" s="16"/>
      <c r="HC148" s="16"/>
      <c r="HD148" s="16"/>
      <c r="HE148" s="16"/>
      <c r="HF148" s="16"/>
      <c r="HG148" s="16"/>
      <c r="HH148" s="16"/>
      <c r="HI148" s="16"/>
      <c r="HJ148" s="16"/>
      <c r="HK148" s="16"/>
      <c r="HL148" s="16"/>
      <c r="HM148" s="16"/>
      <c r="HN148" s="16"/>
      <c r="HQ148" s="9"/>
      <c r="HR148" s="16"/>
      <c r="HS148" s="16"/>
      <c r="HT148" s="16"/>
      <c r="HU148" s="16"/>
      <c r="HV148" s="16"/>
      <c r="HW148" s="16"/>
      <c r="HX148" s="16"/>
      <c r="HY148" s="16"/>
      <c r="HZ148" s="16"/>
      <c r="IA148" s="16"/>
      <c r="IB148" s="16"/>
      <c r="IC148" s="16"/>
      <c r="ID148" s="16"/>
      <c r="IE148" s="16"/>
      <c r="IF148" s="16"/>
      <c r="IG148" s="16"/>
      <c r="IH148" s="16"/>
      <c r="II148" s="16"/>
      <c r="IJ148" s="16"/>
      <c r="IK148" s="16"/>
      <c r="IL148" s="16"/>
      <c r="IO148" s="9"/>
      <c r="IP148" s="16"/>
      <c r="IQ148" s="16"/>
      <c r="IR148" s="16"/>
      <c r="IS148" s="16"/>
      <c r="IT148" s="16"/>
      <c r="IU148" s="16"/>
      <c r="IV148" s="16"/>
      <c r="IW148" s="16"/>
      <c r="IX148" s="16"/>
      <c r="IY148" s="16"/>
      <c r="IZ148" s="16"/>
      <c r="JA148" s="16"/>
      <c r="JB148" s="16"/>
      <c r="JC148" s="16"/>
      <c r="JD148" s="16"/>
      <c r="JE148" s="16"/>
      <c r="JF148" s="16"/>
      <c r="JG148" s="16"/>
      <c r="JH148" s="16"/>
      <c r="JI148" s="16"/>
      <c r="JJ148" s="16"/>
      <c r="JM148" s="9"/>
      <c r="JN148" s="16"/>
      <c r="JO148" s="16"/>
      <c r="JP148" s="16"/>
      <c r="JQ148" s="16"/>
      <c r="JR148" s="16"/>
      <c r="JS148" s="16"/>
      <c r="JT148" s="16"/>
      <c r="JU148" s="16"/>
      <c r="JV148" s="16"/>
      <c r="JW148" s="16"/>
      <c r="JX148" s="16"/>
      <c r="JY148" s="16"/>
      <c r="JZ148" s="16"/>
      <c r="KA148" s="16"/>
      <c r="KB148" s="16"/>
      <c r="KC148" s="16"/>
      <c r="KD148" s="16"/>
      <c r="KE148" s="16"/>
      <c r="KF148" s="16"/>
      <c r="KG148" s="16"/>
      <c r="KH148" s="16"/>
      <c r="KK148" s="9"/>
      <c r="KL148" s="16"/>
      <c r="KM148" s="16"/>
      <c r="KN148" s="16"/>
      <c r="KO148" s="16"/>
      <c r="KP148" s="16"/>
      <c r="KQ148" s="16"/>
      <c r="KR148" s="16"/>
      <c r="KS148" s="16"/>
      <c r="KT148" s="16"/>
      <c r="KU148" s="16"/>
      <c r="KV148" s="16"/>
      <c r="KW148" s="16"/>
      <c r="KX148" s="16"/>
      <c r="KY148" s="16"/>
      <c r="KZ148" s="16"/>
      <c r="LA148" s="16"/>
      <c r="LB148" s="16"/>
      <c r="LC148" s="16"/>
      <c r="LD148" s="16"/>
      <c r="LE148" s="16"/>
      <c r="LF148" s="16"/>
      <c r="LI148" s="9"/>
      <c r="LJ148" s="16"/>
      <c r="LK148" s="16"/>
      <c r="LL148" s="16"/>
      <c r="LM148" s="16"/>
      <c r="LN148" s="16"/>
      <c r="LO148" s="16"/>
      <c r="LP148" s="16"/>
      <c r="LQ148" s="16"/>
      <c r="LR148" s="16"/>
      <c r="LS148" s="16"/>
      <c r="LT148" s="16"/>
      <c r="LU148" s="16"/>
      <c r="LV148" s="16"/>
      <c r="LW148" s="16"/>
      <c r="LX148" s="16"/>
      <c r="LY148" s="16"/>
      <c r="LZ148" s="16"/>
      <c r="MA148" s="16"/>
      <c r="MB148" s="16"/>
      <c r="MC148" s="16"/>
      <c r="MD148" s="16"/>
      <c r="MG148" s="9"/>
      <c r="MH148" s="16"/>
      <c r="MI148" s="16"/>
      <c r="MJ148" s="16"/>
      <c r="MK148" s="16"/>
      <c r="ML148" s="16"/>
      <c r="MM148" s="16"/>
      <c r="MN148" s="16"/>
      <c r="MO148" s="16"/>
      <c r="MP148" s="16"/>
      <c r="MQ148" s="16"/>
      <c r="MR148" s="16"/>
      <c r="MS148" s="16"/>
      <c r="MT148" s="16"/>
      <c r="MU148" s="16"/>
      <c r="MV148" s="16"/>
      <c r="MW148" s="16"/>
      <c r="MX148" s="16"/>
      <c r="MY148" s="16"/>
      <c r="MZ148" s="16"/>
      <c r="NA148" s="16"/>
      <c r="NB148" s="16"/>
      <c r="NE148" s="9"/>
      <c r="NF148" s="16"/>
      <c r="NG148" s="16"/>
      <c r="NH148" s="16"/>
      <c r="NI148" s="16"/>
      <c r="NJ148" s="16"/>
      <c r="NK148" s="16"/>
      <c r="NL148" s="16"/>
      <c r="NM148" s="16"/>
      <c r="NN148" s="16"/>
      <c r="NO148" s="16"/>
      <c r="NP148" s="16"/>
      <c r="NQ148" s="16"/>
      <c r="NR148" s="16"/>
      <c r="NS148" s="16"/>
      <c r="NT148" s="16"/>
      <c r="NU148" s="16"/>
      <c r="NV148" s="16"/>
      <c r="NW148" s="16"/>
      <c r="NX148" s="16"/>
      <c r="NY148" s="16"/>
      <c r="NZ148" s="16"/>
      <c r="OC148" s="9"/>
      <c r="OD148" s="16"/>
      <c r="OE148" s="16"/>
      <c r="OF148" s="16"/>
      <c r="OG148" s="16"/>
      <c r="OH148" s="16"/>
      <c r="OI148" s="16"/>
      <c r="OJ148" s="16"/>
      <c r="OK148" s="16"/>
      <c r="OL148" s="16"/>
      <c r="OM148" s="16"/>
      <c r="ON148" s="16"/>
      <c r="OO148" s="16"/>
      <c r="OP148" s="16"/>
      <c r="OQ148" s="16"/>
      <c r="OR148" s="16"/>
      <c r="OS148" s="16"/>
      <c r="OT148" s="16"/>
      <c r="OU148" s="16"/>
      <c r="OV148" s="16"/>
      <c r="OW148" s="16"/>
      <c r="OX148" s="16"/>
      <c r="PA148" s="9"/>
      <c r="PB148" s="16"/>
      <c r="PC148" s="16"/>
      <c r="PD148" s="16"/>
      <c r="PE148" s="16"/>
      <c r="PF148" s="16"/>
      <c r="PG148" s="16"/>
      <c r="PH148" s="16"/>
      <c r="PI148" s="16"/>
      <c r="PJ148" s="16"/>
      <c r="PK148" s="16"/>
      <c r="PL148" s="16"/>
      <c r="PM148" s="16"/>
      <c r="PN148" s="16"/>
      <c r="PO148" s="16"/>
      <c r="PP148" s="16"/>
      <c r="PQ148" s="16"/>
      <c r="PR148" s="16"/>
      <c r="PS148" s="16"/>
      <c r="PT148" s="16"/>
      <c r="PU148" s="16"/>
      <c r="PV148" s="16"/>
    </row>
    <row r="149" spans="3:438" x14ac:dyDescent="0.25">
      <c r="C149" s="1"/>
      <c r="D149" s="1"/>
      <c r="I149" s="9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G149" s="9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E149" s="9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C149" s="9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DA149" s="9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Y149" s="9"/>
      <c r="DZ149" s="16"/>
      <c r="EA149" s="16"/>
      <c r="EB149" s="16"/>
      <c r="EC149" s="16"/>
      <c r="ED149" s="16"/>
      <c r="EE149" s="16"/>
      <c r="EF149" s="16"/>
      <c r="EG149" s="16"/>
      <c r="EH149" s="16"/>
      <c r="EI149" s="16"/>
      <c r="EJ149" s="16"/>
      <c r="EK149" s="16"/>
      <c r="EL149" s="16"/>
      <c r="EM149" s="16"/>
      <c r="EN149" s="16"/>
      <c r="EO149" s="16"/>
      <c r="EP149" s="16"/>
      <c r="EQ149" s="16"/>
      <c r="ER149" s="16"/>
      <c r="ES149" s="16"/>
      <c r="ET149" s="16"/>
      <c r="EW149" s="9"/>
      <c r="EX149" s="16"/>
      <c r="EY149" s="16"/>
      <c r="EZ149" s="16"/>
      <c r="FA149" s="16"/>
      <c r="FB149" s="16"/>
      <c r="FC149" s="16"/>
      <c r="FD149" s="16"/>
      <c r="FE149" s="16"/>
      <c r="FF149" s="16"/>
      <c r="FG149" s="16"/>
      <c r="FH149" s="16"/>
      <c r="FI149" s="16"/>
      <c r="FJ149" s="16"/>
      <c r="FK149" s="16"/>
      <c r="FL149" s="16"/>
      <c r="FM149" s="16"/>
      <c r="FN149" s="16"/>
      <c r="FO149" s="16"/>
      <c r="FP149" s="16"/>
      <c r="FQ149" s="16"/>
      <c r="FR149" s="16"/>
      <c r="FU149" s="9"/>
      <c r="FV149" s="16"/>
      <c r="FW149" s="16"/>
      <c r="FX149" s="16"/>
      <c r="FY149" s="16"/>
      <c r="FZ149" s="16"/>
      <c r="GA149" s="16"/>
      <c r="GB149" s="16"/>
      <c r="GC149" s="16"/>
      <c r="GD149" s="16"/>
      <c r="GE149" s="16"/>
      <c r="GF149" s="16"/>
      <c r="GG149" s="16"/>
      <c r="GH149" s="16"/>
      <c r="GI149" s="16"/>
      <c r="GJ149" s="16"/>
      <c r="GK149" s="16"/>
      <c r="GL149" s="16"/>
      <c r="GM149" s="16"/>
      <c r="GN149" s="16"/>
      <c r="GO149" s="16"/>
      <c r="GP149" s="16"/>
      <c r="GS149" s="9"/>
      <c r="GT149" s="16"/>
      <c r="GU149" s="16"/>
      <c r="GV149" s="16"/>
      <c r="GW149" s="16"/>
      <c r="GX149" s="16"/>
      <c r="GY149" s="16"/>
      <c r="GZ149" s="16"/>
      <c r="HA149" s="16"/>
      <c r="HB149" s="16"/>
      <c r="HC149" s="16"/>
      <c r="HD149" s="16"/>
      <c r="HE149" s="16"/>
      <c r="HF149" s="16"/>
      <c r="HG149" s="16"/>
      <c r="HH149" s="16"/>
      <c r="HI149" s="16"/>
      <c r="HJ149" s="16"/>
      <c r="HK149" s="16"/>
      <c r="HL149" s="16"/>
      <c r="HM149" s="16"/>
      <c r="HN149" s="16"/>
      <c r="HQ149" s="9"/>
      <c r="HR149" s="16"/>
      <c r="HS149" s="16"/>
      <c r="HT149" s="16"/>
      <c r="HU149" s="16"/>
      <c r="HV149" s="16"/>
      <c r="HW149" s="16"/>
      <c r="HX149" s="16"/>
      <c r="HY149" s="16"/>
      <c r="HZ149" s="16"/>
      <c r="IA149" s="16"/>
      <c r="IB149" s="16"/>
      <c r="IC149" s="16"/>
      <c r="ID149" s="16"/>
      <c r="IE149" s="16"/>
      <c r="IF149" s="16"/>
      <c r="IG149" s="16"/>
      <c r="IH149" s="16"/>
      <c r="II149" s="16"/>
      <c r="IJ149" s="16"/>
      <c r="IK149" s="16"/>
      <c r="IL149" s="16"/>
      <c r="IO149" s="9"/>
      <c r="IP149" s="16"/>
      <c r="IQ149" s="16"/>
      <c r="IR149" s="16"/>
      <c r="IS149" s="16"/>
      <c r="IT149" s="16"/>
      <c r="IU149" s="16"/>
      <c r="IV149" s="16"/>
      <c r="IW149" s="16"/>
      <c r="IX149" s="16"/>
      <c r="IY149" s="16"/>
      <c r="IZ149" s="16"/>
      <c r="JA149" s="16"/>
      <c r="JB149" s="16"/>
      <c r="JC149" s="16"/>
      <c r="JD149" s="16"/>
      <c r="JE149" s="16"/>
      <c r="JF149" s="16"/>
      <c r="JG149" s="16"/>
      <c r="JH149" s="16"/>
      <c r="JI149" s="16"/>
      <c r="JJ149" s="16"/>
      <c r="JM149" s="9"/>
      <c r="JN149" s="16"/>
      <c r="JO149" s="16"/>
      <c r="JP149" s="16"/>
      <c r="JQ149" s="16"/>
      <c r="JR149" s="16"/>
      <c r="JS149" s="16"/>
      <c r="JT149" s="16"/>
      <c r="JU149" s="16"/>
      <c r="JV149" s="16"/>
      <c r="JW149" s="16"/>
      <c r="JX149" s="16"/>
      <c r="JY149" s="16"/>
      <c r="JZ149" s="16"/>
      <c r="KA149" s="16"/>
      <c r="KB149" s="16"/>
      <c r="KC149" s="16"/>
      <c r="KD149" s="16"/>
      <c r="KE149" s="16"/>
      <c r="KF149" s="16"/>
      <c r="KG149" s="16"/>
      <c r="KH149" s="16"/>
      <c r="KK149" s="9"/>
      <c r="KL149" s="16"/>
      <c r="KM149" s="16"/>
      <c r="KN149" s="16"/>
      <c r="KO149" s="16"/>
      <c r="KP149" s="16"/>
      <c r="KQ149" s="16"/>
      <c r="KR149" s="16"/>
      <c r="KS149" s="16"/>
      <c r="KT149" s="16"/>
      <c r="KU149" s="16"/>
      <c r="KV149" s="16"/>
      <c r="KW149" s="16"/>
      <c r="KX149" s="16"/>
      <c r="KY149" s="16"/>
      <c r="KZ149" s="16"/>
      <c r="LA149" s="16"/>
      <c r="LB149" s="16"/>
      <c r="LC149" s="16"/>
      <c r="LD149" s="16"/>
      <c r="LE149" s="16"/>
      <c r="LF149" s="16"/>
      <c r="LI149" s="9"/>
      <c r="LJ149" s="16"/>
      <c r="LK149" s="16"/>
      <c r="LL149" s="16"/>
      <c r="LM149" s="16"/>
      <c r="LN149" s="16"/>
      <c r="LO149" s="16"/>
      <c r="LP149" s="16"/>
      <c r="LQ149" s="16"/>
      <c r="LR149" s="16"/>
      <c r="LS149" s="16"/>
      <c r="LT149" s="16"/>
      <c r="LU149" s="16"/>
      <c r="LV149" s="16"/>
      <c r="LW149" s="16"/>
      <c r="LX149" s="16"/>
      <c r="LY149" s="16"/>
      <c r="LZ149" s="16"/>
      <c r="MA149" s="16"/>
      <c r="MB149" s="16"/>
      <c r="MC149" s="16"/>
      <c r="MD149" s="16"/>
      <c r="MG149" s="9"/>
      <c r="MH149" s="16"/>
      <c r="MI149" s="16"/>
      <c r="MJ149" s="16"/>
      <c r="MK149" s="16"/>
      <c r="ML149" s="16"/>
      <c r="MM149" s="16"/>
      <c r="MN149" s="16"/>
      <c r="MO149" s="16"/>
      <c r="MP149" s="16"/>
      <c r="MQ149" s="16"/>
      <c r="MR149" s="16"/>
      <c r="MS149" s="16"/>
      <c r="MT149" s="16"/>
      <c r="MU149" s="16"/>
      <c r="MV149" s="16"/>
      <c r="MW149" s="16"/>
      <c r="MX149" s="16"/>
      <c r="MY149" s="16"/>
      <c r="MZ149" s="16"/>
      <c r="NA149" s="16"/>
      <c r="NB149" s="16"/>
      <c r="NE149" s="9"/>
      <c r="NF149" s="16"/>
      <c r="NG149" s="16"/>
      <c r="NH149" s="16"/>
      <c r="NI149" s="16"/>
      <c r="NJ149" s="16"/>
      <c r="NK149" s="16"/>
      <c r="NL149" s="16"/>
      <c r="NM149" s="16"/>
      <c r="NN149" s="16"/>
      <c r="NO149" s="16"/>
      <c r="NP149" s="16"/>
      <c r="NQ149" s="16"/>
      <c r="NR149" s="16"/>
      <c r="NS149" s="16"/>
      <c r="NT149" s="16"/>
      <c r="NU149" s="16"/>
      <c r="NV149" s="16"/>
      <c r="NW149" s="16"/>
      <c r="NX149" s="16"/>
      <c r="NY149" s="16"/>
      <c r="NZ149" s="16"/>
      <c r="OC149" s="9"/>
      <c r="OD149" s="16"/>
      <c r="OE149" s="16"/>
      <c r="OF149" s="16"/>
      <c r="OG149" s="16"/>
      <c r="OH149" s="16"/>
      <c r="OI149" s="16"/>
      <c r="OJ149" s="16"/>
      <c r="OK149" s="16"/>
      <c r="OL149" s="16"/>
      <c r="OM149" s="16"/>
      <c r="ON149" s="16"/>
      <c r="OO149" s="16"/>
      <c r="OP149" s="16"/>
      <c r="OQ149" s="16"/>
      <c r="OR149" s="16"/>
      <c r="OS149" s="16"/>
      <c r="OT149" s="16"/>
      <c r="OU149" s="16"/>
      <c r="OV149" s="16"/>
      <c r="OW149" s="16"/>
      <c r="OX149" s="16"/>
      <c r="PA149" s="9"/>
      <c r="PB149" s="16"/>
      <c r="PC149" s="16"/>
      <c r="PD149" s="16"/>
      <c r="PE149" s="16"/>
      <c r="PF149" s="16"/>
      <c r="PG149" s="16"/>
      <c r="PH149" s="16"/>
      <c r="PI149" s="16"/>
      <c r="PJ149" s="16"/>
      <c r="PK149" s="16"/>
      <c r="PL149" s="16"/>
      <c r="PM149" s="16"/>
      <c r="PN149" s="16"/>
      <c r="PO149" s="16"/>
      <c r="PP149" s="16"/>
      <c r="PQ149" s="16"/>
      <c r="PR149" s="16"/>
      <c r="PS149" s="16"/>
      <c r="PT149" s="16"/>
      <c r="PU149" s="16"/>
      <c r="PV149" s="16"/>
    </row>
    <row r="150" spans="3:438" x14ac:dyDescent="0.25">
      <c r="C150" s="1"/>
      <c r="D150" s="1"/>
      <c r="I150" s="9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G150" s="9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E150" s="9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C150" s="9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DA150" s="9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Y150" s="9"/>
      <c r="DZ150" s="16"/>
      <c r="EA150" s="16"/>
      <c r="EB150" s="16"/>
      <c r="EC150" s="16"/>
      <c r="ED150" s="16"/>
      <c r="EE150" s="16"/>
      <c r="EF150" s="16"/>
      <c r="EG150" s="16"/>
      <c r="EH150" s="16"/>
      <c r="EI150" s="16"/>
      <c r="EJ150" s="16"/>
      <c r="EK150" s="16"/>
      <c r="EL150" s="16"/>
      <c r="EM150" s="16"/>
      <c r="EN150" s="16"/>
      <c r="EO150" s="16"/>
      <c r="EP150" s="16"/>
      <c r="EQ150" s="16"/>
      <c r="ER150" s="16"/>
      <c r="ES150" s="16"/>
      <c r="ET150" s="16"/>
      <c r="EW150" s="9"/>
      <c r="EX150" s="16"/>
      <c r="EY150" s="16"/>
      <c r="EZ150" s="16"/>
      <c r="FA150" s="16"/>
      <c r="FB150" s="16"/>
      <c r="FC150" s="16"/>
      <c r="FD150" s="16"/>
      <c r="FE150" s="16"/>
      <c r="FF150" s="16"/>
      <c r="FG150" s="16"/>
      <c r="FH150" s="16"/>
      <c r="FI150" s="16"/>
      <c r="FJ150" s="16"/>
      <c r="FK150" s="16"/>
      <c r="FL150" s="16"/>
      <c r="FM150" s="16"/>
      <c r="FN150" s="16"/>
      <c r="FO150" s="16"/>
      <c r="FP150" s="16"/>
      <c r="FQ150" s="16"/>
      <c r="FR150" s="16"/>
      <c r="FU150" s="9"/>
      <c r="FV150" s="16"/>
      <c r="FW150" s="16"/>
      <c r="FX150" s="16"/>
      <c r="FY150" s="16"/>
      <c r="FZ150" s="16"/>
      <c r="GA150" s="16"/>
      <c r="GB150" s="16"/>
      <c r="GC150" s="16"/>
      <c r="GD150" s="16"/>
      <c r="GE150" s="16"/>
      <c r="GF150" s="16"/>
      <c r="GG150" s="16"/>
      <c r="GH150" s="16"/>
      <c r="GI150" s="16"/>
      <c r="GJ150" s="16"/>
      <c r="GK150" s="16"/>
      <c r="GL150" s="16"/>
      <c r="GM150" s="16"/>
      <c r="GN150" s="16"/>
      <c r="GO150" s="16"/>
      <c r="GP150" s="16"/>
      <c r="GS150" s="9"/>
      <c r="GT150" s="16"/>
      <c r="GU150" s="16"/>
      <c r="GV150" s="16"/>
      <c r="GW150" s="16"/>
      <c r="GX150" s="16"/>
      <c r="GY150" s="16"/>
      <c r="GZ150" s="16"/>
      <c r="HA150" s="16"/>
      <c r="HB150" s="16"/>
      <c r="HC150" s="16"/>
      <c r="HD150" s="16"/>
      <c r="HE150" s="16"/>
      <c r="HF150" s="16"/>
      <c r="HG150" s="16"/>
      <c r="HH150" s="16"/>
      <c r="HI150" s="16"/>
      <c r="HJ150" s="16"/>
      <c r="HK150" s="16"/>
      <c r="HL150" s="16"/>
      <c r="HM150" s="16"/>
      <c r="HN150" s="16"/>
      <c r="HQ150" s="9"/>
      <c r="HR150" s="16"/>
      <c r="HS150" s="16"/>
      <c r="HT150" s="16"/>
      <c r="HU150" s="16"/>
      <c r="HV150" s="16"/>
      <c r="HW150" s="16"/>
      <c r="HX150" s="16"/>
      <c r="HY150" s="16"/>
      <c r="HZ150" s="16"/>
      <c r="IA150" s="16"/>
      <c r="IB150" s="16"/>
      <c r="IC150" s="16"/>
      <c r="ID150" s="16"/>
      <c r="IE150" s="16"/>
      <c r="IF150" s="16"/>
      <c r="IG150" s="16"/>
      <c r="IH150" s="16"/>
      <c r="II150" s="16"/>
      <c r="IJ150" s="16"/>
      <c r="IK150" s="16"/>
      <c r="IL150" s="16"/>
      <c r="IO150" s="9"/>
      <c r="IP150" s="16"/>
      <c r="IQ150" s="16"/>
      <c r="IR150" s="16"/>
      <c r="IS150" s="16"/>
      <c r="IT150" s="16"/>
      <c r="IU150" s="16"/>
      <c r="IV150" s="16"/>
      <c r="IW150" s="16"/>
      <c r="IX150" s="16"/>
      <c r="IY150" s="16"/>
      <c r="IZ150" s="16"/>
      <c r="JA150" s="16"/>
      <c r="JB150" s="16"/>
      <c r="JC150" s="16"/>
      <c r="JD150" s="16"/>
      <c r="JE150" s="16"/>
      <c r="JF150" s="16"/>
      <c r="JG150" s="16"/>
      <c r="JH150" s="16"/>
      <c r="JI150" s="16"/>
      <c r="JJ150" s="16"/>
      <c r="JM150" s="9"/>
      <c r="JN150" s="16"/>
      <c r="JO150" s="16"/>
      <c r="JP150" s="16"/>
      <c r="JQ150" s="16"/>
      <c r="JR150" s="16"/>
      <c r="JS150" s="16"/>
      <c r="JT150" s="16"/>
      <c r="JU150" s="16"/>
      <c r="JV150" s="16"/>
      <c r="JW150" s="16"/>
      <c r="JX150" s="16"/>
      <c r="JY150" s="16"/>
      <c r="JZ150" s="16"/>
      <c r="KA150" s="16"/>
      <c r="KB150" s="16"/>
      <c r="KC150" s="16"/>
      <c r="KD150" s="16"/>
      <c r="KE150" s="16"/>
      <c r="KF150" s="16"/>
      <c r="KG150" s="16"/>
      <c r="KH150" s="16"/>
      <c r="KK150" s="9"/>
      <c r="KL150" s="16"/>
      <c r="KM150" s="16"/>
      <c r="KN150" s="16"/>
      <c r="KO150" s="16"/>
      <c r="KP150" s="16"/>
      <c r="KQ150" s="16"/>
      <c r="KR150" s="16"/>
      <c r="KS150" s="16"/>
      <c r="KT150" s="16"/>
      <c r="KU150" s="16"/>
      <c r="KV150" s="16"/>
      <c r="KW150" s="16"/>
      <c r="KX150" s="16"/>
      <c r="KY150" s="16"/>
      <c r="KZ150" s="16"/>
      <c r="LA150" s="16"/>
      <c r="LB150" s="16"/>
      <c r="LC150" s="16"/>
      <c r="LD150" s="16"/>
      <c r="LE150" s="16"/>
      <c r="LF150" s="16"/>
      <c r="LI150" s="9"/>
      <c r="LJ150" s="16"/>
      <c r="LK150" s="16"/>
      <c r="LL150" s="16"/>
      <c r="LM150" s="16"/>
      <c r="LN150" s="16"/>
      <c r="LO150" s="16"/>
      <c r="LP150" s="16"/>
      <c r="LQ150" s="16"/>
      <c r="LR150" s="16"/>
      <c r="LS150" s="16"/>
      <c r="LT150" s="16"/>
      <c r="LU150" s="16"/>
      <c r="LV150" s="16"/>
      <c r="LW150" s="16"/>
      <c r="LX150" s="16"/>
      <c r="LY150" s="16"/>
      <c r="LZ150" s="16"/>
      <c r="MA150" s="16"/>
      <c r="MB150" s="16"/>
      <c r="MC150" s="16"/>
      <c r="MD150" s="16"/>
      <c r="MG150" s="9"/>
      <c r="MH150" s="16"/>
      <c r="MI150" s="16"/>
      <c r="MJ150" s="16"/>
      <c r="MK150" s="16"/>
      <c r="ML150" s="16"/>
      <c r="MM150" s="16"/>
      <c r="MN150" s="16"/>
      <c r="MO150" s="16"/>
      <c r="MP150" s="16"/>
      <c r="MQ150" s="16"/>
      <c r="MR150" s="16"/>
      <c r="MS150" s="16"/>
      <c r="MT150" s="16"/>
      <c r="MU150" s="16"/>
      <c r="MV150" s="16"/>
      <c r="MW150" s="16"/>
      <c r="MX150" s="16"/>
      <c r="MY150" s="16"/>
      <c r="MZ150" s="16"/>
      <c r="NA150" s="16"/>
      <c r="NB150" s="16"/>
      <c r="NE150" s="9"/>
      <c r="NF150" s="16"/>
      <c r="NG150" s="16"/>
      <c r="NH150" s="16"/>
      <c r="NI150" s="16"/>
      <c r="NJ150" s="16"/>
      <c r="NK150" s="16"/>
      <c r="NL150" s="16"/>
      <c r="NM150" s="16"/>
      <c r="NN150" s="16"/>
      <c r="NO150" s="16"/>
      <c r="NP150" s="16"/>
      <c r="NQ150" s="16"/>
      <c r="NR150" s="16"/>
      <c r="NS150" s="16"/>
      <c r="NT150" s="16"/>
      <c r="NU150" s="16"/>
      <c r="NV150" s="16"/>
      <c r="NW150" s="16"/>
      <c r="NX150" s="16"/>
      <c r="NY150" s="16"/>
      <c r="NZ150" s="16"/>
      <c r="OC150" s="9"/>
      <c r="OD150" s="16"/>
      <c r="OE150" s="16"/>
      <c r="OF150" s="16"/>
      <c r="OG150" s="16"/>
      <c r="OH150" s="16"/>
      <c r="OI150" s="16"/>
      <c r="OJ150" s="16"/>
      <c r="OK150" s="16"/>
      <c r="OL150" s="16"/>
      <c r="OM150" s="16"/>
      <c r="ON150" s="16"/>
      <c r="OO150" s="16"/>
      <c r="OP150" s="16"/>
      <c r="OQ150" s="16"/>
      <c r="OR150" s="16"/>
      <c r="OS150" s="16"/>
      <c r="OT150" s="16"/>
      <c r="OU150" s="16"/>
      <c r="OV150" s="16"/>
      <c r="OW150" s="16"/>
      <c r="OX150" s="16"/>
      <c r="PA150" s="9"/>
      <c r="PB150" s="16"/>
      <c r="PC150" s="16"/>
      <c r="PD150" s="16"/>
      <c r="PE150" s="16"/>
      <c r="PF150" s="16"/>
      <c r="PG150" s="16"/>
      <c r="PH150" s="16"/>
      <c r="PI150" s="16"/>
      <c r="PJ150" s="16"/>
      <c r="PK150" s="16"/>
      <c r="PL150" s="16"/>
      <c r="PM150" s="16"/>
      <c r="PN150" s="16"/>
      <c r="PO150" s="16"/>
      <c r="PP150" s="16"/>
      <c r="PQ150" s="16"/>
      <c r="PR150" s="16"/>
      <c r="PS150" s="16"/>
      <c r="PT150" s="16"/>
      <c r="PU150" s="16"/>
      <c r="PV150" s="16"/>
    </row>
    <row r="151" spans="3:438" x14ac:dyDescent="0.25">
      <c r="C151" s="1"/>
      <c r="D151" s="1"/>
      <c r="I151" s="9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G151" s="9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E151" s="9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C151" s="9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DA151" s="9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Y151" s="9"/>
      <c r="DZ151" s="16"/>
      <c r="EA151" s="16"/>
      <c r="EB151" s="16"/>
      <c r="EC151" s="16"/>
      <c r="ED151" s="16"/>
      <c r="EE151" s="16"/>
      <c r="EF151" s="16"/>
      <c r="EG151" s="16"/>
      <c r="EH151" s="16"/>
      <c r="EI151" s="16"/>
      <c r="EJ151" s="16"/>
      <c r="EK151" s="16"/>
      <c r="EL151" s="16"/>
      <c r="EM151" s="16"/>
      <c r="EN151" s="16"/>
      <c r="EO151" s="16"/>
      <c r="EP151" s="16"/>
      <c r="EQ151" s="16"/>
      <c r="ER151" s="16"/>
      <c r="ES151" s="16"/>
      <c r="ET151" s="16"/>
      <c r="EW151" s="9"/>
      <c r="EX151" s="16"/>
      <c r="EY151" s="16"/>
      <c r="EZ151" s="16"/>
      <c r="FA151" s="16"/>
      <c r="FB151" s="16"/>
      <c r="FC151" s="16"/>
      <c r="FD151" s="16"/>
      <c r="FE151" s="16"/>
      <c r="FF151" s="16"/>
      <c r="FG151" s="16"/>
      <c r="FH151" s="16"/>
      <c r="FI151" s="16"/>
      <c r="FJ151" s="16"/>
      <c r="FK151" s="16"/>
      <c r="FL151" s="16"/>
      <c r="FM151" s="16"/>
      <c r="FN151" s="16"/>
      <c r="FO151" s="16"/>
      <c r="FP151" s="16"/>
      <c r="FQ151" s="16"/>
      <c r="FR151" s="16"/>
      <c r="FU151" s="9"/>
      <c r="FV151" s="16"/>
      <c r="FW151" s="16"/>
      <c r="FX151" s="16"/>
      <c r="FY151" s="16"/>
      <c r="FZ151" s="16"/>
      <c r="GA151" s="16"/>
      <c r="GB151" s="16"/>
      <c r="GC151" s="16"/>
      <c r="GD151" s="16"/>
      <c r="GE151" s="16"/>
      <c r="GF151" s="16"/>
      <c r="GG151" s="16"/>
      <c r="GH151" s="16"/>
      <c r="GI151" s="16"/>
      <c r="GJ151" s="16"/>
      <c r="GK151" s="16"/>
      <c r="GL151" s="16"/>
      <c r="GM151" s="16"/>
      <c r="GN151" s="16"/>
      <c r="GO151" s="16"/>
      <c r="GP151" s="16"/>
      <c r="GS151" s="9"/>
      <c r="GT151" s="16"/>
      <c r="GU151" s="16"/>
      <c r="GV151" s="16"/>
      <c r="GW151" s="16"/>
      <c r="GX151" s="16"/>
      <c r="GY151" s="16"/>
      <c r="GZ151" s="16"/>
      <c r="HA151" s="16"/>
      <c r="HB151" s="16"/>
      <c r="HC151" s="16"/>
      <c r="HD151" s="16"/>
      <c r="HE151" s="16"/>
      <c r="HF151" s="16"/>
      <c r="HG151" s="16"/>
      <c r="HH151" s="16"/>
      <c r="HI151" s="16"/>
      <c r="HJ151" s="16"/>
      <c r="HK151" s="16"/>
      <c r="HL151" s="16"/>
      <c r="HM151" s="16"/>
      <c r="HN151" s="16"/>
      <c r="HQ151" s="9"/>
      <c r="HR151" s="16"/>
      <c r="HS151" s="16"/>
      <c r="HT151" s="16"/>
      <c r="HU151" s="16"/>
      <c r="HV151" s="16"/>
      <c r="HW151" s="16"/>
      <c r="HX151" s="16"/>
      <c r="HY151" s="16"/>
      <c r="HZ151" s="16"/>
      <c r="IA151" s="16"/>
      <c r="IB151" s="16"/>
      <c r="IC151" s="16"/>
      <c r="ID151" s="16"/>
      <c r="IE151" s="16"/>
      <c r="IF151" s="16"/>
      <c r="IG151" s="16"/>
      <c r="IH151" s="16"/>
      <c r="II151" s="16"/>
      <c r="IJ151" s="16"/>
      <c r="IK151" s="16"/>
      <c r="IL151" s="16"/>
      <c r="IO151" s="9"/>
      <c r="IP151" s="16"/>
      <c r="IQ151" s="16"/>
      <c r="IR151" s="16"/>
      <c r="IS151" s="16"/>
      <c r="IT151" s="16"/>
      <c r="IU151" s="16"/>
      <c r="IV151" s="16"/>
      <c r="IW151" s="16"/>
      <c r="IX151" s="16"/>
      <c r="IY151" s="16"/>
      <c r="IZ151" s="16"/>
      <c r="JA151" s="16"/>
      <c r="JB151" s="16"/>
      <c r="JC151" s="16"/>
      <c r="JD151" s="16"/>
      <c r="JE151" s="16"/>
      <c r="JF151" s="16"/>
      <c r="JG151" s="16"/>
      <c r="JH151" s="16"/>
      <c r="JI151" s="16"/>
      <c r="JJ151" s="16"/>
      <c r="JM151" s="9"/>
      <c r="JN151" s="16"/>
      <c r="JO151" s="16"/>
      <c r="JP151" s="16"/>
      <c r="JQ151" s="16"/>
      <c r="JR151" s="16"/>
      <c r="JS151" s="16"/>
      <c r="JT151" s="16"/>
      <c r="JU151" s="16"/>
      <c r="JV151" s="16"/>
      <c r="JW151" s="16"/>
      <c r="JX151" s="16"/>
      <c r="JY151" s="16"/>
      <c r="JZ151" s="16"/>
      <c r="KA151" s="16"/>
      <c r="KB151" s="16"/>
      <c r="KC151" s="16"/>
      <c r="KD151" s="16"/>
      <c r="KE151" s="16"/>
      <c r="KF151" s="16"/>
      <c r="KG151" s="16"/>
      <c r="KH151" s="16"/>
      <c r="KK151" s="9"/>
      <c r="KL151" s="16"/>
      <c r="KM151" s="16"/>
      <c r="KN151" s="16"/>
      <c r="KO151" s="16"/>
      <c r="KP151" s="16"/>
      <c r="KQ151" s="16"/>
      <c r="KR151" s="16"/>
      <c r="KS151" s="16"/>
      <c r="KT151" s="16"/>
      <c r="KU151" s="16"/>
      <c r="KV151" s="16"/>
      <c r="KW151" s="16"/>
      <c r="KX151" s="16"/>
      <c r="KY151" s="16"/>
      <c r="KZ151" s="16"/>
      <c r="LA151" s="16"/>
      <c r="LB151" s="16"/>
      <c r="LC151" s="16"/>
      <c r="LD151" s="16"/>
      <c r="LE151" s="16"/>
      <c r="LF151" s="16"/>
      <c r="LI151" s="9"/>
      <c r="LJ151" s="16"/>
      <c r="LK151" s="16"/>
      <c r="LL151" s="16"/>
      <c r="LM151" s="16"/>
      <c r="LN151" s="16"/>
      <c r="LO151" s="16"/>
      <c r="LP151" s="16"/>
      <c r="LQ151" s="16"/>
      <c r="LR151" s="16"/>
      <c r="LS151" s="16"/>
      <c r="LT151" s="16"/>
      <c r="LU151" s="16"/>
      <c r="LV151" s="16"/>
      <c r="LW151" s="16"/>
      <c r="LX151" s="16"/>
      <c r="LY151" s="16"/>
      <c r="LZ151" s="16"/>
      <c r="MA151" s="16"/>
      <c r="MB151" s="16"/>
      <c r="MC151" s="16"/>
      <c r="MD151" s="16"/>
      <c r="MG151" s="9"/>
      <c r="MH151" s="16"/>
      <c r="MI151" s="16"/>
      <c r="MJ151" s="16"/>
      <c r="MK151" s="16"/>
      <c r="ML151" s="16"/>
      <c r="MM151" s="16"/>
      <c r="MN151" s="16"/>
      <c r="MO151" s="16"/>
      <c r="MP151" s="16"/>
      <c r="MQ151" s="16"/>
      <c r="MR151" s="16"/>
      <c r="MS151" s="16"/>
      <c r="MT151" s="16"/>
      <c r="MU151" s="16"/>
      <c r="MV151" s="16"/>
      <c r="MW151" s="16"/>
      <c r="MX151" s="16"/>
      <c r="MY151" s="16"/>
      <c r="MZ151" s="16"/>
      <c r="NA151" s="16"/>
      <c r="NB151" s="16"/>
      <c r="NE151" s="9"/>
      <c r="NF151" s="16"/>
      <c r="NG151" s="16"/>
      <c r="NH151" s="16"/>
      <c r="NI151" s="16"/>
      <c r="NJ151" s="16"/>
      <c r="NK151" s="16"/>
      <c r="NL151" s="16"/>
      <c r="NM151" s="16"/>
      <c r="NN151" s="16"/>
      <c r="NO151" s="16"/>
      <c r="NP151" s="16"/>
      <c r="NQ151" s="16"/>
      <c r="NR151" s="16"/>
      <c r="NS151" s="16"/>
      <c r="NT151" s="16"/>
      <c r="NU151" s="16"/>
      <c r="NV151" s="16"/>
      <c r="NW151" s="16"/>
      <c r="NX151" s="16"/>
      <c r="NY151" s="16"/>
      <c r="NZ151" s="16"/>
      <c r="OC151" s="9"/>
      <c r="OD151" s="16"/>
      <c r="OE151" s="16"/>
      <c r="OF151" s="16"/>
      <c r="OG151" s="16"/>
      <c r="OH151" s="16"/>
      <c r="OI151" s="16"/>
      <c r="OJ151" s="16"/>
      <c r="OK151" s="16"/>
      <c r="OL151" s="16"/>
      <c r="OM151" s="16"/>
      <c r="ON151" s="16"/>
      <c r="OO151" s="16"/>
      <c r="OP151" s="16"/>
      <c r="OQ151" s="16"/>
      <c r="OR151" s="16"/>
      <c r="OS151" s="16"/>
      <c r="OT151" s="16"/>
      <c r="OU151" s="16"/>
      <c r="OV151" s="16"/>
      <c r="OW151" s="16"/>
      <c r="OX151" s="16"/>
      <c r="PA151" s="9"/>
      <c r="PB151" s="16"/>
      <c r="PC151" s="16"/>
      <c r="PD151" s="16"/>
      <c r="PE151" s="16"/>
      <c r="PF151" s="16"/>
      <c r="PG151" s="16"/>
      <c r="PH151" s="16"/>
      <c r="PI151" s="16"/>
      <c r="PJ151" s="16"/>
      <c r="PK151" s="16"/>
      <c r="PL151" s="16"/>
      <c r="PM151" s="16"/>
      <c r="PN151" s="16"/>
      <c r="PO151" s="16"/>
      <c r="PP151" s="16"/>
      <c r="PQ151" s="16"/>
      <c r="PR151" s="16"/>
      <c r="PS151" s="16"/>
      <c r="PT151" s="16"/>
      <c r="PU151" s="16"/>
      <c r="PV151" s="16"/>
    </row>
    <row r="152" spans="3:438" x14ac:dyDescent="0.25">
      <c r="C152" s="1"/>
      <c r="D152" s="1"/>
      <c r="I152" s="9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G152" s="9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E152" s="9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C152" s="9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DA152" s="9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Y152" s="9"/>
      <c r="DZ152" s="16"/>
      <c r="EA152" s="16"/>
      <c r="EB152" s="16"/>
      <c r="EC152" s="16"/>
      <c r="ED152" s="16"/>
      <c r="EE152" s="16"/>
      <c r="EF152" s="16"/>
      <c r="EG152" s="16"/>
      <c r="EH152" s="16"/>
      <c r="EI152" s="16"/>
      <c r="EJ152" s="16"/>
      <c r="EK152" s="16"/>
      <c r="EL152" s="16"/>
      <c r="EM152" s="16"/>
      <c r="EN152" s="16"/>
      <c r="EO152" s="16"/>
      <c r="EP152" s="16"/>
      <c r="EQ152" s="16"/>
      <c r="ER152" s="16"/>
      <c r="ES152" s="16"/>
      <c r="ET152" s="16"/>
      <c r="EW152" s="9"/>
      <c r="EX152" s="16"/>
      <c r="EY152" s="16"/>
      <c r="EZ152" s="16"/>
      <c r="FA152" s="16"/>
      <c r="FB152" s="16"/>
      <c r="FC152" s="16"/>
      <c r="FD152" s="16"/>
      <c r="FE152" s="16"/>
      <c r="FF152" s="16"/>
      <c r="FG152" s="16"/>
      <c r="FH152" s="16"/>
      <c r="FI152" s="16"/>
      <c r="FJ152" s="16"/>
      <c r="FK152" s="16"/>
      <c r="FL152" s="16"/>
      <c r="FM152" s="16"/>
      <c r="FN152" s="16"/>
      <c r="FO152" s="16"/>
      <c r="FP152" s="16"/>
      <c r="FQ152" s="16"/>
      <c r="FR152" s="16"/>
      <c r="FU152" s="9"/>
      <c r="FV152" s="16"/>
      <c r="FW152" s="16"/>
      <c r="FX152" s="16"/>
      <c r="FY152" s="16"/>
      <c r="FZ152" s="16"/>
      <c r="GA152" s="16"/>
      <c r="GB152" s="16"/>
      <c r="GC152" s="16"/>
      <c r="GD152" s="16"/>
      <c r="GE152" s="16"/>
      <c r="GF152" s="16"/>
      <c r="GG152" s="16"/>
      <c r="GH152" s="16"/>
      <c r="GI152" s="16"/>
      <c r="GJ152" s="16"/>
      <c r="GK152" s="16"/>
      <c r="GL152" s="16"/>
      <c r="GM152" s="16"/>
      <c r="GN152" s="16"/>
      <c r="GO152" s="16"/>
      <c r="GP152" s="16"/>
      <c r="GS152" s="9"/>
      <c r="GT152" s="16"/>
      <c r="GU152" s="16"/>
      <c r="GV152" s="16"/>
      <c r="GW152" s="16"/>
      <c r="GX152" s="16"/>
      <c r="GY152" s="16"/>
      <c r="GZ152" s="16"/>
      <c r="HA152" s="16"/>
      <c r="HB152" s="16"/>
      <c r="HC152" s="16"/>
      <c r="HD152" s="16"/>
      <c r="HE152" s="16"/>
      <c r="HF152" s="16"/>
      <c r="HG152" s="16"/>
      <c r="HH152" s="16"/>
      <c r="HI152" s="16"/>
      <c r="HJ152" s="16"/>
      <c r="HK152" s="16"/>
      <c r="HL152" s="16"/>
      <c r="HM152" s="16"/>
      <c r="HN152" s="16"/>
      <c r="HQ152" s="9"/>
      <c r="HR152" s="16"/>
      <c r="HS152" s="16"/>
      <c r="HT152" s="16"/>
      <c r="HU152" s="16"/>
      <c r="HV152" s="16"/>
      <c r="HW152" s="16"/>
      <c r="HX152" s="16"/>
      <c r="HY152" s="16"/>
      <c r="HZ152" s="16"/>
      <c r="IA152" s="16"/>
      <c r="IB152" s="16"/>
      <c r="IC152" s="16"/>
      <c r="ID152" s="16"/>
      <c r="IE152" s="16"/>
      <c r="IF152" s="16"/>
      <c r="IG152" s="16"/>
      <c r="IH152" s="16"/>
      <c r="II152" s="16"/>
      <c r="IJ152" s="16"/>
      <c r="IK152" s="16"/>
      <c r="IL152" s="16"/>
      <c r="IO152" s="9"/>
      <c r="IP152" s="16"/>
      <c r="IQ152" s="16"/>
      <c r="IR152" s="16"/>
      <c r="IS152" s="16"/>
      <c r="IT152" s="16"/>
      <c r="IU152" s="16"/>
      <c r="IV152" s="16"/>
      <c r="IW152" s="16"/>
      <c r="IX152" s="16"/>
      <c r="IY152" s="16"/>
      <c r="IZ152" s="16"/>
      <c r="JA152" s="16"/>
      <c r="JB152" s="16"/>
      <c r="JC152" s="16"/>
      <c r="JD152" s="16"/>
      <c r="JE152" s="16"/>
      <c r="JF152" s="16"/>
      <c r="JG152" s="16"/>
      <c r="JH152" s="16"/>
      <c r="JI152" s="16"/>
      <c r="JJ152" s="16"/>
      <c r="JM152" s="9"/>
      <c r="JN152" s="16"/>
      <c r="JO152" s="16"/>
      <c r="JP152" s="16"/>
      <c r="JQ152" s="16"/>
      <c r="JR152" s="16"/>
      <c r="JS152" s="16"/>
      <c r="JT152" s="16"/>
      <c r="JU152" s="16"/>
      <c r="JV152" s="16"/>
      <c r="JW152" s="16"/>
      <c r="JX152" s="16"/>
      <c r="JY152" s="16"/>
      <c r="JZ152" s="16"/>
      <c r="KA152" s="16"/>
      <c r="KB152" s="16"/>
      <c r="KC152" s="16"/>
      <c r="KD152" s="16"/>
      <c r="KE152" s="16"/>
      <c r="KF152" s="16"/>
      <c r="KG152" s="16"/>
      <c r="KH152" s="16"/>
      <c r="KK152" s="9"/>
      <c r="KL152" s="16"/>
      <c r="KM152" s="16"/>
      <c r="KN152" s="16"/>
      <c r="KO152" s="16"/>
      <c r="KP152" s="16"/>
      <c r="KQ152" s="16"/>
      <c r="KR152" s="16"/>
      <c r="KS152" s="16"/>
      <c r="KT152" s="16"/>
      <c r="KU152" s="16"/>
      <c r="KV152" s="16"/>
      <c r="KW152" s="16"/>
      <c r="KX152" s="16"/>
      <c r="KY152" s="16"/>
      <c r="KZ152" s="16"/>
      <c r="LA152" s="16"/>
      <c r="LB152" s="16"/>
      <c r="LC152" s="16"/>
      <c r="LD152" s="16"/>
      <c r="LE152" s="16"/>
      <c r="LF152" s="16"/>
      <c r="LI152" s="9"/>
      <c r="LJ152" s="16"/>
      <c r="LK152" s="16"/>
      <c r="LL152" s="16"/>
      <c r="LM152" s="16"/>
      <c r="LN152" s="16"/>
      <c r="LO152" s="16"/>
      <c r="LP152" s="16"/>
      <c r="LQ152" s="16"/>
      <c r="LR152" s="16"/>
      <c r="LS152" s="16"/>
      <c r="LT152" s="16"/>
      <c r="LU152" s="16"/>
      <c r="LV152" s="16"/>
      <c r="LW152" s="16"/>
      <c r="LX152" s="16"/>
      <c r="LY152" s="16"/>
      <c r="LZ152" s="16"/>
      <c r="MA152" s="16"/>
      <c r="MB152" s="16"/>
      <c r="MC152" s="16"/>
      <c r="MD152" s="16"/>
      <c r="MG152" s="9"/>
      <c r="MH152" s="16"/>
      <c r="MI152" s="16"/>
      <c r="MJ152" s="16"/>
      <c r="MK152" s="16"/>
      <c r="ML152" s="16"/>
      <c r="MM152" s="16"/>
      <c r="MN152" s="16"/>
      <c r="MO152" s="16"/>
      <c r="MP152" s="16"/>
      <c r="MQ152" s="16"/>
      <c r="MR152" s="16"/>
      <c r="MS152" s="16"/>
      <c r="MT152" s="16"/>
      <c r="MU152" s="16"/>
      <c r="MV152" s="16"/>
      <c r="MW152" s="16"/>
      <c r="MX152" s="16"/>
      <c r="MY152" s="16"/>
      <c r="MZ152" s="16"/>
      <c r="NA152" s="16"/>
      <c r="NB152" s="16"/>
      <c r="NE152" s="9"/>
      <c r="NF152" s="16"/>
      <c r="NG152" s="16"/>
      <c r="NH152" s="16"/>
      <c r="NI152" s="16"/>
      <c r="NJ152" s="16"/>
      <c r="NK152" s="16"/>
      <c r="NL152" s="16"/>
      <c r="NM152" s="16"/>
      <c r="NN152" s="16"/>
      <c r="NO152" s="16"/>
      <c r="NP152" s="16"/>
      <c r="NQ152" s="16"/>
      <c r="NR152" s="16"/>
      <c r="NS152" s="16"/>
      <c r="NT152" s="16"/>
      <c r="NU152" s="16"/>
      <c r="NV152" s="16"/>
      <c r="NW152" s="16"/>
      <c r="NX152" s="16"/>
      <c r="NY152" s="16"/>
      <c r="NZ152" s="16"/>
      <c r="OC152" s="9"/>
      <c r="OD152" s="16"/>
      <c r="OE152" s="16"/>
      <c r="OF152" s="16"/>
      <c r="OG152" s="16"/>
      <c r="OH152" s="16"/>
      <c r="OI152" s="16"/>
      <c r="OJ152" s="16"/>
      <c r="OK152" s="16"/>
      <c r="OL152" s="16"/>
      <c r="OM152" s="16"/>
      <c r="ON152" s="16"/>
      <c r="OO152" s="16"/>
      <c r="OP152" s="16"/>
      <c r="OQ152" s="16"/>
      <c r="OR152" s="16"/>
      <c r="OS152" s="16"/>
      <c r="OT152" s="16"/>
      <c r="OU152" s="16"/>
      <c r="OV152" s="16"/>
      <c r="OW152" s="16"/>
      <c r="OX152" s="16"/>
      <c r="PA152" s="9"/>
      <c r="PB152" s="16"/>
      <c r="PC152" s="16"/>
      <c r="PD152" s="16"/>
      <c r="PE152" s="16"/>
      <c r="PF152" s="16"/>
      <c r="PG152" s="16"/>
      <c r="PH152" s="16"/>
      <c r="PI152" s="16"/>
      <c r="PJ152" s="16"/>
      <c r="PK152" s="16"/>
      <c r="PL152" s="16"/>
      <c r="PM152" s="16"/>
      <c r="PN152" s="16"/>
      <c r="PO152" s="16"/>
      <c r="PP152" s="16"/>
      <c r="PQ152" s="16"/>
      <c r="PR152" s="16"/>
      <c r="PS152" s="16"/>
      <c r="PT152" s="16"/>
      <c r="PU152" s="16"/>
      <c r="PV152" s="16"/>
    </row>
    <row r="153" spans="3:438" x14ac:dyDescent="0.25">
      <c r="C153" s="1"/>
      <c r="D153" s="1"/>
      <c r="I153" s="9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G153" s="9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E153" s="9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C153" s="9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DA153" s="9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Y153" s="9"/>
      <c r="DZ153" s="16"/>
      <c r="EA153" s="16"/>
      <c r="EB153" s="16"/>
      <c r="EC153" s="16"/>
      <c r="ED153" s="16"/>
      <c r="EE153" s="16"/>
      <c r="EF153" s="16"/>
      <c r="EG153" s="16"/>
      <c r="EH153" s="16"/>
      <c r="EI153" s="16"/>
      <c r="EJ153" s="16"/>
      <c r="EK153" s="16"/>
      <c r="EL153" s="16"/>
      <c r="EM153" s="16"/>
      <c r="EN153" s="16"/>
      <c r="EO153" s="16"/>
      <c r="EP153" s="16"/>
      <c r="EQ153" s="16"/>
      <c r="ER153" s="16"/>
      <c r="ES153" s="16"/>
      <c r="ET153" s="16"/>
      <c r="EW153" s="9"/>
      <c r="EX153" s="16"/>
      <c r="EY153" s="16"/>
      <c r="EZ153" s="16"/>
      <c r="FA153" s="16"/>
      <c r="FB153" s="16"/>
      <c r="FC153" s="16"/>
      <c r="FD153" s="16"/>
      <c r="FE153" s="16"/>
      <c r="FF153" s="16"/>
      <c r="FG153" s="16"/>
      <c r="FH153" s="16"/>
      <c r="FI153" s="16"/>
      <c r="FJ153" s="16"/>
      <c r="FK153" s="16"/>
      <c r="FL153" s="16"/>
      <c r="FM153" s="16"/>
      <c r="FN153" s="16"/>
      <c r="FO153" s="16"/>
      <c r="FP153" s="16"/>
      <c r="FQ153" s="16"/>
      <c r="FR153" s="16"/>
      <c r="FU153" s="9"/>
      <c r="FV153" s="16"/>
      <c r="FW153" s="16"/>
      <c r="FX153" s="16"/>
      <c r="FY153" s="16"/>
      <c r="FZ153" s="16"/>
      <c r="GA153" s="16"/>
      <c r="GB153" s="16"/>
      <c r="GC153" s="16"/>
      <c r="GD153" s="16"/>
      <c r="GE153" s="16"/>
      <c r="GF153" s="16"/>
      <c r="GG153" s="16"/>
      <c r="GH153" s="16"/>
      <c r="GI153" s="16"/>
      <c r="GJ153" s="16"/>
      <c r="GK153" s="16"/>
      <c r="GL153" s="16"/>
      <c r="GM153" s="16"/>
      <c r="GN153" s="16"/>
      <c r="GO153" s="16"/>
      <c r="GP153" s="16"/>
      <c r="GS153" s="9"/>
      <c r="GT153" s="16"/>
      <c r="GU153" s="16"/>
      <c r="GV153" s="16"/>
      <c r="GW153" s="16"/>
      <c r="GX153" s="16"/>
      <c r="GY153" s="16"/>
      <c r="GZ153" s="16"/>
      <c r="HA153" s="16"/>
      <c r="HB153" s="16"/>
      <c r="HC153" s="16"/>
      <c r="HD153" s="16"/>
      <c r="HE153" s="16"/>
      <c r="HF153" s="16"/>
      <c r="HG153" s="16"/>
      <c r="HH153" s="16"/>
      <c r="HI153" s="16"/>
      <c r="HJ153" s="16"/>
      <c r="HK153" s="16"/>
      <c r="HL153" s="16"/>
      <c r="HM153" s="16"/>
      <c r="HN153" s="16"/>
      <c r="HQ153" s="9"/>
      <c r="HR153" s="16"/>
      <c r="HS153" s="16"/>
      <c r="HT153" s="16"/>
      <c r="HU153" s="16"/>
      <c r="HV153" s="16"/>
      <c r="HW153" s="16"/>
      <c r="HX153" s="16"/>
      <c r="HY153" s="16"/>
      <c r="HZ153" s="16"/>
      <c r="IA153" s="16"/>
      <c r="IB153" s="16"/>
      <c r="IC153" s="16"/>
      <c r="ID153" s="16"/>
      <c r="IE153" s="16"/>
      <c r="IF153" s="16"/>
      <c r="IG153" s="16"/>
      <c r="IH153" s="16"/>
      <c r="II153" s="16"/>
      <c r="IJ153" s="16"/>
      <c r="IK153" s="16"/>
      <c r="IL153" s="16"/>
      <c r="IO153" s="9"/>
      <c r="IP153" s="16"/>
      <c r="IQ153" s="16"/>
      <c r="IR153" s="16"/>
      <c r="IS153" s="16"/>
      <c r="IT153" s="16"/>
      <c r="IU153" s="16"/>
      <c r="IV153" s="16"/>
      <c r="IW153" s="16"/>
      <c r="IX153" s="16"/>
      <c r="IY153" s="16"/>
      <c r="IZ153" s="16"/>
      <c r="JA153" s="16"/>
      <c r="JB153" s="16"/>
      <c r="JC153" s="16"/>
      <c r="JD153" s="16"/>
      <c r="JE153" s="16"/>
      <c r="JF153" s="16"/>
      <c r="JG153" s="16"/>
      <c r="JH153" s="16"/>
      <c r="JI153" s="16"/>
      <c r="JJ153" s="16"/>
      <c r="JM153" s="9"/>
      <c r="JN153" s="16"/>
      <c r="JO153" s="16"/>
      <c r="JP153" s="16"/>
      <c r="JQ153" s="16"/>
      <c r="JR153" s="16"/>
      <c r="JS153" s="16"/>
      <c r="JT153" s="16"/>
      <c r="JU153" s="16"/>
      <c r="JV153" s="16"/>
      <c r="JW153" s="16"/>
      <c r="JX153" s="16"/>
      <c r="JY153" s="16"/>
      <c r="JZ153" s="16"/>
      <c r="KA153" s="16"/>
      <c r="KB153" s="16"/>
      <c r="KC153" s="16"/>
      <c r="KD153" s="16"/>
      <c r="KE153" s="16"/>
      <c r="KF153" s="16"/>
      <c r="KG153" s="16"/>
      <c r="KH153" s="16"/>
      <c r="KK153" s="9"/>
      <c r="KL153" s="16"/>
      <c r="KM153" s="16"/>
      <c r="KN153" s="16"/>
      <c r="KO153" s="16"/>
      <c r="KP153" s="16"/>
      <c r="KQ153" s="16"/>
      <c r="KR153" s="16"/>
      <c r="KS153" s="16"/>
      <c r="KT153" s="16"/>
      <c r="KU153" s="16"/>
      <c r="KV153" s="16"/>
      <c r="KW153" s="16"/>
      <c r="KX153" s="16"/>
      <c r="KY153" s="16"/>
      <c r="KZ153" s="16"/>
      <c r="LA153" s="16"/>
      <c r="LB153" s="16"/>
      <c r="LC153" s="16"/>
      <c r="LD153" s="16"/>
      <c r="LE153" s="16"/>
      <c r="LF153" s="16"/>
      <c r="LI153" s="9"/>
      <c r="LJ153" s="16"/>
      <c r="LK153" s="16"/>
      <c r="LL153" s="16"/>
      <c r="LM153" s="16"/>
      <c r="LN153" s="16"/>
      <c r="LO153" s="16"/>
      <c r="LP153" s="16"/>
      <c r="LQ153" s="16"/>
      <c r="LR153" s="16"/>
      <c r="LS153" s="16"/>
      <c r="LT153" s="16"/>
      <c r="LU153" s="16"/>
      <c r="LV153" s="16"/>
      <c r="LW153" s="16"/>
      <c r="LX153" s="16"/>
      <c r="LY153" s="16"/>
      <c r="LZ153" s="16"/>
      <c r="MA153" s="16"/>
      <c r="MB153" s="16"/>
      <c r="MC153" s="16"/>
      <c r="MD153" s="16"/>
      <c r="MG153" s="9"/>
      <c r="MH153" s="16"/>
      <c r="MI153" s="16"/>
      <c r="MJ153" s="16"/>
      <c r="MK153" s="16"/>
      <c r="ML153" s="16"/>
      <c r="MM153" s="16"/>
      <c r="MN153" s="16"/>
      <c r="MO153" s="16"/>
      <c r="MP153" s="16"/>
      <c r="MQ153" s="16"/>
      <c r="MR153" s="16"/>
      <c r="MS153" s="16"/>
      <c r="MT153" s="16"/>
      <c r="MU153" s="16"/>
      <c r="MV153" s="16"/>
      <c r="MW153" s="16"/>
      <c r="MX153" s="16"/>
      <c r="MY153" s="16"/>
      <c r="MZ153" s="16"/>
      <c r="NA153" s="16"/>
      <c r="NB153" s="16"/>
      <c r="NE153" s="9"/>
      <c r="NF153" s="16"/>
      <c r="NG153" s="16"/>
      <c r="NH153" s="16"/>
      <c r="NI153" s="16"/>
      <c r="NJ153" s="16"/>
      <c r="NK153" s="16"/>
      <c r="NL153" s="16"/>
      <c r="NM153" s="16"/>
      <c r="NN153" s="16"/>
      <c r="NO153" s="16"/>
      <c r="NP153" s="16"/>
      <c r="NQ153" s="16"/>
      <c r="NR153" s="16"/>
      <c r="NS153" s="16"/>
      <c r="NT153" s="16"/>
      <c r="NU153" s="16"/>
      <c r="NV153" s="16"/>
      <c r="NW153" s="16"/>
      <c r="NX153" s="16"/>
      <c r="NY153" s="16"/>
      <c r="NZ153" s="16"/>
      <c r="OC153" s="9"/>
      <c r="OD153" s="16"/>
      <c r="OE153" s="16"/>
      <c r="OF153" s="16"/>
      <c r="OG153" s="16"/>
      <c r="OH153" s="16"/>
      <c r="OI153" s="16"/>
      <c r="OJ153" s="16"/>
      <c r="OK153" s="16"/>
      <c r="OL153" s="16"/>
      <c r="OM153" s="16"/>
      <c r="ON153" s="16"/>
      <c r="OO153" s="16"/>
      <c r="OP153" s="16"/>
      <c r="OQ153" s="16"/>
      <c r="OR153" s="16"/>
      <c r="OS153" s="16"/>
      <c r="OT153" s="16"/>
      <c r="OU153" s="16"/>
      <c r="OV153" s="16"/>
      <c r="OW153" s="16"/>
      <c r="OX153" s="16"/>
      <c r="PA153" s="9"/>
      <c r="PB153" s="16"/>
      <c r="PC153" s="16"/>
      <c r="PD153" s="16"/>
      <c r="PE153" s="16"/>
      <c r="PF153" s="16"/>
      <c r="PG153" s="16"/>
      <c r="PH153" s="16"/>
      <c r="PI153" s="16"/>
      <c r="PJ153" s="16"/>
      <c r="PK153" s="16"/>
      <c r="PL153" s="16"/>
      <c r="PM153" s="16"/>
      <c r="PN153" s="16"/>
      <c r="PO153" s="16"/>
      <c r="PP153" s="16"/>
      <c r="PQ153" s="16"/>
      <c r="PR153" s="16"/>
      <c r="PS153" s="16"/>
      <c r="PT153" s="16"/>
      <c r="PU153" s="16"/>
      <c r="PV153" s="16"/>
    </row>
    <row r="154" spans="3:438" x14ac:dyDescent="0.25">
      <c r="C154" s="1"/>
      <c r="D154" s="1"/>
      <c r="I154" s="9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G154" s="9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E154" s="9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C154" s="9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DA154" s="9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Y154" s="9"/>
      <c r="DZ154" s="16"/>
      <c r="EA154" s="16"/>
      <c r="EB154" s="16"/>
      <c r="EC154" s="16"/>
      <c r="ED154" s="16"/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6"/>
      <c r="EQ154" s="16"/>
      <c r="ER154" s="16"/>
      <c r="ES154" s="16"/>
      <c r="ET154" s="16"/>
      <c r="EW154" s="9"/>
      <c r="EX154" s="16"/>
      <c r="EY154" s="16"/>
      <c r="EZ154" s="16"/>
      <c r="FA154" s="16"/>
      <c r="FB154" s="16"/>
      <c r="FC154" s="16"/>
      <c r="FD154" s="16"/>
      <c r="FE154" s="16"/>
      <c r="FF154" s="16"/>
      <c r="FG154" s="16"/>
      <c r="FH154" s="16"/>
      <c r="FI154" s="16"/>
      <c r="FJ154" s="16"/>
      <c r="FK154" s="16"/>
      <c r="FL154" s="16"/>
      <c r="FM154" s="16"/>
      <c r="FN154" s="16"/>
      <c r="FO154" s="16"/>
      <c r="FP154" s="16"/>
      <c r="FQ154" s="16"/>
      <c r="FR154" s="16"/>
      <c r="FU154" s="9"/>
      <c r="FV154" s="16"/>
      <c r="FW154" s="16"/>
      <c r="FX154" s="16"/>
      <c r="FY154" s="16"/>
      <c r="FZ154" s="16"/>
      <c r="GA154" s="16"/>
      <c r="GB154" s="16"/>
      <c r="GC154" s="16"/>
      <c r="GD154" s="16"/>
      <c r="GE154" s="16"/>
      <c r="GF154" s="16"/>
      <c r="GG154" s="16"/>
      <c r="GH154" s="16"/>
      <c r="GI154" s="16"/>
      <c r="GJ154" s="16"/>
      <c r="GK154" s="16"/>
      <c r="GL154" s="16"/>
      <c r="GM154" s="16"/>
      <c r="GN154" s="16"/>
      <c r="GO154" s="16"/>
      <c r="GP154" s="16"/>
      <c r="GS154" s="9"/>
      <c r="GT154" s="16"/>
      <c r="GU154" s="16"/>
      <c r="GV154" s="16"/>
      <c r="GW154" s="16"/>
      <c r="GX154" s="16"/>
      <c r="GY154" s="16"/>
      <c r="GZ154" s="16"/>
      <c r="HA154" s="16"/>
      <c r="HB154" s="16"/>
      <c r="HC154" s="16"/>
      <c r="HD154" s="16"/>
      <c r="HE154" s="16"/>
      <c r="HF154" s="16"/>
      <c r="HG154" s="16"/>
      <c r="HH154" s="16"/>
      <c r="HI154" s="16"/>
      <c r="HJ154" s="16"/>
      <c r="HK154" s="16"/>
      <c r="HL154" s="16"/>
      <c r="HM154" s="16"/>
      <c r="HN154" s="16"/>
      <c r="HQ154" s="9"/>
      <c r="HR154" s="16"/>
      <c r="HS154" s="16"/>
      <c r="HT154" s="16"/>
      <c r="HU154" s="16"/>
      <c r="HV154" s="16"/>
      <c r="HW154" s="16"/>
      <c r="HX154" s="16"/>
      <c r="HY154" s="16"/>
      <c r="HZ154" s="16"/>
      <c r="IA154" s="16"/>
      <c r="IB154" s="16"/>
      <c r="IC154" s="16"/>
      <c r="ID154" s="16"/>
      <c r="IE154" s="16"/>
      <c r="IF154" s="16"/>
      <c r="IG154" s="16"/>
      <c r="IH154" s="16"/>
      <c r="II154" s="16"/>
      <c r="IJ154" s="16"/>
      <c r="IK154" s="16"/>
      <c r="IL154" s="16"/>
      <c r="IO154" s="9"/>
      <c r="IP154" s="16"/>
      <c r="IQ154" s="16"/>
      <c r="IR154" s="16"/>
      <c r="IS154" s="16"/>
      <c r="IT154" s="16"/>
      <c r="IU154" s="16"/>
      <c r="IV154" s="16"/>
      <c r="IW154" s="16"/>
      <c r="IX154" s="16"/>
      <c r="IY154" s="16"/>
      <c r="IZ154" s="16"/>
      <c r="JA154" s="16"/>
      <c r="JB154" s="16"/>
      <c r="JC154" s="16"/>
      <c r="JD154" s="16"/>
      <c r="JE154" s="16"/>
      <c r="JF154" s="16"/>
      <c r="JG154" s="16"/>
      <c r="JH154" s="16"/>
      <c r="JI154" s="16"/>
      <c r="JJ154" s="16"/>
      <c r="JM154" s="9"/>
      <c r="JN154" s="16"/>
      <c r="JO154" s="16"/>
      <c r="JP154" s="16"/>
      <c r="JQ154" s="16"/>
      <c r="JR154" s="16"/>
      <c r="JS154" s="16"/>
      <c r="JT154" s="16"/>
      <c r="JU154" s="16"/>
      <c r="JV154" s="16"/>
      <c r="JW154" s="16"/>
      <c r="JX154" s="16"/>
      <c r="JY154" s="16"/>
      <c r="JZ154" s="16"/>
      <c r="KA154" s="16"/>
      <c r="KB154" s="16"/>
      <c r="KC154" s="16"/>
      <c r="KD154" s="16"/>
      <c r="KE154" s="16"/>
      <c r="KF154" s="16"/>
      <c r="KG154" s="16"/>
      <c r="KH154" s="16"/>
      <c r="KK154" s="9"/>
      <c r="KL154" s="16"/>
      <c r="KM154" s="16"/>
      <c r="KN154" s="16"/>
      <c r="KO154" s="16"/>
      <c r="KP154" s="16"/>
      <c r="KQ154" s="16"/>
      <c r="KR154" s="16"/>
      <c r="KS154" s="16"/>
      <c r="KT154" s="16"/>
      <c r="KU154" s="16"/>
      <c r="KV154" s="16"/>
      <c r="KW154" s="16"/>
      <c r="KX154" s="16"/>
      <c r="KY154" s="16"/>
      <c r="KZ154" s="16"/>
      <c r="LA154" s="16"/>
      <c r="LB154" s="16"/>
      <c r="LC154" s="16"/>
      <c r="LD154" s="16"/>
      <c r="LE154" s="16"/>
      <c r="LF154" s="16"/>
      <c r="LI154" s="9"/>
      <c r="LJ154" s="16"/>
      <c r="LK154" s="16"/>
      <c r="LL154" s="16"/>
      <c r="LM154" s="16"/>
      <c r="LN154" s="16"/>
      <c r="LO154" s="16"/>
      <c r="LP154" s="16"/>
      <c r="LQ154" s="16"/>
      <c r="LR154" s="16"/>
      <c r="LS154" s="16"/>
      <c r="LT154" s="16"/>
      <c r="LU154" s="16"/>
      <c r="LV154" s="16"/>
      <c r="LW154" s="16"/>
      <c r="LX154" s="16"/>
      <c r="LY154" s="16"/>
      <c r="LZ154" s="16"/>
      <c r="MA154" s="16"/>
      <c r="MB154" s="16"/>
      <c r="MC154" s="16"/>
      <c r="MD154" s="16"/>
      <c r="MG154" s="9"/>
      <c r="MH154" s="16"/>
      <c r="MI154" s="16"/>
      <c r="MJ154" s="16"/>
      <c r="MK154" s="16"/>
      <c r="ML154" s="16"/>
      <c r="MM154" s="16"/>
      <c r="MN154" s="16"/>
      <c r="MO154" s="16"/>
      <c r="MP154" s="16"/>
      <c r="MQ154" s="16"/>
      <c r="MR154" s="16"/>
      <c r="MS154" s="16"/>
      <c r="MT154" s="16"/>
      <c r="MU154" s="16"/>
      <c r="MV154" s="16"/>
      <c r="MW154" s="16"/>
      <c r="MX154" s="16"/>
      <c r="MY154" s="16"/>
      <c r="MZ154" s="16"/>
      <c r="NA154" s="16"/>
      <c r="NB154" s="16"/>
      <c r="NE154" s="9"/>
      <c r="NF154" s="16"/>
      <c r="NG154" s="16"/>
      <c r="NH154" s="16"/>
      <c r="NI154" s="16"/>
      <c r="NJ154" s="16"/>
      <c r="NK154" s="16"/>
      <c r="NL154" s="16"/>
      <c r="NM154" s="16"/>
      <c r="NN154" s="16"/>
      <c r="NO154" s="16"/>
      <c r="NP154" s="16"/>
      <c r="NQ154" s="16"/>
      <c r="NR154" s="16"/>
      <c r="NS154" s="16"/>
      <c r="NT154" s="16"/>
      <c r="NU154" s="16"/>
      <c r="NV154" s="16"/>
      <c r="NW154" s="16"/>
      <c r="NX154" s="16"/>
      <c r="NY154" s="16"/>
      <c r="NZ154" s="16"/>
      <c r="OC154" s="9"/>
      <c r="OD154" s="16"/>
      <c r="OE154" s="16"/>
      <c r="OF154" s="16"/>
      <c r="OG154" s="16"/>
      <c r="OH154" s="16"/>
      <c r="OI154" s="16"/>
      <c r="OJ154" s="16"/>
      <c r="OK154" s="16"/>
      <c r="OL154" s="16"/>
      <c r="OM154" s="16"/>
      <c r="ON154" s="16"/>
      <c r="OO154" s="16"/>
      <c r="OP154" s="16"/>
      <c r="OQ154" s="16"/>
      <c r="OR154" s="16"/>
      <c r="OS154" s="16"/>
      <c r="OT154" s="16"/>
      <c r="OU154" s="16"/>
      <c r="OV154" s="16"/>
      <c r="OW154" s="16"/>
      <c r="OX154" s="16"/>
      <c r="PA154" s="9"/>
      <c r="PB154" s="16"/>
      <c r="PC154" s="16"/>
      <c r="PD154" s="16"/>
      <c r="PE154" s="16"/>
      <c r="PF154" s="16"/>
      <c r="PG154" s="16"/>
      <c r="PH154" s="16"/>
      <c r="PI154" s="16"/>
      <c r="PJ154" s="16"/>
      <c r="PK154" s="16"/>
      <c r="PL154" s="16"/>
      <c r="PM154" s="16"/>
      <c r="PN154" s="16"/>
      <c r="PO154" s="16"/>
      <c r="PP154" s="16"/>
      <c r="PQ154" s="16"/>
      <c r="PR154" s="16"/>
      <c r="PS154" s="16"/>
      <c r="PT154" s="16"/>
      <c r="PU154" s="16"/>
      <c r="PV154" s="16"/>
    </row>
    <row r="155" spans="3:438" x14ac:dyDescent="0.25">
      <c r="C155" s="1"/>
      <c r="D155" s="1"/>
      <c r="I155" s="9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G155" s="9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E155" s="9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C155" s="9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DA155" s="9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Y155" s="9"/>
      <c r="DZ155" s="16"/>
      <c r="EA155" s="16"/>
      <c r="EB155" s="16"/>
      <c r="EC155" s="16"/>
      <c r="ED155" s="16"/>
      <c r="EE155" s="16"/>
      <c r="EF155" s="16"/>
      <c r="EG155" s="16"/>
      <c r="EH155" s="16"/>
      <c r="EI155" s="16"/>
      <c r="EJ155" s="16"/>
      <c r="EK155" s="16"/>
      <c r="EL155" s="16"/>
      <c r="EM155" s="16"/>
      <c r="EN155" s="16"/>
      <c r="EO155" s="16"/>
      <c r="EP155" s="16"/>
      <c r="EQ155" s="16"/>
      <c r="ER155" s="16"/>
      <c r="ES155" s="16"/>
      <c r="ET155" s="16"/>
      <c r="EW155" s="9"/>
      <c r="EX155" s="16"/>
      <c r="EY155" s="16"/>
      <c r="EZ155" s="16"/>
      <c r="FA155" s="16"/>
      <c r="FB155" s="16"/>
      <c r="FC155" s="16"/>
      <c r="FD155" s="16"/>
      <c r="FE155" s="16"/>
      <c r="FF155" s="16"/>
      <c r="FG155" s="16"/>
      <c r="FH155" s="16"/>
      <c r="FI155" s="16"/>
      <c r="FJ155" s="16"/>
      <c r="FK155" s="16"/>
      <c r="FL155" s="16"/>
      <c r="FM155" s="16"/>
      <c r="FN155" s="16"/>
      <c r="FO155" s="16"/>
      <c r="FP155" s="16"/>
      <c r="FQ155" s="16"/>
      <c r="FR155" s="16"/>
      <c r="FU155" s="9"/>
      <c r="FV155" s="16"/>
      <c r="FW155" s="16"/>
      <c r="FX155" s="16"/>
      <c r="FY155" s="16"/>
      <c r="FZ155" s="16"/>
      <c r="GA155" s="16"/>
      <c r="GB155" s="16"/>
      <c r="GC155" s="16"/>
      <c r="GD155" s="16"/>
      <c r="GE155" s="16"/>
      <c r="GF155" s="16"/>
      <c r="GG155" s="16"/>
      <c r="GH155" s="16"/>
      <c r="GI155" s="16"/>
      <c r="GJ155" s="16"/>
      <c r="GK155" s="16"/>
      <c r="GL155" s="16"/>
      <c r="GM155" s="16"/>
      <c r="GN155" s="16"/>
      <c r="GO155" s="16"/>
      <c r="GP155" s="16"/>
      <c r="GS155" s="9"/>
      <c r="GT155" s="16"/>
      <c r="GU155" s="16"/>
      <c r="GV155" s="16"/>
      <c r="GW155" s="16"/>
      <c r="GX155" s="16"/>
      <c r="GY155" s="16"/>
      <c r="GZ155" s="16"/>
      <c r="HA155" s="16"/>
      <c r="HB155" s="16"/>
      <c r="HC155" s="16"/>
      <c r="HD155" s="16"/>
      <c r="HE155" s="16"/>
      <c r="HF155" s="16"/>
      <c r="HG155" s="16"/>
      <c r="HH155" s="16"/>
      <c r="HI155" s="16"/>
      <c r="HJ155" s="16"/>
      <c r="HK155" s="16"/>
      <c r="HL155" s="16"/>
      <c r="HM155" s="16"/>
      <c r="HN155" s="16"/>
      <c r="HQ155" s="9"/>
      <c r="HR155" s="16"/>
      <c r="HS155" s="16"/>
      <c r="HT155" s="16"/>
      <c r="HU155" s="16"/>
      <c r="HV155" s="16"/>
      <c r="HW155" s="16"/>
      <c r="HX155" s="16"/>
      <c r="HY155" s="16"/>
      <c r="HZ155" s="16"/>
      <c r="IA155" s="16"/>
      <c r="IB155" s="16"/>
      <c r="IC155" s="16"/>
      <c r="ID155" s="16"/>
      <c r="IE155" s="16"/>
      <c r="IF155" s="16"/>
      <c r="IG155" s="16"/>
      <c r="IH155" s="16"/>
      <c r="II155" s="16"/>
      <c r="IJ155" s="16"/>
      <c r="IK155" s="16"/>
      <c r="IL155" s="16"/>
      <c r="IO155" s="9"/>
      <c r="IP155" s="16"/>
      <c r="IQ155" s="16"/>
      <c r="IR155" s="16"/>
      <c r="IS155" s="16"/>
      <c r="IT155" s="16"/>
      <c r="IU155" s="16"/>
      <c r="IV155" s="16"/>
      <c r="IW155" s="16"/>
      <c r="IX155" s="16"/>
      <c r="IY155" s="16"/>
      <c r="IZ155" s="16"/>
      <c r="JA155" s="16"/>
      <c r="JB155" s="16"/>
      <c r="JC155" s="16"/>
      <c r="JD155" s="16"/>
      <c r="JE155" s="16"/>
      <c r="JF155" s="16"/>
      <c r="JG155" s="16"/>
      <c r="JH155" s="16"/>
      <c r="JI155" s="16"/>
      <c r="JJ155" s="16"/>
      <c r="JM155" s="9"/>
      <c r="JN155" s="16"/>
      <c r="JO155" s="16"/>
      <c r="JP155" s="16"/>
      <c r="JQ155" s="16"/>
      <c r="JR155" s="16"/>
      <c r="JS155" s="16"/>
      <c r="JT155" s="16"/>
      <c r="JU155" s="16"/>
      <c r="JV155" s="16"/>
      <c r="JW155" s="16"/>
      <c r="JX155" s="16"/>
      <c r="JY155" s="16"/>
      <c r="JZ155" s="16"/>
      <c r="KA155" s="16"/>
      <c r="KB155" s="16"/>
      <c r="KC155" s="16"/>
      <c r="KD155" s="16"/>
      <c r="KE155" s="16"/>
      <c r="KF155" s="16"/>
      <c r="KG155" s="16"/>
      <c r="KH155" s="16"/>
      <c r="KK155" s="9"/>
      <c r="KL155" s="16"/>
      <c r="KM155" s="16"/>
      <c r="KN155" s="16"/>
      <c r="KO155" s="16"/>
      <c r="KP155" s="16"/>
      <c r="KQ155" s="16"/>
      <c r="KR155" s="16"/>
      <c r="KS155" s="16"/>
      <c r="KT155" s="16"/>
      <c r="KU155" s="16"/>
      <c r="KV155" s="16"/>
      <c r="KW155" s="16"/>
      <c r="KX155" s="16"/>
      <c r="KY155" s="16"/>
      <c r="KZ155" s="16"/>
      <c r="LA155" s="16"/>
      <c r="LB155" s="16"/>
      <c r="LC155" s="16"/>
      <c r="LD155" s="16"/>
      <c r="LE155" s="16"/>
      <c r="LF155" s="16"/>
      <c r="LI155" s="9"/>
      <c r="LJ155" s="16"/>
      <c r="LK155" s="16"/>
      <c r="LL155" s="16"/>
      <c r="LM155" s="16"/>
      <c r="LN155" s="16"/>
      <c r="LO155" s="16"/>
      <c r="LP155" s="16"/>
      <c r="LQ155" s="16"/>
      <c r="LR155" s="16"/>
      <c r="LS155" s="16"/>
      <c r="LT155" s="16"/>
      <c r="LU155" s="16"/>
      <c r="LV155" s="16"/>
      <c r="LW155" s="16"/>
      <c r="LX155" s="16"/>
      <c r="LY155" s="16"/>
      <c r="LZ155" s="16"/>
      <c r="MA155" s="16"/>
      <c r="MB155" s="16"/>
      <c r="MC155" s="16"/>
      <c r="MD155" s="16"/>
      <c r="MG155" s="9"/>
      <c r="MH155" s="16"/>
      <c r="MI155" s="16"/>
      <c r="MJ155" s="16"/>
      <c r="MK155" s="16"/>
      <c r="ML155" s="16"/>
      <c r="MM155" s="16"/>
      <c r="MN155" s="16"/>
      <c r="MO155" s="16"/>
      <c r="MP155" s="16"/>
      <c r="MQ155" s="16"/>
      <c r="MR155" s="16"/>
      <c r="MS155" s="16"/>
      <c r="MT155" s="16"/>
      <c r="MU155" s="16"/>
      <c r="MV155" s="16"/>
      <c r="MW155" s="16"/>
      <c r="MX155" s="16"/>
      <c r="MY155" s="16"/>
      <c r="MZ155" s="16"/>
      <c r="NA155" s="16"/>
      <c r="NB155" s="16"/>
      <c r="NE155" s="9"/>
      <c r="NF155" s="16"/>
      <c r="NG155" s="16"/>
      <c r="NH155" s="16"/>
      <c r="NI155" s="16"/>
      <c r="NJ155" s="16"/>
      <c r="NK155" s="16"/>
      <c r="NL155" s="16"/>
      <c r="NM155" s="16"/>
      <c r="NN155" s="16"/>
      <c r="NO155" s="16"/>
      <c r="NP155" s="16"/>
      <c r="NQ155" s="16"/>
      <c r="NR155" s="16"/>
      <c r="NS155" s="16"/>
      <c r="NT155" s="16"/>
      <c r="NU155" s="16"/>
      <c r="NV155" s="16"/>
      <c r="NW155" s="16"/>
      <c r="NX155" s="16"/>
      <c r="NY155" s="16"/>
      <c r="NZ155" s="16"/>
      <c r="OC155" s="9"/>
      <c r="OD155" s="16"/>
      <c r="OE155" s="16"/>
      <c r="OF155" s="16"/>
      <c r="OG155" s="16"/>
      <c r="OH155" s="16"/>
      <c r="OI155" s="16"/>
      <c r="OJ155" s="16"/>
      <c r="OK155" s="16"/>
      <c r="OL155" s="16"/>
      <c r="OM155" s="16"/>
      <c r="ON155" s="16"/>
      <c r="OO155" s="16"/>
      <c r="OP155" s="16"/>
      <c r="OQ155" s="16"/>
      <c r="OR155" s="16"/>
      <c r="OS155" s="16"/>
      <c r="OT155" s="16"/>
      <c r="OU155" s="16"/>
      <c r="OV155" s="16"/>
      <c r="OW155" s="16"/>
      <c r="OX155" s="16"/>
      <c r="PA155" s="9"/>
      <c r="PB155" s="16"/>
      <c r="PC155" s="16"/>
      <c r="PD155" s="16"/>
      <c r="PE155" s="16"/>
      <c r="PF155" s="16"/>
      <c r="PG155" s="16"/>
      <c r="PH155" s="16"/>
      <c r="PI155" s="16"/>
      <c r="PJ155" s="16"/>
      <c r="PK155" s="16"/>
      <c r="PL155" s="16"/>
      <c r="PM155" s="16"/>
      <c r="PN155" s="16"/>
      <c r="PO155" s="16"/>
      <c r="PP155" s="16"/>
      <c r="PQ155" s="16"/>
      <c r="PR155" s="16"/>
      <c r="PS155" s="16"/>
      <c r="PT155" s="16"/>
      <c r="PU155" s="16"/>
      <c r="PV155" s="16"/>
    </row>
    <row r="156" spans="3:438" x14ac:dyDescent="0.25">
      <c r="C156" s="1"/>
      <c r="D156" s="1"/>
      <c r="I156" s="9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G156" s="9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E156" s="9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C156" s="9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DA156" s="9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Y156" s="9"/>
      <c r="DZ156" s="16"/>
      <c r="EA156" s="16"/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  <c r="ET156" s="16"/>
      <c r="EW156" s="9"/>
      <c r="EX156" s="16"/>
      <c r="EY156" s="16"/>
      <c r="EZ156" s="16"/>
      <c r="FA156" s="16"/>
      <c r="FB156" s="16"/>
      <c r="FC156" s="16"/>
      <c r="FD156" s="16"/>
      <c r="FE156" s="16"/>
      <c r="FF156" s="16"/>
      <c r="FG156" s="16"/>
      <c r="FH156" s="16"/>
      <c r="FI156" s="16"/>
      <c r="FJ156" s="16"/>
      <c r="FK156" s="16"/>
      <c r="FL156" s="16"/>
      <c r="FM156" s="16"/>
      <c r="FN156" s="16"/>
      <c r="FO156" s="16"/>
      <c r="FP156" s="16"/>
      <c r="FQ156" s="16"/>
      <c r="FR156" s="16"/>
      <c r="FU156" s="9"/>
      <c r="FV156" s="16"/>
      <c r="FW156" s="16"/>
      <c r="FX156" s="16"/>
      <c r="FY156" s="16"/>
      <c r="FZ156" s="16"/>
      <c r="GA156" s="16"/>
      <c r="GB156" s="16"/>
      <c r="GC156" s="16"/>
      <c r="GD156" s="16"/>
      <c r="GE156" s="16"/>
      <c r="GF156" s="16"/>
      <c r="GG156" s="16"/>
      <c r="GH156" s="16"/>
      <c r="GI156" s="16"/>
      <c r="GJ156" s="16"/>
      <c r="GK156" s="16"/>
      <c r="GL156" s="16"/>
      <c r="GM156" s="16"/>
      <c r="GN156" s="16"/>
      <c r="GO156" s="16"/>
      <c r="GP156" s="16"/>
      <c r="GS156" s="9"/>
      <c r="GT156" s="16"/>
      <c r="GU156" s="16"/>
      <c r="GV156" s="16"/>
      <c r="GW156" s="16"/>
      <c r="GX156" s="16"/>
      <c r="GY156" s="16"/>
      <c r="GZ156" s="16"/>
      <c r="HA156" s="16"/>
      <c r="HB156" s="16"/>
      <c r="HC156" s="16"/>
      <c r="HD156" s="16"/>
      <c r="HE156" s="16"/>
      <c r="HF156" s="16"/>
      <c r="HG156" s="16"/>
      <c r="HH156" s="16"/>
      <c r="HI156" s="16"/>
      <c r="HJ156" s="16"/>
      <c r="HK156" s="16"/>
      <c r="HL156" s="16"/>
      <c r="HM156" s="16"/>
      <c r="HN156" s="16"/>
      <c r="HQ156" s="9"/>
      <c r="HR156" s="16"/>
      <c r="HS156" s="16"/>
      <c r="HT156" s="16"/>
      <c r="HU156" s="16"/>
      <c r="HV156" s="16"/>
      <c r="HW156" s="16"/>
      <c r="HX156" s="16"/>
      <c r="HY156" s="16"/>
      <c r="HZ156" s="16"/>
      <c r="IA156" s="16"/>
      <c r="IB156" s="16"/>
      <c r="IC156" s="16"/>
      <c r="ID156" s="16"/>
      <c r="IE156" s="16"/>
      <c r="IF156" s="16"/>
      <c r="IG156" s="16"/>
      <c r="IH156" s="16"/>
      <c r="II156" s="16"/>
      <c r="IJ156" s="16"/>
      <c r="IK156" s="16"/>
      <c r="IL156" s="16"/>
      <c r="IO156" s="9"/>
      <c r="IP156" s="16"/>
      <c r="IQ156" s="16"/>
      <c r="IR156" s="16"/>
      <c r="IS156" s="16"/>
      <c r="IT156" s="16"/>
      <c r="IU156" s="16"/>
      <c r="IV156" s="16"/>
      <c r="IW156" s="16"/>
      <c r="IX156" s="16"/>
      <c r="IY156" s="16"/>
      <c r="IZ156" s="16"/>
      <c r="JA156" s="16"/>
      <c r="JB156" s="16"/>
      <c r="JC156" s="16"/>
      <c r="JD156" s="16"/>
      <c r="JE156" s="16"/>
      <c r="JF156" s="16"/>
      <c r="JG156" s="16"/>
      <c r="JH156" s="16"/>
      <c r="JI156" s="16"/>
      <c r="JJ156" s="16"/>
      <c r="JM156" s="9"/>
      <c r="JN156" s="16"/>
      <c r="JO156" s="16"/>
      <c r="JP156" s="16"/>
      <c r="JQ156" s="16"/>
      <c r="JR156" s="16"/>
      <c r="JS156" s="16"/>
      <c r="JT156" s="16"/>
      <c r="JU156" s="16"/>
      <c r="JV156" s="16"/>
      <c r="JW156" s="16"/>
      <c r="JX156" s="16"/>
      <c r="JY156" s="16"/>
      <c r="JZ156" s="16"/>
      <c r="KA156" s="16"/>
      <c r="KB156" s="16"/>
      <c r="KC156" s="16"/>
      <c r="KD156" s="16"/>
      <c r="KE156" s="16"/>
      <c r="KF156" s="16"/>
      <c r="KG156" s="16"/>
      <c r="KH156" s="16"/>
      <c r="KK156" s="9"/>
      <c r="KL156" s="16"/>
      <c r="KM156" s="16"/>
      <c r="KN156" s="16"/>
      <c r="KO156" s="16"/>
      <c r="KP156" s="16"/>
      <c r="KQ156" s="16"/>
      <c r="KR156" s="16"/>
      <c r="KS156" s="16"/>
      <c r="KT156" s="16"/>
      <c r="KU156" s="16"/>
      <c r="KV156" s="16"/>
      <c r="KW156" s="16"/>
      <c r="KX156" s="16"/>
      <c r="KY156" s="16"/>
      <c r="KZ156" s="16"/>
      <c r="LA156" s="16"/>
      <c r="LB156" s="16"/>
      <c r="LC156" s="16"/>
      <c r="LD156" s="16"/>
      <c r="LE156" s="16"/>
      <c r="LF156" s="16"/>
      <c r="LI156" s="9"/>
      <c r="LJ156" s="16"/>
      <c r="LK156" s="16"/>
      <c r="LL156" s="16"/>
      <c r="LM156" s="16"/>
      <c r="LN156" s="16"/>
      <c r="LO156" s="16"/>
      <c r="LP156" s="16"/>
      <c r="LQ156" s="16"/>
      <c r="LR156" s="16"/>
      <c r="LS156" s="16"/>
      <c r="LT156" s="16"/>
      <c r="LU156" s="16"/>
      <c r="LV156" s="16"/>
      <c r="LW156" s="16"/>
      <c r="LX156" s="16"/>
      <c r="LY156" s="16"/>
      <c r="LZ156" s="16"/>
      <c r="MA156" s="16"/>
      <c r="MB156" s="16"/>
      <c r="MC156" s="16"/>
      <c r="MD156" s="16"/>
      <c r="MG156" s="9"/>
      <c r="MH156" s="16"/>
      <c r="MI156" s="16"/>
      <c r="MJ156" s="16"/>
      <c r="MK156" s="16"/>
      <c r="ML156" s="16"/>
      <c r="MM156" s="16"/>
      <c r="MN156" s="16"/>
      <c r="MO156" s="16"/>
      <c r="MP156" s="16"/>
      <c r="MQ156" s="16"/>
      <c r="MR156" s="16"/>
      <c r="MS156" s="16"/>
      <c r="MT156" s="16"/>
      <c r="MU156" s="16"/>
      <c r="MV156" s="16"/>
      <c r="MW156" s="16"/>
      <c r="MX156" s="16"/>
      <c r="MY156" s="16"/>
      <c r="MZ156" s="16"/>
      <c r="NA156" s="16"/>
      <c r="NB156" s="16"/>
      <c r="NE156" s="9"/>
      <c r="NF156" s="16"/>
      <c r="NG156" s="16"/>
      <c r="NH156" s="16"/>
      <c r="NI156" s="16"/>
      <c r="NJ156" s="16"/>
      <c r="NK156" s="16"/>
      <c r="NL156" s="16"/>
      <c r="NM156" s="16"/>
      <c r="NN156" s="16"/>
      <c r="NO156" s="16"/>
      <c r="NP156" s="16"/>
      <c r="NQ156" s="16"/>
      <c r="NR156" s="16"/>
      <c r="NS156" s="16"/>
      <c r="NT156" s="16"/>
      <c r="NU156" s="16"/>
      <c r="NV156" s="16"/>
      <c r="NW156" s="16"/>
      <c r="NX156" s="16"/>
      <c r="NY156" s="16"/>
      <c r="NZ156" s="16"/>
      <c r="OC156" s="9"/>
      <c r="OD156" s="16"/>
      <c r="OE156" s="16"/>
      <c r="OF156" s="16"/>
      <c r="OG156" s="16"/>
      <c r="OH156" s="16"/>
      <c r="OI156" s="16"/>
      <c r="OJ156" s="16"/>
      <c r="OK156" s="16"/>
      <c r="OL156" s="16"/>
      <c r="OM156" s="16"/>
      <c r="ON156" s="16"/>
      <c r="OO156" s="16"/>
      <c r="OP156" s="16"/>
      <c r="OQ156" s="16"/>
      <c r="OR156" s="16"/>
      <c r="OS156" s="16"/>
      <c r="OT156" s="16"/>
      <c r="OU156" s="16"/>
      <c r="OV156" s="16"/>
      <c r="OW156" s="16"/>
      <c r="OX156" s="16"/>
      <c r="PA156" s="9"/>
      <c r="PB156" s="16"/>
      <c r="PC156" s="16"/>
      <c r="PD156" s="16"/>
      <c r="PE156" s="16"/>
      <c r="PF156" s="16"/>
      <c r="PG156" s="16"/>
      <c r="PH156" s="16"/>
      <c r="PI156" s="16"/>
      <c r="PJ156" s="16"/>
      <c r="PK156" s="16"/>
      <c r="PL156" s="16"/>
      <c r="PM156" s="16"/>
      <c r="PN156" s="16"/>
      <c r="PO156" s="16"/>
      <c r="PP156" s="16"/>
      <c r="PQ156" s="16"/>
      <c r="PR156" s="16"/>
      <c r="PS156" s="16"/>
      <c r="PT156" s="16"/>
      <c r="PU156" s="16"/>
      <c r="PV156" s="16"/>
    </row>
    <row r="157" spans="3:438" x14ac:dyDescent="0.25">
      <c r="C157" s="1"/>
      <c r="D157" s="1"/>
      <c r="I157" s="9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G157" s="9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E157" s="9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C157" s="9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DA157" s="9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Y157" s="9"/>
      <c r="DZ157" s="16"/>
      <c r="EA157" s="16"/>
      <c r="EB157" s="16"/>
      <c r="EC157" s="16"/>
      <c r="ED157" s="16"/>
      <c r="EE157" s="16"/>
      <c r="EF157" s="16"/>
      <c r="EG157" s="16"/>
      <c r="EH157" s="16"/>
      <c r="EI157" s="16"/>
      <c r="EJ157" s="16"/>
      <c r="EK157" s="16"/>
      <c r="EL157" s="16"/>
      <c r="EM157" s="16"/>
      <c r="EN157" s="16"/>
      <c r="EO157" s="16"/>
      <c r="EP157" s="16"/>
      <c r="EQ157" s="16"/>
      <c r="ER157" s="16"/>
      <c r="ES157" s="16"/>
      <c r="ET157" s="16"/>
      <c r="EW157" s="9"/>
      <c r="EX157" s="16"/>
      <c r="EY157" s="16"/>
      <c r="EZ157" s="16"/>
      <c r="FA157" s="16"/>
      <c r="FB157" s="16"/>
      <c r="FC157" s="16"/>
      <c r="FD157" s="16"/>
      <c r="FE157" s="16"/>
      <c r="FF157" s="16"/>
      <c r="FG157" s="16"/>
      <c r="FH157" s="16"/>
      <c r="FI157" s="16"/>
      <c r="FJ157" s="16"/>
      <c r="FK157" s="16"/>
      <c r="FL157" s="16"/>
      <c r="FM157" s="16"/>
      <c r="FN157" s="16"/>
      <c r="FO157" s="16"/>
      <c r="FP157" s="16"/>
      <c r="FQ157" s="16"/>
      <c r="FR157" s="16"/>
      <c r="FU157" s="9"/>
      <c r="FV157" s="16"/>
      <c r="FW157" s="16"/>
      <c r="FX157" s="16"/>
      <c r="FY157" s="16"/>
      <c r="FZ157" s="16"/>
      <c r="GA157" s="16"/>
      <c r="GB157" s="16"/>
      <c r="GC157" s="16"/>
      <c r="GD157" s="16"/>
      <c r="GE157" s="16"/>
      <c r="GF157" s="16"/>
      <c r="GG157" s="16"/>
      <c r="GH157" s="16"/>
      <c r="GI157" s="16"/>
      <c r="GJ157" s="16"/>
      <c r="GK157" s="16"/>
      <c r="GL157" s="16"/>
      <c r="GM157" s="16"/>
      <c r="GN157" s="16"/>
      <c r="GO157" s="16"/>
      <c r="GP157" s="16"/>
      <c r="GS157" s="9"/>
      <c r="GT157" s="16"/>
      <c r="GU157" s="16"/>
      <c r="GV157" s="16"/>
      <c r="GW157" s="16"/>
      <c r="GX157" s="16"/>
      <c r="GY157" s="16"/>
      <c r="GZ157" s="16"/>
      <c r="HA157" s="16"/>
      <c r="HB157" s="16"/>
      <c r="HC157" s="16"/>
      <c r="HD157" s="16"/>
      <c r="HE157" s="16"/>
      <c r="HF157" s="16"/>
      <c r="HG157" s="16"/>
      <c r="HH157" s="16"/>
      <c r="HI157" s="16"/>
      <c r="HJ157" s="16"/>
      <c r="HK157" s="16"/>
      <c r="HL157" s="16"/>
      <c r="HM157" s="16"/>
      <c r="HN157" s="16"/>
      <c r="HQ157" s="9"/>
      <c r="HR157" s="16"/>
      <c r="HS157" s="16"/>
      <c r="HT157" s="16"/>
      <c r="HU157" s="16"/>
      <c r="HV157" s="16"/>
      <c r="HW157" s="16"/>
      <c r="HX157" s="16"/>
      <c r="HY157" s="16"/>
      <c r="HZ157" s="16"/>
      <c r="IA157" s="16"/>
      <c r="IB157" s="16"/>
      <c r="IC157" s="16"/>
      <c r="ID157" s="16"/>
      <c r="IE157" s="16"/>
      <c r="IF157" s="16"/>
      <c r="IG157" s="16"/>
      <c r="IH157" s="16"/>
      <c r="II157" s="16"/>
      <c r="IJ157" s="16"/>
      <c r="IK157" s="16"/>
      <c r="IL157" s="16"/>
      <c r="IO157" s="9"/>
      <c r="IP157" s="16"/>
      <c r="IQ157" s="16"/>
      <c r="IR157" s="16"/>
      <c r="IS157" s="16"/>
      <c r="IT157" s="16"/>
      <c r="IU157" s="16"/>
      <c r="IV157" s="16"/>
      <c r="IW157" s="16"/>
      <c r="IX157" s="16"/>
      <c r="IY157" s="16"/>
      <c r="IZ157" s="16"/>
      <c r="JA157" s="16"/>
      <c r="JB157" s="16"/>
      <c r="JC157" s="16"/>
      <c r="JD157" s="16"/>
      <c r="JE157" s="16"/>
      <c r="JF157" s="16"/>
      <c r="JG157" s="16"/>
      <c r="JH157" s="16"/>
      <c r="JI157" s="16"/>
      <c r="JJ157" s="16"/>
      <c r="JM157" s="9"/>
      <c r="JN157" s="16"/>
      <c r="JO157" s="16"/>
      <c r="JP157" s="16"/>
      <c r="JQ157" s="16"/>
      <c r="JR157" s="16"/>
      <c r="JS157" s="16"/>
      <c r="JT157" s="16"/>
      <c r="JU157" s="16"/>
      <c r="JV157" s="16"/>
      <c r="JW157" s="16"/>
      <c r="JX157" s="16"/>
      <c r="JY157" s="16"/>
      <c r="JZ157" s="16"/>
      <c r="KA157" s="16"/>
      <c r="KB157" s="16"/>
      <c r="KC157" s="16"/>
      <c r="KD157" s="16"/>
      <c r="KE157" s="16"/>
      <c r="KF157" s="16"/>
      <c r="KG157" s="16"/>
      <c r="KH157" s="16"/>
      <c r="KK157" s="9"/>
      <c r="KL157" s="16"/>
      <c r="KM157" s="16"/>
      <c r="KN157" s="16"/>
      <c r="KO157" s="16"/>
      <c r="KP157" s="16"/>
      <c r="KQ157" s="16"/>
      <c r="KR157" s="16"/>
      <c r="KS157" s="16"/>
      <c r="KT157" s="16"/>
      <c r="KU157" s="16"/>
      <c r="KV157" s="16"/>
      <c r="KW157" s="16"/>
      <c r="KX157" s="16"/>
      <c r="KY157" s="16"/>
      <c r="KZ157" s="16"/>
      <c r="LA157" s="16"/>
      <c r="LB157" s="16"/>
      <c r="LC157" s="16"/>
      <c r="LD157" s="16"/>
      <c r="LE157" s="16"/>
      <c r="LF157" s="16"/>
      <c r="LI157" s="9"/>
      <c r="LJ157" s="16"/>
      <c r="LK157" s="16"/>
      <c r="LL157" s="16"/>
      <c r="LM157" s="16"/>
      <c r="LN157" s="16"/>
      <c r="LO157" s="16"/>
      <c r="LP157" s="16"/>
      <c r="LQ157" s="16"/>
      <c r="LR157" s="16"/>
      <c r="LS157" s="16"/>
      <c r="LT157" s="16"/>
      <c r="LU157" s="16"/>
      <c r="LV157" s="16"/>
      <c r="LW157" s="16"/>
      <c r="LX157" s="16"/>
      <c r="LY157" s="16"/>
      <c r="LZ157" s="16"/>
      <c r="MA157" s="16"/>
      <c r="MB157" s="16"/>
      <c r="MC157" s="16"/>
      <c r="MD157" s="16"/>
      <c r="MG157" s="9"/>
      <c r="MH157" s="16"/>
      <c r="MI157" s="16"/>
      <c r="MJ157" s="16"/>
      <c r="MK157" s="16"/>
      <c r="ML157" s="16"/>
      <c r="MM157" s="16"/>
      <c r="MN157" s="16"/>
      <c r="MO157" s="16"/>
      <c r="MP157" s="16"/>
      <c r="MQ157" s="16"/>
      <c r="MR157" s="16"/>
      <c r="MS157" s="16"/>
      <c r="MT157" s="16"/>
      <c r="MU157" s="16"/>
      <c r="MV157" s="16"/>
      <c r="MW157" s="16"/>
      <c r="MX157" s="16"/>
      <c r="MY157" s="16"/>
      <c r="MZ157" s="16"/>
      <c r="NA157" s="16"/>
      <c r="NB157" s="16"/>
      <c r="NE157" s="9"/>
      <c r="NF157" s="16"/>
      <c r="NG157" s="16"/>
      <c r="NH157" s="16"/>
      <c r="NI157" s="16"/>
      <c r="NJ157" s="16"/>
      <c r="NK157" s="16"/>
      <c r="NL157" s="16"/>
      <c r="NM157" s="16"/>
      <c r="NN157" s="16"/>
      <c r="NO157" s="16"/>
      <c r="NP157" s="16"/>
      <c r="NQ157" s="16"/>
      <c r="NR157" s="16"/>
      <c r="NS157" s="16"/>
      <c r="NT157" s="16"/>
      <c r="NU157" s="16"/>
      <c r="NV157" s="16"/>
      <c r="NW157" s="16"/>
      <c r="NX157" s="16"/>
      <c r="NY157" s="16"/>
      <c r="NZ157" s="16"/>
      <c r="OC157" s="9"/>
      <c r="OD157" s="16"/>
      <c r="OE157" s="16"/>
      <c r="OF157" s="16"/>
      <c r="OG157" s="16"/>
      <c r="OH157" s="16"/>
      <c r="OI157" s="16"/>
      <c r="OJ157" s="16"/>
      <c r="OK157" s="16"/>
      <c r="OL157" s="16"/>
      <c r="OM157" s="16"/>
      <c r="ON157" s="16"/>
      <c r="OO157" s="16"/>
      <c r="OP157" s="16"/>
      <c r="OQ157" s="16"/>
      <c r="OR157" s="16"/>
      <c r="OS157" s="16"/>
      <c r="OT157" s="16"/>
      <c r="OU157" s="16"/>
      <c r="OV157" s="16"/>
      <c r="OW157" s="16"/>
      <c r="OX157" s="16"/>
      <c r="PA157" s="9"/>
      <c r="PB157" s="16"/>
      <c r="PC157" s="16"/>
      <c r="PD157" s="16"/>
      <c r="PE157" s="16"/>
      <c r="PF157" s="16"/>
      <c r="PG157" s="16"/>
      <c r="PH157" s="16"/>
      <c r="PI157" s="16"/>
      <c r="PJ157" s="16"/>
      <c r="PK157" s="16"/>
      <c r="PL157" s="16"/>
      <c r="PM157" s="16"/>
      <c r="PN157" s="16"/>
      <c r="PO157" s="16"/>
      <c r="PP157" s="16"/>
      <c r="PQ157" s="16"/>
      <c r="PR157" s="16"/>
      <c r="PS157" s="16"/>
      <c r="PT157" s="16"/>
      <c r="PU157" s="16"/>
      <c r="PV157" s="16"/>
    </row>
    <row r="158" spans="3:438" x14ac:dyDescent="0.25">
      <c r="C158" s="1"/>
      <c r="D158" s="1"/>
      <c r="I158" s="9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G158" s="9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E158" s="9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C158" s="9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DA158" s="9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Y158" s="9"/>
      <c r="DZ158" s="16"/>
      <c r="EA158" s="16"/>
      <c r="EB158" s="16"/>
      <c r="EC158" s="16"/>
      <c r="ED158" s="16"/>
      <c r="EE158" s="16"/>
      <c r="EF158" s="16"/>
      <c r="EG158" s="16"/>
      <c r="EH158" s="16"/>
      <c r="EI158" s="16"/>
      <c r="EJ158" s="16"/>
      <c r="EK158" s="16"/>
      <c r="EL158" s="16"/>
      <c r="EM158" s="16"/>
      <c r="EN158" s="16"/>
      <c r="EO158" s="16"/>
      <c r="EP158" s="16"/>
      <c r="EQ158" s="16"/>
      <c r="ER158" s="16"/>
      <c r="ES158" s="16"/>
      <c r="ET158" s="16"/>
      <c r="EW158" s="9"/>
      <c r="EX158" s="16"/>
      <c r="EY158" s="16"/>
      <c r="EZ158" s="16"/>
      <c r="FA158" s="16"/>
      <c r="FB158" s="16"/>
      <c r="FC158" s="16"/>
      <c r="FD158" s="16"/>
      <c r="FE158" s="16"/>
      <c r="FF158" s="16"/>
      <c r="FG158" s="16"/>
      <c r="FH158" s="16"/>
      <c r="FI158" s="16"/>
      <c r="FJ158" s="16"/>
      <c r="FK158" s="16"/>
      <c r="FL158" s="16"/>
      <c r="FM158" s="16"/>
      <c r="FN158" s="16"/>
      <c r="FO158" s="16"/>
      <c r="FP158" s="16"/>
      <c r="FQ158" s="16"/>
      <c r="FR158" s="16"/>
      <c r="FU158" s="9"/>
      <c r="FV158" s="16"/>
      <c r="FW158" s="16"/>
      <c r="FX158" s="16"/>
      <c r="FY158" s="16"/>
      <c r="FZ158" s="16"/>
      <c r="GA158" s="16"/>
      <c r="GB158" s="16"/>
      <c r="GC158" s="16"/>
      <c r="GD158" s="16"/>
      <c r="GE158" s="16"/>
      <c r="GF158" s="16"/>
      <c r="GG158" s="16"/>
      <c r="GH158" s="16"/>
      <c r="GI158" s="16"/>
      <c r="GJ158" s="16"/>
      <c r="GK158" s="16"/>
      <c r="GL158" s="16"/>
      <c r="GM158" s="16"/>
      <c r="GN158" s="16"/>
      <c r="GO158" s="16"/>
      <c r="GP158" s="16"/>
      <c r="GS158" s="9"/>
      <c r="GT158" s="16"/>
      <c r="GU158" s="16"/>
      <c r="GV158" s="16"/>
      <c r="GW158" s="16"/>
      <c r="GX158" s="16"/>
      <c r="GY158" s="16"/>
      <c r="GZ158" s="16"/>
      <c r="HA158" s="16"/>
      <c r="HB158" s="16"/>
      <c r="HC158" s="16"/>
      <c r="HD158" s="16"/>
      <c r="HE158" s="16"/>
      <c r="HF158" s="16"/>
      <c r="HG158" s="16"/>
      <c r="HH158" s="16"/>
      <c r="HI158" s="16"/>
      <c r="HJ158" s="16"/>
      <c r="HK158" s="16"/>
      <c r="HL158" s="16"/>
      <c r="HM158" s="16"/>
      <c r="HN158" s="16"/>
      <c r="HQ158" s="9"/>
      <c r="HR158" s="16"/>
      <c r="HS158" s="16"/>
      <c r="HT158" s="16"/>
      <c r="HU158" s="16"/>
      <c r="HV158" s="16"/>
      <c r="HW158" s="16"/>
      <c r="HX158" s="16"/>
      <c r="HY158" s="16"/>
      <c r="HZ158" s="16"/>
      <c r="IA158" s="16"/>
      <c r="IB158" s="16"/>
      <c r="IC158" s="16"/>
      <c r="ID158" s="16"/>
      <c r="IE158" s="16"/>
      <c r="IF158" s="16"/>
      <c r="IG158" s="16"/>
      <c r="IH158" s="16"/>
      <c r="II158" s="16"/>
      <c r="IJ158" s="16"/>
      <c r="IK158" s="16"/>
      <c r="IL158" s="16"/>
      <c r="IO158" s="9"/>
      <c r="IP158" s="16"/>
      <c r="IQ158" s="16"/>
      <c r="IR158" s="16"/>
      <c r="IS158" s="16"/>
      <c r="IT158" s="16"/>
      <c r="IU158" s="16"/>
      <c r="IV158" s="16"/>
      <c r="IW158" s="16"/>
      <c r="IX158" s="16"/>
      <c r="IY158" s="16"/>
      <c r="IZ158" s="16"/>
      <c r="JA158" s="16"/>
      <c r="JB158" s="16"/>
      <c r="JC158" s="16"/>
      <c r="JD158" s="16"/>
      <c r="JE158" s="16"/>
      <c r="JF158" s="16"/>
      <c r="JG158" s="16"/>
      <c r="JH158" s="16"/>
      <c r="JI158" s="16"/>
      <c r="JJ158" s="16"/>
      <c r="JM158" s="9"/>
      <c r="JN158" s="16"/>
      <c r="JO158" s="16"/>
      <c r="JP158" s="16"/>
      <c r="JQ158" s="16"/>
      <c r="JR158" s="16"/>
      <c r="JS158" s="16"/>
      <c r="JT158" s="16"/>
      <c r="JU158" s="16"/>
      <c r="JV158" s="16"/>
      <c r="JW158" s="16"/>
      <c r="JX158" s="16"/>
      <c r="JY158" s="16"/>
      <c r="JZ158" s="16"/>
      <c r="KA158" s="16"/>
      <c r="KB158" s="16"/>
      <c r="KC158" s="16"/>
      <c r="KD158" s="16"/>
      <c r="KE158" s="16"/>
      <c r="KF158" s="16"/>
      <c r="KG158" s="16"/>
      <c r="KH158" s="16"/>
      <c r="KK158" s="9"/>
      <c r="KL158" s="16"/>
      <c r="KM158" s="16"/>
      <c r="KN158" s="16"/>
      <c r="KO158" s="16"/>
      <c r="KP158" s="16"/>
      <c r="KQ158" s="16"/>
      <c r="KR158" s="16"/>
      <c r="KS158" s="16"/>
      <c r="KT158" s="16"/>
      <c r="KU158" s="16"/>
      <c r="KV158" s="16"/>
      <c r="KW158" s="16"/>
      <c r="KX158" s="16"/>
      <c r="KY158" s="16"/>
      <c r="KZ158" s="16"/>
      <c r="LA158" s="16"/>
      <c r="LB158" s="16"/>
      <c r="LC158" s="16"/>
      <c r="LD158" s="16"/>
      <c r="LE158" s="16"/>
      <c r="LF158" s="16"/>
      <c r="LI158" s="9"/>
      <c r="LJ158" s="16"/>
      <c r="LK158" s="16"/>
      <c r="LL158" s="16"/>
      <c r="LM158" s="16"/>
      <c r="LN158" s="16"/>
      <c r="LO158" s="16"/>
      <c r="LP158" s="16"/>
      <c r="LQ158" s="16"/>
      <c r="LR158" s="16"/>
      <c r="LS158" s="16"/>
      <c r="LT158" s="16"/>
      <c r="LU158" s="16"/>
      <c r="LV158" s="16"/>
      <c r="LW158" s="16"/>
      <c r="LX158" s="16"/>
      <c r="LY158" s="16"/>
      <c r="LZ158" s="16"/>
      <c r="MA158" s="16"/>
      <c r="MB158" s="16"/>
      <c r="MC158" s="16"/>
      <c r="MD158" s="16"/>
      <c r="MG158" s="9"/>
      <c r="MH158" s="16"/>
      <c r="MI158" s="16"/>
      <c r="MJ158" s="16"/>
      <c r="MK158" s="16"/>
      <c r="ML158" s="16"/>
      <c r="MM158" s="16"/>
      <c r="MN158" s="16"/>
      <c r="MO158" s="16"/>
      <c r="MP158" s="16"/>
      <c r="MQ158" s="16"/>
      <c r="MR158" s="16"/>
      <c r="MS158" s="16"/>
      <c r="MT158" s="16"/>
      <c r="MU158" s="16"/>
      <c r="MV158" s="16"/>
      <c r="MW158" s="16"/>
      <c r="MX158" s="16"/>
      <c r="MY158" s="16"/>
      <c r="MZ158" s="16"/>
      <c r="NA158" s="16"/>
      <c r="NB158" s="16"/>
      <c r="NE158" s="9"/>
      <c r="NF158" s="16"/>
      <c r="NG158" s="16"/>
      <c r="NH158" s="16"/>
      <c r="NI158" s="16"/>
      <c r="NJ158" s="16"/>
      <c r="NK158" s="16"/>
      <c r="NL158" s="16"/>
      <c r="NM158" s="16"/>
      <c r="NN158" s="16"/>
      <c r="NO158" s="16"/>
      <c r="NP158" s="16"/>
      <c r="NQ158" s="16"/>
      <c r="NR158" s="16"/>
      <c r="NS158" s="16"/>
      <c r="NT158" s="16"/>
      <c r="NU158" s="16"/>
      <c r="NV158" s="16"/>
      <c r="NW158" s="16"/>
      <c r="NX158" s="16"/>
      <c r="NY158" s="16"/>
      <c r="NZ158" s="16"/>
      <c r="OC158" s="9"/>
      <c r="OD158" s="16"/>
      <c r="OE158" s="16"/>
      <c r="OF158" s="16"/>
      <c r="OG158" s="16"/>
      <c r="OH158" s="16"/>
      <c r="OI158" s="16"/>
      <c r="OJ158" s="16"/>
      <c r="OK158" s="16"/>
      <c r="OL158" s="16"/>
      <c r="OM158" s="16"/>
      <c r="ON158" s="16"/>
      <c r="OO158" s="16"/>
      <c r="OP158" s="16"/>
      <c r="OQ158" s="16"/>
      <c r="OR158" s="16"/>
      <c r="OS158" s="16"/>
      <c r="OT158" s="16"/>
      <c r="OU158" s="16"/>
      <c r="OV158" s="16"/>
      <c r="OW158" s="16"/>
      <c r="OX158" s="16"/>
      <c r="PA158" s="9"/>
      <c r="PB158" s="16"/>
      <c r="PC158" s="16"/>
      <c r="PD158" s="16"/>
      <c r="PE158" s="16"/>
      <c r="PF158" s="16"/>
      <c r="PG158" s="16"/>
      <c r="PH158" s="16"/>
      <c r="PI158" s="16"/>
      <c r="PJ158" s="16"/>
      <c r="PK158" s="16"/>
      <c r="PL158" s="16"/>
      <c r="PM158" s="16"/>
      <c r="PN158" s="16"/>
      <c r="PO158" s="16"/>
      <c r="PP158" s="16"/>
      <c r="PQ158" s="16"/>
      <c r="PR158" s="16"/>
      <c r="PS158" s="16"/>
      <c r="PT158" s="16"/>
      <c r="PU158" s="16"/>
      <c r="PV158" s="16"/>
    </row>
    <row r="159" spans="3:438" x14ac:dyDescent="0.25">
      <c r="C159" s="1"/>
      <c r="D159" s="1"/>
      <c r="I159" s="9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G159" s="9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E159" s="9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C159" s="9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DA159" s="9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Y159" s="9"/>
      <c r="DZ159" s="16"/>
      <c r="EA159" s="16"/>
      <c r="EB159" s="16"/>
      <c r="EC159" s="16"/>
      <c r="ED159" s="16"/>
      <c r="EE159" s="16"/>
      <c r="EF159" s="16"/>
      <c r="EG159" s="16"/>
      <c r="EH159" s="16"/>
      <c r="EI159" s="16"/>
      <c r="EJ159" s="16"/>
      <c r="EK159" s="16"/>
      <c r="EL159" s="16"/>
      <c r="EM159" s="16"/>
      <c r="EN159" s="16"/>
      <c r="EO159" s="16"/>
      <c r="EP159" s="16"/>
      <c r="EQ159" s="16"/>
      <c r="ER159" s="16"/>
      <c r="ES159" s="16"/>
      <c r="ET159" s="16"/>
      <c r="EW159" s="9"/>
      <c r="EX159" s="16"/>
      <c r="EY159" s="16"/>
      <c r="EZ159" s="16"/>
      <c r="FA159" s="16"/>
      <c r="FB159" s="16"/>
      <c r="FC159" s="16"/>
      <c r="FD159" s="16"/>
      <c r="FE159" s="16"/>
      <c r="FF159" s="16"/>
      <c r="FG159" s="16"/>
      <c r="FH159" s="16"/>
      <c r="FI159" s="16"/>
      <c r="FJ159" s="16"/>
      <c r="FK159" s="16"/>
      <c r="FL159" s="16"/>
      <c r="FM159" s="16"/>
      <c r="FN159" s="16"/>
      <c r="FO159" s="16"/>
      <c r="FP159" s="16"/>
      <c r="FQ159" s="16"/>
      <c r="FR159" s="16"/>
      <c r="FU159" s="9"/>
      <c r="FV159" s="16"/>
      <c r="FW159" s="16"/>
      <c r="FX159" s="16"/>
      <c r="FY159" s="16"/>
      <c r="FZ159" s="16"/>
      <c r="GA159" s="16"/>
      <c r="GB159" s="16"/>
      <c r="GC159" s="16"/>
      <c r="GD159" s="16"/>
      <c r="GE159" s="16"/>
      <c r="GF159" s="16"/>
      <c r="GG159" s="16"/>
      <c r="GH159" s="16"/>
      <c r="GI159" s="16"/>
      <c r="GJ159" s="16"/>
      <c r="GK159" s="16"/>
      <c r="GL159" s="16"/>
      <c r="GM159" s="16"/>
      <c r="GN159" s="16"/>
      <c r="GO159" s="16"/>
      <c r="GP159" s="16"/>
      <c r="GS159" s="9"/>
      <c r="GT159" s="16"/>
      <c r="GU159" s="16"/>
      <c r="GV159" s="16"/>
      <c r="GW159" s="16"/>
      <c r="GX159" s="16"/>
      <c r="GY159" s="16"/>
      <c r="GZ159" s="16"/>
      <c r="HA159" s="16"/>
      <c r="HB159" s="16"/>
      <c r="HC159" s="16"/>
      <c r="HD159" s="16"/>
      <c r="HE159" s="16"/>
      <c r="HF159" s="16"/>
      <c r="HG159" s="16"/>
      <c r="HH159" s="16"/>
      <c r="HI159" s="16"/>
      <c r="HJ159" s="16"/>
      <c r="HK159" s="16"/>
      <c r="HL159" s="16"/>
      <c r="HM159" s="16"/>
      <c r="HN159" s="16"/>
      <c r="HQ159" s="9"/>
      <c r="HR159" s="16"/>
      <c r="HS159" s="16"/>
      <c r="HT159" s="16"/>
      <c r="HU159" s="16"/>
      <c r="HV159" s="16"/>
      <c r="HW159" s="16"/>
      <c r="HX159" s="16"/>
      <c r="HY159" s="16"/>
      <c r="HZ159" s="16"/>
      <c r="IA159" s="16"/>
      <c r="IB159" s="16"/>
      <c r="IC159" s="16"/>
      <c r="ID159" s="16"/>
      <c r="IE159" s="16"/>
      <c r="IF159" s="16"/>
      <c r="IG159" s="16"/>
      <c r="IH159" s="16"/>
      <c r="II159" s="16"/>
      <c r="IJ159" s="16"/>
      <c r="IK159" s="16"/>
      <c r="IL159" s="16"/>
      <c r="IO159" s="9"/>
      <c r="IP159" s="16"/>
      <c r="IQ159" s="16"/>
      <c r="IR159" s="16"/>
      <c r="IS159" s="16"/>
      <c r="IT159" s="16"/>
      <c r="IU159" s="16"/>
      <c r="IV159" s="16"/>
      <c r="IW159" s="16"/>
      <c r="IX159" s="16"/>
      <c r="IY159" s="16"/>
      <c r="IZ159" s="16"/>
      <c r="JA159" s="16"/>
      <c r="JB159" s="16"/>
      <c r="JC159" s="16"/>
      <c r="JD159" s="16"/>
      <c r="JE159" s="16"/>
      <c r="JF159" s="16"/>
      <c r="JG159" s="16"/>
      <c r="JH159" s="16"/>
      <c r="JI159" s="16"/>
      <c r="JJ159" s="16"/>
      <c r="JM159" s="9"/>
      <c r="JN159" s="16"/>
      <c r="JO159" s="16"/>
      <c r="JP159" s="16"/>
      <c r="JQ159" s="16"/>
      <c r="JR159" s="16"/>
      <c r="JS159" s="16"/>
      <c r="JT159" s="16"/>
      <c r="JU159" s="16"/>
      <c r="JV159" s="16"/>
      <c r="JW159" s="16"/>
      <c r="JX159" s="16"/>
      <c r="JY159" s="16"/>
      <c r="JZ159" s="16"/>
      <c r="KA159" s="16"/>
      <c r="KB159" s="16"/>
      <c r="KC159" s="16"/>
      <c r="KD159" s="16"/>
      <c r="KE159" s="16"/>
      <c r="KF159" s="16"/>
      <c r="KG159" s="16"/>
      <c r="KH159" s="16"/>
      <c r="KK159" s="9"/>
      <c r="KL159" s="16"/>
      <c r="KM159" s="16"/>
      <c r="KN159" s="16"/>
      <c r="KO159" s="16"/>
      <c r="KP159" s="16"/>
      <c r="KQ159" s="16"/>
      <c r="KR159" s="16"/>
      <c r="KS159" s="16"/>
      <c r="KT159" s="16"/>
      <c r="KU159" s="16"/>
      <c r="KV159" s="16"/>
      <c r="KW159" s="16"/>
      <c r="KX159" s="16"/>
      <c r="KY159" s="16"/>
      <c r="KZ159" s="16"/>
      <c r="LA159" s="16"/>
      <c r="LB159" s="16"/>
      <c r="LC159" s="16"/>
      <c r="LD159" s="16"/>
      <c r="LE159" s="16"/>
      <c r="LF159" s="16"/>
      <c r="LI159" s="9"/>
      <c r="LJ159" s="16"/>
      <c r="LK159" s="16"/>
      <c r="LL159" s="16"/>
      <c r="LM159" s="16"/>
      <c r="LN159" s="16"/>
      <c r="LO159" s="16"/>
      <c r="LP159" s="16"/>
      <c r="LQ159" s="16"/>
      <c r="LR159" s="16"/>
      <c r="LS159" s="16"/>
      <c r="LT159" s="16"/>
      <c r="LU159" s="16"/>
      <c r="LV159" s="16"/>
      <c r="LW159" s="16"/>
      <c r="LX159" s="16"/>
      <c r="LY159" s="16"/>
      <c r="LZ159" s="16"/>
      <c r="MA159" s="16"/>
      <c r="MB159" s="16"/>
      <c r="MC159" s="16"/>
      <c r="MD159" s="16"/>
      <c r="MG159" s="9"/>
      <c r="MH159" s="16"/>
      <c r="MI159" s="16"/>
      <c r="MJ159" s="16"/>
      <c r="MK159" s="16"/>
      <c r="ML159" s="16"/>
      <c r="MM159" s="16"/>
      <c r="MN159" s="16"/>
      <c r="MO159" s="16"/>
      <c r="MP159" s="16"/>
      <c r="MQ159" s="16"/>
      <c r="MR159" s="16"/>
      <c r="MS159" s="16"/>
      <c r="MT159" s="16"/>
      <c r="MU159" s="16"/>
      <c r="MV159" s="16"/>
      <c r="MW159" s="16"/>
      <c r="MX159" s="16"/>
      <c r="MY159" s="16"/>
      <c r="MZ159" s="16"/>
      <c r="NA159" s="16"/>
      <c r="NB159" s="16"/>
      <c r="NE159" s="9"/>
      <c r="NF159" s="16"/>
      <c r="NG159" s="16"/>
      <c r="NH159" s="16"/>
      <c r="NI159" s="16"/>
      <c r="NJ159" s="16"/>
      <c r="NK159" s="16"/>
      <c r="NL159" s="16"/>
      <c r="NM159" s="16"/>
      <c r="NN159" s="16"/>
      <c r="NO159" s="16"/>
      <c r="NP159" s="16"/>
      <c r="NQ159" s="16"/>
      <c r="NR159" s="16"/>
      <c r="NS159" s="16"/>
      <c r="NT159" s="16"/>
      <c r="NU159" s="16"/>
      <c r="NV159" s="16"/>
      <c r="NW159" s="16"/>
      <c r="NX159" s="16"/>
      <c r="NY159" s="16"/>
      <c r="NZ159" s="16"/>
      <c r="OC159" s="9"/>
      <c r="OD159" s="16"/>
      <c r="OE159" s="16"/>
      <c r="OF159" s="16"/>
      <c r="OG159" s="16"/>
      <c r="OH159" s="16"/>
      <c r="OI159" s="16"/>
      <c r="OJ159" s="16"/>
      <c r="OK159" s="16"/>
      <c r="OL159" s="16"/>
      <c r="OM159" s="16"/>
      <c r="ON159" s="16"/>
      <c r="OO159" s="16"/>
      <c r="OP159" s="16"/>
      <c r="OQ159" s="16"/>
      <c r="OR159" s="16"/>
      <c r="OS159" s="16"/>
      <c r="OT159" s="16"/>
      <c r="OU159" s="16"/>
      <c r="OV159" s="16"/>
      <c r="OW159" s="16"/>
      <c r="OX159" s="16"/>
      <c r="PA159" s="9"/>
      <c r="PB159" s="16"/>
      <c r="PC159" s="16"/>
      <c r="PD159" s="16"/>
      <c r="PE159" s="16"/>
      <c r="PF159" s="16"/>
      <c r="PG159" s="16"/>
      <c r="PH159" s="16"/>
      <c r="PI159" s="16"/>
      <c r="PJ159" s="16"/>
      <c r="PK159" s="16"/>
      <c r="PL159" s="16"/>
      <c r="PM159" s="16"/>
      <c r="PN159" s="16"/>
      <c r="PO159" s="16"/>
      <c r="PP159" s="16"/>
      <c r="PQ159" s="16"/>
      <c r="PR159" s="16"/>
      <c r="PS159" s="16"/>
      <c r="PT159" s="16"/>
      <c r="PU159" s="16"/>
      <c r="PV159" s="16"/>
    </row>
    <row r="160" spans="3:438" x14ac:dyDescent="0.25">
      <c r="C160" s="1"/>
      <c r="D160" s="1"/>
      <c r="I160" s="9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G160" s="9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E160" s="9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C160" s="9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DA160" s="9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Y160" s="9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16"/>
      <c r="EW160" s="9"/>
      <c r="EX160" s="16"/>
      <c r="EY160" s="16"/>
      <c r="EZ160" s="16"/>
      <c r="FA160" s="16"/>
      <c r="FB160" s="16"/>
      <c r="FC160" s="16"/>
      <c r="FD160" s="16"/>
      <c r="FE160" s="16"/>
      <c r="FF160" s="16"/>
      <c r="FG160" s="16"/>
      <c r="FH160" s="16"/>
      <c r="FI160" s="16"/>
      <c r="FJ160" s="16"/>
      <c r="FK160" s="16"/>
      <c r="FL160" s="16"/>
      <c r="FM160" s="16"/>
      <c r="FN160" s="16"/>
      <c r="FO160" s="16"/>
      <c r="FP160" s="16"/>
      <c r="FQ160" s="16"/>
      <c r="FR160" s="16"/>
      <c r="FU160" s="9"/>
      <c r="FV160" s="16"/>
      <c r="FW160" s="16"/>
      <c r="FX160" s="16"/>
      <c r="FY160" s="16"/>
      <c r="FZ160" s="16"/>
      <c r="GA160" s="16"/>
      <c r="GB160" s="16"/>
      <c r="GC160" s="16"/>
      <c r="GD160" s="16"/>
      <c r="GE160" s="16"/>
      <c r="GF160" s="16"/>
      <c r="GG160" s="16"/>
      <c r="GH160" s="16"/>
      <c r="GI160" s="16"/>
      <c r="GJ160" s="16"/>
      <c r="GK160" s="16"/>
      <c r="GL160" s="16"/>
      <c r="GM160" s="16"/>
      <c r="GN160" s="16"/>
      <c r="GO160" s="16"/>
      <c r="GP160" s="16"/>
      <c r="GS160" s="9"/>
      <c r="GT160" s="16"/>
      <c r="GU160" s="16"/>
      <c r="GV160" s="16"/>
      <c r="GW160" s="16"/>
      <c r="GX160" s="16"/>
      <c r="GY160" s="16"/>
      <c r="GZ160" s="16"/>
      <c r="HA160" s="16"/>
      <c r="HB160" s="16"/>
      <c r="HC160" s="16"/>
      <c r="HD160" s="16"/>
      <c r="HE160" s="16"/>
      <c r="HF160" s="16"/>
      <c r="HG160" s="16"/>
      <c r="HH160" s="16"/>
      <c r="HI160" s="16"/>
      <c r="HJ160" s="16"/>
      <c r="HK160" s="16"/>
      <c r="HL160" s="16"/>
      <c r="HM160" s="16"/>
      <c r="HN160" s="16"/>
      <c r="HQ160" s="9"/>
      <c r="HR160" s="16"/>
      <c r="HS160" s="16"/>
      <c r="HT160" s="16"/>
      <c r="HU160" s="16"/>
      <c r="HV160" s="16"/>
      <c r="HW160" s="16"/>
      <c r="HX160" s="16"/>
      <c r="HY160" s="16"/>
      <c r="HZ160" s="16"/>
      <c r="IA160" s="16"/>
      <c r="IB160" s="16"/>
      <c r="IC160" s="16"/>
      <c r="ID160" s="16"/>
      <c r="IE160" s="16"/>
      <c r="IF160" s="16"/>
      <c r="IG160" s="16"/>
      <c r="IH160" s="16"/>
      <c r="II160" s="16"/>
      <c r="IJ160" s="16"/>
      <c r="IK160" s="16"/>
      <c r="IL160" s="16"/>
      <c r="IO160" s="9"/>
      <c r="IP160" s="16"/>
      <c r="IQ160" s="16"/>
      <c r="IR160" s="16"/>
      <c r="IS160" s="16"/>
      <c r="IT160" s="16"/>
      <c r="IU160" s="16"/>
      <c r="IV160" s="16"/>
      <c r="IW160" s="16"/>
      <c r="IX160" s="16"/>
      <c r="IY160" s="16"/>
      <c r="IZ160" s="16"/>
      <c r="JA160" s="16"/>
      <c r="JB160" s="16"/>
      <c r="JC160" s="16"/>
      <c r="JD160" s="16"/>
      <c r="JE160" s="16"/>
      <c r="JF160" s="16"/>
      <c r="JG160" s="16"/>
      <c r="JH160" s="16"/>
      <c r="JI160" s="16"/>
      <c r="JJ160" s="16"/>
      <c r="JM160" s="9"/>
      <c r="JN160" s="16"/>
      <c r="JO160" s="16"/>
      <c r="JP160" s="16"/>
      <c r="JQ160" s="16"/>
      <c r="JR160" s="16"/>
      <c r="JS160" s="16"/>
      <c r="JT160" s="16"/>
      <c r="JU160" s="16"/>
      <c r="JV160" s="16"/>
      <c r="JW160" s="16"/>
      <c r="JX160" s="16"/>
      <c r="JY160" s="16"/>
      <c r="JZ160" s="16"/>
      <c r="KA160" s="16"/>
      <c r="KB160" s="16"/>
      <c r="KC160" s="16"/>
      <c r="KD160" s="16"/>
      <c r="KE160" s="16"/>
      <c r="KF160" s="16"/>
      <c r="KG160" s="16"/>
      <c r="KH160" s="16"/>
      <c r="KK160" s="9"/>
      <c r="KL160" s="16"/>
      <c r="KM160" s="16"/>
      <c r="KN160" s="16"/>
      <c r="KO160" s="16"/>
      <c r="KP160" s="16"/>
      <c r="KQ160" s="16"/>
      <c r="KR160" s="16"/>
      <c r="KS160" s="16"/>
      <c r="KT160" s="16"/>
      <c r="KU160" s="16"/>
      <c r="KV160" s="16"/>
      <c r="KW160" s="16"/>
      <c r="KX160" s="16"/>
      <c r="KY160" s="16"/>
      <c r="KZ160" s="16"/>
      <c r="LA160" s="16"/>
      <c r="LB160" s="16"/>
      <c r="LC160" s="16"/>
      <c r="LD160" s="16"/>
      <c r="LE160" s="16"/>
      <c r="LF160" s="16"/>
      <c r="LI160" s="9"/>
      <c r="LJ160" s="16"/>
      <c r="LK160" s="16"/>
      <c r="LL160" s="16"/>
      <c r="LM160" s="16"/>
      <c r="LN160" s="16"/>
      <c r="LO160" s="16"/>
      <c r="LP160" s="16"/>
      <c r="LQ160" s="16"/>
      <c r="LR160" s="16"/>
      <c r="LS160" s="16"/>
      <c r="LT160" s="16"/>
      <c r="LU160" s="16"/>
      <c r="LV160" s="16"/>
      <c r="LW160" s="16"/>
      <c r="LX160" s="16"/>
      <c r="LY160" s="16"/>
      <c r="LZ160" s="16"/>
      <c r="MA160" s="16"/>
      <c r="MB160" s="16"/>
      <c r="MC160" s="16"/>
      <c r="MD160" s="16"/>
      <c r="MG160" s="9"/>
      <c r="MH160" s="16"/>
      <c r="MI160" s="16"/>
      <c r="MJ160" s="16"/>
      <c r="MK160" s="16"/>
      <c r="ML160" s="16"/>
      <c r="MM160" s="16"/>
      <c r="MN160" s="16"/>
      <c r="MO160" s="16"/>
      <c r="MP160" s="16"/>
      <c r="MQ160" s="16"/>
      <c r="MR160" s="16"/>
      <c r="MS160" s="16"/>
      <c r="MT160" s="16"/>
      <c r="MU160" s="16"/>
      <c r="MV160" s="16"/>
      <c r="MW160" s="16"/>
      <c r="MX160" s="16"/>
      <c r="MY160" s="16"/>
      <c r="MZ160" s="16"/>
      <c r="NA160" s="16"/>
      <c r="NB160" s="16"/>
      <c r="NE160" s="9"/>
      <c r="NF160" s="16"/>
      <c r="NG160" s="16"/>
      <c r="NH160" s="16"/>
      <c r="NI160" s="16"/>
      <c r="NJ160" s="16"/>
      <c r="NK160" s="16"/>
      <c r="NL160" s="16"/>
      <c r="NM160" s="16"/>
      <c r="NN160" s="16"/>
      <c r="NO160" s="16"/>
      <c r="NP160" s="16"/>
      <c r="NQ160" s="16"/>
      <c r="NR160" s="16"/>
      <c r="NS160" s="16"/>
      <c r="NT160" s="16"/>
      <c r="NU160" s="16"/>
      <c r="NV160" s="16"/>
      <c r="NW160" s="16"/>
      <c r="NX160" s="16"/>
      <c r="NY160" s="16"/>
      <c r="NZ160" s="16"/>
      <c r="OC160" s="9"/>
      <c r="OD160" s="16"/>
      <c r="OE160" s="16"/>
      <c r="OF160" s="16"/>
      <c r="OG160" s="16"/>
      <c r="OH160" s="16"/>
      <c r="OI160" s="16"/>
      <c r="OJ160" s="16"/>
      <c r="OK160" s="16"/>
      <c r="OL160" s="16"/>
      <c r="OM160" s="16"/>
      <c r="ON160" s="16"/>
      <c r="OO160" s="16"/>
      <c r="OP160" s="16"/>
      <c r="OQ160" s="16"/>
      <c r="OR160" s="16"/>
      <c r="OS160" s="16"/>
      <c r="OT160" s="16"/>
      <c r="OU160" s="16"/>
      <c r="OV160" s="16"/>
      <c r="OW160" s="16"/>
      <c r="OX160" s="16"/>
      <c r="PA160" s="9"/>
      <c r="PB160" s="16"/>
      <c r="PC160" s="16"/>
      <c r="PD160" s="16"/>
      <c r="PE160" s="16"/>
      <c r="PF160" s="16"/>
      <c r="PG160" s="16"/>
      <c r="PH160" s="16"/>
      <c r="PI160" s="16"/>
      <c r="PJ160" s="16"/>
      <c r="PK160" s="16"/>
      <c r="PL160" s="16"/>
      <c r="PM160" s="16"/>
      <c r="PN160" s="16"/>
      <c r="PO160" s="16"/>
      <c r="PP160" s="16"/>
      <c r="PQ160" s="16"/>
      <c r="PR160" s="16"/>
      <c r="PS160" s="16"/>
      <c r="PT160" s="16"/>
      <c r="PU160" s="16"/>
      <c r="PV160" s="16"/>
    </row>
    <row r="161" spans="3:438" x14ac:dyDescent="0.25">
      <c r="C161" s="1"/>
      <c r="D161" s="1"/>
      <c r="I161" s="9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G161" s="9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E161" s="9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C161" s="9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DA161" s="9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Y161" s="9"/>
      <c r="DZ161" s="16"/>
      <c r="EA161" s="16"/>
      <c r="EB161" s="16"/>
      <c r="EC161" s="16"/>
      <c r="ED161" s="16"/>
      <c r="EE161" s="16"/>
      <c r="EF161" s="16"/>
      <c r="EG161" s="16"/>
      <c r="EH161" s="16"/>
      <c r="EI161" s="16"/>
      <c r="EJ161" s="16"/>
      <c r="EK161" s="16"/>
      <c r="EL161" s="16"/>
      <c r="EM161" s="16"/>
      <c r="EN161" s="16"/>
      <c r="EO161" s="16"/>
      <c r="EP161" s="16"/>
      <c r="EQ161" s="16"/>
      <c r="ER161" s="16"/>
      <c r="ES161" s="16"/>
      <c r="ET161" s="16"/>
      <c r="EW161" s="9"/>
      <c r="EX161" s="16"/>
      <c r="EY161" s="16"/>
      <c r="EZ161" s="16"/>
      <c r="FA161" s="16"/>
      <c r="FB161" s="16"/>
      <c r="FC161" s="16"/>
      <c r="FD161" s="16"/>
      <c r="FE161" s="16"/>
      <c r="FF161" s="16"/>
      <c r="FG161" s="16"/>
      <c r="FH161" s="16"/>
      <c r="FI161" s="16"/>
      <c r="FJ161" s="16"/>
      <c r="FK161" s="16"/>
      <c r="FL161" s="16"/>
      <c r="FM161" s="16"/>
      <c r="FN161" s="16"/>
      <c r="FO161" s="16"/>
      <c r="FP161" s="16"/>
      <c r="FQ161" s="16"/>
      <c r="FR161" s="16"/>
      <c r="FU161" s="9"/>
      <c r="FV161" s="16"/>
      <c r="FW161" s="16"/>
      <c r="FX161" s="16"/>
      <c r="FY161" s="16"/>
      <c r="FZ161" s="16"/>
      <c r="GA161" s="16"/>
      <c r="GB161" s="16"/>
      <c r="GC161" s="16"/>
      <c r="GD161" s="16"/>
      <c r="GE161" s="16"/>
      <c r="GF161" s="16"/>
      <c r="GG161" s="16"/>
      <c r="GH161" s="16"/>
      <c r="GI161" s="16"/>
      <c r="GJ161" s="16"/>
      <c r="GK161" s="16"/>
      <c r="GL161" s="16"/>
      <c r="GM161" s="16"/>
      <c r="GN161" s="16"/>
      <c r="GO161" s="16"/>
      <c r="GP161" s="16"/>
      <c r="GS161" s="9"/>
      <c r="GT161" s="16"/>
      <c r="GU161" s="16"/>
      <c r="GV161" s="16"/>
      <c r="GW161" s="16"/>
      <c r="GX161" s="16"/>
      <c r="GY161" s="16"/>
      <c r="GZ161" s="16"/>
      <c r="HA161" s="16"/>
      <c r="HB161" s="16"/>
      <c r="HC161" s="16"/>
      <c r="HD161" s="16"/>
      <c r="HE161" s="16"/>
      <c r="HF161" s="16"/>
      <c r="HG161" s="16"/>
      <c r="HH161" s="16"/>
      <c r="HI161" s="16"/>
      <c r="HJ161" s="16"/>
      <c r="HK161" s="16"/>
      <c r="HL161" s="16"/>
      <c r="HM161" s="16"/>
      <c r="HN161" s="16"/>
      <c r="HQ161" s="9"/>
      <c r="HR161" s="16"/>
      <c r="HS161" s="16"/>
      <c r="HT161" s="16"/>
      <c r="HU161" s="16"/>
      <c r="HV161" s="16"/>
      <c r="HW161" s="16"/>
      <c r="HX161" s="16"/>
      <c r="HY161" s="16"/>
      <c r="HZ161" s="16"/>
      <c r="IA161" s="16"/>
      <c r="IB161" s="16"/>
      <c r="IC161" s="16"/>
      <c r="ID161" s="16"/>
      <c r="IE161" s="16"/>
      <c r="IF161" s="16"/>
      <c r="IG161" s="16"/>
      <c r="IH161" s="16"/>
      <c r="II161" s="16"/>
      <c r="IJ161" s="16"/>
      <c r="IK161" s="16"/>
      <c r="IL161" s="16"/>
      <c r="IO161" s="9"/>
      <c r="IP161" s="16"/>
      <c r="IQ161" s="16"/>
      <c r="IR161" s="16"/>
      <c r="IS161" s="16"/>
      <c r="IT161" s="16"/>
      <c r="IU161" s="16"/>
      <c r="IV161" s="16"/>
      <c r="IW161" s="16"/>
      <c r="IX161" s="16"/>
      <c r="IY161" s="16"/>
      <c r="IZ161" s="16"/>
      <c r="JA161" s="16"/>
      <c r="JB161" s="16"/>
      <c r="JC161" s="16"/>
      <c r="JD161" s="16"/>
      <c r="JE161" s="16"/>
      <c r="JF161" s="16"/>
      <c r="JG161" s="16"/>
      <c r="JH161" s="16"/>
      <c r="JI161" s="16"/>
      <c r="JJ161" s="16"/>
      <c r="JM161" s="9"/>
      <c r="JN161" s="16"/>
      <c r="JO161" s="16"/>
      <c r="JP161" s="16"/>
      <c r="JQ161" s="16"/>
      <c r="JR161" s="16"/>
      <c r="JS161" s="16"/>
      <c r="JT161" s="16"/>
      <c r="JU161" s="16"/>
      <c r="JV161" s="16"/>
      <c r="JW161" s="16"/>
      <c r="JX161" s="16"/>
      <c r="JY161" s="16"/>
      <c r="JZ161" s="16"/>
      <c r="KA161" s="16"/>
      <c r="KB161" s="16"/>
      <c r="KC161" s="16"/>
      <c r="KD161" s="16"/>
      <c r="KE161" s="16"/>
      <c r="KF161" s="16"/>
      <c r="KG161" s="16"/>
      <c r="KH161" s="16"/>
      <c r="KK161" s="9"/>
      <c r="KL161" s="16"/>
      <c r="KM161" s="16"/>
      <c r="KN161" s="16"/>
      <c r="KO161" s="16"/>
      <c r="KP161" s="16"/>
      <c r="KQ161" s="16"/>
      <c r="KR161" s="16"/>
      <c r="KS161" s="16"/>
      <c r="KT161" s="16"/>
      <c r="KU161" s="16"/>
      <c r="KV161" s="16"/>
      <c r="KW161" s="16"/>
      <c r="KX161" s="16"/>
      <c r="KY161" s="16"/>
      <c r="KZ161" s="16"/>
      <c r="LA161" s="16"/>
      <c r="LB161" s="16"/>
      <c r="LC161" s="16"/>
      <c r="LD161" s="16"/>
      <c r="LE161" s="16"/>
      <c r="LF161" s="16"/>
      <c r="LI161" s="9"/>
      <c r="LJ161" s="16"/>
      <c r="LK161" s="16"/>
      <c r="LL161" s="16"/>
      <c r="LM161" s="16"/>
      <c r="LN161" s="16"/>
      <c r="LO161" s="16"/>
      <c r="LP161" s="16"/>
      <c r="LQ161" s="16"/>
      <c r="LR161" s="16"/>
      <c r="LS161" s="16"/>
      <c r="LT161" s="16"/>
      <c r="LU161" s="16"/>
      <c r="LV161" s="16"/>
      <c r="LW161" s="16"/>
      <c r="LX161" s="16"/>
      <c r="LY161" s="16"/>
      <c r="LZ161" s="16"/>
      <c r="MA161" s="16"/>
      <c r="MB161" s="16"/>
      <c r="MC161" s="16"/>
      <c r="MD161" s="16"/>
      <c r="MG161" s="9"/>
      <c r="MH161" s="16"/>
      <c r="MI161" s="16"/>
      <c r="MJ161" s="16"/>
      <c r="MK161" s="16"/>
      <c r="ML161" s="16"/>
      <c r="MM161" s="16"/>
      <c r="MN161" s="16"/>
      <c r="MO161" s="16"/>
      <c r="MP161" s="16"/>
      <c r="MQ161" s="16"/>
      <c r="MR161" s="16"/>
      <c r="MS161" s="16"/>
      <c r="MT161" s="16"/>
      <c r="MU161" s="16"/>
      <c r="MV161" s="16"/>
      <c r="MW161" s="16"/>
      <c r="MX161" s="16"/>
      <c r="MY161" s="16"/>
      <c r="MZ161" s="16"/>
      <c r="NA161" s="16"/>
      <c r="NB161" s="16"/>
      <c r="NE161" s="9"/>
      <c r="NF161" s="16"/>
      <c r="NG161" s="16"/>
      <c r="NH161" s="16"/>
      <c r="NI161" s="16"/>
      <c r="NJ161" s="16"/>
      <c r="NK161" s="16"/>
      <c r="NL161" s="16"/>
      <c r="NM161" s="16"/>
      <c r="NN161" s="16"/>
      <c r="NO161" s="16"/>
      <c r="NP161" s="16"/>
      <c r="NQ161" s="16"/>
      <c r="NR161" s="16"/>
      <c r="NS161" s="16"/>
      <c r="NT161" s="16"/>
      <c r="NU161" s="16"/>
      <c r="NV161" s="16"/>
      <c r="NW161" s="16"/>
      <c r="NX161" s="16"/>
      <c r="NY161" s="16"/>
      <c r="NZ161" s="16"/>
      <c r="OC161" s="9"/>
      <c r="OD161" s="16"/>
      <c r="OE161" s="16"/>
      <c r="OF161" s="16"/>
      <c r="OG161" s="16"/>
      <c r="OH161" s="16"/>
      <c r="OI161" s="16"/>
      <c r="OJ161" s="16"/>
      <c r="OK161" s="16"/>
      <c r="OL161" s="16"/>
      <c r="OM161" s="16"/>
      <c r="ON161" s="16"/>
      <c r="OO161" s="16"/>
      <c r="OP161" s="16"/>
      <c r="OQ161" s="16"/>
      <c r="OR161" s="16"/>
      <c r="OS161" s="16"/>
      <c r="OT161" s="16"/>
      <c r="OU161" s="16"/>
      <c r="OV161" s="16"/>
      <c r="OW161" s="16"/>
      <c r="OX161" s="16"/>
      <c r="PA161" s="9"/>
      <c r="PB161" s="16"/>
      <c r="PC161" s="16"/>
      <c r="PD161" s="16"/>
      <c r="PE161" s="16"/>
      <c r="PF161" s="16"/>
      <c r="PG161" s="16"/>
      <c r="PH161" s="16"/>
      <c r="PI161" s="16"/>
      <c r="PJ161" s="16"/>
      <c r="PK161" s="16"/>
      <c r="PL161" s="16"/>
      <c r="PM161" s="16"/>
      <c r="PN161" s="16"/>
      <c r="PO161" s="16"/>
      <c r="PP161" s="16"/>
      <c r="PQ161" s="16"/>
      <c r="PR161" s="16"/>
      <c r="PS161" s="16"/>
      <c r="PT161" s="16"/>
      <c r="PU161" s="16"/>
      <c r="PV161" s="16"/>
    </row>
    <row r="162" spans="3:438" x14ac:dyDescent="0.25">
      <c r="C162" s="1"/>
      <c r="D162" s="1"/>
      <c r="I162" s="9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G162" s="9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E162" s="9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C162" s="9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DA162" s="9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Y162" s="9"/>
      <c r="DZ162" s="16"/>
      <c r="EA162" s="16"/>
      <c r="EB162" s="16"/>
      <c r="EC162" s="16"/>
      <c r="ED162" s="16"/>
      <c r="EE162" s="16"/>
      <c r="EF162" s="16"/>
      <c r="EG162" s="16"/>
      <c r="EH162" s="16"/>
      <c r="EI162" s="16"/>
      <c r="EJ162" s="16"/>
      <c r="EK162" s="16"/>
      <c r="EL162" s="16"/>
      <c r="EM162" s="16"/>
      <c r="EN162" s="16"/>
      <c r="EO162" s="16"/>
      <c r="EP162" s="16"/>
      <c r="EQ162" s="16"/>
      <c r="ER162" s="16"/>
      <c r="ES162" s="16"/>
      <c r="ET162" s="16"/>
      <c r="EW162" s="9"/>
      <c r="EX162" s="16"/>
      <c r="EY162" s="16"/>
      <c r="EZ162" s="16"/>
      <c r="FA162" s="16"/>
      <c r="FB162" s="16"/>
      <c r="FC162" s="16"/>
      <c r="FD162" s="16"/>
      <c r="FE162" s="16"/>
      <c r="FF162" s="16"/>
      <c r="FG162" s="16"/>
      <c r="FH162" s="16"/>
      <c r="FI162" s="16"/>
      <c r="FJ162" s="16"/>
      <c r="FK162" s="16"/>
      <c r="FL162" s="16"/>
      <c r="FM162" s="16"/>
      <c r="FN162" s="16"/>
      <c r="FO162" s="16"/>
      <c r="FP162" s="16"/>
      <c r="FQ162" s="16"/>
      <c r="FR162" s="16"/>
      <c r="FU162" s="9"/>
      <c r="FV162" s="16"/>
      <c r="FW162" s="16"/>
      <c r="FX162" s="16"/>
      <c r="FY162" s="16"/>
      <c r="FZ162" s="16"/>
      <c r="GA162" s="16"/>
      <c r="GB162" s="16"/>
      <c r="GC162" s="16"/>
      <c r="GD162" s="16"/>
      <c r="GE162" s="16"/>
      <c r="GF162" s="16"/>
      <c r="GG162" s="16"/>
      <c r="GH162" s="16"/>
      <c r="GI162" s="16"/>
      <c r="GJ162" s="16"/>
      <c r="GK162" s="16"/>
      <c r="GL162" s="16"/>
      <c r="GM162" s="16"/>
      <c r="GN162" s="16"/>
      <c r="GO162" s="16"/>
      <c r="GP162" s="16"/>
      <c r="GS162" s="9"/>
      <c r="GT162" s="16"/>
      <c r="GU162" s="16"/>
      <c r="GV162" s="16"/>
      <c r="GW162" s="16"/>
      <c r="GX162" s="16"/>
      <c r="GY162" s="16"/>
      <c r="GZ162" s="16"/>
      <c r="HA162" s="16"/>
      <c r="HB162" s="16"/>
      <c r="HC162" s="16"/>
      <c r="HD162" s="16"/>
      <c r="HE162" s="16"/>
      <c r="HF162" s="16"/>
      <c r="HG162" s="16"/>
      <c r="HH162" s="16"/>
      <c r="HI162" s="16"/>
      <c r="HJ162" s="16"/>
      <c r="HK162" s="16"/>
      <c r="HL162" s="16"/>
      <c r="HM162" s="16"/>
      <c r="HN162" s="16"/>
      <c r="HQ162" s="9"/>
      <c r="HR162" s="16"/>
      <c r="HS162" s="16"/>
      <c r="HT162" s="16"/>
      <c r="HU162" s="16"/>
      <c r="HV162" s="16"/>
      <c r="HW162" s="16"/>
      <c r="HX162" s="16"/>
      <c r="HY162" s="16"/>
      <c r="HZ162" s="16"/>
      <c r="IA162" s="16"/>
      <c r="IB162" s="16"/>
      <c r="IC162" s="16"/>
      <c r="ID162" s="16"/>
      <c r="IE162" s="16"/>
      <c r="IF162" s="16"/>
      <c r="IG162" s="16"/>
      <c r="IH162" s="16"/>
      <c r="II162" s="16"/>
      <c r="IJ162" s="16"/>
      <c r="IK162" s="16"/>
      <c r="IL162" s="16"/>
      <c r="IO162" s="9"/>
      <c r="IP162" s="16"/>
      <c r="IQ162" s="16"/>
      <c r="IR162" s="16"/>
      <c r="IS162" s="16"/>
      <c r="IT162" s="16"/>
      <c r="IU162" s="16"/>
      <c r="IV162" s="16"/>
      <c r="IW162" s="16"/>
      <c r="IX162" s="16"/>
      <c r="IY162" s="16"/>
      <c r="IZ162" s="16"/>
      <c r="JA162" s="16"/>
      <c r="JB162" s="16"/>
      <c r="JC162" s="16"/>
      <c r="JD162" s="16"/>
      <c r="JE162" s="16"/>
      <c r="JF162" s="16"/>
      <c r="JG162" s="16"/>
      <c r="JH162" s="16"/>
      <c r="JI162" s="16"/>
      <c r="JJ162" s="16"/>
      <c r="JM162" s="9"/>
      <c r="JN162" s="16"/>
      <c r="JO162" s="16"/>
      <c r="JP162" s="16"/>
      <c r="JQ162" s="16"/>
      <c r="JR162" s="16"/>
      <c r="JS162" s="16"/>
      <c r="JT162" s="16"/>
      <c r="JU162" s="16"/>
      <c r="JV162" s="16"/>
      <c r="JW162" s="16"/>
      <c r="JX162" s="16"/>
      <c r="JY162" s="16"/>
      <c r="JZ162" s="16"/>
      <c r="KA162" s="16"/>
      <c r="KB162" s="16"/>
      <c r="KC162" s="16"/>
      <c r="KD162" s="16"/>
      <c r="KE162" s="16"/>
      <c r="KF162" s="16"/>
      <c r="KG162" s="16"/>
      <c r="KH162" s="16"/>
      <c r="KK162" s="9"/>
      <c r="KL162" s="16"/>
      <c r="KM162" s="16"/>
      <c r="KN162" s="16"/>
      <c r="KO162" s="16"/>
      <c r="KP162" s="16"/>
      <c r="KQ162" s="16"/>
      <c r="KR162" s="16"/>
      <c r="KS162" s="16"/>
      <c r="KT162" s="16"/>
      <c r="KU162" s="16"/>
      <c r="KV162" s="16"/>
      <c r="KW162" s="16"/>
      <c r="KX162" s="16"/>
      <c r="KY162" s="16"/>
      <c r="KZ162" s="16"/>
      <c r="LA162" s="16"/>
      <c r="LB162" s="16"/>
      <c r="LC162" s="16"/>
      <c r="LD162" s="16"/>
      <c r="LE162" s="16"/>
      <c r="LF162" s="16"/>
      <c r="LI162" s="9"/>
      <c r="LJ162" s="16"/>
      <c r="LK162" s="16"/>
      <c r="LL162" s="16"/>
      <c r="LM162" s="16"/>
      <c r="LN162" s="16"/>
      <c r="LO162" s="16"/>
      <c r="LP162" s="16"/>
      <c r="LQ162" s="16"/>
      <c r="LR162" s="16"/>
      <c r="LS162" s="16"/>
      <c r="LT162" s="16"/>
      <c r="LU162" s="16"/>
      <c r="LV162" s="16"/>
      <c r="LW162" s="16"/>
      <c r="LX162" s="16"/>
      <c r="LY162" s="16"/>
      <c r="LZ162" s="16"/>
      <c r="MA162" s="16"/>
      <c r="MB162" s="16"/>
      <c r="MC162" s="16"/>
      <c r="MD162" s="16"/>
      <c r="MG162" s="9"/>
      <c r="MH162" s="16"/>
      <c r="MI162" s="16"/>
      <c r="MJ162" s="16"/>
      <c r="MK162" s="16"/>
      <c r="ML162" s="16"/>
      <c r="MM162" s="16"/>
      <c r="MN162" s="16"/>
      <c r="MO162" s="16"/>
      <c r="MP162" s="16"/>
      <c r="MQ162" s="16"/>
      <c r="MR162" s="16"/>
      <c r="MS162" s="16"/>
      <c r="MT162" s="16"/>
      <c r="MU162" s="16"/>
      <c r="MV162" s="16"/>
      <c r="MW162" s="16"/>
      <c r="MX162" s="16"/>
      <c r="MY162" s="16"/>
      <c r="MZ162" s="16"/>
      <c r="NA162" s="16"/>
      <c r="NB162" s="16"/>
      <c r="NE162" s="9"/>
      <c r="NF162" s="16"/>
      <c r="NG162" s="16"/>
      <c r="NH162" s="16"/>
      <c r="NI162" s="16"/>
      <c r="NJ162" s="16"/>
      <c r="NK162" s="16"/>
      <c r="NL162" s="16"/>
      <c r="NM162" s="16"/>
      <c r="NN162" s="16"/>
      <c r="NO162" s="16"/>
      <c r="NP162" s="16"/>
      <c r="NQ162" s="16"/>
      <c r="NR162" s="16"/>
      <c r="NS162" s="16"/>
      <c r="NT162" s="16"/>
      <c r="NU162" s="16"/>
      <c r="NV162" s="16"/>
      <c r="NW162" s="16"/>
      <c r="NX162" s="16"/>
      <c r="NY162" s="16"/>
      <c r="NZ162" s="16"/>
      <c r="OC162" s="9"/>
      <c r="OD162" s="16"/>
      <c r="OE162" s="16"/>
      <c r="OF162" s="16"/>
      <c r="OG162" s="16"/>
      <c r="OH162" s="16"/>
      <c r="OI162" s="16"/>
      <c r="OJ162" s="16"/>
      <c r="OK162" s="16"/>
      <c r="OL162" s="16"/>
      <c r="OM162" s="16"/>
      <c r="ON162" s="16"/>
      <c r="OO162" s="16"/>
      <c r="OP162" s="16"/>
      <c r="OQ162" s="16"/>
      <c r="OR162" s="16"/>
      <c r="OS162" s="16"/>
      <c r="OT162" s="16"/>
      <c r="OU162" s="16"/>
      <c r="OV162" s="16"/>
      <c r="OW162" s="16"/>
      <c r="OX162" s="16"/>
      <c r="PA162" s="9"/>
      <c r="PB162" s="16"/>
      <c r="PC162" s="16"/>
      <c r="PD162" s="16"/>
      <c r="PE162" s="16"/>
      <c r="PF162" s="16"/>
      <c r="PG162" s="16"/>
      <c r="PH162" s="16"/>
      <c r="PI162" s="16"/>
      <c r="PJ162" s="16"/>
      <c r="PK162" s="16"/>
      <c r="PL162" s="16"/>
      <c r="PM162" s="16"/>
      <c r="PN162" s="16"/>
      <c r="PO162" s="16"/>
      <c r="PP162" s="16"/>
      <c r="PQ162" s="16"/>
      <c r="PR162" s="16"/>
      <c r="PS162" s="16"/>
      <c r="PT162" s="16"/>
      <c r="PU162" s="16"/>
      <c r="PV162" s="16"/>
    </row>
    <row r="163" spans="3:438" x14ac:dyDescent="0.25">
      <c r="C163" s="1"/>
      <c r="D163" s="1"/>
      <c r="I163" s="9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G163" s="9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E163" s="9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C163" s="9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DA163" s="9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Y163" s="9"/>
      <c r="DZ163" s="16"/>
      <c r="EA163" s="16"/>
      <c r="EB163" s="16"/>
      <c r="EC163" s="16"/>
      <c r="ED163" s="16"/>
      <c r="EE163" s="16"/>
      <c r="EF163" s="16"/>
      <c r="EG163" s="16"/>
      <c r="EH163" s="16"/>
      <c r="EI163" s="16"/>
      <c r="EJ163" s="16"/>
      <c r="EK163" s="16"/>
      <c r="EL163" s="16"/>
      <c r="EM163" s="16"/>
      <c r="EN163" s="16"/>
      <c r="EO163" s="16"/>
      <c r="EP163" s="16"/>
      <c r="EQ163" s="16"/>
      <c r="ER163" s="16"/>
      <c r="ES163" s="16"/>
      <c r="ET163" s="16"/>
      <c r="EW163" s="9"/>
      <c r="EX163" s="16"/>
      <c r="EY163" s="16"/>
      <c r="EZ163" s="16"/>
      <c r="FA163" s="16"/>
      <c r="FB163" s="16"/>
      <c r="FC163" s="16"/>
      <c r="FD163" s="16"/>
      <c r="FE163" s="16"/>
      <c r="FF163" s="16"/>
      <c r="FG163" s="16"/>
      <c r="FH163" s="16"/>
      <c r="FI163" s="16"/>
      <c r="FJ163" s="16"/>
      <c r="FK163" s="16"/>
      <c r="FL163" s="16"/>
      <c r="FM163" s="16"/>
      <c r="FN163" s="16"/>
      <c r="FO163" s="16"/>
      <c r="FP163" s="16"/>
      <c r="FQ163" s="16"/>
      <c r="FR163" s="16"/>
      <c r="FU163" s="9"/>
      <c r="FV163" s="16"/>
      <c r="FW163" s="16"/>
      <c r="FX163" s="16"/>
      <c r="FY163" s="16"/>
      <c r="FZ163" s="16"/>
      <c r="GA163" s="16"/>
      <c r="GB163" s="16"/>
      <c r="GC163" s="16"/>
      <c r="GD163" s="16"/>
      <c r="GE163" s="16"/>
      <c r="GF163" s="16"/>
      <c r="GG163" s="16"/>
      <c r="GH163" s="16"/>
      <c r="GI163" s="16"/>
      <c r="GJ163" s="16"/>
      <c r="GK163" s="16"/>
      <c r="GL163" s="16"/>
      <c r="GM163" s="16"/>
      <c r="GN163" s="16"/>
      <c r="GO163" s="16"/>
      <c r="GP163" s="16"/>
      <c r="GS163" s="9"/>
      <c r="GT163" s="16"/>
      <c r="GU163" s="16"/>
      <c r="GV163" s="16"/>
      <c r="GW163" s="16"/>
      <c r="GX163" s="16"/>
      <c r="GY163" s="16"/>
      <c r="GZ163" s="16"/>
      <c r="HA163" s="16"/>
      <c r="HB163" s="16"/>
      <c r="HC163" s="16"/>
      <c r="HD163" s="16"/>
      <c r="HE163" s="16"/>
      <c r="HF163" s="16"/>
      <c r="HG163" s="16"/>
      <c r="HH163" s="16"/>
      <c r="HI163" s="16"/>
      <c r="HJ163" s="16"/>
      <c r="HK163" s="16"/>
      <c r="HL163" s="16"/>
      <c r="HM163" s="16"/>
      <c r="HN163" s="16"/>
      <c r="HQ163" s="9"/>
      <c r="HR163" s="16"/>
      <c r="HS163" s="16"/>
      <c r="HT163" s="16"/>
      <c r="HU163" s="16"/>
      <c r="HV163" s="16"/>
      <c r="HW163" s="16"/>
      <c r="HX163" s="16"/>
      <c r="HY163" s="16"/>
      <c r="HZ163" s="16"/>
      <c r="IA163" s="16"/>
      <c r="IB163" s="16"/>
      <c r="IC163" s="16"/>
      <c r="ID163" s="16"/>
      <c r="IE163" s="16"/>
      <c r="IF163" s="16"/>
      <c r="IG163" s="16"/>
      <c r="IH163" s="16"/>
      <c r="II163" s="16"/>
      <c r="IJ163" s="16"/>
      <c r="IK163" s="16"/>
      <c r="IL163" s="16"/>
      <c r="IO163" s="9"/>
      <c r="IP163" s="16"/>
      <c r="IQ163" s="16"/>
      <c r="IR163" s="16"/>
      <c r="IS163" s="16"/>
      <c r="IT163" s="16"/>
      <c r="IU163" s="16"/>
      <c r="IV163" s="16"/>
      <c r="IW163" s="16"/>
      <c r="IX163" s="16"/>
      <c r="IY163" s="16"/>
      <c r="IZ163" s="16"/>
      <c r="JA163" s="16"/>
      <c r="JB163" s="16"/>
      <c r="JC163" s="16"/>
      <c r="JD163" s="16"/>
      <c r="JE163" s="16"/>
      <c r="JF163" s="16"/>
      <c r="JG163" s="16"/>
      <c r="JH163" s="16"/>
      <c r="JI163" s="16"/>
      <c r="JJ163" s="16"/>
      <c r="JM163" s="9"/>
      <c r="JN163" s="16"/>
      <c r="JO163" s="16"/>
      <c r="JP163" s="16"/>
      <c r="JQ163" s="16"/>
      <c r="JR163" s="16"/>
      <c r="JS163" s="16"/>
      <c r="JT163" s="16"/>
      <c r="JU163" s="16"/>
      <c r="JV163" s="16"/>
      <c r="JW163" s="16"/>
      <c r="JX163" s="16"/>
      <c r="JY163" s="16"/>
      <c r="JZ163" s="16"/>
      <c r="KA163" s="16"/>
      <c r="KB163" s="16"/>
      <c r="KC163" s="16"/>
      <c r="KD163" s="16"/>
      <c r="KE163" s="16"/>
      <c r="KF163" s="16"/>
      <c r="KG163" s="16"/>
      <c r="KH163" s="16"/>
      <c r="KK163" s="9"/>
      <c r="KL163" s="16"/>
      <c r="KM163" s="16"/>
      <c r="KN163" s="16"/>
      <c r="KO163" s="16"/>
      <c r="KP163" s="16"/>
      <c r="KQ163" s="16"/>
      <c r="KR163" s="16"/>
      <c r="KS163" s="16"/>
      <c r="KT163" s="16"/>
      <c r="KU163" s="16"/>
      <c r="KV163" s="16"/>
      <c r="KW163" s="16"/>
      <c r="KX163" s="16"/>
      <c r="KY163" s="16"/>
      <c r="KZ163" s="16"/>
      <c r="LA163" s="16"/>
      <c r="LB163" s="16"/>
      <c r="LC163" s="16"/>
      <c r="LD163" s="16"/>
      <c r="LE163" s="16"/>
      <c r="LF163" s="16"/>
      <c r="LI163" s="9"/>
      <c r="LJ163" s="16"/>
      <c r="LK163" s="16"/>
      <c r="LL163" s="16"/>
      <c r="LM163" s="16"/>
      <c r="LN163" s="16"/>
      <c r="LO163" s="16"/>
      <c r="LP163" s="16"/>
      <c r="LQ163" s="16"/>
      <c r="LR163" s="16"/>
      <c r="LS163" s="16"/>
      <c r="LT163" s="16"/>
      <c r="LU163" s="16"/>
      <c r="LV163" s="16"/>
      <c r="LW163" s="16"/>
      <c r="LX163" s="16"/>
      <c r="LY163" s="16"/>
      <c r="LZ163" s="16"/>
      <c r="MA163" s="16"/>
      <c r="MB163" s="16"/>
      <c r="MC163" s="16"/>
      <c r="MD163" s="16"/>
      <c r="MG163" s="9"/>
      <c r="MH163" s="16"/>
      <c r="MI163" s="16"/>
      <c r="MJ163" s="16"/>
      <c r="MK163" s="16"/>
      <c r="ML163" s="16"/>
      <c r="MM163" s="16"/>
      <c r="MN163" s="16"/>
      <c r="MO163" s="16"/>
      <c r="MP163" s="16"/>
      <c r="MQ163" s="16"/>
      <c r="MR163" s="16"/>
      <c r="MS163" s="16"/>
      <c r="MT163" s="16"/>
      <c r="MU163" s="16"/>
      <c r="MV163" s="16"/>
      <c r="MW163" s="16"/>
      <c r="MX163" s="16"/>
      <c r="MY163" s="16"/>
      <c r="MZ163" s="16"/>
      <c r="NA163" s="16"/>
      <c r="NB163" s="16"/>
      <c r="NE163" s="9"/>
      <c r="NF163" s="16"/>
      <c r="NG163" s="16"/>
      <c r="NH163" s="16"/>
      <c r="NI163" s="16"/>
      <c r="NJ163" s="16"/>
      <c r="NK163" s="16"/>
      <c r="NL163" s="16"/>
      <c r="NM163" s="16"/>
      <c r="NN163" s="16"/>
      <c r="NO163" s="16"/>
      <c r="NP163" s="16"/>
      <c r="NQ163" s="16"/>
      <c r="NR163" s="16"/>
      <c r="NS163" s="16"/>
      <c r="NT163" s="16"/>
      <c r="NU163" s="16"/>
      <c r="NV163" s="16"/>
      <c r="NW163" s="16"/>
      <c r="NX163" s="16"/>
      <c r="NY163" s="16"/>
      <c r="NZ163" s="16"/>
      <c r="OC163" s="9"/>
      <c r="OD163" s="16"/>
      <c r="OE163" s="16"/>
      <c r="OF163" s="16"/>
      <c r="OG163" s="16"/>
      <c r="OH163" s="16"/>
      <c r="OI163" s="16"/>
      <c r="OJ163" s="16"/>
      <c r="OK163" s="16"/>
      <c r="OL163" s="16"/>
      <c r="OM163" s="16"/>
      <c r="ON163" s="16"/>
      <c r="OO163" s="16"/>
      <c r="OP163" s="16"/>
      <c r="OQ163" s="16"/>
      <c r="OR163" s="16"/>
      <c r="OS163" s="16"/>
      <c r="OT163" s="16"/>
      <c r="OU163" s="16"/>
      <c r="OV163" s="16"/>
      <c r="OW163" s="16"/>
      <c r="OX163" s="16"/>
      <c r="PA163" s="9"/>
      <c r="PB163" s="16"/>
      <c r="PC163" s="16"/>
      <c r="PD163" s="16"/>
      <c r="PE163" s="16"/>
      <c r="PF163" s="16"/>
      <c r="PG163" s="16"/>
      <c r="PH163" s="16"/>
      <c r="PI163" s="16"/>
      <c r="PJ163" s="16"/>
      <c r="PK163" s="16"/>
      <c r="PL163" s="16"/>
      <c r="PM163" s="16"/>
      <c r="PN163" s="16"/>
      <c r="PO163" s="16"/>
      <c r="PP163" s="16"/>
      <c r="PQ163" s="16"/>
      <c r="PR163" s="16"/>
      <c r="PS163" s="16"/>
      <c r="PT163" s="16"/>
      <c r="PU163" s="16"/>
      <c r="PV163" s="16"/>
    </row>
    <row r="164" spans="3:438" x14ac:dyDescent="0.25">
      <c r="C164" s="1"/>
      <c r="D164" s="1"/>
      <c r="I164" s="9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G164" s="9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E164" s="9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C164" s="9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DA164" s="9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Y164" s="9"/>
      <c r="DZ164" s="16"/>
      <c r="EA164" s="16"/>
      <c r="EB164" s="16"/>
      <c r="EC164" s="16"/>
      <c r="ED164" s="16"/>
      <c r="EE164" s="16"/>
      <c r="EF164" s="16"/>
      <c r="EG164" s="16"/>
      <c r="EH164" s="16"/>
      <c r="EI164" s="16"/>
      <c r="EJ164" s="16"/>
      <c r="EK164" s="16"/>
      <c r="EL164" s="16"/>
      <c r="EM164" s="16"/>
      <c r="EN164" s="16"/>
      <c r="EO164" s="16"/>
      <c r="EP164" s="16"/>
      <c r="EQ164" s="16"/>
      <c r="ER164" s="16"/>
      <c r="ES164" s="16"/>
      <c r="ET164" s="16"/>
      <c r="EW164" s="9"/>
      <c r="EX164" s="16"/>
      <c r="EY164" s="16"/>
      <c r="EZ164" s="16"/>
      <c r="FA164" s="16"/>
      <c r="FB164" s="16"/>
      <c r="FC164" s="16"/>
      <c r="FD164" s="16"/>
      <c r="FE164" s="16"/>
      <c r="FF164" s="16"/>
      <c r="FG164" s="16"/>
      <c r="FH164" s="16"/>
      <c r="FI164" s="16"/>
      <c r="FJ164" s="16"/>
      <c r="FK164" s="16"/>
      <c r="FL164" s="16"/>
      <c r="FM164" s="16"/>
      <c r="FN164" s="16"/>
      <c r="FO164" s="16"/>
      <c r="FP164" s="16"/>
      <c r="FQ164" s="16"/>
      <c r="FR164" s="16"/>
      <c r="FU164" s="9"/>
      <c r="FV164" s="16"/>
      <c r="FW164" s="16"/>
      <c r="FX164" s="16"/>
      <c r="FY164" s="16"/>
      <c r="FZ164" s="16"/>
      <c r="GA164" s="16"/>
      <c r="GB164" s="16"/>
      <c r="GC164" s="16"/>
      <c r="GD164" s="16"/>
      <c r="GE164" s="16"/>
      <c r="GF164" s="16"/>
      <c r="GG164" s="16"/>
      <c r="GH164" s="16"/>
      <c r="GI164" s="16"/>
      <c r="GJ164" s="16"/>
      <c r="GK164" s="16"/>
      <c r="GL164" s="16"/>
      <c r="GM164" s="16"/>
      <c r="GN164" s="16"/>
      <c r="GO164" s="16"/>
      <c r="GP164" s="16"/>
      <c r="GS164" s="9"/>
      <c r="GT164" s="16"/>
      <c r="GU164" s="16"/>
      <c r="GV164" s="16"/>
      <c r="GW164" s="16"/>
      <c r="GX164" s="16"/>
      <c r="GY164" s="16"/>
      <c r="GZ164" s="16"/>
      <c r="HA164" s="16"/>
      <c r="HB164" s="16"/>
      <c r="HC164" s="16"/>
      <c r="HD164" s="16"/>
      <c r="HE164" s="16"/>
      <c r="HF164" s="16"/>
      <c r="HG164" s="16"/>
      <c r="HH164" s="16"/>
      <c r="HI164" s="16"/>
      <c r="HJ164" s="16"/>
      <c r="HK164" s="16"/>
      <c r="HL164" s="16"/>
      <c r="HM164" s="16"/>
      <c r="HN164" s="16"/>
      <c r="HQ164" s="9"/>
      <c r="HR164" s="16"/>
      <c r="HS164" s="16"/>
      <c r="HT164" s="16"/>
      <c r="HU164" s="16"/>
      <c r="HV164" s="16"/>
      <c r="HW164" s="16"/>
      <c r="HX164" s="16"/>
      <c r="HY164" s="16"/>
      <c r="HZ164" s="16"/>
      <c r="IA164" s="16"/>
      <c r="IB164" s="16"/>
      <c r="IC164" s="16"/>
      <c r="ID164" s="16"/>
      <c r="IE164" s="16"/>
      <c r="IF164" s="16"/>
      <c r="IG164" s="16"/>
      <c r="IH164" s="16"/>
      <c r="II164" s="16"/>
      <c r="IJ164" s="16"/>
      <c r="IK164" s="16"/>
      <c r="IL164" s="16"/>
      <c r="IO164" s="9"/>
      <c r="IP164" s="16"/>
      <c r="IQ164" s="16"/>
      <c r="IR164" s="16"/>
      <c r="IS164" s="16"/>
      <c r="IT164" s="16"/>
      <c r="IU164" s="16"/>
      <c r="IV164" s="16"/>
      <c r="IW164" s="16"/>
      <c r="IX164" s="16"/>
      <c r="IY164" s="16"/>
      <c r="IZ164" s="16"/>
      <c r="JA164" s="16"/>
      <c r="JB164" s="16"/>
      <c r="JC164" s="16"/>
      <c r="JD164" s="16"/>
      <c r="JE164" s="16"/>
      <c r="JF164" s="16"/>
      <c r="JG164" s="16"/>
      <c r="JH164" s="16"/>
      <c r="JI164" s="16"/>
      <c r="JJ164" s="16"/>
      <c r="JM164" s="9"/>
      <c r="JN164" s="16"/>
      <c r="JO164" s="16"/>
      <c r="JP164" s="16"/>
      <c r="JQ164" s="16"/>
      <c r="JR164" s="16"/>
      <c r="JS164" s="16"/>
      <c r="JT164" s="16"/>
      <c r="JU164" s="16"/>
      <c r="JV164" s="16"/>
      <c r="JW164" s="16"/>
      <c r="JX164" s="16"/>
      <c r="JY164" s="16"/>
      <c r="JZ164" s="16"/>
      <c r="KA164" s="16"/>
      <c r="KB164" s="16"/>
      <c r="KC164" s="16"/>
      <c r="KD164" s="16"/>
      <c r="KE164" s="16"/>
      <c r="KF164" s="16"/>
      <c r="KG164" s="16"/>
      <c r="KH164" s="16"/>
      <c r="KK164" s="9"/>
      <c r="KL164" s="16"/>
      <c r="KM164" s="16"/>
      <c r="KN164" s="16"/>
      <c r="KO164" s="16"/>
      <c r="KP164" s="16"/>
      <c r="KQ164" s="16"/>
      <c r="KR164" s="16"/>
      <c r="KS164" s="16"/>
      <c r="KT164" s="16"/>
      <c r="KU164" s="16"/>
      <c r="KV164" s="16"/>
      <c r="KW164" s="16"/>
      <c r="KX164" s="16"/>
      <c r="KY164" s="16"/>
      <c r="KZ164" s="16"/>
      <c r="LA164" s="16"/>
      <c r="LB164" s="16"/>
      <c r="LC164" s="16"/>
      <c r="LD164" s="16"/>
      <c r="LE164" s="16"/>
      <c r="LF164" s="16"/>
      <c r="LI164" s="9"/>
      <c r="LJ164" s="16"/>
      <c r="LK164" s="16"/>
      <c r="LL164" s="16"/>
      <c r="LM164" s="16"/>
      <c r="LN164" s="16"/>
      <c r="LO164" s="16"/>
      <c r="LP164" s="16"/>
      <c r="LQ164" s="16"/>
      <c r="LR164" s="16"/>
      <c r="LS164" s="16"/>
      <c r="LT164" s="16"/>
      <c r="LU164" s="16"/>
      <c r="LV164" s="16"/>
      <c r="LW164" s="16"/>
      <c r="LX164" s="16"/>
      <c r="LY164" s="16"/>
      <c r="LZ164" s="16"/>
      <c r="MA164" s="16"/>
      <c r="MB164" s="16"/>
      <c r="MC164" s="16"/>
      <c r="MD164" s="16"/>
      <c r="MG164" s="9"/>
      <c r="MH164" s="16"/>
      <c r="MI164" s="16"/>
      <c r="MJ164" s="16"/>
      <c r="MK164" s="16"/>
      <c r="ML164" s="16"/>
      <c r="MM164" s="16"/>
      <c r="MN164" s="16"/>
      <c r="MO164" s="16"/>
      <c r="MP164" s="16"/>
      <c r="MQ164" s="16"/>
      <c r="MR164" s="16"/>
      <c r="MS164" s="16"/>
      <c r="MT164" s="16"/>
      <c r="MU164" s="16"/>
      <c r="MV164" s="16"/>
      <c r="MW164" s="16"/>
      <c r="MX164" s="16"/>
      <c r="MY164" s="16"/>
      <c r="MZ164" s="16"/>
      <c r="NA164" s="16"/>
      <c r="NB164" s="16"/>
      <c r="NE164" s="9"/>
      <c r="NF164" s="16"/>
      <c r="NG164" s="16"/>
      <c r="NH164" s="16"/>
      <c r="NI164" s="16"/>
      <c r="NJ164" s="16"/>
      <c r="NK164" s="16"/>
      <c r="NL164" s="16"/>
      <c r="NM164" s="16"/>
      <c r="NN164" s="16"/>
      <c r="NO164" s="16"/>
      <c r="NP164" s="16"/>
      <c r="NQ164" s="16"/>
      <c r="NR164" s="16"/>
      <c r="NS164" s="16"/>
      <c r="NT164" s="16"/>
      <c r="NU164" s="16"/>
      <c r="NV164" s="16"/>
      <c r="NW164" s="16"/>
      <c r="NX164" s="16"/>
      <c r="NY164" s="16"/>
      <c r="NZ164" s="16"/>
      <c r="OC164" s="9"/>
      <c r="OD164" s="16"/>
      <c r="OE164" s="16"/>
      <c r="OF164" s="16"/>
      <c r="OG164" s="16"/>
      <c r="OH164" s="16"/>
      <c r="OI164" s="16"/>
      <c r="OJ164" s="16"/>
      <c r="OK164" s="16"/>
      <c r="OL164" s="16"/>
      <c r="OM164" s="16"/>
      <c r="ON164" s="16"/>
      <c r="OO164" s="16"/>
      <c r="OP164" s="16"/>
      <c r="OQ164" s="16"/>
      <c r="OR164" s="16"/>
      <c r="OS164" s="16"/>
      <c r="OT164" s="16"/>
      <c r="OU164" s="16"/>
      <c r="OV164" s="16"/>
      <c r="OW164" s="16"/>
      <c r="OX164" s="16"/>
      <c r="PA164" s="9"/>
      <c r="PB164" s="16"/>
      <c r="PC164" s="16"/>
      <c r="PD164" s="16"/>
      <c r="PE164" s="16"/>
      <c r="PF164" s="16"/>
      <c r="PG164" s="16"/>
      <c r="PH164" s="16"/>
      <c r="PI164" s="16"/>
      <c r="PJ164" s="16"/>
      <c r="PK164" s="16"/>
      <c r="PL164" s="16"/>
      <c r="PM164" s="16"/>
      <c r="PN164" s="16"/>
      <c r="PO164" s="16"/>
      <c r="PP164" s="16"/>
      <c r="PQ164" s="16"/>
      <c r="PR164" s="16"/>
      <c r="PS164" s="16"/>
      <c r="PT164" s="16"/>
      <c r="PU164" s="16"/>
      <c r="PV164" s="16"/>
    </row>
    <row r="165" spans="3:438" x14ac:dyDescent="0.25">
      <c r="C165" s="1"/>
      <c r="D165" s="1"/>
      <c r="I165" s="9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G165" s="9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E165" s="9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C165" s="9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DA165" s="9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Y165" s="9"/>
      <c r="DZ165" s="16"/>
      <c r="EA165" s="16"/>
      <c r="EB165" s="16"/>
      <c r="EC165" s="16"/>
      <c r="ED165" s="16"/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6"/>
      <c r="ER165" s="16"/>
      <c r="ES165" s="16"/>
      <c r="ET165" s="16"/>
      <c r="EW165" s="9"/>
      <c r="EX165" s="16"/>
      <c r="EY165" s="16"/>
      <c r="EZ165" s="16"/>
      <c r="FA165" s="16"/>
      <c r="FB165" s="16"/>
      <c r="FC165" s="16"/>
      <c r="FD165" s="16"/>
      <c r="FE165" s="16"/>
      <c r="FF165" s="16"/>
      <c r="FG165" s="16"/>
      <c r="FH165" s="16"/>
      <c r="FI165" s="16"/>
      <c r="FJ165" s="16"/>
      <c r="FK165" s="16"/>
      <c r="FL165" s="16"/>
      <c r="FM165" s="16"/>
      <c r="FN165" s="16"/>
      <c r="FO165" s="16"/>
      <c r="FP165" s="16"/>
      <c r="FQ165" s="16"/>
      <c r="FR165" s="16"/>
      <c r="FU165" s="9"/>
      <c r="FV165" s="16"/>
      <c r="FW165" s="16"/>
      <c r="FX165" s="16"/>
      <c r="FY165" s="16"/>
      <c r="FZ165" s="16"/>
      <c r="GA165" s="16"/>
      <c r="GB165" s="16"/>
      <c r="GC165" s="16"/>
      <c r="GD165" s="16"/>
      <c r="GE165" s="16"/>
      <c r="GF165" s="16"/>
      <c r="GG165" s="16"/>
      <c r="GH165" s="16"/>
      <c r="GI165" s="16"/>
      <c r="GJ165" s="16"/>
      <c r="GK165" s="16"/>
      <c r="GL165" s="16"/>
      <c r="GM165" s="16"/>
      <c r="GN165" s="16"/>
      <c r="GO165" s="16"/>
      <c r="GP165" s="16"/>
      <c r="GS165" s="9"/>
      <c r="GT165" s="16"/>
      <c r="GU165" s="16"/>
      <c r="GV165" s="16"/>
      <c r="GW165" s="16"/>
      <c r="GX165" s="16"/>
      <c r="GY165" s="16"/>
      <c r="GZ165" s="16"/>
      <c r="HA165" s="16"/>
      <c r="HB165" s="16"/>
      <c r="HC165" s="16"/>
      <c r="HD165" s="16"/>
      <c r="HE165" s="16"/>
      <c r="HF165" s="16"/>
      <c r="HG165" s="16"/>
      <c r="HH165" s="16"/>
      <c r="HI165" s="16"/>
      <c r="HJ165" s="16"/>
      <c r="HK165" s="16"/>
      <c r="HL165" s="16"/>
      <c r="HM165" s="16"/>
      <c r="HN165" s="16"/>
      <c r="HQ165" s="9"/>
      <c r="HR165" s="16"/>
      <c r="HS165" s="16"/>
      <c r="HT165" s="16"/>
      <c r="HU165" s="16"/>
      <c r="HV165" s="16"/>
      <c r="HW165" s="16"/>
      <c r="HX165" s="16"/>
      <c r="HY165" s="16"/>
      <c r="HZ165" s="16"/>
      <c r="IA165" s="16"/>
      <c r="IB165" s="16"/>
      <c r="IC165" s="16"/>
      <c r="ID165" s="16"/>
      <c r="IE165" s="16"/>
      <c r="IF165" s="16"/>
      <c r="IG165" s="16"/>
      <c r="IH165" s="16"/>
      <c r="II165" s="16"/>
      <c r="IJ165" s="16"/>
      <c r="IK165" s="16"/>
      <c r="IL165" s="16"/>
      <c r="IO165" s="9"/>
      <c r="IP165" s="16"/>
      <c r="IQ165" s="16"/>
      <c r="IR165" s="16"/>
      <c r="IS165" s="16"/>
      <c r="IT165" s="16"/>
      <c r="IU165" s="16"/>
      <c r="IV165" s="16"/>
      <c r="IW165" s="16"/>
      <c r="IX165" s="16"/>
      <c r="IY165" s="16"/>
      <c r="IZ165" s="16"/>
      <c r="JA165" s="16"/>
      <c r="JB165" s="16"/>
      <c r="JC165" s="16"/>
      <c r="JD165" s="16"/>
      <c r="JE165" s="16"/>
      <c r="JF165" s="16"/>
      <c r="JG165" s="16"/>
      <c r="JH165" s="16"/>
      <c r="JI165" s="16"/>
      <c r="JJ165" s="16"/>
      <c r="JM165" s="9"/>
      <c r="JN165" s="16"/>
      <c r="JO165" s="16"/>
      <c r="JP165" s="16"/>
      <c r="JQ165" s="16"/>
      <c r="JR165" s="16"/>
      <c r="JS165" s="16"/>
      <c r="JT165" s="16"/>
      <c r="JU165" s="16"/>
      <c r="JV165" s="16"/>
      <c r="JW165" s="16"/>
      <c r="JX165" s="16"/>
      <c r="JY165" s="16"/>
      <c r="JZ165" s="16"/>
      <c r="KA165" s="16"/>
      <c r="KB165" s="16"/>
      <c r="KC165" s="16"/>
      <c r="KD165" s="16"/>
      <c r="KE165" s="16"/>
      <c r="KF165" s="16"/>
      <c r="KG165" s="16"/>
      <c r="KH165" s="16"/>
      <c r="KK165" s="9"/>
      <c r="KL165" s="16"/>
      <c r="KM165" s="16"/>
      <c r="KN165" s="16"/>
      <c r="KO165" s="16"/>
      <c r="KP165" s="16"/>
      <c r="KQ165" s="16"/>
      <c r="KR165" s="16"/>
      <c r="KS165" s="16"/>
      <c r="KT165" s="16"/>
      <c r="KU165" s="16"/>
      <c r="KV165" s="16"/>
      <c r="KW165" s="16"/>
      <c r="KX165" s="16"/>
      <c r="KY165" s="16"/>
      <c r="KZ165" s="16"/>
      <c r="LA165" s="16"/>
      <c r="LB165" s="16"/>
      <c r="LC165" s="16"/>
      <c r="LD165" s="16"/>
      <c r="LE165" s="16"/>
      <c r="LF165" s="16"/>
      <c r="LI165" s="9"/>
      <c r="LJ165" s="16"/>
      <c r="LK165" s="16"/>
      <c r="LL165" s="16"/>
      <c r="LM165" s="16"/>
      <c r="LN165" s="16"/>
      <c r="LO165" s="16"/>
      <c r="LP165" s="16"/>
      <c r="LQ165" s="16"/>
      <c r="LR165" s="16"/>
      <c r="LS165" s="16"/>
      <c r="LT165" s="16"/>
      <c r="LU165" s="16"/>
      <c r="LV165" s="16"/>
      <c r="LW165" s="16"/>
      <c r="LX165" s="16"/>
      <c r="LY165" s="16"/>
      <c r="LZ165" s="16"/>
      <c r="MA165" s="16"/>
      <c r="MB165" s="16"/>
      <c r="MC165" s="16"/>
      <c r="MD165" s="16"/>
      <c r="MG165" s="9"/>
      <c r="MH165" s="16"/>
      <c r="MI165" s="16"/>
      <c r="MJ165" s="16"/>
      <c r="MK165" s="16"/>
      <c r="ML165" s="16"/>
      <c r="MM165" s="16"/>
      <c r="MN165" s="16"/>
      <c r="MO165" s="16"/>
      <c r="MP165" s="16"/>
      <c r="MQ165" s="16"/>
      <c r="MR165" s="16"/>
      <c r="MS165" s="16"/>
      <c r="MT165" s="16"/>
      <c r="MU165" s="16"/>
      <c r="MV165" s="16"/>
      <c r="MW165" s="16"/>
      <c r="MX165" s="16"/>
      <c r="MY165" s="16"/>
      <c r="MZ165" s="16"/>
      <c r="NA165" s="16"/>
      <c r="NB165" s="16"/>
      <c r="NE165" s="9"/>
      <c r="NF165" s="16"/>
      <c r="NG165" s="16"/>
      <c r="NH165" s="16"/>
      <c r="NI165" s="16"/>
      <c r="NJ165" s="16"/>
      <c r="NK165" s="16"/>
      <c r="NL165" s="16"/>
      <c r="NM165" s="16"/>
      <c r="NN165" s="16"/>
      <c r="NO165" s="16"/>
      <c r="NP165" s="16"/>
      <c r="NQ165" s="16"/>
      <c r="NR165" s="16"/>
      <c r="NS165" s="16"/>
      <c r="NT165" s="16"/>
      <c r="NU165" s="16"/>
      <c r="NV165" s="16"/>
      <c r="NW165" s="16"/>
      <c r="NX165" s="16"/>
      <c r="NY165" s="16"/>
      <c r="NZ165" s="16"/>
      <c r="OC165" s="9"/>
      <c r="OD165" s="16"/>
      <c r="OE165" s="16"/>
      <c r="OF165" s="16"/>
      <c r="OG165" s="16"/>
      <c r="OH165" s="16"/>
      <c r="OI165" s="16"/>
      <c r="OJ165" s="16"/>
      <c r="OK165" s="16"/>
      <c r="OL165" s="16"/>
      <c r="OM165" s="16"/>
      <c r="ON165" s="16"/>
      <c r="OO165" s="16"/>
      <c r="OP165" s="16"/>
      <c r="OQ165" s="16"/>
      <c r="OR165" s="16"/>
      <c r="OS165" s="16"/>
      <c r="OT165" s="16"/>
      <c r="OU165" s="16"/>
      <c r="OV165" s="16"/>
      <c r="OW165" s="16"/>
      <c r="OX165" s="16"/>
      <c r="PA165" s="9"/>
      <c r="PB165" s="16"/>
      <c r="PC165" s="16"/>
      <c r="PD165" s="16"/>
      <c r="PE165" s="16"/>
      <c r="PF165" s="16"/>
      <c r="PG165" s="16"/>
      <c r="PH165" s="16"/>
      <c r="PI165" s="16"/>
      <c r="PJ165" s="16"/>
      <c r="PK165" s="16"/>
      <c r="PL165" s="16"/>
      <c r="PM165" s="16"/>
      <c r="PN165" s="16"/>
      <c r="PO165" s="16"/>
      <c r="PP165" s="16"/>
      <c r="PQ165" s="16"/>
      <c r="PR165" s="16"/>
      <c r="PS165" s="16"/>
      <c r="PT165" s="16"/>
      <c r="PU165" s="16"/>
      <c r="PV165" s="16"/>
    </row>
    <row r="166" spans="3:438" x14ac:dyDescent="0.25">
      <c r="C166" s="1"/>
      <c r="D166" s="1"/>
      <c r="I166" s="9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G166" s="9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E166" s="9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C166" s="9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DA166" s="9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Y166" s="9"/>
      <c r="DZ166" s="16"/>
      <c r="EA166" s="16"/>
      <c r="EB166" s="16"/>
      <c r="EC166" s="16"/>
      <c r="ED166" s="16"/>
      <c r="EE166" s="16"/>
      <c r="EF166" s="16"/>
      <c r="EG166" s="16"/>
      <c r="EH166" s="16"/>
      <c r="EI166" s="16"/>
      <c r="EJ166" s="16"/>
      <c r="EK166" s="16"/>
      <c r="EL166" s="16"/>
      <c r="EM166" s="16"/>
      <c r="EN166" s="16"/>
      <c r="EO166" s="16"/>
      <c r="EP166" s="16"/>
      <c r="EQ166" s="16"/>
      <c r="ER166" s="16"/>
      <c r="ES166" s="16"/>
      <c r="ET166" s="16"/>
      <c r="EW166" s="9"/>
      <c r="EX166" s="16"/>
      <c r="EY166" s="16"/>
      <c r="EZ166" s="16"/>
      <c r="FA166" s="16"/>
      <c r="FB166" s="16"/>
      <c r="FC166" s="16"/>
      <c r="FD166" s="16"/>
      <c r="FE166" s="16"/>
      <c r="FF166" s="16"/>
      <c r="FG166" s="16"/>
      <c r="FH166" s="16"/>
      <c r="FI166" s="16"/>
      <c r="FJ166" s="16"/>
      <c r="FK166" s="16"/>
      <c r="FL166" s="16"/>
      <c r="FM166" s="16"/>
      <c r="FN166" s="16"/>
      <c r="FO166" s="16"/>
      <c r="FP166" s="16"/>
      <c r="FQ166" s="16"/>
      <c r="FR166" s="16"/>
      <c r="FU166" s="9"/>
      <c r="FV166" s="16"/>
      <c r="FW166" s="16"/>
      <c r="FX166" s="16"/>
      <c r="FY166" s="16"/>
      <c r="FZ166" s="16"/>
      <c r="GA166" s="16"/>
      <c r="GB166" s="16"/>
      <c r="GC166" s="16"/>
      <c r="GD166" s="16"/>
      <c r="GE166" s="16"/>
      <c r="GF166" s="16"/>
      <c r="GG166" s="16"/>
      <c r="GH166" s="16"/>
      <c r="GI166" s="16"/>
      <c r="GJ166" s="16"/>
      <c r="GK166" s="16"/>
      <c r="GL166" s="16"/>
      <c r="GM166" s="16"/>
      <c r="GN166" s="16"/>
      <c r="GO166" s="16"/>
      <c r="GP166" s="16"/>
      <c r="GS166" s="9"/>
      <c r="GT166" s="16"/>
      <c r="GU166" s="16"/>
      <c r="GV166" s="16"/>
      <c r="GW166" s="16"/>
      <c r="GX166" s="16"/>
      <c r="GY166" s="16"/>
      <c r="GZ166" s="16"/>
      <c r="HA166" s="16"/>
      <c r="HB166" s="16"/>
      <c r="HC166" s="16"/>
      <c r="HD166" s="16"/>
      <c r="HE166" s="16"/>
      <c r="HF166" s="16"/>
      <c r="HG166" s="16"/>
      <c r="HH166" s="16"/>
      <c r="HI166" s="16"/>
      <c r="HJ166" s="16"/>
      <c r="HK166" s="16"/>
      <c r="HL166" s="16"/>
      <c r="HM166" s="16"/>
      <c r="HN166" s="16"/>
      <c r="HQ166" s="9"/>
      <c r="HR166" s="16"/>
      <c r="HS166" s="16"/>
      <c r="HT166" s="16"/>
      <c r="HU166" s="16"/>
      <c r="HV166" s="16"/>
      <c r="HW166" s="16"/>
      <c r="HX166" s="16"/>
      <c r="HY166" s="16"/>
      <c r="HZ166" s="16"/>
      <c r="IA166" s="16"/>
      <c r="IB166" s="16"/>
      <c r="IC166" s="16"/>
      <c r="ID166" s="16"/>
      <c r="IE166" s="16"/>
      <c r="IF166" s="16"/>
      <c r="IG166" s="16"/>
      <c r="IH166" s="16"/>
      <c r="II166" s="16"/>
      <c r="IJ166" s="16"/>
      <c r="IK166" s="16"/>
      <c r="IL166" s="16"/>
      <c r="IO166" s="9"/>
      <c r="IP166" s="16"/>
      <c r="IQ166" s="16"/>
      <c r="IR166" s="16"/>
      <c r="IS166" s="16"/>
      <c r="IT166" s="16"/>
      <c r="IU166" s="16"/>
      <c r="IV166" s="16"/>
      <c r="IW166" s="16"/>
      <c r="IX166" s="16"/>
      <c r="IY166" s="16"/>
      <c r="IZ166" s="16"/>
      <c r="JA166" s="16"/>
      <c r="JB166" s="16"/>
      <c r="JC166" s="16"/>
      <c r="JD166" s="16"/>
      <c r="JE166" s="16"/>
      <c r="JF166" s="16"/>
      <c r="JG166" s="16"/>
      <c r="JH166" s="16"/>
      <c r="JI166" s="16"/>
      <c r="JJ166" s="16"/>
      <c r="JM166" s="9"/>
      <c r="JN166" s="16"/>
      <c r="JO166" s="16"/>
      <c r="JP166" s="16"/>
      <c r="JQ166" s="16"/>
      <c r="JR166" s="16"/>
      <c r="JS166" s="16"/>
      <c r="JT166" s="16"/>
      <c r="JU166" s="16"/>
      <c r="JV166" s="16"/>
      <c r="JW166" s="16"/>
      <c r="JX166" s="16"/>
      <c r="JY166" s="16"/>
      <c r="JZ166" s="16"/>
      <c r="KA166" s="16"/>
      <c r="KB166" s="16"/>
      <c r="KC166" s="16"/>
      <c r="KD166" s="16"/>
      <c r="KE166" s="16"/>
      <c r="KF166" s="16"/>
      <c r="KG166" s="16"/>
      <c r="KH166" s="16"/>
      <c r="KK166" s="9"/>
      <c r="KL166" s="16"/>
      <c r="KM166" s="16"/>
      <c r="KN166" s="16"/>
      <c r="KO166" s="16"/>
      <c r="KP166" s="16"/>
      <c r="KQ166" s="16"/>
      <c r="KR166" s="16"/>
      <c r="KS166" s="16"/>
      <c r="KT166" s="16"/>
      <c r="KU166" s="16"/>
      <c r="KV166" s="16"/>
      <c r="KW166" s="16"/>
      <c r="KX166" s="16"/>
      <c r="KY166" s="16"/>
      <c r="KZ166" s="16"/>
      <c r="LA166" s="16"/>
      <c r="LB166" s="16"/>
      <c r="LC166" s="16"/>
      <c r="LD166" s="16"/>
      <c r="LE166" s="16"/>
      <c r="LF166" s="16"/>
      <c r="LI166" s="9"/>
      <c r="LJ166" s="16"/>
      <c r="LK166" s="16"/>
      <c r="LL166" s="16"/>
      <c r="LM166" s="16"/>
      <c r="LN166" s="16"/>
      <c r="LO166" s="16"/>
      <c r="LP166" s="16"/>
      <c r="LQ166" s="16"/>
      <c r="LR166" s="16"/>
      <c r="LS166" s="16"/>
      <c r="LT166" s="16"/>
      <c r="LU166" s="16"/>
      <c r="LV166" s="16"/>
      <c r="LW166" s="16"/>
      <c r="LX166" s="16"/>
      <c r="LY166" s="16"/>
      <c r="LZ166" s="16"/>
      <c r="MA166" s="16"/>
      <c r="MB166" s="16"/>
      <c r="MC166" s="16"/>
      <c r="MD166" s="16"/>
      <c r="MG166" s="9"/>
      <c r="MH166" s="16"/>
      <c r="MI166" s="16"/>
      <c r="MJ166" s="16"/>
      <c r="MK166" s="16"/>
      <c r="ML166" s="16"/>
      <c r="MM166" s="16"/>
      <c r="MN166" s="16"/>
      <c r="MO166" s="16"/>
      <c r="MP166" s="16"/>
      <c r="MQ166" s="16"/>
      <c r="MR166" s="16"/>
      <c r="MS166" s="16"/>
      <c r="MT166" s="16"/>
      <c r="MU166" s="16"/>
      <c r="MV166" s="16"/>
      <c r="MW166" s="16"/>
      <c r="MX166" s="16"/>
      <c r="MY166" s="16"/>
      <c r="MZ166" s="16"/>
      <c r="NA166" s="16"/>
      <c r="NB166" s="16"/>
      <c r="NE166" s="9"/>
      <c r="NF166" s="16"/>
      <c r="NG166" s="16"/>
      <c r="NH166" s="16"/>
      <c r="NI166" s="16"/>
      <c r="NJ166" s="16"/>
      <c r="NK166" s="16"/>
      <c r="NL166" s="16"/>
      <c r="NM166" s="16"/>
      <c r="NN166" s="16"/>
      <c r="NO166" s="16"/>
      <c r="NP166" s="16"/>
      <c r="NQ166" s="16"/>
      <c r="NR166" s="16"/>
      <c r="NS166" s="16"/>
      <c r="NT166" s="16"/>
      <c r="NU166" s="16"/>
      <c r="NV166" s="16"/>
      <c r="NW166" s="16"/>
      <c r="NX166" s="16"/>
      <c r="NY166" s="16"/>
      <c r="NZ166" s="16"/>
      <c r="OC166" s="9"/>
      <c r="OD166" s="16"/>
      <c r="OE166" s="16"/>
      <c r="OF166" s="16"/>
      <c r="OG166" s="16"/>
      <c r="OH166" s="16"/>
      <c r="OI166" s="16"/>
      <c r="OJ166" s="16"/>
      <c r="OK166" s="16"/>
      <c r="OL166" s="16"/>
      <c r="OM166" s="16"/>
      <c r="ON166" s="16"/>
      <c r="OO166" s="16"/>
      <c r="OP166" s="16"/>
      <c r="OQ166" s="16"/>
      <c r="OR166" s="16"/>
      <c r="OS166" s="16"/>
      <c r="OT166" s="16"/>
      <c r="OU166" s="16"/>
      <c r="OV166" s="16"/>
      <c r="OW166" s="16"/>
      <c r="OX166" s="16"/>
      <c r="PA166" s="9"/>
      <c r="PB166" s="16"/>
      <c r="PC166" s="16"/>
      <c r="PD166" s="16"/>
      <c r="PE166" s="16"/>
      <c r="PF166" s="16"/>
      <c r="PG166" s="16"/>
      <c r="PH166" s="16"/>
      <c r="PI166" s="16"/>
      <c r="PJ166" s="16"/>
      <c r="PK166" s="16"/>
      <c r="PL166" s="16"/>
      <c r="PM166" s="16"/>
      <c r="PN166" s="16"/>
      <c r="PO166" s="16"/>
      <c r="PP166" s="16"/>
      <c r="PQ166" s="16"/>
      <c r="PR166" s="16"/>
      <c r="PS166" s="16"/>
      <c r="PT166" s="16"/>
      <c r="PU166" s="16"/>
      <c r="PV166" s="16"/>
    </row>
    <row r="167" spans="3:438" x14ac:dyDescent="0.25">
      <c r="C167" s="1"/>
      <c r="D167" s="1"/>
      <c r="I167" s="9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G167" s="9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E167" s="9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C167" s="9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DA167" s="9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Y167" s="9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/>
      <c r="EW167" s="9"/>
      <c r="EX167" s="16"/>
      <c r="EY167" s="16"/>
      <c r="EZ167" s="16"/>
      <c r="FA167" s="16"/>
      <c r="FB167" s="16"/>
      <c r="FC167" s="16"/>
      <c r="FD167" s="16"/>
      <c r="FE167" s="16"/>
      <c r="FF167" s="16"/>
      <c r="FG167" s="16"/>
      <c r="FH167" s="16"/>
      <c r="FI167" s="16"/>
      <c r="FJ167" s="16"/>
      <c r="FK167" s="16"/>
      <c r="FL167" s="16"/>
      <c r="FM167" s="16"/>
      <c r="FN167" s="16"/>
      <c r="FO167" s="16"/>
      <c r="FP167" s="16"/>
      <c r="FQ167" s="16"/>
      <c r="FR167" s="16"/>
      <c r="FU167" s="9"/>
      <c r="FV167" s="16"/>
      <c r="FW167" s="16"/>
      <c r="FX167" s="16"/>
      <c r="FY167" s="16"/>
      <c r="FZ167" s="16"/>
      <c r="GA167" s="16"/>
      <c r="GB167" s="16"/>
      <c r="GC167" s="16"/>
      <c r="GD167" s="16"/>
      <c r="GE167" s="16"/>
      <c r="GF167" s="16"/>
      <c r="GG167" s="16"/>
      <c r="GH167" s="16"/>
      <c r="GI167" s="16"/>
      <c r="GJ167" s="16"/>
      <c r="GK167" s="16"/>
      <c r="GL167" s="16"/>
      <c r="GM167" s="16"/>
      <c r="GN167" s="16"/>
      <c r="GO167" s="16"/>
      <c r="GP167" s="16"/>
      <c r="GS167" s="9"/>
      <c r="GT167" s="16"/>
      <c r="GU167" s="16"/>
      <c r="GV167" s="16"/>
      <c r="GW167" s="16"/>
      <c r="GX167" s="16"/>
      <c r="GY167" s="16"/>
      <c r="GZ167" s="16"/>
      <c r="HA167" s="16"/>
      <c r="HB167" s="16"/>
      <c r="HC167" s="16"/>
      <c r="HD167" s="16"/>
      <c r="HE167" s="16"/>
      <c r="HF167" s="16"/>
      <c r="HG167" s="16"/>
      <c r="HH167" s="16"/>
      <c r="HI167" s="16"/>
      <c r="HJ167" s="16"/>
      <c r="HK167" s="16"/>
      <c r="HL167" s="16"/>
      <c r="HM167" s="16"/>
      <c r="HN167" s="16"/>
      <c r="HQ167" s="9"/>
      <c r="HR167" s="16"/>
      <c r="HS167" s="16"/>
      <c r="HT167" s="16"/>
      <c r="HU167" s="16"/>
      <c r="HV167" s="16"/>
      <c r="HW167" s="16"/>
      <c r="HX167" s="16"/>
      <c r="HY167" s="16"/>
      <c r="HZ167" s="16"/>
      <c r="IA167" s="16"/>
      <c r="IB167" s="16"/>
      <c r="IC167" s="16"/>
      <c r="ID167" s="16"/>
      <c r="IE167" s="16"/>
      <c r="IF167" s="16"/>
      <c r="IG167" s="16"/>
      <c r="IH167" s="16"/>
      <c r="II167" s="16"/>
      <c r="IJ167" s="16"/>
      <c r="IK167" s="16"/>
      <c r="IL167" s="16"/>
      <c r="IO167" s="9"/>
      <c r="IP167" s="16"/>
      <c r="IQ167" s="16"/>
      <c r="IR167" s="16"/>
      <c r="IS167" s="16"/>
      <c r="IT167" s="16"/>
      <c r="IU167" s="16"/>
      <c r="IV167" s="16"/>
      <c r="IW167" s="16"/>
      <c r="IX167" s="16"/>
      <c r="IY167" s="16"/>
      <c r="IZ167" s="16"/>
      <c r="JA167" s="16"/>
      <c r="JB167" s="16"/>
      <c r="JC167" s="16"/>
      <c r="JD167" s="16"/>
      <c r="JE167" s="16"/>
      <c r="JF167" s="16"/>
      <c r="JG167" s="16"/>
      <c r="JH167" s="16"/>
      <c r="JI167" s="16"/>
      <c r="JJ167" s="16"/>
      <c r="JM167" s="9"/>
      <c r="JN167" s="16"/>
      <c r="JO167" s="16"/>
      <c r="JP167" s="16"/>
      <c r="JQ167" s="16"/>
      <c r="JR167" s="16"/>
      <c r="JS167" s="16"/>
      <c r="JT167" s="16"/>
      <c r="JU167" s="16"/>
      <c r="JV167" s="16"/>
      <c r="JW167" s="16"/>
      <c r="JX167" s="16"/>
      <c r="JY167" s="16"/>
      <c r="JZ167" s="16"/>
      <c r="KA167" s="16"/>
      <c r="KB167" s="16"/>
      <c r="KC167" s="16"/>
      <c r="KD167" s="16"/>
      <c r="KE167" s="16"/>
      <c r="KF167" s="16"/>
      <c r="KG167" s="16"/>
      <c r="KH167" s="16"/>
      <c r="KK167" s="9"/>
      <c r="KL167" s="16"/>
      <c r="KM167" s="16"/>
      <c r="KN167" s="16"/>
      <c r="KO167" s="16"/>
      <c r="KP167" s="16"/>
      <c r="KQ167" s="16"/>
      <c r="KR167" s="16"/>
      <c r="KS167" s="16"/>
      <c r="KT167" s="16"/>
      <c r="KU167" s="16"/>
      <c r="KV167" s="16"/>
      <c r="KW167" s="16"/>
      <c r="KX167" s="16"/>
      <c r="KY167" s="16"/>
      <c r="KZ167" s="16"/>
      <c r="LA167" s="16"/>
      <c r="LB167" s="16"/>
      <c r="LC167" s="16"/>
      <c r="LD167" s="16"/>
      <c r="LE167" s="16"/>
      <c r="LF167" s="16"/>
      <c r="LI167" s="9"/>
      <c r="LJ167" s="16"/>
      <c r="LK167" s="16"/>
      <c r="LL167" s="16"/>
      <c r="LM167" s="16"/>
      <c r="LN167" s="16"/>
      <c r="LO167" s="16"/>
      <c r="LP167" s="16"/>
      <c r="LQ167" s="16"/>
      <c r="LR167" s="16"/>
      <c r="LS167" s="16"/>
      <c r="LT167" s="16"/>
      <c r="LU167" s="16"/>
      <c r="LV167" s="16"/>
      <c r="LW167" s="16"/>
      <c r="LX167" s="16"/>
      <c r="LY167" s="16"/>
      <c r="LZ167" s="16"/>
      <c r="MA167" s="16"/>
      <c r="MB167" s="16"/>
      <c r="MC167" s="16"/>
      <c r="MD167" s="16"/>
      <c r="MG167" s="9"/>
      <c r="MH167" s="16"/>
      <c r="MI167" s="16"/>
      <c r="MJ167" s="16"/>
      <c r="MK167" s="16"/>
      <c r="ML167" s="16"/>
      <c r="MM167" s="16"/>
      <c r="MN167" s="16"/>
      <c r="MO167" s="16"/>
      <c r="MP167" s="16"/>
      <c r="MQ167" s="16"/>
      <c r="MR167" s="16"/>
      <c r="MS167" s="16"/>
      <c r="MT167" s="16"/>
      <c r="MU167" s="16"/>
      <c r="MV167" s="16"/>
      <c r="MW167" s="16"/>
      <c r="MX167" s="16"/>
      <c r="MY167" s="16"/>
      <c r="MZ167" s="16"/>
      <c r="NA167" s="16"/>
      <c r="NB167" s="16"/>
      <c r="NE167" s="9"/>
      <c r="NF167" s="16"/>
      <c r="NG167" s="16"/>
      <c r="NH167" s="16"/>
      <c r="NI167" s="16"/>
      <c r="NJ167" s="16"/>
      <c r="NK167" s="16"/>
      <c r="NL167" s="16"/>
      <c r="NM167" s="16"/>
      <c r="NN167" s="16"/>
      <c r="NO167" s="16"/>
      <c r="NP167" s="16"/>
      <c r="NQ167" s="16"/>
      <c r="NR167" s="16"/>
      <c r="NS167" s="16"/>
      <c r="NT167" s="16"/>
      <c r="NU167" s="16"/>
      <c r="NV167" s="16"/>
      <c r="NW167" s="16"/>
      <c r="NX167" s="16"/>
      <c r="NY167" s="16"/>
      <c r="NZ167" s="16"/>
      <c r="OC167" s="9"/>
      <c r="OD167" s="16"/>
      <c r="OE167" s="16"/>
      <c r="OF167" s="16"/>
      <c r="OG167" s="16"/>
      <c r="OH167" s="16"/>
      <c r="OI167" s="16"/>
      <c r="OJ167" s="16"/>
      <c r="OK167" s="16"/>
      <c r="OL167" s="16"/>
      <c r="OM167" s="16"/>
      <c r="ON167" s="16"/>
      <c r="OO167" s="16"/>
      <c r="OP167" s="16"/>
      <c r="OQ167" s="16"/>
      <c r="OR167" s="16"/>
      <c r="OS167" s="16"/>
      <c r="OT167" s="16"/>
      <c r="OU167" s="16"/>
      <c r="OV167" s="16"/>
      <c r="OW167" s="16"/>
      <c r="OX167" s="16"/>
      <c r="PA167" s="9"/>
      <c r="PB167" s="16"/>
      <c r="PC167" s="16"/>
      <c r="PD167" s="16"/>
      <c r="PE167" s="16"/>
      <c r="PF167" s="16"/>
      <c r="PG167" s="16"/>
      <c r="PH167" s="16"/>
      <c r="PI167" s="16"/>
      <c r="PJ167" s="16"/>
      <c r="PK167" s="16"/>
      <c r="PL167" s="16"/>
      <c r="PM167" s="16"/>
      <c r="PN167" s="16"/>
      <c r="PO167" s="16"/>
      <c r="PP167" s="16"/>
      <c r="PQ167" s="16"/>
      <c r="PR167" s="16"/>
      <c r="PS167" s="16"/>
      <c r="PT167" s="16"/>
      <c r="PU167" s="16"/>
      <c r="PV167" s="16"/>
    </row>
    <row r="168" spans="3:438" x14ac:dyDescent="0.25">
      <c r="C168" s="1"/>
      <c r="D168" s="1"/>
      <c r="I168" s="9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G168" s="9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E168" s="9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C168" s="9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DA168" s="9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Y168" s="9"/>
      <c r="DZ168" s="16"/>
      <c r="EA168" s="16"/>
      <c r="EB168" s="16"/>
      <c r="EC168" s="16"/>
      <c r="ED168" s="16"/>
      <c r="EE168" s="16"/>
      <c r="EF168" s="16"/>
      <c r="EG168" s="16"/>
      <c r="EH168" s="16"/>
      <c r="EI168" s="16"/>
      <c r="EJ168" s="16"/>
      <c r="EK168" s="16"/>
      <c r="EL168" s="16"/>
      <c r="EM168" s="16"/>
      <c r="EN168" s="16"/>
      <c r="EO168" s="16"/>
      <c r="EP168" s="16"/>
      <c r="EQ168" s="16"/>
      <c r="ER168" s="16"/>
      <c r="ES168" s="16"/>
      <c r="ET168" s="16"/>
      <c r="EW168" s="9"/>
      <c r="EX168" s="16"/>
      <c r="EY168" s="16"/>
      <c r="EZ168" s="16"/>
      <c r="FA168" s="16"/>
      <c r="FB168" s="16"/>
      <c r="FC168" s="16"/>
      <c r="FD168" s="16"/>
      <c r="FE168" s="16"/>
      <c r="FF168" s="16"/>
      <c r="FG168" s="16"/>
      <c r="FH168" s="16"/>
      <c r="FI168" s="16"/>
      <c r="FJ168" s="16"/>
      <c r="FK168" s="16"/>
      <c r="FL168" s="16"/>
      <c r="FM168" s="16"/>
      <c r="FN168" s="16"/>
      <c r="FO168" s="16"/>
      <c r="FP168" s="16"/>
      <c r="FQ168" s="16"/>
      <c r="FR168" s="16"/>
      <c r="FU168" s="9"/>
      <c r="FV168" s="16"/>
      <c r="FW168" s="16"/>
      <c r="FX168" s="16"/>
      <c r="FY168" s="16"/>
      <c r="FZ168" s="16"/>
      <c r="GA168" s="16"/>
      <c r="GB168" s="16"/>
      <c r="GC168" s="16"/>
      <c r="GD168" s="16"/>
      <c r="GE168" s="16"/>
      <c r="GF168" s="16"/>
      <c r="GG168" s="16"/>
      <c r="GH168" s="16"/>
      <c r="GI168" s="16"/>
      <c r="GJ168" s="16"/>
      <c r="GK168" s="16"/>
      <c r="GL168" s="16"/>
      <c r="GM168" s="16"/>
      <c r="GN168" s="16"/>
      <c r="GO168" s="16"/>
      <c r="GP168" s="16"/>
      <c r="GS168" s="9"/>
      <c r="GT168" s="16"/>
      <c r="GU168" s="16"/>
      <c r="GV168" s="16"/>
      <c r="GW168" s="16"/>
      <c r="GX168" s="16"/>
      <c r="GY168" s="16"/>
      <c r="GZ168" s="16"/>
      <c r="HA168" s="16"/>
      <c r="HB168" s="16"/>
      <c r="HC168" s="16"/>
      <c r="HD168" s="16"/>
      <c r="HE168" s="16"/>
      <c r="HF168" s="16"/>
      <c r="HG168" s="16"/>
      <c r="HH168" s="16"/>
      <c r="HI168" s="16"/>
      <c r="HJ168" s="16"/>
      <c r="HK168" s="16"/>
      <c r="HL168" s="16"/>
      <c r="HM168" s="16"/>
      <c r="HN168" s="16"/>
      <c r="HQ168" s="9"/>
      <c r="HR168" s="16"/>
      <c r="HS168" s="16"/>
      <c r="HT168" s="16"/>
      <c r="HU168" s="16"/>
      <c r="HV168" s="16"/>
      <c r="HW168" s="16"/>
      <c r="HX168" s="16"/>
      <c r="HY168" s="16"/>
      <c r="HZ168" s="16"/>
      <c r="IA168" s="16"/>
      <c r="IB168" s="16"/>
      <c r="IC168" s="16"/>
      <c r="ID168" s="16"/>
      <c r="IE168" s="16"/>
      <c r="IF168" s="16"/>
      <c r="IG168" s="16"/>
      <c r="IH168" s="16"/>
      <c r="II168" s="16"/>
      <c r="IJ168" s="16"/>
      <c r="IK168" s="16"/>
      <c r="IL168" s="16"/>
      <c r="IO168" s="9"/>
      <c r="IP168" s="16"/>
      <c r="IQ168" s="16"/>
      <c r="IR168" s="16"/>
      <c r="IS168" s="16"/>
      <c r="IT168" s="16"/>
      <c r="IU168" s="16"/>
      <c r="IV168" s="16"/>
      <c r="IW168" s="16"/>
      <c r="IX168" s="16"/>
      <c r="IY168" s="16"/>
      <c r="IZ168" s="16"/>
      <c r="JA168" s="16"/>
      <c r="JB168" s="16"/>
      <c r="JC168" s="16"/>
      <c r="JD168" s="16"/>
      <c r="JE168" s="16"/>
      <c r="JF168" s="16"/>
      <c r="JG168" s="16"/>
      <c r="JH168" s="16"/>
      <c r="JI168" s="16"/>
      <c r="JJ168" s="16"/>
      <c r="JM168" s="9"/>
      <c r="JN168" s="16"/>
      <c r="JO168" s="16"/>
      <c r="JP168" s="16"/>
      <c r="JQ168" s="16"/>
      <c r="JR168" s="16"/>
      <c r="JS168" s="16"/>
      <c r="JT168" s="16"/>
      <c r="JU168" s="16"/>
      <c r="JV168" s="16"/>
      <c r="JW168" s="16"/>
      <c r="JX168" s="16"/>
      <c r="JY168" s="16"/>
      <c r="JZ168" s="16"/>
      <c r="KA168" s="16"/>
      <c r="KB168" s="16"/>
      <c r="KC168" s="16"/>
      <c r="KD168" s="16"/>
      <c r="KE168" s="16"/>
      <c r="KF168" s="16"/>
      <c r="KG168" s="16"/>
      <c r="KH168" s="16"/>
      <c r="KK168" s="9"/>
      <c r="KL168" s="16"/>
      <c r="KM168" s="16"/>
      <c r="KN168" s="16"/>
      <c r="KO168" s="16"/>
      <c r="KP168" s="16"/>
      <c r="KQ168" s="16"/>
      <c r="KR168" s="16"/>
      <c r="KS168" s="16"/>
      <c r="KT168" s="16"/>
      <c r="KU168" s="16"/>
      <c r="KV168" s="16"/>
      <c r="KW168" s="16"/>
      <c r="KX168" s="16"/>
      <c r="KY168" s="16"/>
      <c r="KZ168" s="16"/>
      <c r="LA168" s="16"/>
      <c r="LB168" s="16"/>
      <c r="LC168" s="16"/>
      <c r="LD168" s="16"/>
      <c r="LE168" s="16"/>
      <c r="LF168" s="16"/>
      <c r="LI168" s="9"/>
      <c r="LJ168" s="16"/>
      <c r="LK168" s="16"/>
      <c r="LL168" s="16"/>
      <c r="LM168" s="16"/>
      <c r="LN168" s="16"/>
      <c r="LO168" s="16"/>
      <c r="LP168" s="16"/>
      <c r="LQ168" s="16"/>
      <c r="LR168" s="16"/>
      <c r="LS168" s="16"/>
      <c r="LT168" s="16"/>
      <c r="LU168" s="16"/>
      <c r="LV168" s="16"/>
      <c r="LW168" s="16"/>
      <c r="LX168" s="16"/>
      <c r="LY168" s="16"/>
      <c r="LZ168" s="16"/>
      <c r="MA168" s="16"/>
      <c r="MB168" s="16"/>
      <c r="MC168" s="16"/>
      <c r="MD168" s="16"/>
      <c r="MG168" s="9"/>
      <c r="MH168" s="16"/>
      <c r="MI168" s="16"/>
      <c r="MJ168" s="16"/>
      <c r="MK168" s="16"/>
      <c r="ML168" s="16"/>
      <c r="MM168" s="16"/>
      <c r="MN168" s="16"/>
      <c r="MO168" s="16"/>
      <c r="MP168" s="16"/>
      <c r="MQ168" s="16"/>
      <c r="MR168" s="16"/>
      <c r="MS168" s="16"/>
      <c r="MT168" s="16"/>
      <c r="MU168" s="16"/>
      <c r="MV168" s="16"/>
      <c r="MW168" s="16"/>
      <c r="MX168" s="16"/>
      <c r="MY168" s="16"/>
      <c r="MZ168" s="16"/>
      <c r="NA168" s="16"/>
      <c r="NB168" s="16"/>
      <c r="NE168" s="9"/>
      <c r="NF168" s="16"/>
      <c r="NG168" s="16"/>
      <c r="NH168" s="16"/>
      <c r="NI168" s="16"/>
      <c r="NJ168" s="16"/>
      <c r="NK168" s="16"/>
      <c r="NL168" s="16"/>
      <c r="NM168" s="16"/>
      <c r="NN168" s="16"/>
      <c r="NO168" s="16"/>
      <c r="NP168" s="16"/>
      <c r="NQ168" s="16"/>
      <c r="NR168" s="16"/>
      <c r="NS168" s="16"/>
      <c r="NT168" s="16"/>
      <c r="NU168" s="16"/>
      <c r="NV168" s="16"/>
      <c r="NW168" s="16"/>
      <c r="NX168" s="16"/>
      <c r="NY168" s="16"/>
      <c r="NZ168" s="16"/>
      <c r="OC168" s="9"/>
      <c r="OD168" s="16"/>
      <c r="OE168" s="16"/>
      <c r="OF168" s="16"/>
      <c r="OG168" s="16"/>
      <c r="OH168" s="16"/>
      <c r="OI168" s="16"/>
      <c r="OJ168" s="16"/>
      <c r="OK168" s="16"/>
      <c r="OL168" s="16"/>
      <c r="OM168" s="16"/>
      <c r="ON168" s="16"/>
      <c r="OO168" s="16"/>
      <c r="OP168" s="16"/>
      <c r="OQ168" s="16"/>
      <c r="OR168" s="16"/>
      <c r="OS168" s="16"/>
      <c r="OT168" s="16"/>
      <c r="OU168" s="16"/>
      <c r="OV168" s="16"/>
      <c r="OW168" s="16"/>
      <c r="OX168" s="16"/>
      <c r="PA168" s="9"/>
      <c r="PB168" s="16"/>
      <c r="PC168" s="16"/>
      <c r="PD168" s="16"/>
      <c r="PE168" s="16"/>
      <c r="PF168" s="16"/>
      <c r="PG168" s="16"/>
      <c r="PH168" s="16"/>
      <c r="PI168" s="16"/>
      <c r="PJ168" s="16"/>
      <c r="PK168" s="16"/>
      <c r="PL168" s="16"/>
      <c r="PM168" s="16"/>
      <c r="PN168" s="16"/>
      <c r="PO168" s="16"/>
      <c r="PP168" s="16"/>
      <c r="PQ168" s="16"/>
      <c r="PR168" s="16"/>
      <c r="PS168" s="16"/>
      <c r="PT168" s="16"/>
      <c r="PU168" s="16"/>
      <c r="PV168" s="16"/>
    </row>
    <row r="169" spans="3:438" x14ac:dyDescent="0.25">
      <c r="C169" s="1"/>
      <c r="D169" s="1"/>
      <c r="I169" s="9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G169" s="9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E169" s="9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C169" s="9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DA169" s="9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Y169" s="9"/>
      <c r="DZ169" s="16"/>
      <c r="EA169" s="16"/>
      <c r="EB169" s="16"/>
      <c r="EC169" s="16"/>
      <c r="ED169" s="16"/>
      <c r="EE169" s="16"/>
      <c r="EF169" s="16"/>
      <c r="EG169" s="16"/>
      <c r="EH169" s="16"/>
      <c r="EI169" s="16"/>
      <c r="EJ169" s="16"/>
      <c r="EK169" s="16"/>
      <c r="EL169" s="16"/>
      <c r="EM169" s="16"/>
      <c r="EN169" s="16"/>
      <c r="EO169" s="16"/>
      <c r="EP169" s="16"/>
      <c r="EQ169" s="16"/>
      <c r="ER169" s="16"/>
      <c r="ES169" s="16"/>
      <c r="ET169" s="16"/>
      <c r="EW169" s="9"/>
      <c r="EX169" s="16"/>
      <c r="EY169" s="16"/>
      <c r="EZ169" s="16"/>
      <c r="FA169" s="16"/>
      <c r="FB169" s="16"/>
      <c r="FC169" s="16"/>
      <c r="FD169" s="16"/>
      <c r="FE169" s="16"/>
      <c r="FF169" s="16"/>
      <c r="FG169" s="16"/>
      <c r="FH169" s="16"/>
      <c r="FI169" s="16"/>
      <c r="FJ169" s="16"/>
      <c r="FK169" s="16"/>
      <c r="FL169" s="16"/>
      <c r="FM169" s="16"/>
      <c r="FN169" s="16"/>
      <c r="FO169" s="16"/>
      <c r="FP169" s="16"/>
      <c r="FQ169" s="16"/>
      <c r="FR169" s="16"/>
      <c r="FU169" s="9"/>
      <c r="FV169" s="16"/>
      <c r="FW169" s="16"/>
      <c r="FX169" s="16"/>
      <c r="FY169" s="16"/>
      <c r="FZ169" s="16"/>
      <c r="GA169" s="16"/>
      <c r="GB169" s="16"/>
      <c r="GC169" s="16"/>
      <c r="GD169" s="16"/>
      <c r="GE169" s="16"/>
      <c r="GF169" s="16"/>
      <c r="GG169" s="16"/>
      <c r="GH169" s="16"/>
      <c r="GI169" s="16"/>
      <c r="GJ169" s="16"/>
      <c r="GK169" s="16"/>
      <c r="GL169" s="16"/>
      <c r="GM169" s="16"/>
      <c r="GN169" s="16"/>
      <c r="GO169" s="16"/>
      <c r="GP169" s="16"/>
      <c r="GS169" s="9"/>
      <c r="GT169" s="16"/>
      <c r="GU169" s="16"/>
      <c r="GV169" s="16"/>
      <c r="GW169" s="16"/>
      <c r="GX169" s="16"/>
      <c r="GY169" s="16"/>
      <c r="GZ169" s="16"/>
      <c r="HA169" s="16"/>
      <c r="HB169" s="16"/>
      <c r="HC169" s="16"/>
      <c r="HD169" s="16"/>
      <c r="HE169" s="16"/>
      <c r="HF169" s="16"/>
      <c r="HG169" s="16"/>
      <c r="HH169" s="16"/>
      <c r="HI169" s="16"/>
      <c r="HJ169" s="16"/>
      <c r="HK169" s="16"/>
      <c r="HL169" s="16"/>
      <c r="HM169" s="16"/>
      <c r="HN169" s="16"/>
      <c r="HQ169" s="9"/>
      <c r="HR169" s="16"/>
      <c r="HS169" s="16"/>
      <c r="HT169" s="16"/>
      <c r="HU169" s="16"/>
      <c r="HV169" s="16"/>
      <c r="HW169" s="16"/>
      <c r="HX169" s="16"/>
      <c r="HY169" s="16"/>
      <c r="HZ169" s="16"/>
      <c r="IA169" s="16"/>
      <c r="IB169" s="16"/>
      <c r="IC169" s="16"/>
      <c r="ID169" s="16"/>
      <c r="IE169" s="16"/>
      <c r="IF169" s="16"/>
      <c r="IG169" s="16"/>
      <c r="IH169" s="16"/>
      <c r="II169" s="16"/>
      <c r="IJ169" s="16"/>
      <c r="IK169" s="16"/>
      <c r="IL169" s="16"/>
      <c r="IO169" s="9"/>
      <c r="IP169" s="16"/>
      <c r="IQ169" s="16"/>
      <c r="IR169" s="16"/>
      <c r="IS169" s="16"/>
      <c r="IT169" s="16"/>
      <c r="IU169" s="16"/>
      <c r="IV169" s="16"/>
      <c r="IW169" s="16"/>
      <c r="IX169" s="16"/>
      <c r="IY169" s="16"/>
      <c r="IZ169" s="16"/>
      <c r="JA169" s="16"/>
      <c r="JB169" s="16"/>
      <c r="JC169" s="16"/>
      <c r="JD169" s="16"/>
      <c r="JE169" s="16"/>
      <c r="JF169" s="16"/>
      <c r="JG169" s="16"/>
      <c r="JH169" s="16"/>
      <c r="JI169" s="16"/>
      <c r="JJ169" s="16"/>
      <c r="JM169" s="9"/>
      <c r="JN169" s="16"/>
      <c r="JO169" s="16"/>
      <c r="JP169" s="16"/>
      <c r="JQ169" s="16"/>
      <c r="JR169" s="16"/>
      <c r="JS169" s="16"/>
      <c r="JT169" s="16"/>
      <c r="JU169" s="16"/>
      <c r="JV169" s="16"/>
      <c r="JW169" s="16"/>
      <c r="JX169" s="16"/>
      <c r="JY169" s="16"/>
      <c r="JZ169" s="16"/>
      <c r="KA169" s="16"/>
      <c r="KB169" s="16"/>
      <c r="KC169" s="16"/>
      <c r="KD169" s="16"/>
      <c r="KE169" s="16"/>
      <c r="KF169" s="16"/>
      <c r="KG169" s="16"/>
      <c r="KH169" s="16"/>
      <c r="KK169" s="9"/>
      <c r="KL169" s="16"/>
      <c r="KM169" s="16"/>
      <c r="KN169" s="16"/>
      <c r="KO169" s="16"/>
      <c r="KP169" s="16"/>
      <c r="KQ169" s="16"/>
      <c r="KR169" s="16"/>
      <c r="KS169" s="16"/>
      <c r="KT169" s="16"/>
      <c r="KU169" s="16"/>
      <c r="KV169" s="16"/>
      <c r="KW169" s="16"/>
      <c r="KX169" s="16"/>
      <c r="KY169" s="16"/>
      <c r="KZ169" s="16"/>
      <c r="LA169" s="16"/>
      <c r="LB169" s="16"/>
      <c r="LC169" s="16"/>
      <c r="LD169" s="16"/>
      <c r="LE169" s="16"/>
      <c r="LF169" s="16"/>
      <c r="LI169" s="9"/>
      <c r="LJ169" s="16"/>
      <c r="LK169" s="16"/>
      <c r="LL169" s="16"/>
      <c r="LM169" s="16"/>
      <c r="LN169" s="16"/>
      <c r="LO169" s="16"/>
      <c r="LP169" s="16"/>
      <c r="LQ169" s="16"/>
      <c r="LR169" s="16"/>
      <c r="LS169" s="16"/>
      <c r="LT169" s="16"/>
      <c r="LU169" s="16"/>
      <c r="LV169" s="16"/>
      <c r="LW169" s="16"/>
      <c r="LX169" s="16"/>
      <c r="LY169" s="16"/>
      <c r="LZ169" s="16"/>
      <c r="MA169" s="16"/>
      <c r="MB169" s="16"/>
      <c r="MC169" s="16"/>
      <c r="MD169" s="16"/>
      <c r="MG169" s="9"/>
      <c r="MH169" s="16"/>
      <c r="MI169" s="16"/>
      <c r="MJ169" s="16"/>
      <c r="MK169" s="16"/>
      <c r="ML169" s="16"/>
      <c r="MM169" s="16"/>
      <c r="MN169" s="16"/>
      <c r="MO169" s="16"/>
      <c r="MP169" s="16"/>
      <c r="MQ169" s="16"/>
      <c r="MR169" s="16"/>
      <c r="MS169" s="16"/>
      <c r="MT169" s="16"/>
      <c r="MU169" s="16"/>
      <c r="MV169" s="16"/>
      <c r="MW169" s="16"/>
      <c r="MX169" s="16"/>
      <c r="MY169" s="16"/>
      <c r="MZ169" s="16"/>
      <c r="NA169" s="16"/>
      <c r="NB169" s="16"/>
      <c r="NE169" s="9"/>
      <c r="NF169" s="16"/>
      <c r="NG169" s="16"/>
      <c r="NH169" s="16"/>
      <c r="NI169" s="16"/>
      <c r="NJ169" s="16"/>
      <c r="NK169" s="16"/>
      <c r="NL169" s="16"/>
      <c r="NM169" s="16"/>
      <c r="NN169" s="16"/>
      <c r="NO169" s="16"/>
      <c r="NP169" s="16"/>
      <c r="NQ169" s="16"/>
      <c r="NR169" s="16"/>
      <c r="NS169" s="16"/>
      <c r="NT169" s="16"/>
      <c r="NU169" s="16"/>
      <c r="NV169" s="16"/>
      <c r="NW169" s="16"/>
      <c r="NX169" s="16"/>
      <c r="NY169" s="16"/>
      <c r="NZ169" s="16"/>
      <c r="OC169" s="9"/>
      <c r="OD169" s="16"/>
      <c r="OE169" s="16"/>
      <c r="OF169" s="16"/>
      <c r="OG169" s="16"/>
      <c r="OH169" s="16"/>
      <c r="OI169" s="16"/>
      <c r="OJ169" s="16"/>
      <c r="OK169" s="16"/>
      <c r="OL169" s="16"/>
      <c r="OM169" s="16"/>
      <c r="ON169" s="16"/>
      <c r="OO169" s="16"/>
      <c r="OP169" s="16"/>
      <c r="OQ169" s="16"/>
      <c r="OR169" s="16"/>
      <c r="OS169" s="16"/>
      <c r="OT169" s="16"/>
      <c r="OU169" s="16"/>
      <c r="OV169" s="16"/>
      <c r="OW169" s="16"/>
      <c r="OX169" s="16"/>
      <c r="PA169" s="9"/>
      <c r="PB169" s="16"/>
      <c r="PC169" s="16"/>
      <c r="PD169" s="16"/>
      <c r="PE169" s="16"/>
      <c r="PF169" s="16"/>
      <c r="PG169" s="16"/>
      <c r="PH169" s="16"/>
      <c r="PI169" s="16"/>
      <c r="PJ169" s="16"/>
      <c r="PK169" s="16"/>
      <c r="PL169" s="16"/>
      <c r="PM169" s="16"/>
      <c r="PN169" s="16"/>
      <c r="PO169" s="16"/>
      <c r="PP169" s="16"/>
      <c r="PQ169" s="16"/>
      <c r="PR169" s="16"/>
      <c r="PS169" s="16"/>
      <c r="PT169" s="16"/>
      <c r="PU169" s="16"/>
      <c r="PV169" s="16"/>
    </row>
    <row r="170" spans="3:438" x14ac:dyDescent="0.25">
      <c r="C170" s="1"/>
      <c r="D170" s="1"/>
      <c r="I170" s="9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G170" s="9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E170" s="9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C170" s="9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DA170" s="9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Y170" s="9"/>
      <c r="DZ170" s="16"/>
      <c r="EA170" s="16"/>
      <c r="EB170" s="16"/>
      <c r="EC170" s="16"/>
      <c r="ED170" s="16"/>
      <c r="EE170" s="16"/>
      <c r="EF170" s="16"/>
      <c r="EG170" s="16"/>
      <c r="EH170" s="16"/>
      <c r="EI170" s="16"/>
      <c r="EJ170" s="16"/>
      <c r="EK170" s="16"/>
      <c r="EL170" s="16"/>
      <c r="EM170" s="16"/>
      <c r="EN170" s="16"/>
      <c r="EO170" s="16"/>
      <c r="EP170" s="16"/>
      <c r="EQ170" s="16"/>
      <c r="ER170" s="16"/>
      <c r="ES170" s="16"/>
      <c r="ET170" s="16"/>
      <c r="EW170" s="9"/>
      <c r="EX170" s="16"/>
      <c r="EY170" s="16"/>
      <c r="EZ170" s="16"/>
      <c r="FA170" s="16"/>
      <c r="FB170" s="16"/>
      <c r="FC170" s="16"/>
      <c r="FD170" s="16"/>
      <c r="FE170" s="16"/>
      <c r="FF170" s="16"/>
      <c r="FG170" s="16"/>
      <c r="FH170" s="16"/>
      <c r="FI170" s="16"/>
      <c r="FJ170" s="16"/>
      <c r="FK170" s="16"/>
      <c r="FL170" s="16"/>
      <c r="FM170" s="16"/>
      <c r="FN170" s="16"/>
      <c r="FO170" s="16"/>
      <c r="FP170" s="16"/>
      <c r="FQ170" s="16"/>
      <c r="FR170" s="16"/>
      <c r="FU170" s="9"/>
      <c r="FV170" s="16"/>
      <c r="FW170" s="16"/>
      <c r="FX170" s="16"/>
      <c r="FY170" s="16"/>
      <c r="FZ170" s="16"/>
      <c r="GA170" s="16"/>
      <c r="GB170" s="16"/>
      <c r="GC170" s="16"/>
      <c r="GD170" s="16"/>
      <c r="GE170" s="16"/>
      <c r="GF170" s="16"/>
      <c r="GG170" s="16"/>
      <c r="GH170" s="16"/>
      <c r="GI170" s="16"/>
      <c r="GJ170" s="16"/>
      <c r="GK170" s="16"/>
      <c r="GL170" s="16"/>
      <c r="GM170" s="16"/>
      <c r="GN170" s="16"/>
      <c r="GO170" s="16"/>
      <c r="GP170" s="16"/>
      <c r="GS170" s="9"/>
      <c r="GT170" s="16"/>
      <c r="GU170" s="16"/>
      <c r="GV170" s="16"/>
      <c r="GW170" s="16"/>
      <c r="GX170" s="16"/>
      <c r="GY170" s="16"/>
      <c r="GZ170" s="16"/>
      <c r="HA170" s="16"/>
      <c r="HB170" s="16"/>
      <c r="HC170" s="16"/>
      <c r="HD170" s="16"/>
      <c r="HE170" s="16"/>
      <c r="HF170" s="16"/>
      <c r="HG170" s="16"/>
      <c r="HH170" s="16"/>
      <c r="HI170" s="16"/>
      <c r="HJ170" s="16"/>
      <c r="HK170" s="16"/>
      <c r="HL170" s="16"/>
      <c r="HM170" s="16"/>
      <c r="HN170" s="16"/>
      <c r="HQ170" s="9"/>
      <c r="HR170" s="16"/>
      <c r="HS170" s="16"/>
      <c r="HT170" s="16"/>
      <c r="HU170" s="16"/>
      <c r="HV170" s="16"/>
      <c r="HW170" s="16"/>
      <c r="HX170" s="16"/>
      <c r="HY170" s="16"/>
      <c r="HZ170" s="16"/>
      <c r="IA170" s="16"/>
      <c r="IB170" s="16"/>
      <c r="IC170" s="16"/>
      <c r="ID170" s="16"/>
      <c r="IE170" s="16"/>
      <c r="IF170" s="16"/>
      <c r="IG170" s="16"/>
      <c r="IH170" s="16"/>
      <c r="II170" s="16"/>
      <c r="IJ170" s="16"/>
      <c r="IK170" s="16"/>
      <c r="IL170" s="16"/>
      <c r="IO170" s="9"/>
      <c r="IP170" s="16"/>
      <c r="IQ170" s="16"/>
      <c r="IR170" s="16"/>
      <c r="IS170" s="16"/>
      <c r="IT170" s="16"/>
      <c r="IU170" s="16"/>
      <c r="IV170" s="16"/>
      <c r="IW170" s="16"/>
      <c r="IX170" s="16"/>
      <c r="IY170" s="16"/>
      <c r="IZ170" s="16"/>
      <c r="JA170" s="16"/>
      <c r="JB170" s="16"/>
      <c r="JC170" s="16"/>
      <c r="JD170" s="16"/>
      <c r="JE170" s="16"/>
      <c r="JF170" s="16"/>
      <c r="JG170" s="16"/>
      <c r="JH170" s="16"/>
      <c r="JI170" s="16"/>
      <c r="JJ170" s="16"/>
      <c r="JM170" s="9"/>
      <c r="JN170" s="16"/>
      <c r="JO170" s="16"/>
      <c r="JP170" s="16"/>
      <c r="JQ170" s="16"/>
      <c r="JR170" s="16"/>
      <c r="JS170" s="16"/>
      <c r="JT170" s="16"/>
      <c r="JU170" s="16"/>
      <c r="JV170" s="16"/>
      <c r="JW170" s="16"/>
      <c r="JX170" s="16"/>
      <c r="JY170" s="16"/>
      <c r="JZ170" s="16"/>
      <c r="KA170" s="16"/>
      <c r="KB170" s="16"/>
      <c r="KC170" s="16"/>
      <c r="KD170" s="16"/>
      <c r="KE170" s="16"/>
      <c r="KF170" s="16"/>
      <c r="KG170" s="16"/>
      <c r="KH170" s="16"/>
      <c r="KK170" s="9"/>
      <c r="KL170" s="16"/>
      <c r="KM170" s="16"/>
      <c r="KN170" s="16"/>
      <c r="KO170" s="16"/>
      <c r="KP170" s="16"/>
      <c r="KQ170" s="16"/>
      <c r="KR170" s="16"/>
      <c r="KS170" s="16"/>
      <c r="KT170" s="16"/>
      <c r="KU170" s="16"/>
      <c r="KV170" s="16"/>
      <c r="KW170" s="16"/>
      <c r="KX170" s="16"/>
      <c r="KY170" s="16"/>
      <c r="KZ170" s="16"/>
      <c r="LA170" s="16"/>
      <c r="LB170" s="16"/>
      <c r="LC170" s="16"/>
      <c r="LD170" s="16"/>
      <c r="LE170" s="16"/>
      <c r="LF170" s="16"/>
      <c r="LI170" s="9"/>
      <c r="LJ170" s="16"/>
      <c r="LK170" s="16"/>
      <c r="LL170" s="16"/>
      <c r="LM170" s="16"/>
      <c r="LN170" s="16"/>
      <c r="LO170" s="16"/>
      <c r="LP170" s="16"/>
      <c r="LQ170" s="16"/>
      <c r="LR170" s="16"/>
      <c r="LS170" s="16"/>
      <c r="LT170" s="16"/>
      <c r="LU170" s="16"/>
      <c r="LV170" s="16"/>
      <c r="LW170" s="16"/>
      <c r="LX170" s="16"/>
      <c r="LY170" s="16"/>
      <c r="LZ170" s="16"/>
      <c r="MA170" s="16"/>
      <c r="MB170" s="16"/>
      <c r="MC170" s="16"/>
      <c r="MD170" s="16"/>
      <c r="MG170" s="9"/>
      <c r="MH170" s="16"/>
      <c r="MI170" s="16"/>
      <c r="MJ170" s="16"/>
      <c r="MK170" s="16"/>
      <c r="ML170" s="16"/>
      <c r="MM170" s="16"/>
      <c r="MN170" s="16"/>
      <c r="MO170" s="16"/>
      <c r="MP170" s="16"/>
      <c r="MQ170" s="16"/>
      <c r="MR170" s="16"/>
      <c r="MS170" s="16"/>
      <c r="MT170" s="16"/>
      <c r="MU170" s="16"/>
      <c r="MV170" s="16"/>
      <c r="MW170" s="16"/>
      <c r="MX170" s="16"/>
      <c r="MY170" s="16"/>
      <c r="MZ170" s="16"/>
      <c r="NA170" s="16"/>
      <c r="NB170" s="16"/>
      <c r="NE170" s="9"/>
      <c r="NF170" s="16"/>
      <c r="NG170" s="16"/>
      <c r="NH170" s="16"/>
      <c r="NI170" s="16"/>
      <c r="NJ170" s="16"/>
      <c r="NK170" s="16"/>
      <c r="NL170" s="16"/>
      <c r="NM170" s="16"/>
      <c r="NN170" s="16"/>
      <c r="NO170" s="16"/>
      <c r="NP170" s="16"/>
      <c r="NQ170" s="16"/>
      <c r="NR170" s="16"/>
      <c r="NS170" s="16"/>
      <c r="NT170" s="16"/>
      <c r="NU170" s="16"/>
      <c r="NV170" s="16"/>
      <c r="NW170" s="16"/>
      <c r="NX170" s="16"/>
      <c r="NY170" s="16"/>
      <c r="NZ170" s="16"/>
      <c r="OC170" s="9"/>
      <c r="OD170" s="16"/>
      <c r="OE170" s="16"/>
      <c r="OF170" s="16"/>
      <c r="OG170" s="16"/>
      <c r="OH170" s="16"/>
      <c r="OI170" s="16"/>
      <c r="OJ170" s="16"/>
      <c r="OK170" s="16"/>
      <c r="OL170" s="16"/>
      <c r="OM170" s="16"/>
      <c r="ON170" s="16"/>
      <c r="OO170" s="16"/>
      <c r="OP170" s="16"/>
      <c r="OQ170" s="16"/>
      <c r="OR170" s="16"/>
      <c r="OS170" s="16"/>
      <c r="OT170" s="16"/>
      <c r="OU170" s="16"/>
      <c r="OV170" s="16"/>
      <c r="OW170" s="16"/>
      <c r="OX170" s="16"/>
      <c r="PA170" s="9"/>
      <c r="PB170" s="16"/>
      <c r="PC170" s="16"/>
      <c r="PD170" s="16"/>
      <c r="PE170" s="16"/>
      <c r="PF170" s="16"/>
      <c r="PG170" s="16"/>
      <c r="PH170" s="16"/>
      <c r="PI170" s="16"/>
      <c r="PJ170" s="16"/>
      <c r="PK170" s="16"/>
      <c r="PL170" s="16"/>
      <c r="PM170" s="16"/>
      <c r="PN170" s="16"/>
      <c r="PO170" s="16"/>
      <c r="PP170" s="16"/>
      <c r="PQ170" s="16"/>
      <c r="PR170" s="16"/>
      <c r="PS170" s="16"/>
      <c r="PT170" s="16"/>
      <c r="PU170" s="16"/>
      <c r="PV170" s="16"/>
    </row>
    <row r="171" spans="3:438" x14ac:dyDescent="0.25">
      <c r="C171" s="1"/>
      <c r="D171" s="1"/>
      <c r="I171" s="9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G171" s="9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E171" s="9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C171" s="9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DA171" s="9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Y171" s="9"/>
      <c r="DZ171" s="16"/>
      <c r="EA171" s="16"/>
      <c r="EB171" s="16"/>
      <c r="EC171" s="16"/>
      <c r="ED171" s="1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  <c r="ET171" s="16"/>
      <c r="EW171" s="9"/>
      <c r="EX171" s="16"/>
      <c r="EY171" s="16"/>
      <c r="EZ171" s="16"/>
      <c r="FA171" s="16"/>
      <c r="FB171" s="16"/>
      <c r="FC171" s="16"/>
      <c r="FD171" s="16"/>
      <c r="FE171" s="16"/>
      <c r="FF171" s="16"/>
      <c r="FG171" s="16"/>
      <c r="FH171" s="16"/>
      <c r="FI171" s="16"/>
      <c r="FJ171" s="16"/>
      <c r="FK171" s="16"/>
      <c r="FL171" s="16"/>
      <c r="FM171" s="16"/>
      <c r="FN171" s="16"/>
      <c r="FO171" s="16"/>
      <c r="FP171" s="16"/>
      <c r="FQ171" s="16"/>
      <c r="FR171" s="16"/>
      <c r="FU171" s="9"/>
      <c r="FV171" s="16"/>
      <c r="FW171" s="16"/>
      <c r="FX171" s="16"/>
      <c r="FY171" s="16"/>
      <c r="FZ171" s="16"/>
      <c r="GA171" s="16"/>
      <c r="GB171" s="16"/>
      <c r="GC171" s="16"/>
      <c r="GD171" s="16"/>
      <c r="GE171" s="16"/>
      <c r="GF171" s="16"/>
      <c r="GG171" s="16"/>
      <c r="GH171" s="16"/>
      <c r="GI171" s="16"/>
      <c r="GJ171" s="16"/>
      <c r="GK171" s="16"/>
      <c r="GL171" s="16"/>
      <c r="GM171" s="16"/>
      <c r="GN171" s="16"/>
      <c r="GO171" s="16"/>
      <c r="GP171" s="16"/>
      <c r="GS171" s="9"/>
      <c r="GT171" s="16"/>
      <c r="GU171" s="16"/>
      <c r="GV171" s="16"/>
      <c r="GW171" s="16"/>
      <c r="GX171" s="16"/>
      <c r="GY171" s="16"/>
      <c r="GZ171" s="16"/>
      <c r="HA171" s="16"/>
      <c r="HB171" s="16"/>
      <c r="HC171" s="16"/>
      <c r="HD171" s="16"/>
      <c r="HE171" s="16"/>
      <c r="HF171" s="16"/>
      <c r="HG171" s="16"/>
      <c r="HH171" s="16"/>
      <c r="HI171" s="16"/>
      <c r="HJ171" s="16"/>
      <c r="HK171" s="16"/>
      <c r="HL171" s="16"/>
      <c r="HM171" s="16"/>
      <c r="HN171" s="16"/>
      <c r="HQ171" s="9"/>
      <c r="HR171" s="16"/>
      <c r="HS171" s="16"/>
      <c r="HT171" s="16"/>
      <c r="HU171" s="16"/>
      <c r="HV171" s="16"/>
      <c r="HW171" s="16"/>
      <c r="HX171" s="16"/>
      <c r="HY171" s="16"/>
      <c r="HZ171" s="16"/>
      <c r="IA171" s="16"/>
      <c r="IB171" s="16"/>
      <c r="IC171" s="16"/>
      <c r="ID171" s="16"/>
      <c r="IE171" s="16"/>
      <c r="IF171" s="16"/>
      <c r="IG171" s="16"/>
      <c r="IH171" s="16"/>
      <c r="II171" s="16"/>
      <c r="IJ171" s="16"/>
      <c r="IK171" s="16"/>
      <c r="IL171" s="16"/>
      <c r="IO171" s="9"/>
      <c r="IP171" s="16"/>
      <c r="IQ171" s="16"/>
      <c r="IR171" s="16"/>
      <c r="IS171" s="16"/>
      <c r="IT171" s="16"/>
      <c r="IU171" s="16"/>
      <c r="IV171" s="16"/>
      <c r="IW171" s="16"/>
      <c r="IX171" s="16"/>
      <c r="IY171" s="16"/>
      <c r="IZ171" s="16"/>
      <c r="JA171" s="16"/>
      <c r="JB171" s="16"/>
      <c r="JC171" s="16"/>
      <c r="JD171" s="16"/>
      <c r="JE171" s="16"/>
      <c r="JF171" s="16"/>
      <c r="JG171" s="16"/>
      <c r="JH171" s="16"/>
      <c r="JI171" s="16"/>
      <c r="JJ171" s="16"/>
      <c r="JM171" s="9"/>
      <c r="JN171" s="16"/>
      <c r="JO171" s="16"/>
      <c r="JP171" s="16"/>
      <c r="JQ171" s="16"/>
      <c r="JR171" s="16"/>
      <c r="JS171" s="16"/>
      <c r="JT171" s="16"/>
      <c r="JU171" s="16"/>
      <c r="JV171" s="16"/>
      <c r="JW171" s="16"/>
      <c r="JX171" s="16"/>
      <c r="JY171" s="16"/>
      <c r="JZ171" s="16"/>
      <c r="KA171" s="16"/>
      <c r="KB171" s="16"/>
      <c r="KC171" s="16"/>
      <c r="KD171" s="16"/>
      <c r="KE171" s="16"/>
      <c r="KF171" s="16"/>
      <c r="KG171" s="16"/>
      <c r="KH171" s="16"/>
      <c r="KK171" s="9"/>
      <c r="KL171" s="16"/>
      <c r="KM171" s="16"/>
      <c r="KN171" s="16"/>
      <c r="KO171" s="16"/>
      <c r="KP171" s="16"/>
      <c r="KQ171" s="16"/>
      <c r="KR171" s="16"/>
      <c r="KS171" s="16"/>
      <c r="KT171" s="16"/>
      <c r="KU171" s="16"/>
      <c r="KV171" s="16"/>
      <c r="KW171" s="16"/>
      <c r="KX171" s="16"/>
      <c r="KY171" s="16"/>
      <c r="KZ171" s="16"/>
      <c r="LA171" s="16"/>
      <c r="LB171" s="16"/>
      <c r="LC171" s="16"/>
      <c r="LD171" s="16"/>
      <c r="LE171" s="16"/>
      <c r="LF171" s="16"/>
      <c r="LI171" s="9"/>
      <c r="LJ171" s="16"/>
      <c r="LK171" s="16"/>
      <c r="LL171" s="16"/>
      <c r="LM171" s="16"/>
      <c r="LN171" s="16"/>
      <c r="LO171" s="16"/>
      <c r="LP171" s="16"/>
      <c r="LQ171" s="16"/>
      <c r="LR171" s="16"/>
      <c r="LS171" s="16"/>
      <c r="LT171" s="16"/>
      <c r="LU171" s="16"/>
      <c r="LV171" s="16"/>
      <c r="LW171" s="16"/>
      <c r="LX171" s="16"/>
      <c r="LY171" s="16"/>
      <c r="LZ171" s="16"/>
      <c r="MA171" s="16"/>
      <c r="MB171" s="16"/>
      <c r="MC171" s="16"/>
      <c r="MD171" s="16"/>
      <c r="MG171" s="9"/>
      <c r="MH171" s="16"/>
      <c r="MI171" s="16"/>
      <c r="MJ171" s="16"/>
      <c r="MK171" s="16"/>
      <c r="ML171" s="16"/>
      <c r="MM171" s="16"/>
      <c r="MN171" s="16"/>
      <c r="MO171" s="16"/>
      <c r="MP171" s="16"/>
      <c r="MQ171" s="16"/>
      <c r="MR171" s="16"/>
      <c r="MS171" s="16"/>
      <c r="MT171" s="16"/>
      <c r="MU171" s="16"/>
      <c r="MV171" s="16"/>
      <c r="MW171" s="16"/>
      <c r="MX171" s="16"/>
      <c r="MY171" s="16"/>
      <c r="MZ171" s="16"/>
      <c r="NA171" s="16"/>
      <c r="NB171" s="16"/>
      <c r="NE171" s="9"/>
      <c r="NF171" s="16"/>
      <c r="NG171" s="16"/>
      <c r="NH171" s="16"/>
      <c r="NI171" s="16"/>
      <c r="NJ171" s="16"/>
      <c r="NK171" s="16"/>
      <c r="NL171" s="16"/>
      <c r="NM171" s="16"/>
      <c r="NN171" s="16"/>
      <c r="NO171" s="16"/>
      <c r="NP171" s="16"/>
      <c r="NQ171" s="16"/>
      <c r="NR171" s="16"/>
      <c r="NS171" s="16"/>
      <c r="NT171" s="16"/>
      <c r="NU171" s="16"/>
      <c r="NV171" s="16"/>
      <c r="NW171" s="16"/>
      <c r="NX171" s="16"/>
      <c r="NY171" s="16"/>
      <c r="NZ171" s="16"/>
      <c r="OC171" s="9"/>
      <c r="OD171" s="16"/>
      <c r="OE171" s="16"/>
      <c r="OF171" s="16"/>
      <c r="OG171" s="16"/>
      <c r="OH171" s="16"/>
      <c r="OI171" s="16"/>
      <c r="OJ171" s="16"/>
      <c r="OK171" s="16"/>
      <c r="OL171" s="16"/>
      <c r="OM171" s="16"/>
      <c r="ON171" s="16"/>
      <c r="OO171" s="16"/>
      <c r="OP171" s="16"/>
      <c r="OQ171" s="16"/>
      <c r="OR171" s="16"/>
      <c r="OS171" s="16"/>
      <c r="OT171" s="16"/>
      <c r="OU171" s="16"/>
      <c r="OV171" s="16"/>
      <c r="OW171" s="16"/>
      <c r="OX171" s="16"/>
      <c r="PA171" s="9"/>
      <c r="PB171" s="16"/>
      <c r="PC171" s="16"/>
      <c r="PD171" s="16"/>
      <c r="PE171" s="16"/>
      <c r="PF171" s="16"/>
      <c r="PG171" s="16"/>
      <c r="PH171" s="16"/>
      <c r="PI171" s="16"/>
      <c r="PJ171" s="16"/>
      <c r="PK171" s="16"/>
      <c r="PL171" s="16"/>
      <c r="PM171" s="16"/>
      <c r="PN171" s="16"/>
      <c r="PO171" s="16"/>
      <c r="PP171" s="16"/>
      <c r="PQ171" s="16"/>
      <c r="PR171" s="16"/>
      <c r="PS171" s="16"/>
      <c r="PT171" s="16"/>
      <c r="PU171" s="16"/>
      <c r="PV171" s="16"/>
    </row>
    <row r="172" spans="3:438" x14ac:dyDescent="0.25">
      <c r="C172" s="1"/>
      <c r="D172" s="1"/>
    </row>
    <row r="173" spans="3:438" x14ac:dyDescent="0.25">
      <c r="C173" s="1"/>
      <c r="D173" s="1"/>
      <c r="I173" s="23" t="s">
        <v>22</v>
      </c>
      <c r="AG173" s="23" t="s">
        <v>21</v>
      </c>
      <c r="BE173" s="23" t="s">
        <v>21</v>
      </c>
      <c r="CC173" s="23" t="s">
        <v>21</v>
      </c>
      <c r="DA173" s="23" t="s">
        <v>21</v>
      </c>
      <c r="DY173" s="23" t="s">
        <v>21</v>
      </c>
      <c r="EW173" s="23" t="s">
        <v>21</v>
      </c>
      <c r="FU173" s="23" t="s">
        <v>21</v>
      </c>
      <c r="GS173" s="23" t="s">
        <v>21</v>
      </c>
      <c r="HQ173" s="23" t="s">
        <v>21</v>
      </c>
      <c r="IO173" s="23" t="s">
        <v>21</v>
      </c>
      <c r="JM173" s="23" t="s">
        <v>21</v>
      </c>
      <c r="KK173" s="23" t="s">
        <v>21</v>
      </c>
      <c r="LI173" s="23" t="s">
        <v>21</v>
      </c>
      <c r="MG173" s="23" t="s">
        <v>21</v>
      </c>
      <c r="NE173" s="23" t="s">
        <v>21</v>
      </c>
      <c r="OC173" s="23" t="s">
        <v>21</v>
      </c>
      <c r="PA173" s="23" t="s">
        <v>21</v>
      </c>
    </row>
    <row r="174" spans="3:438" x14ac:dyDescent="0.25">
      <c r="C174" s="1"/>
      <c r="D174" s="1"/>
      <c r="I174" s="11" t="s">
        <v>3</v>
      </c>
      <c r="J174" s="11">
        <f>J110</f>
        <v>20</v>
      </c>
      <c r="K174" s="11">
        <f t="shared" ref="K174:AD174" si="164">K110</f>
        <v>19</v>
      </c>
      <c r="L174" s="11">
        <f t="shared" si="164"/>
        <v>18</v>
      </c>
      <c r="M174" s="11">
        <f t="shared" si="164"/>
        <v>17</v>
      </c>
      <c r="N174" s="11">
        <f t="shared" si="164"/>
        <v>16</v>
      </c>
      <c r="O174" s="11">
        <f t="shared" si="164"/>
        <v>15</v>
      </c>
      <c r="P174" s="11">
        <f t="shared" si="164"/>
        <v>14</v>
      </c>
      <c r="Q174" s="11">
        <f t="shared" si="164"/>
        <v>13</v>
      </c>
      <c r="R174" s="11">
        <f t="shared" si="164"/>
        <v>12</v>
      </c>
      <c r="S174" s="11">
        <f t="shared" si="164"/>
        <v>11</v>
      </c>
      <c r="T174" s="11">
        <f t="shared" si="164"/>
        <v>10</v>
      </c>
      <c r="U174" s="11">
        <f t="shared" si="164"/>
        <v>9</v>
      </c>
      <c r="V174" s="11">
        <f t="shared" si="164"/>
        <v>8</v>
      </c>
      <c r="W174" s="11">
        <f t="shared" si="164"/>
        <v>7</v>
      </c>
      <c r="X174" s="11">
        <f t="shared" si="164"/>
        <v>6</v>
      </c>
      <c r="Y174" s="11">
        <f t="shared" si="164"/>
        <v>5</v>
      </c>
      <c r="Z174" s="11">
        <f t="shared" si="164"/>
        <v>4</v>
      </c>
      <c r="AA174" s="11">
        <f t="shared" si="164"/>
        <v>3</v>
      </c>
      <c r="AB174" s="11">
        <f t="shared" si="164"/>
        <v>2</v>
      </c>
      <c r="AC174" s="11">
        <f t="shared" si="164"/>
        <v>1</v>
      </c>
      <c r="AD174" s="11">
        <f t="shared" si="164"/>
        <v>0</v>
      </c>
      <c r="AG174" s="11" t="s">
        <v>3</v>
      </c>
      <c r="AH174" s="11">
        <f>J174</f>
        <v>20</v>
      </c>
      <c r="AI174" s="11">
        <f>K174</f>
        <v>19</v>
      </c>
      <c r="AJ174" s="11">
        <f>L174</f>
        <v>18</v>
      </c>
      <c r="AK174" s="11">
        <f>M174</f>
        <v>17</v>
      </c>
      <c r="AL174" s="11">
        <f>N174</f>
        <v>16</v>
      </c>
      <c r="AM174" s="11">
        <f t="shared" ref="AM174:BB174" si="165">O174</f>
        <v>15</v>
      </c>
      <c r="AN174" s="11">
        <f t="shared" si="165"/>
        <v>14</v>
      </c>
      <c r="AO174" s="11">
        <f t="shared" si="165"/>
        <v>13</v>
      </c>
      <c r="AP174" s="11">
        <f t="shared" si="165"/>
        <v>12</v>
      </c>
      <c r="AQ174" s="11">
        <f t="shared" si="165"/>
        <v>11</v>
      </c>
      <c r="AR174" s="11">
        <f t="shared" si="165"/>
        <v>10</v>
      </c>
      <c r="AS174" s="11">
        <f t="shared" si="165"/>
        <v>9</v>
      </c>
      <c r="AT174" s="11">
        <f t="shared" si="165"/>
        <v>8</v>
      </c>
      <c r="AU174" s="11">
        <f t="shared" si="165"/>
        <v>7</v>
      </c>
      <c r="AV174" s="11">
        <f t="shared" si="165"/>
        <v>6</v>
      </c>
      <c r="AW174" s="11">
        <f t="shared" si="165"/>
        <v>5</v>
      </c>
      <c r="AX174" s="11">
        <f t="shared" si="165"/>
        <v>4</v>
      </c>
      <c r="AY174" s="11">
        <f t="shared" si="165"/>
        <v>3</v>
      </c>
      <c r="AZ174" s="11">
        <f t="shared" si="165"/>
        <v>2</v>
      </c>
      <c r="BA174" s="11">
        <f t="shared" si="165"/>
        <v>1</v>
      </c>
      <c r="BB174" s="11">
        <f t="shared" si="165"/>
        <v>0</v>
      </c>
      <c r="BE174" s="11" t="s">
        <v>3</v>
      </c>
      <c r="BF174" s="11">
        <f>AH174</f>
        <v>20</v>
      </c>
      <c r="BG174" s="11">
        <f>AI174</f>
        <v>19</v>
      </c>
      <c r="BH174" s="11">
        <f>AJ174</f>
        <v>18</v>
      </c>
      <c r="BI174" s="11">
        <f>AK174</f>
        <v>17</v>
      </c>
      <c r="BJ174" s="11">
        <f>AL174</f>
        <v>16</v>
      </c>
      <c r="BK174" s="11">
        <f t="shared" ref="BK174:BZ174" si="166">AM174</f>
        <v>15</v>
      </c>
      <c r="BL174" s="11">
        <f t="shared" si="166"/>
        <v>14</v>
      </c>
      <c r="BM174" s="11">
        <f t="shared" si="166"/>
        <v>13</v>
      </c>
      <c r="BN174" s="11">
        <f t="shared" si="166"/>
        <v>12</v>
      </c>
      <c r="BO174" s="11">
        <f t="shared" si="166"/>
        <v>11</v>
      </c>
      <c r="BP174" s="11">
        <f t="shared" si="166"/>
        <v>10</v>
      </c>
      <c r="BQ174" s="11">
        <f t="shared" si="166"/>
        <v>9</v>
      </c>
      <c r="BR174" s="11">
        <f t="shared" si="166"/>
        <v>8</v>
      </c>
      <c r="BS174" s="11">
        <f t="shared" si="166"/>
        <v>7</v>
      </c>
      <c r="BT174" s="11">
        <f t="shared" si="166"/>
        <v>6</v>
      </c>
      <c r="BU174" s="11">
        <f t="shared" si="166"/>
        <v>5</v>
      </c>
      <c r="BV174" s="11">
        <f t="shared" si="166"/>
        <v>4</v>
      </c>
      <c r="BW174" s="11">
        <f t="shared" si="166"/>
        <v>3</v>
      </c>
      <c r="BX174" s="11">
        <f t="shared" si="166"/>
        <v>2</v>
      </c>
      <c r="BY174" s="11">
        <f t="shared" si="166"/>
        <v>1</v>
      </c>
      <c r="BZ174" s="11">
        <f t="shared" si="166"/>
        <v>0</v>
      </c>
      <c r="CC174" s="11" t="s">
        <v>3</v>
      </c>
      <c r="CD174" s="11">
        <f>BF174</f>
        <v>20</v>
      </c>
      <c r="CE174" s="11">
        <f>BG174</f>
        <v>19</v>
      </c>
      <c r="CF174" s="11">
        <f>BH174</f>
        <v>18</v>
      </c>
      <c r="CG174" s="11">
        <f>BI174</f>
        <v>17</v>
      </c>
      <c r="CH174" s="11">
        <f>BJ174</f>
        <v>16</v>
      </c>
      <c r="CI174" s="11">
        <f t="shared" ref="CI174:CX174" si="167">BK174</f>
        <v>15</v>
      </c>
      <c r="CJ174" s="11">
        <f t="shared" si="167"/>
        <v>14</v>
      </c>
      <c r="CK174" s="11">
        <f t="shared" si="167"/>
        <v>13</v>
      </c>
      <c r="CL174" s="11">
        <f t="shared" si="167"/>
        <v>12</v>
      </c>
      <c r="CM174" s="11">
        <f t="shared" si="167"/>
        <v>11</v>
      </c>
      <c r="CN174" s="11">
        <f t="shared" si="167"/>
        <v>10</v>
      </c>
      <c r="CO174" s="11">
        <f t="shared" si="167"/>
        <v>9</v>
      </c>
      <c r="CP174" s="11">
        <f t="shared" si="167"/>
        <v>8</v>
      </c>
      <c r="CQ174" s="11">
        <f t="shared" si="167"/>
        <v>7</v>
      </c>
      <c r="CR174" s="11">
        <f t="shared" si="167"/>
        <v>6</v>
      </c>
      <c r="CS174" s="11">
        <f t="shared" si="167"/>
        <v>5</v>
      </c>
      <c r="CT174" s="11">
        <f t="shared" si="167"/>
        <v>4</v>
      </c>
      <c r="CU174" s="11">
        <f t="shared" si="167"/>
        <v>3</v>
      </c>
      <c r="CV174" s="11">
        <f t="shared" si="167"/>
        <v>2</v>
      </c>
      <c r="CW174" s="11">
        <f t="shared" si="167"/>
        <v>1</v>
      </c>
      <c r="CX174" s="11">
        <f t="shared" si="167"/>
        <v>0</v>
      </c>
      <c r="DA174" s="11" t="s">
        <v>3</v>
      </c>
      <c r="DB174" s="11">
        <f>CD174</f>
        <v>20</v>
      </c>
      <c r="DC174" s="11">
        <f>CE174</f>
        <v>19</v>
      </c>
      <c r="DD174" s="11">
        <f>CF174</f>
        <v>18</v>
      </c>
      <c r="DE174" s="11">
        <f>CG174</f>
        <v>17</v>
      </c>
      <c r="DF174" s="11">
        <f>CH174</f>
        <v>16</v>
      </c>
      <c r="DG174" s="11">
        <f t="shared" ref="DG174:DV174" si="168">CI174</f>
        <v>15</v>
      </c>
      <c r="DH174" s="11">
        <f t="shared" si="168"/>
        <v>14</v>
      </c>
      <c r="DI174" s="11">
        <f t="shared" si="168"/>
        <v>13</v>
      </c>
      <c r="DJ174" s="11">
        <f t="shared" si="168"/>
        <v>12</v>
      </c>
      <c r="DK174" s="11">
        <f t="shared" si="168"/>
        <v>11</v>
      </c>
      <c r="DL174" s="11">
        <f t="shared" si="168"/>
        <v>10</v>
      </c>
      <c r="DM174" s="11">
        <f t="shared" si="168"/>
        <v>9</v>
      </c>
      <c r="DN174" s="11">
        <f t="shared" si="168"/>
        <v>8</v>
      </c>
      <c r="DO174" s="11">
        <f t="shared" si="168"/>
        <v>7</v>
      </c>
      <c r="DP174" s="11">
        <f t="shared" si="168"/>
        <v>6</v>
      </c>
      <c r="DQ174" s="11">
        <f t="shared" si="168"/>
        <v>5</v>
      </c>
      <c r="DR174" s="11">
        <f t="shared" si="168"/>
        <v>4</v>
      </c>
      <c r="DS174" s="11">
        <f t="shared" si="168"/>
        <v>3</v>
      </c>
      <c r="DT174" s="11">
        <f t="shared" si="168"/>
        <v>2</v>
      </c>
      <c r="DU174" s="11">
        <f t="shared" si="168"/>
        <v>1</v>
      </c>
      <c r="DV174" s="11">
        <f t="shared" si="168"/>
        <v>0</v>
      </c>
      <c r="DY174" s="11" t="s">
        <v>3</v>
      </c>
      <c r="DZ174" s="11">
        <f>DB174</f>
        <v>20</v>
      </c>
      <c r="EA174" s="11">
        <f>DC174</f>
        <v>19</v>
      </c>
      <c r="EB174" s="11">
        <f>DD174</f>
        <v>18</v>
      </c>
      <c r="EC174" s="11">
        <f>DE174</f>
        <v>17</v>
      </c>
      <c r="ED174" s="11">
        <f>DF174</f>
        <v>16</v>
      </c>
      <c r="EE174" s="11">
        <f t="shared" ref="EE174:ET174" si="169">DG174</f>
        <v>15</v>
      </c>
      <c r="EF174" s="11">
        <f t="shared" si="169"/>
        <v>14</v>
      </c>
      <c r="EG174" s="11">
        <f t="shared" si="169"/>
        <v>13</v>
      </c>
      <c r="EH174" s="11">
        <f t="shared" si="169"/>
        <v>12</v>
      </c>
      <c r="EI174" s="11">
        <f t="shared" si="169"/>
        <v>11</v>
      </c>
      <c r="EJ174" s="11">
        <f t="shared" si="169"/>
        <v>10</v>
      </c>
      <c r="EK174" s="11">
        <f t="shared" si="169"/>
        <v>9</v>
      </c>
      <c r="EL174" s="11">
        <f t="shared" si="169"/>
        <v>8</v>
      </c>
      <c r="EM174" s="11">
        <f t="shared" si="169"/>
        <v>7</v>
      </c>
      <c r="EN174" s="11">
        <f t="shared" si="169"/>
        <v>6</v>
      </c>
      <c r="EO174" s="11">
        <f t="shared" si="169"/>
        <v>5</v>
      </c>
      <c r="EP174" s="11">
        <f t="shared" si="169"/>
        <v>4</v>
      </c>
      <c r="EQ174" s="11">
        <f t="shared" si="169"/>
        <v>3</v>
      </c>
      <c r="ER174" s="11">
        <f t="shared" si="169"/>
        <v>2</v>
      </c>
      <c r="ES174" s="11">
        <f t="shared" si="169"/>
        <v>1</v>
      </c>
      <c r="ET174" s="11">
        <f t="shared" si="169"/>
        <v>0</v>
      </c>
      <c r="EW174" s="11" t="s">
        <v>3</v>
      </c>
      <c r="EX174" s="11">
        <f>DZ174</f>
        <v>20</v>
      </c>
      <c r="EY174" s="11">
        <f>EA174</f>
        <v>19</v>
      </c>
      <c r="EZ174" s="11">
        <f>EB174</f>
        <v>18</v>
      </c>
      <c r="FA174" s="11">
        <f>EC174</f>
        <v>17</v>
      </c>
      <c r="FB174" s="11">
        <f>ED174</f>
        <v>16</v>
      </c>
      <c r="FC174" s="11">
        <f t="shared" ref="FC174:FR174" si="170">EE174</f>
        <v>15</v>
      </c>
      <c r="FD174" s="11">
        <f t="shared" si="170"/>
        <v>14</v>
      </c>
      <c r="FE174" s="11">
        <f t="shared" si="170"/>
        <v>13</v>
      </c>
      <c r="FF174" s="11">
        <f t="shared" si="170"/>
        <v>12</v>
      </c>
      <c r="FG174" s="11">
        <f t="shared" si="170"/>
        <v>11</v>
      </c>
      <c r="FH174" s="11">
        <f t="shared" si="170"/>
        <v>10</v>
      </c>
      <c r="FI174" s="11">
        <f t="shared" si="170"/>
        <v>9</v>
      </c>
      <c r="FJ174" s="11">
        <f t="shared" si="170"/>
        <v>8</v>
      </c>
      <c r="FK174" s="11">
        <f t="shared" si="170"/>
        <v>7</v>
      </c>
      <c r="FL174" s="11">
        <f t="shared" si="170"/>
        <v>6</v>
      </c>
      <c r="FM174" s="11">
        <f t="shared" si="170"/>
        <v>5</v>
      </c>
      <c r="FN174" s="11">
        <f t="shared" si="170"/>
        <v>4</v>
      </c>
      <c r="FO174" s="11">
        <f t="shared" si="170"/>
        <v>3</v>
      </c>
      <c r="FP174" s="11">
        <f t="shared" si="170"/>
        <v>2</v>
      </c>
      <c r="FQ174" s="11">
        <f t="shared" si="170"/>
        <v>1</v>
      </c>
      <c r="FR174" s="11">
        <f t="shared" si="170"/>
        <v>0</v>
      </c>
      <c r="FU174" s="11" t="s">
        <v>3</v>
      </c>
      <c r="FV174" s="11">
        <f>EX174</f>
        <v>20</v>
      </c>
      <c r="FW174" s="11">
        <f>EY174</f>
        <v>19</v>
      </c>
      <c r="FX174" s="11">
        <f>EZ174</f>
        <v>18</v>
      </c>
      <c r="FY174" s="11">
        <f>FA174</f>
        <v>17</v>
      </c>
      <c r="FZ174" s="11">
        <f>FB174</f>
        <v>16</v>
      </c>
      <c r="GA174" s="11">
        <f t="shared" ref="GA174:GP174" si="171">FC174</f>
        <v>15</v>
      </c>
      <c r="GB174" s="11">
        <f t="shared" si="171"/>
        <v>14</v>
      </c>
      <c r="GC174" s="11">
        <f t="shared" si="171"/>
        <v>13</v>
      </c>
      <c r="GD174" s="11">
        <f t="shared" si="171"/>
        <v>12</v>
      </c>
      <c r="GE174" s="11">
        <f t="shared" si="171"/>
        <v>11</v>
      </c>
      <c r="GF174" s="11">
        <f t="shared" si="171"/>
        <v>10</v>
      </c>
      <c r="GG174" s="11">
        <f t="shared" si="171"/>
        <v>9</v>
      </c>
      <c r="GH174" s="11">
        <f t="shared" si="171"/>
        <v>8</v>
      </c>
      <c r="GI174" s="11">
        <f t="shared" si="171"/>
        <v>7</v>
      </c>
      <c r="GJ174" s="11">
        <f t="shared" si="171"/>
        <v>6</v>
      </c>
      <c r="GK174" s="11">
        <f t="shared" si="171"/>
        <v>5</v>
      </c>
      <c r="GL174" s="11">
        <f t="shared" si="171"/>
        <v>4</v>
      </c>
      <c r="GM174" s="11">
        <f t="shared" si="171"/>
        <v>3</v>
      </c>
      <c r="GN174" s="11">
        <f t="shared" si="171"/>
        <v>2</v>
      </c>
      <c r="GO174" s="11">
        <f t="shared" si="171"/>
        <v>1</v>
      </c>
      <c r="GP174" s="11">
        <f t="shared" si="171"/>
        <v>0</v>
      </c>
      <c r="GS174" s="11" t="s">
        <v>3</v>
      </c>
      <c r="GT174" s="11">
        <f>FV174</f>
        <v>20</v>
      </c>
      <c r="GU174" s="11">
        <f>FW174</f>
        <v>19</v>
      </c>
      <c r="GV174" s="11">
        <f>FX174</f>
        <v>18</v>
      </c>
      <c r="GW174" s="11">
        <f>FY174</f>
        <v>17</v>
      </c>
      <c r="GX174" s="11">
        <f>FZ174</f>
        <v>16</v>
      </c>
      <c r="GY174" s="11">
        <f t="shared" ref="GY174:HN174" si="172">GA174</f>
        <v>15</v>
      </c>
      <c r="GZ174" s="11">
        <f t="shared" si="172"/>
        <v>14</v>
      </c>
      <c r="HA174" s="11">
        <f t="shared" si="172"/>
        <v>13</v>
      </c>
      <c r="HB174" s="11">
        <f t="shared" si="172"/>
        <v>12</v>
      </c>
      <c r="HC174" s="11">
        <f t="shared" si="172"/>
        <v>11</v>
      </c>
      <c r="HD174" s="11">
        <f t="shared" si="172"/>
        <v>10</v>
      </c>
      <c r="HE174" s="11">
        <f t="shared" si="172"/>
        <v>9</v>
      </c>
      <c r="HF174" s="11">
        <f t="shared" si="172"/>
        <v>8</v>
      </c>
      <c r="HG174" s="11">
        <f t="shared" si="172"/>
        <v>7</v>
      </c>
      <c r="HH174" s="11">
        <f t="shared" si="172"/>
        <v>6</v>
      </c>
      <c r="HI174" s="11">
        <f t="shared" si="172"/>
        <v>5</v>
      </c>
      <c r="HJ174" s="11">
        <f t="shared" si="172"/>
        <v>4</v>
      </c>
      <c r="HK174" s="11">
        <f t="shared" si="172"/>
        <v>3</v>
      </c>
      <c r="HL174" s="11">
        <f t="shared" si="172"/>
        <v>2</v>
      </c>
      <c r="HM174" s="11">
        <f t="shared" si="172"/>
        <v>1</v>
      </c>
      <c r="HN174" s="11">
        <f t="shared" si="172"/>
        <v>0</v>
      </c>
      <c r="HQ174" s="11" t="s">
        <v>3</v>
      </c>
      <c r="HR174" s="11">
        <f>GT174</f>
        <v>20</v>
      </c>
      <c r="HS174" s="11">
        <f>GU174</f>
        <v>19</v>
      </c>
      <c r="HT174" s="11">
        <f>GV174</f>
        <v>18</v>
      </c>
      <c r="HU174" s="11">
        <f>GW174</f>
        <v>17</v>
      </c>
      <c r="HV174" s="11">
        <f>GX174</f>
        <v>16</v>
      </c>
      <c r="HW174" s="11">
        <f t="shared" ref="HW174:IL174" si="173">GY174</f>
        <v>15</v>
      </c>
      <c r="HX174" s="11">
        <f t="shared" si="173"/>
        <v>14</v>
      </c>
      <c r="HY174" s="11">
        <f t="shared" si="173"/>
        <v>13</v>
      </c>
      <c r="HZ174" s="11">
        <f t="shared" si="173"/>
        <v>12</v>
      </c>
      <c r="IA174" s="11">
        <f t="shared" si="173"/>
        <v>11</v>
      </c>
      <c r="IB174" s="11">
        <f t="shared" si="173"/>
        <v>10</v>
      </c>
      <c r="IC174" s="11">
        <f t="shared" si="173"/>
        <v>9</v>
      </c>
      <c r="ID174" s="11">
        <f t="shared" si="173"/>
        <v>8</v>
      </c>
      <c r="IE174" s="11">
        <f t="shared" si="173"/>
        <v>7</v>
      </c>
      <c r="IF174" s="11">
        <f t="shared" si="173"/>
        <v>6</v>
      </c>
      <c r="IG174" s="11">
        <f t="shared" si="173"/>
        <v>5</v>
      </c>
      <c r="IH174" s="11">
        <f t="shared" si="173"/>
        <v>4</v>
      </c>
      <c r="II174" s="11">
        <f t="shared" si="173"/>
        <v>3</v>
      </c>
      <c r="IJ174" s="11">
        <f t="shared" si="173"/>
        <v>2</v>
      </c>
      <c r="IK174" s="11">
        <f t="shared" si="173"/>
        <v>1</v>
      </c>
      <c r="IL174" s="11">
        <f t="shared" si="173"/>
        <v>0</v>
      </c>
      <c r="IO174" s="11" t="s">
        <v>3</v>
      </c>
      <c r="IP174" s="11">
        <f>HR174</f>
        <v>20</v>
      </c>
      <c r="IQ174" s="11">
        <f>HS174</f>
        <v>19</v>
      </c>
      <c r="IR174" s="11">
        <f>HT174</f>
        <v>18</v>
      </c>
      <c r="IS174" s="11">
        <f>HU174</f>
        <v>17</v>
      </c>
      <c r="IT174" s="11">
        <f>HV174</f>
        <v>16</v>
      </c>
      <c r="IU174" s="11">
        <f t="shared" ref="IU174:JJ174" si="174">HW174</f>
        <v>15</v>
      </c>
      <c r="IV174" s="11">
        <f t="shared" si="174"/>
        <v>14</v>
      </c>
      <c r="IW174" s="11">
        <f t="shared" si="174"/>
        <v>13</v>
      </c>
      <c r="IX174" s="11">
        <f t="shared" si="174"/>
        <v>12</v>
      </c>
      <c r="IY174" s="11">
        <f t="shared" si="174"/>
        <v>11</v>
      </c>
      <c r="IZ174" s="11">
        <f t="shared" si="174"/>
        <v>10</v>
      </c>
      <c r="JA174" s="11">
        <f t="shared" si="174"/>
        <v>9</v>
      </c>
      <c r="JB174" s="11">
        <f t="shared" si="174"/>
        <v>8</v>
      </c>
      <c r="JC174" s="11">
        <f t="shared" si="174"/>
        <v>7</v>
      </c>
      <c r="JD174" s="11">
        <f t="shared" si="174"/>
        <v>6</v>
      </c>
      <c r="JE174" s="11">
        <f t="shared" si="174"/>
        <v>5</v>
      </c>
      <c r="JF174" s="11">
        <f t="shared" si="174"/>
        <v>4</v>
      </c>
      <c r="JG174" s="11">
        <f t="shared" si="174"/>
        <v>3</v>
      </c>
      <c r="JH174" s="11">
        <f t="shared" si="174"/>
        <v>2</v>
      </c>
      <c r="JI174" s="11">
        <f t="shared" si="174"/>
        <v>1</v>
      </c>
      <c r="JJ174" s="11">
        <f t="shared" si="174"/>
        <v>0</v>
      </c>
      <c r="JM174" s="11" t="s">
        <v>3</v>
      </c>
      <c r="JN174" s="11">
        <f>IP174</f>
        <v>20</v>
      </c>
      <c r="JO174" s="11">
        <f>IQ174</f>
        <v>19</v>
      </c>
      <c r="JP174" s="11">
        <f>IR174</f>
        <v>18</v>
      </c>
      <c r="JQ174" s="11">
        <f>IS174</f>
        <v>17</v>
      </c>
      <c r="JR174" s="11">
        <f>IT174</f>
        <v>16</v>
      </c>
      <c r="JS174" s="11">
        <f t="shared" ref="JS174:KH174" si="175">IU174</f>
        <v>15</v>
      </c>
      <c r="JT174" s="11">
        <f t="shared" si="175"/>
        <v>14</v>
      </c>
      <c r="JU174" s="11">
        <f t="shared" si="175"/>
        <v>13</v>
      </c>
      <c r="JV174" s="11">
        <f t="shared" si="175"/>
        <v>12</v>
      </c>
      <c r="JW174" s="11">
        <f t="shared" si="175"/>
        <v>11</v>
      </c>
      <c r="JX174" s="11">
        <f t="shared" si="175"/>
        <v>10</v>
      </c>
      <c r="JY174" s="11">
        <f t="shared" si="175"/>
        <v>9</v>
      </c>
      <c r="JZ174" s="11">
        <f t="shared" si="175"/>
        <v>8</v>
      </c>
      <c r="KA174" s="11">
        <f t="shared" si="175"/>
        <v>7</v>
      </c>
      <c r="KB174" s="11">
        <f t="shared" si="175"/>
        <v>6</v>
      </c>
      <c r="KC174" s="11">
        <f t="shared" si="175"/>
        <v>5</v>
      </c>
      <c r="KD174" s="11">
        <f t="shared" si="175"/>
        <v>4</v>
      </c>
      <c r="KE174" s="11">
        <f t="shared" si="175"/>
        <v>3</v>
      </c>
      <c r="KF174" s="11">
        <f t="shared" si="175"/>
        <v>2</v>
      </c>
      <c r="KG174" s="11">
        <f t="shared" si="175"/>
        <v>1</v>
      </c>
      <c r="KH174" s="11">
        <f t="shared" si="175"/>
        <v>0</v>
      </c>
      <c r="KK174" s="11" t="s">
        <v>3</v>
      </c>
      <c r="KL174" s="11">
        <f>JN174</f>
        <v>20</v>
      </c>
      <c r="KM174" s="11">
        <f>JO174</f>
        <v>19</v>
      </c>
      <c r="KN174" s="11">
        <f>JP174</f>
        <v>18</v>
      </c>
      <c r="KO174" s="11">
        <f>JQ174</f>
        <v>17</v>
      </c>
      <c r="KP174" s="11">
        <f>JR174</f>
        <v>16</v>
      </c>
      <c r="KQ174" s="11">
        <f t="shared" ref="KQ174:LF174" si="176">JS174</f>
        <v>15</v>
      </c>
      <c r="KR174" s="11">
        <f t="shared" si="176"/>
        <v>14</v>
      </c>
      <c r="KS174" s="11">
        <f t="shared" si="176"/>
        <v>13</v>
      </c>
      <c r="KT174" s="11">
        <f t="shared" si="176"/>
        <v>12</v>
      </c>
      <c r="KU174" s="11">
        <f t="shared" si="176"/>
        <v>11</v>
      </c>
      <c r="KV174" s="11">
        <f t="shared" si="176"/>
        <v>10</v>
      </c>
      <c r="KW174" s="11">
        <f t="shared" si="176"/>
        <v>9</v>
      </c>
      <c r="KX174" s="11">
        <f t="shared" si="176"/>
        <v>8</v>
      </c>
      <c r="KY174" s="11">
        <f t="shared" si="176"/>
        <v>7</v>
      </c>
      <c r="KZ174" s="11">
        <f t="shared" si="176"/>
        <v>6</v>
      </c>
      <c r="LA174" s="11">
        <f t="shared" si="176"/>
        <v>5</v>
      </c>
      <c r="LB174" s="11">
        <f t="shared" si="176"/>
        <v>4</v>
      </c>
      <c r="LC174" s="11">
        <f t="shared" si="176"/>
        <v>3</v>
      </c>
      <c r="LD174" s="11">
        <f t="shared" si="176"/>
        <v>2</v>
      </c>
      <c r="LE174" s="11">
        <f t="shared" si="176"/>
        <v>1</v>
      </c>
      <c r="LF174" s="11">
        <f t="shared" si="176"/>
        <v>0</v>
      </c>
      <c r="LI174" s="11" t="s">
        <v>3</v>
      </c>
      <c r="LJ174" s="11">
        <f>KL174</f>
        <v>20</v>
      </c>
      <c r="LK174" s="11">
        <f>KM174</f>
        <v>19</v>
      </c>
      <c r="LL174" s="11">
        <f>KN174</f>
        <v>18</v>
      </c>
      <c r="LM174" s="11">
        <f>KO174</f>
        <v>17</v>
      </c>
      <c r="LN174" s="11">
        <f>KP174</f>
        <v>16</v>
      </c>
      <c r="LO174" s="11">
        <f t="shared" ref="LO174:MD174" si="177">KQ174</f>
        <v>15</v>
      </c>
      <c r="LP174" s="11">
        <f t="shared" si="177"/>
        <v>14</v>
      </c>
      <c r="LQ174" s="11">
        <f t="shared" si="177"/>
        <v>13</v>
      </c>
      <c r="LR174" s="11">
        <f t="shared" si="177"/>
        <v>12</v>
      </c>
      <c r="LS174" s="11">
        <f t="shared" si="177"/>
        <v>11</v>
      </c>
      <c r="LT174" s="11">
        <f t="shared" si="177"/>
        <v>10</v>
      </c>
      <c r="LU174" s="11">
        <f t="shared" si="177"/>
        <v>9</v>
      </c>
      <c r="LV174" s="11">
        <f t="shared" si="177"/>
        <v>8</v>
      </c>
      <c r="LW174" s="11">
        <f t="shared" si="177"/>
        <v>7</v>
      </c>
      <c r="LX174" s="11">
        <f t="shared" si="177"/>
        <v>6</v>
      </c>
      <c r="LY174" s="11">
        <f t="shared" si="177"/>
        <v>5</v>
      </c>
      <c r="LZ174" s="11">
        <f t="shared" si="177"/>
        <v>4</v>
      </c>
      <c r="MA174" s="11">
        <f t="shared" si="177"/>
        <v>3</v>
      </c>
      <c r="MB174" s="11">
        <f t="shared" si="177"/>
        <v>2</v>
      </c>
      <c r="MC174" s="11">
        <f t="shared" si="177"/>
        <v>1</v>
      </c>
      <c r="MD174" s="11">
        <f t="shared" si="177"/>
        <v>0</v>
      </c>
      <c r="MG174" s="11" t="s">
        <v>3</v>
      </c>
      <c r="MH174" s="11">
        <f>LJ174</f>
        <v>20</v>
      </c>
      <c r="MI174" s="11">
        <f>LK174</f>
        <v>19</v>
      </c>
      <c r="MJ174" s="11">
        <f>LL174</f>
        <v>18</v>
      </c>
      <c r="MK174" s="11">
        <f>LM174</f>
        <v>17</v>
      </c>
      <c r="ML174" s="11">
        <f>LN174</f>
        <v>16</v>
      </c>
      <c r="MM174" s="11">
        <f t="shared" ref="MM174:NB174" si="178">LO174</f>
        <v>15</v>
      </c>
      <c r="MN174" s="11">
        <f t="shared" si="178"/>
        <v>14</v>
      </c>
      <c r="MO174" s="11">
        <f t="shared" si="178"/>
        <v>13</v>
      </c>
      <c r="MP174" s="11">
        <f t="shared" si="178"/>
        <v>12</v>
      </c>
      <c r="MQ174" s="11">
        <f t="shared" si="178"/>
        <v>11</v>
      </c>
      <c r="MR174" s="11">
        <f t="shared" si="178"/>
        <v>10</v>
      </c>
      <c r="MS174" s="11">
        <f t="shared" si="178"/>
        <v>9</v>
      </c>
      <c r="MT174" s="11">
        <f t="shared" si="178"/>
        <v>8</v>
      </c>
      <c r="MU174" s="11">
        <f t="shared" si="178"/>
        <v>7</v>
      </c>
      <c r="MV174" s="11">
        <f t="shared" si="178"/>
        <v>6</v>
      </c>
      <c r="MW174" s="11">
        <f t="shared" si="178"/>
        <v>5</v>
      </c>
      <c r="MX174" s="11">
        <f t="shared" si="178"/>
        <v>4</v>
      </c>
      <c r="MY174" s="11">
        <f t="shared" si="178"/>
        <v>3</v>
      </c>
      <c r="MZ174" s="11">
        <f t="shared" si="178"/>
        <v>2</v>
      </c>
      <c r="NA174" s="11">
        <f t="shared" si="178"/>
        <v>1</v>
      </c>
      <c r="NB174" s="11">
        <f t="shared" si="178"/>
        <v>0</v>
      </c>
      <c r="NE174" s="11" t="s">
        <v>3</v>
      </c>
      <c r="NF174" s="11">
        <f>MH174</f>
        <v>20</v>
      </c>
      <c r="NG174" s="11">
        <f>MI174</f>
        <v>19</v>
      </c>
      <c r="NH174" s="11">
        <f>MJ174</f>
        <v>18</v>
      </c>
      <c r="NI174" s="11">
        <f>MK174</f>
        <v>17</v>
      </c>
      <c r="NJ174" s="11">
        <f>ML174</f>
        <v>16</v>
      </c>
      <c r="NK174" s="11">
        <f t="shared" ref="NK174:NZ174" si="179">MM174</f>
        <v>15</v>
      </c>
      <c r="NL174" s="11">
        <f t="shared" si="179"/>
        <v>14</v>
      </c>
      <c r="NM174" s="11">
        <f t="shared" si="179"/>
        <v>13</v>
      </c>
      <c r="NN174" s="11">
        <f t="shared" si="179"/>
        <v>12</v>
      </c>
      <c r="NO174" s="11">
        <f t="shared" si="179"/>
        <v>11</v>
      </c>
      <c r="NP174" s="11">
        <f t="shared" si="179"/>
        <v>10</v>
      </c>
      <c r="NQ174" s="11">
        <f t="shared" si="179"/>
        <v>9</v>
      </c>
      <c r="NR174" s="11">
        <f t="shared" si="179"/>
        <v>8</v>
      </c>
      <c r="NS174" s="11">
        <f t="shared" si="179"/>
        <v>7</v>
      </c>
      <c r="NT174" s="11">
        <f t="shared" si="179"/>
        <v>6</v>
      </c>
      <c r="NU174" s="11">
        <f t="shared" si="179"/>
        <v>5</v>
      </c>
      <c r="NV174" s="11">
        <f t="shared" si="179"/>
        <v>4</v>
      </c>
      <c r="NW174" s="11">
        <f t="shared" si="179"/>
        <v>3</v>
      </c>
      <c r="NX174" s="11">
        <f t="shared" si="179"/>
        <v>2</v>
      </c>
      <c r="NY174" s="11">
        <f t="shared" si="179"/>
        <v>1</v>
      </c>
      <c r="NZ174" s="11">
        <f t="shared" si="179"/>
        <v>0</v>
      </c>
      <c r="OC174" s="11" t="s">
        <v>3</v>
      </c>
      <c r="OD174" s="11">
        <f>NF174</f>
        <v>20</v>
      </c>
      <c r="OE174" s="11">
        <f>NG174</f>
        <v>19</v>
      </c>
      <c r="OF174" s="11">
        <f>NH174</f>
        <v>18</v>
      </c>
      <c r="OG174" s="11">
        <f>NI174</f>
        <v>17</v>
      </c>
      <c r="OH174" s="11">
        <f>NJ174</f>
        <v>16</v>
      </c>
      <c r="OI174" s="11">
        <f t="shared" ref="OI174:OX174" si="180">NK174</f>
        <v>15</v>
      </c>
      <c r="OJ174" s="11">
        <f t="shared" si="180"/>
        <v>14</v>
      </c>
      <c r="OK174" s="11">
        <f t="shared" si="180"/>
        <v>13</v>
      </c>
      <c r="OL174" s="11">
        <f t="shared" si="180"/>
        <v>12</v>
      </c>
      <c r="OM174" s="11">
        <f t="shared" si="180"/>
        <v>11</v>
      </c>
      <c r="ON174" s="11">
        <f t="shared" si="180"/>
        <v>10</v>
      </c>
      <c r="OO174" s="11">
        <f t="shared" si="180"/>
        <v>9</v>
      </c>
      <c r="OP174" s="11">
        <f t="shared" si="180"/>
        <v>8</v>
      </c>
      <c r="OQ174" s="11">
        <f t="shared" si="180"/>
        <v>7</v>
      </c>
      <c r="OR174" s="11">
        <f t="shared" si="180"/>
        <v>6</v>
      </c>
      <c r="OS174" s="11">
        <f t="shared" si="180"/>
        <v>5</v>
      </c>
      <c r="OT174" s="11">
        <f t="shared" si="180"/>
        <v>4</v>
      </c>
      <c r="OU174" s="11">
        <f t="shared" si="180"/>
        <v>3</v>
      </c>
      <c r="OV174" s="11">
        <f t="shared" si="180"/>
        <v>2</v>
      </c>
      <c r="OW174" s="11">
        <f t="shared" si="180"/>
        <v>1</v>
      </c>
      <c r="OX174" s="11">
        <f t="shared" si="180"/>
        <v>0</v>
      </c>
      <c r="PA174" s="11" t="s">
        <v>3</v>
      </c>
      <c r="PB174" s="11">
        <f>OD174</f>
        <v>20</v>
      </c>
      <c r="PC174" s="11">
        <f>OE174</f>
        <v>19</v>
      </c>
      <c r="PD174" s="11">
        <f>OF174</f>
        <v>18</v>
      </c>
      <c r="PE174" s="11">
        <f>OG174</f>
        <v>17</v>
      </c>
      <c r="PF174" s="11">
        <f>OH174</f>
        <v>16</v>
      </c>
      <c r="PG174" s="11">
        <f t="shared" ref="PG174:PV174" si="181">OI174</f>
        <v>15</v>
      </c>
      <c r="PH174" s="11">
        <f t="shared" si="181"/>
        <v>14</v>
      </c>
      <c r="PI174" s="11">
        <f t="shared" si="181"/>
        <v>13</v>
      </c>
      <c r="PJ174" s="11">
        <f t="shared" si="181"/>
        <v>12</v>
      </c>
      <c r="PK174" s="11">
        <f t="shared" si="181"/>
        <v>11</v>
      </c>
      <c r="PL174" s="11">
        <f t="shared" si="181"/>
        <v>10</v>
      </c>
      <c r="PM174" s="11">
        <f t="shared" si="181"/>
        <v>9</v>
      </c>
      <c r="PN174" s="11">
        <f t="shared" si="181"/>
        <v>8</v>
      </c>
      <c r="PO174" s="11">
        <f t="shared" si="181"/>
        <v>7</v>
      </c>
      <c r="PP174" s="11">
        <f t="shared" si="181"/>
        <v>6</v>
      </c>
      <c r="PQ174" s="11">
        <f t="shared" si="181"/>
        <v>5</v>
      </c>
      <c r="PR174" s="11">
        <f t="shared" si="181"/>
        <v>4</v>
      </c>
      <c r="PS174" s="11">
        <f t="shared" si="181"/>
        <v>3</v>
      </c>
      <c r="PT174" s="11">
        <f t="shared" si="181"/>
        <v>2</v>
      </c>
      <c r="PU174" s="11">
        <f t="shared" si="181"/>
        <v>1</v>
      </c>
      <c r="PV174" s="11">
        <f t="shared" si="181"/>
        <v>0</v>
      </c>
    </row>
    <row r="175" spans="3:438" x14ac:dyDescent="0.25">
      <c r="C175" s="1"/>
      <c r="D175" s="1"/>
      <c r="I175" s="9">
        <f>J174</f>
        <v>20</v>
      </c>
      <c r="J175" s="16">
        <f t="shared" ref="J175:S184" si="182">IF(J$174=$I175,1-HLOOKUP($I175,$I$27:$AD$45,J$107,0),IF(J$174-$I175=1,-HLOOKUP($I175,$I$7:$AD$25,J$107,0),IF(J$174-$I175=-1,-HLOOKUP($I175,$I$47:$AD$65,J$107,0),0)))</f>
        <v>0.99961430822649999</v>
      </c>
      <c r="K175" s="16">
        <f t="shared" si="182"/>
        <v>9.5849999999999549E-4</v>
      </c>
      <c r="L175" s="16">
        <f t="shared" si="182"/>
        <v>0</v>
      </c>
      <c r="M175" s="16">
        <f t="shared" si="182"/>
        <v>0</v>
      </c>
      <c r="N175" s="16">
        <f t="shared" si="182"/>
        <v>0</v>
      </c>
      <c r="O175" s="16">
        <f t="shared" si="182"/>
        <v>0</v>
      </c>
      <c r="P175" s="16">
        <f t="shared" si="182"/>
        <v>0</v>
      </c>
      <c r="Q175" s="16">
        <f t="shared" si="182"/>
        <v>0</v>
      </c>
      <c r="R175" s="16">
        <f t="shared" si="182"/>
        <v>0</v>
      </c>
      <c r="S175" s="16">
        <f t="shared" si="182"/>
        <v>0</v>
      </c>
      <c r="T175" s="16">
        <f t="shared" ref="T175:AD184" si="183">IF(T$174=$I175,1-HLOOKUP($I175,$I$27:$AD$45,T$107,0),IF(T$174-$I175=1,-HLOOKUP($I175,$I$7:$AD$25,T$107,0),IF(T$174-$I175=-1,-HLOOKUP($I175,$I$47:$AD$65,T$107,0),0)))</f>
        <v>0</v>
      </c>
      <c r="U175" s="16">
        <f t="shared" si="183"/>
        <v>0</v>
      </c>
      <c r="V175" s="16">
        <f t="shared" si="183"/>
        <v>0</v>
      </c>
      <c r="W175" s="16">
        <f t="shared" si="183"/>
        <v>0</v>
      </c>
      <c r="X175" s="16">
        <f t="shared" si="183"/>
        <v>0</v>
      </c>
      <c r="Y175" s="16">
        <f t="shared" si="183"/>
        <v>0</v>
      </c>
      <c r="Z175" s="16">
        <f t="shared" si="183"/>
        <v>0</v>
      </c>
      <c r="AA175" s="16">
        <f t="shared" si="183"/>
        <v>0</v>
      </c>
      <c r="AB175" s="16">
        <f t="shared" si="183"/>
        <v>0</v>
      </c>
      <c r="AC175" s="16">
        <f t="shared" si="183"/>
        <v>0</v>
      </c>
      <c r="AD175" s="16">
        <f t="shared" si="183"/>
        <v>0</v>
      </c>
      <c r="AG175" s="9">
        <f>AH174</f>
        <v>20</v>
      </c>
      <c r="AH175" s="16">
        <f t="shared" ref="AH175:AQ184" si="184">IF(AH$174=$I175,1-HLOOKUP($I175,$I$27:$AD$45,AH$107,0),IF(AH$174-$I175=1,-HLOOKUP($I175,$I$7:$AD$25,AH$107,0),IF(AH$174-$I175=-1,-HLOOKUP($I175,$I$47:$AD$65,AH$107,0),0)))</f>
        <v>0.99845642812400004</v>
      </c>
      <c r="AI175" s="16">
        <f t="shared" si="184"/>
        <v>3.8360000000000061E-3</v>
      </c>
      <c r="AJ175" s="16">
        <f t="shared" si="184"/>
        <v>0</v>
      </c>
      <c r="AK175" s="16">
        <f t="shared" si="184"/>
        <v>0</v>
      </c>
      <c r="AL175" s="16">
        <f t="shared" si="184"/>
        <v>0</v>
      </c>
      <c r="AM175" s="16">
        <f t="shared" si="184"/>
        <v>0</v>
      </c>
      <c r="AN175" s="16">
        <f t="shared" si="184"/>
        <v>0</v>
      </c>
      <c r="AO175" s="16">
        <f t="shared" si="184"/>
        <v>0</v>
      </c>
      <c r="AP175" s="16">
        <f t="shared" si="184"/>
        <v>0</v>
      </c>
      <c r="AQ175" s="16">
        <f t="shared" si="184"/>
        <v>0</v>
      </c>
      <c r="AR175" s="16">
        <f t="shared" ref="AR175:BB184" si="185">IF(AR$174=$I175,1-HLOOKUP($I175,$I$27:$AD$45,AR$107,0),IF(AR$174-$I175=1,-HLOOKUP($I175,$I$7:$AD$25,AR$107,0),IF(AR$174-$I175=-1,-HLOOKUP($I175,$I$47:$AD$65,AR$107,0),0)))</f>
        <v>0</v>
      </c>
      <c r="AS175" s="16">
        <f t="shared" si="185"/>
        <v>0</v>
      </c>
      <c r="AT175" s="16">
        <f t="shared" si="185"/>
        <v>0</v>
      </c>
      <c r="AU175" s="16">
        <f t="shared" si="185"/>
        <v>0</v>
      </c>
      <c r="AV175" s="16">
        <f t="shared" si="185"/>
        <v>0</v>
      </c>
      <c r="AW175" s="16">
        <f t="shared" si="185"/>
        <v>0</v>
      </c>
      <c r="AX175" s="16">
        <f t="shared" si="185"/>
        <v>0</v>
      </c>
      <c r="AY175" s="16">
        <f t="shared" si="185"/>
        <v>0</v>
      </c>
      <c r="AZ175" s="16">
        <f t="shared" si="185"/>
        <v>0</v>
      </c>
      <c r="BA175" s="16">
        <f t="shared" si="185"/>
        <v>0</v>
      </c>
      <c r="BB175" s="16">
        <f t="shared" si="185"/>
        <v>0</v>
      </c>
      <c r="BE175" s="9">
        <f>BF174</f>
        <v>20</v>
      </c>
      <c r="BF175" s="16">
        <f t="shared" ref="BF175:BO184" si="186">IF(BF$174=$I175,1-HLOOKUP($I175,$I$27:$AD$45,BF$107,0),IF(BF$174-$I175=1,-HLOOKUP($I175,$I$7:$AD$25,BF$107,0),IF(BF$174-$I175=-1,-HLOOKUP($I175,$I$47:$AD$65,BF$107,0),0)))</f>
        <v>0.99845662931949997</v>
      </c>
      <c r="BG175" s="16">
        <f t="shared" si="186"/>
        <v>3.835500000000003E-3</v>
      </c>
      <c r="BH175" s="16">
        <f t="shared" si="186"/>
        <v>0</v>
      </c>
      <c r="BI175" s="16">
        <f t="shared" si="186"/>
        <v>0</v>
      </c>
      <c r="BJ175" s="16">
        <f t="shared" si="186"/>
        <v>0</v>
      </c>
      <c r="BK175" s="16">
        <f t="shared" si="186"/>
        <v>0</v>
      </c>
      <c r="BL175" s="16">
        <f t="shared" si="186"/>
        <v>0</v>
      </c>
      <c r="BM175" s="16">
        <f t="shared" si="186"/>
        <v>0</v>
      </c>
      <c r="BN175" s="16">
        <f t="shared" si="186"/>
        <v>0</v>
      </c>
      <c r="BO175" s="16">
        <f t="shared" si="186"/>
        <v>0</v>
      </c>
      <c r="BP175" s="16">
        <f t="shared" ref="BP175:BZ184" si="187">IF(BP$174=$I175,1-HLOOKUP($I175,$I$27:$AD$45,BP$107,0),IF(BP$174-$I175=1,-HLOOKUP($I175,$I$7:$AD$25,BP$107,0),IF(BP$174-$I175=-1,-HLOOKUP($I175,$I$47:$AD$65,BP$107,0),0)))</f>
        <v>0</v>
      </c>
      <c r="BQ175" s="16">
        <f t="shared" si="187"/>
        <v>0</v>
      </c>
      <c r="BR175" s="16">
        <f t="shared" si="187"/>
        <v>0</v>
      </c>
      <c r="BS175" s="16">
        <f t="shared" si="187"/>
        <v>0</v>
      </c>
      <c r="BT175" s="16">
        <f t="shared" si="187"/>
        <v>0</v>
      </c>
      <c r="BU175" s="16">
        <f t="shared" si="187"/>
        <v>0</v>
      </c>
      <c r="BV175" s="16">
        <f t="shared" si="187"/>
        <v>0</v>
      </c>
      <c r="BW175" s="16">
        <f t="shared" si="187"/>
        <v>0</v>
      </c>
      <c r="BX175" s="16">
        <f t="shared" si="187"/>
        <v>0</v>
      </c>
      <c r="BY175" s="16">
        <f t="shared" si="187"/>
        <v>0</v>
      </c>
      <c r="BZ175" s="16">
        <f t="shared" si="187"/>
        <v>0</v>
      </c>
      <c r="CC175" s="9">
        <f>CD174</f>
        <v>20</v>
      </c>
      <c r="CD175" s="16">
        <f t="shared" ref="CD175:CM184" si="188">IF(CD$174=$I175,1-HLOOKUP($I175,$I$27:$AD$45,CD$107,0),IF(CD$174-$I175=1,-HLOOKUP($I175,$I$7:$AD$25,CD$107,0),IF(CD$174-$I175=-1,-HLOOKUP($I175,$I$47:$AD$65,CD$107,0),0)))</f>
        <v>0.99845662931949997</v>
      </c>
      <c r="CE175" s="16">
        <f t="shared" si="188"/>
        <v>3.8354999999999917E-3</v>
      </c>
      <c r="CF175" s="16">
        <f t="shared" si="188"/>
        <v>0</v>
      </c>
      <c r="CG175" s="16">
        <f t="shared" si="188"/>
        <v>0</v>
      </c>
      <c r="CH175" s="16">
        <f t="shared" si="188"/>
        <v>0</v>
      </c>
      <c r="CI175" s="16">
        <f t="shared" si="188"/>
        <v>0</v>
      </c>
      <c r="CJ175" s="16">
        <f t="shared" si="188"/>
        <v>0</v>
      </c>
      <c r="CK175" s="16">
        <f t="shared" si="188"/>
        <v>0</v>
      </c>
      <c r="CL175" s="16">
        <f t="shared" si="188"/>
        <v>0</v>
      </c>
      <c r="CM175" s="16">
        <f t="shared" si="188"/>
        <v>0</v>
      </c>
      <c r="CN175" s="16">
        <f t="shared" ref="CN175:CX184" si="189">IF(CN$174=$I175,1-HLOOKUP($I175,$I$27:$AD$45,CN$107,0),IF(CN$174-$I175=1,-HLOOKUP($I175,$I$7:$AD$25,CN$107,0),IF(CN$174-$I175=-1,-HLOOKUP($I175,$I$47:$AD$65,CN$107,0),0)))</f>
        <v>0</v>
      </c>
      <c r="CO175" s="16">
        <f t="shared" si="189"/>
        <v>0</v>
      </c>
      <c r="CP175" s="16">
        <f t="shared" si="189"/>
        <v>0</v>
      </c>
      <c r="CQ175" s="16">
        <f t="shared" si="189"/>
        <v>0</v>
      </c>
      <c r="CR175" s="16">
        <f t="shared" si="189"/>
        <v>0</v>
      </c>
      <c r="CS175" s="16">
        <f t="shared" si="189"/>
        <v>0</v>
      </c>
      <c r="CT175" s="16">
        <f t="shared" si="189"/>
        <v>0</v>
      </c>
      <c r="CU175" s="16">
        <f t="shared" si="189"/>
        <v>0</v>
      </c>
      <c r="CV175" s="16">
        <f t="shared" si="189"/>
        <v>0</v>
      </c>
      <c r="CW175" s="16">
        <f t="shared" si="189"/>
        <v>0</v>
      </c>
      <c r="CX175" s="16">
        <f t="shared" si="189"/>
        <v>0</v>
      </c>
      <c r="DA175" s="9">
        <f>DB174</f>
        <v>20</v>
      </c>
      <c r="DB175" s="16">
        <f t="shared" ref="DB175:DK184" si="190">IF(DB$174=$I175,1-HLOOKUP($I175,$I$27:$AD$45,DB$107,0),IF(DB$174-$I175=1,-HLOOKUP($I175,$I$7:$AD$25,DB$107,0),IF(DB$174-$I175=-1,-HLOOKUP($I175,$I$47:$AD$65,DB$107,0),0)))</f>
        <v>0.99961410703099995</v>
      </c>
      <c r="DC175" s="16">
        <f t="shared" si="190"/>
        <v>9.5900000000000987E-4</v>
      </c>
      <c r="DD175" s="16">
        <f t="shared" si="190"/>
        <v>0</v>
      </c>
      <c r="DE175" s="16">
        <f t="shared" si="190"/>
        <v>0</v>
      </c>
      <c r="DF175" s="16">
        <f t="shared" si="190"/>
        <v>0</v>
      </c>
      <c r="DG175" s="16">
        <f t="shared" si="190"/>
        <v>0</v>
      </c>
      <c r="DH175" s="16">
        <f t="shared" si="190"/>
        <v>0</v>
      </c>
      <c r="DI175" s="16">
        <f t="shared" si="190"/>
        <v>0</v>
      </c>
      <c r="DJ175" s="16">
        <f t="shared" si="190"/>
        <v>0</v>
      </c>
      <c r="DK175" s="16">
        <f t="shared" si="190"/>
        <v>0</v>
      </c>
      <c r="DL175" s="16">
        <f t="shared" ref="DL175:DV184" si="191">IF(DL$174=$I175,1-HLOOKUP($I175,$I$27:$AD$45,DL$107,0),IF(DL$174-$I175=1,-HLOOKUP($I175,$I$7:$AD$25,DL$107,0),IF(DL$174-$I175=-1,-HLOOKUP($I175,$I$47:$AD$65,DL$107,0),0)))</f>
        <v>0</v>
      </c>
      <c r="DM175" s="16">
        <f t="shared" si="191"/>
        <v>0</v>
      </c>
      <c r="DN175" s="16">
        <f t="shared" si="191"/>
        <v>0</v>
      </c>
      <c r="DO175" s="16">
        <f t="shared" si="191"/>
        <v>0</v>
      </c>
      <c r="DP175" s="16">
        <f t="shared" si="191"/>
        <v>0</v>
      </c>
      <c r="DQ175" s="16">
        <f t="shared" si="191"/>
        <v>0</v>
      </c>
      <c r="DR175" s="16">
        <f t="shared" si="191"/>
        <v>0</v>
      </c>
      <c r="DS175" s="16">
        <f t="shared" si="191"/>
        <v>0</v>
      </c>
      <c r="DT175" s="16">
        <f t="shared" si="191"/>
        <v>0</v>
      </c>
      <c r="DU175" s="16">
        <f t="shared" si="191"/>
        <v>0</v>
      </c>
      <c r="DV175" s="16">
        <f t="shared" si="191"/>
        <v>0</v>
      </c>
      <c r="DY175" s="9">
        <f>DZ174</f>
        <v>20</v>
      </c>
      <c r="DZ175" s="16">
        <f t="shared" ref="DZ175:EI184" si="192">IF(DZ$174=$I175,1-HLOOKUP($I175,$I$27:$AD$45,DZ$107,0),IF(DZ$174-$I175=1,-HLOOKUP($I175,$I$7:$AD$25,DZ$107,0),IF(DZ$174-$I175=-1,-HLOOKUP($I175,$I$47:$AD$65,DZ$107,0),0)))</f>
        <v>0.99845662931949997</v>
      </c>
      <c r="EA175" s="16">
        <f t="shared" si="192"/>
        <v>3.8354999999999917E-3</v>
      </c>
      <c r="EB175" s="16">
        <f t="shared" si="192"/>
        <v>0</v>
      </c>
      <c r="EC175" s="16">
        <f t="shared" si="192"/>
        <v>0</v>
      </c>
      <c r="ED175" s="16">
        <f t="shared" si="192"/>
        <v>0</v>
      </c>
      <c r="EE175" s="16">
        <f t="shared" si="192"/>
        <v>0</v>
      </c>
      <c r="EF175" s="16">
        <f t="shared" si="192"/>
        <v>0</v>
      </c>
      <c r="EG175" s="16">
        <f t="shared" si="192"/>
        <v>0</v>
      </c>
      <c r="EH175" s="16">
        <f t="shared" si="192"/>
        <v>0</v>
      </c>
      <c r="EI175" s="16">
        <f t="shared" si="192"/>
        <v>0</v>
      </c>
      <c r="EJ175" s="16">
        <f t="shared" ref="EJ175:ET184" si="193">IF(EJ$174=$I175,1-HLOOKUP($I175,$I$27:$AD$45,EJ$107,0),IF(EJ$174-$I175=1,-HLOOKUP($I175,$I$7:$AD$25,EJ$107,0),IF(EJ$174-$I175=-1,-HLOOKUP($I175,$I$47:$AD$65,EJ$107,0),0)))</f>
        <v>0</v>
      </c>
      <c r="EK175" s="16">
        <f t="shared" si="193"/>
        <v>0</v>
      </c>
      <c r="EL175" s="16">
        <f t="shared" si="193"/>
        <v>0</v>
      </c>
      <c r="EM175" s="16">
        <f t="shared" si="193"/>
        <v>0</v>
      </c>
      <c r="EN175" s="16">
        <f t="shared" si="193"/>
        <v>0</v>
      </c>
      <c r="EO175" s="16">
        <f t="shared" si="193"/>
        <v>0</v>
      </c>
      <c r="EP175" s="16">
        <f t="shared" si="193"/>
        <v>0</v>
      </c>
      <c r="EQ175" s="16">
        <f t="shared" si="193"/>
        <v>0</v>
      </c>
      <c r="ER175" s="16">
        <f t="shared" si="193"/>
        <v>0</v>
      </c>
      <c r="ES175" s="16">
        <f t="shared" si="193"/>
        <v>0</v>
      </c>
      <c r="ET175" s="16">
        <f t="shared" si="193"/>
        <v>0</v>
      </c>
      <c r="EW175" s="9">
        <f>EX174</f>
        <v>20</v>
      </c>
      <c r="EX175" s="16">
        <f t="shared" ref="EX175:FG184" si="194">IF(EX$174=$I175,1-HLOOKUP($I175,$I$27:$AD$45,EX$107,0),IF(EX$174-$I175=1,-HLOOKUP($I175,$I$7:$AD$25,EX$107,0),IF(EX$174-$I175=-1,-HLOOKUP($I175,$I$47:$AD$65,EX$107,0),0)))</f>
        <v>0.99845662931949997</v>
      </c>
      <c r="EY175" s="16">
        <f t="shared" si="194"/>
        <v>3.835500000000003E-3</v>
      </c>
      <c r="EZ175" s="16">
        <f t="shared" si="194"/>
        <v>0</v>
      </c>
      <c r="FA175" s="16">
        <f t="shared" si="194"/>
        <v>0</v>
      </c>
      <c r="FB175" s="16">
        <f t="shared" si="194"/>
        <v>0</v>
      </c>
      <c r="FC175" s="16">
        <f t="shared" si="194"/>
        <v>0</v>
      </c>
      <c r="FD175" s="16">
        <f t="shared" si="194"/>
        <v>0</v>
      </c>
      <c r="FE175" s="16">
        <f t="shared" si="194"/>
        <v>0</v>
      </c>
      <c r="FF175" s="16">
        <f t="shared" si="194"/>
        <v>0</v>
      </c>
      <c r="FG175" s="16">
        <f t="shared" si="194"/>
        <v>0</v>
      </c>
      <c r="FH175" s="16">
        <f t="shared" ref="FH175:FR184" si="195">IF(FH$174=$I175,1-HLOOKUP($I175,$I$27:$AD$45,FH$107,0),IF(FH$174-$I175=1,-HLOOKUP($I175,$I$7:$AD$25,FH$107,0),IF(FH$174-$I175=-1,-HLOOKUP($I175,$I$47:$AD$65,FH$107,0),0)))</f>
        <v>0</v>
      </c>
      <c r="FI175" s="16">
        <f t="shared" si="195"/>
        <v>0</v>
      </c>
      <c r="FJ175" s="16">
        <f t="shared" si="195"/>
        <v>0</v>
      </c>
      <c r="FK175" s="16">
        <f t="shared" si="195"/>
        <v>0</v>
      </c>
      <c r="FL175" s="16">
        <f t="shared" si="195"/>
        <v>0</v>
      </c>
      <c r="FM175" s="16">
        <f t="shared" si="195"/>
        <v>0</v>
      </c>
      <c r="FN175" s="16">
        <f t="shared" si="195"/>
        <v>0</v>
      </c>
      <c r="FO175" s="16">
        <f t="shared" si="195"/>
        <v>0</v>
      </c>
      <c r="FP175" s="16">
        <f t="shared" si="195"/>
        <v>0</v>
      </c>
      <c r="FQ175" s="16">
        <f t="shared" si="195"/>
        <v>0</v>
      </c>
      <c r="FR175" s="16">
        <f t="shared" si="195"/>
        <v>0</v>
      </c>
      <c r="FU175" s="9">
        <f>FV174</f>
        <v>20</v>
      </c>
      <c r="FV175" s="16">
        <f t="shared" ref="FV175:GE184" si="196">IF(FV$174=$I175,1-HLOOKUP($I175,$I$27:$AD$45,FV$107,0),IF(FV$174-$I175=1,-HLOOKUP($I175,$I$7:$AD$25,FV$107,0),IF(FV$174-$I175=-1,-HLOOKUP($I175,$I$47:$AD$65,FV$107,0),0)))</f>
        <v>0.99845642812400004</v>
      </c>
      <c r="FW175" s="16">
        <f t="shared" si="196"/>
        <v>3.8359999999999952E-3</v>
      </c>
      <c r="FX175" s="16">
        <f t="shared" si="196"/>
        <v>0</v>
      </c>
      <c r="FY175" s="16">
        <f t="shared" si="196"/>
        <v>0</v>
      </c>
      <c r="FZ175" s="16">
        <f t="shared" si="196"/>
        <v>0</v>
      </c>
      <c r="GA175" s="16">
        <f t="shared" si="196"/>
        <v>0</v>
      </c>
      <c r="GB175" s="16">
        <f t="shared" si="196"/>
        <v>0</v>
      </c>
      <c r="GC175" s="16">
        <f t="shared" si="196"/>
        <v>0</v>
      </c>
      <c r="GD175" s="16">
        <f t="shared" si="196"/>
        <v>0</v>
      </c>
      <c r="GE175" s="16">
        <f t="shared" si="196"/>
        <v>0</v>
      </c>
      <c r="GF175" s="16">
        <f t="shared" ref="GF175:GP184" si="197">IF(GF$174=$I175,1-HLOOKUP($I175,$I$27:$AD$45,GF$107,0),IF(GF$174-$I175=1,-HLOOKUP($I175,$I$7:$AD$25,GF$107,0),IF(GF$174-$I175=-1,-HLOOKUP($I175,$I$47:$AD$65,GF$107,0),0)))</f>
        <v>0</v>
      </c>
      <c r="GG175" s="16">
        <f t="shared" si="197"/>
        <v>0</v>
      </c>
      <c r="GH175" s="16">
        <f t="shared" si="197"/>
        <v>0</v>
      </c>
      <c r="GI175" s="16">
        <f t="shared" si="197"/>
        <v>0</v>
      </c>
      <c r="GJ175" s="16">
        <f t="shared" si="197"/>
        <v>0</v>
      </c>
      <c r="GK175" s="16">
        <f t="shared" si="197"/>
        <v>0</v>
      </c>
      <c r="GL175" s="16">
        <f t="shared" si="197"/>
        <v>0</v>
      </c>
      <c r="GM175" s="16">
        <f t="shared" si="197"/>
        <v>0</v>
      </c>
      <c r="GN175" s="16">
        <f t="shared" si="197"/>
        <v>0</v>
      </c>
      <c r="GO175" s="16">
        <f t="shared" si="197"/>
        <v>0</v>
      </c>
      <c r="GP175" s="16">
        <f t="shared" si="197"/>
        <v>0</v>
      </c>
      <c r="GS175" s="9">
        <f>GT174</f>
        <v>20</v>
      </c>
      <c r="GT175" s="16">
        <f t="shared" ref="GT175:HC184" si="198">IF(GT$174=$I175,1-HLOOKUP($I175,$I$27:$AD$45,GT$107,0),IF(GT$174-$I175=1,-HLOOKUP($I175,$I$7:$AD$25,GT$107,0),IF(GT$174-$I175=-1,-HLOOKUP($I175,$I$47:$AD$65,GT$107,0),0)))</f>
        <v>0.99933182974449997</v>
      </c>
      <c r="GU175" s="16">
        <f t="shared" si="198"/>
        <v>1.6605000000000092E-3</v>
      </c>
      <c r="GV175" s="16">
        <f t="shared" si="198"/>
        <v>0</v>
      </c>
      <c r="GW175" s="16">
        <f t="shared" si="198"/>
        <v>0</v>
      </c>
      <c r="GX175" s="16">
        <f t="shared" si="198"/>
        <v>0</v>
      </c>
      <c r="GY175" s="16">
        <f t="shared" si="198"/>
        <v>0</v>
      </c>
      <c r="GZ175" s="16">
        <f t="shared" si="198"/>
        <v>0</v>
      </c>
      <c r="HA175" s="16">
        <f t="shared" si="198"/>
        <v>0</v>
      </c>
      <c r="HB175" s="16">
        <f t="shared" si="198"/>
        <v>0</v>
      </c>
      <c r="HC175" s="16">
        <f t="shared" si="198"/>
        <v>0</v>
      </c>
      <c r="HD175" s="16">
        <f t="shared" ref="HD175:HN184" si="199">IF(HD$174=$I175,1-HLOOKUP($I175,$I$27:$AD$45,HD$107,0),IF(HD$174-$I175=1,-HLOOKUP($I175,$I$7:$AD$25,HD$107,0),IF(HD$174-$I175=-1,-HLOOKUP($I175,$I$47:$AD$65,HD$107,0),0)))</f>
        <v>0</v>
      </c>
      <c r="HE175" s="16">
        <f t="shared" si="199"/>
        <v>0</v>
      </c>
      <c r="HF175" s="16">
        <f t="shared" si="199"/>
        <v>0</v>
      </c>
      <c r="HG175" s="16">
        <f t="shared" si="199"/>
        <v>0</v>
      </c>
      <c r="HH175" s="16">
        <f t="shared" si="199"/>
        <v>0</v>
      </c>
      <c r="HI175" s="16">
        <f t="shared" si="199"/>
        <v>0</v>
      </c>
      <c r="HJ175" s="16">
        <f t="shared" si="199"/>
        <v>0</v>
      </c>
      <c r="HK175" s="16">
        <f t="shared" si="199"/>
        <v>0</v>
      </c>
      <c r="HL175" s="16">
        <f t="shared" si="199"/>
        <v>0</v>
      </c>
      <c r="HM175" s="16">
        <f t="shared" si="199"/>
        <v>0</v>
      </c>
      <c r="HN175" s="16">
        <f t="shared" si="199"/>
        <v>0</v>
      </c>
      <c r="HQ175" s="9">
        <f>HR174</f>
        <v>20</v>
      </c>
      <c r="HR175" s="16">
        <f t="shared" ref="HR175:IA184" si="200">IF(HR$174=$I175,1-HLOOKUP($I175,$I$27:$AD$45,HR$107,0),IF(HR$174-$I175=1,-HLOOKUP($I175,$I$7:$AD$25,HR$107,0),IF(HR$174-$I175=-1,-HLOOKUP($I175,$I$47:$AD$65,HR$107,0),0)))</f>
        <v>0.99559703767800001</v>
      </c>
      <c r="HS175" s="16">
        <f t="shared" si="200"/>
        <v>1.0941999999999997E-2</v>
      </c>
      <c r="HT175" s="16">
        <f t="shared" si="200"/>
        <v>0</v>
      </c>
      <c r="HU175" s="16">
        <f t="shared" si="200"/>
        <v>0</v>
      </c>
      <c r="HV175" s="16">
        <f t="shared" si="200"/>
        <v>0</v>
      </c>
      <c r="HW175" s="16">
        <f t="shared" si="200"/>
        <v>0</v>
      </c>
      <c r="HX175" s="16">
        <f t="shared" si="200"/>
        <v>0</v>
      </c>
      <c r="HY175" s="16">
        <f t="shared" si="200"/>
        <v>0</v>
      </c>
      <c r="HZ175" s="16">
        <f t="shared" si="200"/>
        <v>0</v>
      </c>
      <c r="IA175" s="16">
        <f t="shared" si="200"/>
        <v>0</v>
      </c>
      <c r="IB175" s="16">
        <f t="shared" ref="IB175:IL184" si="201">IF(IB$174=$I175,1-HLOOKUP($I175,$I$27:$AD$45,IB$107,0),IF(IB$174-$I175=1,-HLOOKUP($I175,$I$7:$AD$25,IB$107,0),IF(IB$174-$I175=-1,-HLOOKUP($I175,$I$47:$AD$65,IB$107,0),0)))</f>
        <v>0</v>
      </c>
      <c r="IC175" s="16">
        <f t="shared" si="201"/>
        <v>0</v>
      </c>
      <c r="ID175" s="16">
        <f t="shared" si="201"/>
        <v>0</v>
      </c>
      <c r="IE175" s="16">
        <f t="shared" si="201"/>
        <v>0</v>
      </c>
      <c r="IF175" s="16">
        <f t="shared" si="201"/>
        <v>0</v>
      </c>
      <c r="IG175" s="16">
        <f t="shared" si="201"/>
        <v>0</v>
      </c>
      <c r="IH175" s="16">
        <f t="shared" si="201"/>
        <v>0</v>
      </c>
      <c r="II175" s="16">
        <f t="shared" si="201"/>
        <v>0</v>
      </c>
      <c r="IJ175" s="16">
        <f t="shared" si="201"/>
        <v>0</v>
      </c>
      <c r="IK175" s="16">
        <f t="shared" si="201"/>
        <v>0</v>
      </c>
      <c r="IL175" s="16">
        <f t="shared" si="201"/>
        <v>0</v>
      </c>
      <c r="IO175" s="9">
        <f>IP174</f>
        <v>20</v>
      </c>
      <c r="IP175" s="16">
        <f t="shared" ref="IP175:IY184" si="202">IF(IP$174=$I175,1-HLOOKUP($I175,$I$27:$AD$45,IP$107,0),IF(IP$174-$I175=1,-HLOOKUP($I175,$I$7:$AD$25,IP$107,0),IF(IP$174-$I175=-1,-HLOOKUP($I175,$I$47:$AD$65,IP$107,0),0)))</f>
        <v>0.99933164866854995</v>
      </c>
      <c r="IQ175" s="16">
        <f t="shared" si="202"/>
        <v>1.66095E-3</v>
      </c>
      <c r="IR175" s="16">
        <f t="shared" si="202"/>
        <v>0</v>
      </c>
      <c r="IS175" s="16">
        <f t="shared" si="202"/>
        <v>0</v>
      </c>
      <c r="IT175" s="16">
        <f t="shared" si="202"/>
        <v>0</v>
      </c>
      <c r="IU175" s="16">
        <f t="shared" si="202"/>
        <v>0</v>
      </c>
      <c r="IV175" s="16">
        <f t="shared" si="202"/>
        <v>0</v>
      </c>
      <c r="IW175" s="16">
        <f t="shared" si="202"/>
        <v>0</v>
      </c>
      <c r="IX175" s="16">
        <f t="shared" si="202"/>
        <v>0</v>
      </c>
      <c r="IY175" s="16">
        <f t="shared" si="202"/>
        <v>0</v>
      </c>
      <c r="IZ175" s="16">
        <f t="shared" ref="IZ175:JJ184" si="203">IF(IZ$174=$I175,1-HLOOKUP($I175,$I$27:$AD$45,IZ$107,0),IF(IZ$174-$I175=1,-HLOOKUP($I175,$I$7:$AD$25,IZ$107,0),IF(IZ$174-$I175=-1,-HLOOKUP($I175,$I$47:$AD$65,IZ$107,0),0)))</f>
        <v>0</v>
      </c>
      <c r="JA175" s="16">
        <f t="shared" si="203"/>
        <v>0</v>
      </c>
      <c r="JB175" s="16">
        <f t="shared" si="203"/>
        <v>0</v>
      </c>
      <c r="JC175" s="16">
        <f t="shared" si="203"/>
        <v>0</v>
      </c>
      <c r="JD175" s="16">
        <f t="shared" si="203"/>
        <v>0</v>
      </c>
      <c r="JE175" s="16">
        <f t="shared" si="203"/>
        <v>0</v>
      </c>
      <c r="JF175" s="16">
        <f t="shared" si="203"/>
        <v>0</v>
      </c>
      <c r="JG175" s="16">
        <f t="shared" si="203"/>
        <v>0</v>
      </c>
      <c r="JH175" s="16">
        <f t="shared" si="203"/>
        <v>0</v>
      </c>
      <c r="JI175" s="16">
        <f t="shared" si="203"/>
        <v>0</v>
      </c>
      <c r="JJ175" s="16">
        <f t="shared" si="203"/>
        <v>0</v>
      </c>
      <c r="JM175" s="9">
        <f>JN174</f>
        <v>20</v>
      </c>
      <c r="JN175" s="16">
        <f t="shared" ref="JN175:JW184" si="204">IF(JN$174=$I175,1-HLOOKUP($I175,$I$27:$AD$45,JN$107,0),IF(JN$174-$I175=1,-HLOOKUP($I175,$I$7:$AD$25,JN$107,0),IF(JN$174-$I175=-1,-HLOOKUP($I175,$I$47:$AD$65,JN$107,0),0)))</f>
        <v>0.9955971181562</v>
      </c>
      <c r="JO175" s="16">
        <f t="shared" si="204"/>
        <v>1.0941800000000002E-2</v>
      </c>
      <c r="JP175" s="16">
        <f t="shared" si="204"/>
        <v>0</v>
      </c>
      <c r="JQ175" s="16">
        <f t="shared" si="204"/>
        <v>0</v>
      </c>
      <c r="JR175" s="16">
        <f t="shared" si="204"/>
        <v>0</v>
      </c>
      <c r="JS175" s="16">
        <f t="shared" si="204"/>
        <v>0</v>
      </c>
      <c r="JT175" s="16">
        <f t="shared" si="204"/>
        <v>0</v>
      </c>
      <c r="JU175" s="16">
        <f t="shared" si="204"/>
        <v>0</v>
      </c>
      <c r="JV175" s="16">
        <f t="shared" si="204"/>
        <v>0</v>
      </c>
      <c r="JW175" s="16">
        <f t="shared" si="204"/>
        <v>0</v>
      </c>
      <c r="JX175" s="16">
        <f t="shared" ref="JX175:KH184" si="205">IF(JX$174=$I175,1-HLOOKUP($I175,$I$27:$AD$45,JX$107,0),IF(JX$174-$I175=1,-HLOOKUP($I175,$I$7:$AD$25,JX$107,0),IF(JX$174-$I175=-1,-HLOOKUP($I175,$I$47:$AD$65,JX$107,0),0)))</f>
        <v>0</v>
      </c>
      <c r="JY175" s="16">
        <f t="shared" si="205"/>
        <v>0</v>
      </c>
      <c r="JZ175" s="16">
        <f t="shared" si="205"/>
        <v>0</v>
      </c>
      <c r="KA175" s="16">
        <f t="shared" si="205"/>
        <v>0</v>
      </c>
      <c r="KB175" s="16">
        <f t="shared" si="205"/>
        <v>0</v>
      </c>
      <c r="KC175" s="16">
        <f t="shared" si="205"/>
        <v>0</v>
      </c>
      <c r="KD175" s="16">
        <f t="shared" si="205"/>
        <v>0</v>
      </c>
      <c r="KE175" s="16">
        <f t="shared" si="205"/>
        <v>0</v>
      </c>
      <c r="KF175" s="16">
        <f t="shared" si="205"/>
        <v>0</v>
      </c>
      <c r="KG175" s="16">
        <f t="shared" si="205"/>
        <v>0</v>
      </c>
      <c r="KH175" s="16">
        <f t="shared" si="205"/>
        <v>0</v>
      </c>
      <c r="KK175" s="9">
        <f>KL174</f>
        <v>20</v>
      </c>
      <c r="KL175" s="16">
        <f t="shared" ref="KL175:KU184" si="206">IF(KL$174=$I175,1-HLOOKUP($I175,$I$27:$AD$45,KL$107,0),IF(KL$174-$I175=1,-HLOOKUP($I175,$I$7:$AD$25,KL$107,0),IF(KL$174-$I175=-1,-HLOOKUP($I175,$I$47:$AD$65,KL$107,0),0)))</f>
        <v>0.99944188368300002</v>
      </c>
      <c r="KM175" s="16">
        <f t="shared" si="206"/>
        <v>1.3869999999999993E-3</v>
      </c>
      <c r="KN175" s="16">
        <f t="shared" si="206"/>
        <v>0</v>
      </c>
      <c r="KO175" s="16">
        <f t="shared" si="206"/>
        <v>0</v>
      </c>
      <c r="KP175" s="16">
        <f t="shared" si="206"/>
        <v>0</v>
      </c>
      <c r="KQ175" s="16">
        <f t="shared" si="206"/>
        <v>0</v>
      </c>
      <c r="KR175" s="16">
        <f t="shared" si="206"/>
        <v>0</v>
      </c>
      <c r="KS175" s="16">
        <f t="shared" si="206"/>
        <v>0</v>
      </c>
      <c r="KT175" s="16">
        <f t="shared" si="206"/>
        <v>0</v>
      </c>
      <c r="KU175" s="16">
        <f t="shared" si="206"/>
        <v>0</v>
      </c>
      <c r="KV175" s="16">
        <f t="shared" ref="KV175:LF184" si="207">IF(KV$174=$I175,1-HLOOKUP($I175,$I$27:$AD$45,KV$107,0),IF(KV$174-$I175=1,-HLOOKUP($I175,$I$7:$AD$25,KV$107,0),IF(KV$174-$I175=-1,-HLOOKUP($I175,$I$47:$AD$65,KV$107,0),0)))</f>
        <v>0</v>
      </c>
      <c r="KW175" s="16">
        <f t="shared" si="207"/>
        <v>0</v>
      </c>
      <c r="KX175" s="16">
        <f t="shared" si="207"/>
        <v>0</v>
      </c>
      <c r="KY175" s="16">
        <f t="shared" si="207"/>
        <v>0</v>
      </c>
      <c r="KZ175" s="16">
        <f t="shared" si="207"/>
        <v>0</v>
      </c>
      <c r="LA175" s="16">
        <f t="shared" si="207"/>
        <v>0</v>
      </c>
      <c r="LB175" s="16">
        <f t="shared" si="207"/>
        <v>0</v>
      </c>
      <c r="LC175" s="16">
        <f t="shared" si="207"/>
        <v>0</v>
      </c>
      <c r="LD175" s="16">
        <f t="shared" si="207"/>
        <v>0</v>
      </c>
      <c r="LE175" s="16">
        <f t="shared" si="207"/>
        <v>0</v>
      </c>
      <c r="LF175" s="16">
        <f t="shared" si="207"/>
        <v>0</v>
      </c>
      <c r="LI175" s="9">
        <f>LJ174</f>
        <v>20</v>
      </c>
      <c r="LJ175" s="16">
        <f t="shared" ref="LJ175:LS184" si="208">IF(LJ$174=$I175,1-HLOOKUP($I175,$I$27:$AD$45,LJ$107,0),IF(LJ$174-$I175=1,-HLOOKUP($I175,$I$7:$AD$25,LJ$107,0),IF(LJ$174-$I175=-1,-HLOOKUP($I175,$I$47:$AD$65,LJ$107,0),0)))</f>
        <v>0.99559713827575003</v>
      </c>
      <c r="LK175" s="16">
        <f t="shared" si="208"/>
        <v>1.094175E-2</v>
      </c>
      <c r="LL175" s="16">
        <f t="shared" si="208"/>
        <v>0</v>
      </c>
      <c r="LM175" s="16">
        <f t="shared" si="208"/>
        <v>0</v>
      </c>
      <c r="LN175" s="16">
        <f t="shared" si="208"/>
        <v>0</v>
      </c>
      <c r="LO175" s="16">
        <f t="shared" si="208"/>
        <v>0</v>
      </c>
      <c r="LP175" s="16">
        <f t="shared" si="208"/>
        <v>0</v>
      </c>
      <c r="LQ175" s="16">
        <f t="shared" si="208"/>
        <v>0</v>
      </c>
      <c r="LR175" s="16">
        <f t="shared" si="208"/>
        <v>0</v>
      </c>
      <c r="LS175" s="16">
        <f t="shared" si="208"/>
        <v>0</v>
      </c>
      <c r="LT175" s="16">
        <f t="shared" ref="LT175:MD184" si="209">IF(LT$174=$I175,1-HLOOKUP($I175,$I$27:$AD$45,LT$107,0),IF(LT$174-$I175=1,-HLOOKUP($I175,$I$7:$AD$25,LT$107,0),IF(LT$174-$I175=-1,-HLOOKUP($I175,$I$47:$AD$65,LT$107,0),0)))</f>
        <v>0</v>
      </c>
      <c r="LU175" s="16">
        <f t="shared" si="209"/>
        <v>0</v>
      </c>
      <c r="LV175" s="16">
        <f t="shared" si="209"/>
        <v>0</v>
      </c>
      <c r="LW175" s="16">
        <f t="shared" si="209"/>
        <v>0</v>
      </c>
      <c r="LX175" s="16">
        <f t="shared" si="209"/>
        <v>0</v>
      </c>
      <c r="LY175" s="16">
        <f t="shared" si="209"/>
        <v>0</v>
      </c>
      <c r="LZ175" s="16">
        <f t="shared" si="209"/>
        <v>0</v>
      </c>
      <c r="MA175" s="16">
        <f t="shared" si="209"/>
        <v>0</v>
      </c>
      <c r="MB175" s="16">
        <f t="shared" si="209"/>
        <v>0</v>
      </c>
      <c r="MC175" s="16">
        <f t="shared" si="209"/>
        <v>0</v>
      </c>
      <c r="MD175" s="16">
        <f t="shared" si="209"/>
        <v>0</v>
      </c>
      <c r="MG175" s="9">
        <f>MH174</f>
        <v>20</v>
      </c>
      <c r="MH175" s="16">
        <f t="shared" ref="MH175:MQ184" si="210">IF(MH$174=$I175,1-HLOOKUP($I175,$I$27:$AD$45,MH$107,0),IF(MH$174-$I175=1,-HLOOKUP($I175,$I$7:$AD$25,MH$107,0),IF(MH$174-$I175=-1,-HLOOKUP($I175,$I$47:$AD$65,MH$107,0),0)))</f>
        <v>0.99938675611600003</v>
      </c>
      <c r="MI175" s="16">
        <f t="shared" si="210"/>
        <v>1.5240000000000004E-3</v>
      </c>
      <c r="MJ175" s="16">
        <f t="shared" si="210"/>
        <v>0</v>
      </c>
      <c r="MK175" s="16">
        <f t="shared" si="210"/>
        <v>0</v>
      </c>
      <c r="ML175" s="16">
        <f t="shared" si="210"/>
        <v>0</v>
      </c>
      <c r="MM175" s="16">
        <f t="shared" si="210"/>
        <v>0</v>
      </c>
      <c r="MN175" s="16">
        <f t="shared" si="210"/>
        <v>0</v>
      </c>
      <c r="MO175" s="16">
        <f t="shared" si="210"/>
        <v>0</v>
      </c>
      <c r="MP175" s="16">
        <f t="shared" si="210"/>
        <v>0</v>
      </c>
      <c r="MQ175" s="16">
        <f t="shared" si="210"/>
        <v>0</v>
      </c>
      <c r="MR175" s="16">
        <f t="shared" ref="MR175:NB184" si="211">IF(MR$174=$I175,1-HLOOKUP($I175,$I$27:$AD$45,MR$107,0),IF(MR$174-$I175=1,-HLOOKUP($I175,$I$7:$AD$25,MR$107,0),IF(MR$174-$I175=-1,-HLOOKUP($I175,$I$47:$AD$65,MR$107,0),0)))</f>
        <v>0</v>
      </c>
      <c r="MS175" s="16">
        <f t="shared" si="211"/>
        <v>0</v>
      </c>
      <c r="MT175" s="16">
        <f t="shared" si="211"/>
        <v>0</v>
      </c>
      <c r="MU175" s="16">
        <f t="shared" si="211"/>
        <v>0</v>
      </c>
      <c r="MV175" s="16">
        <f t="shared" si="211"/>
        <v>0</v>
      </c>
      <c r="MW175" s="16">
        <f t="shared" si="211"/>
        <v>0</v>
      </c>
      <c r="MX175" s="16">
        <f t="shared" si="211"/>
        <v>0</v>
      </c>
      <c r="MY175" s="16">
        <f t="shared" si="211"/>
        <v>0</v>
      </c>
      <c r="MZ175" s="16">
        <f t="shared" si="211"/>
        <v>0</v>
      </c>
      <c r="NA175" s="16">
        <f t="shared" si="211"/>
        <v>0</v>
      </c>
      <c r="NB175" s="16">
        <f t="shared" si="211"/>
        <v>0</v>
      </c>
      <c r="NE175" s="9">
        <f>NF174</f>
        <v>20</v>
      </c>
      <c r="NF175" s="16">
        <f t="shared" ref="NF175:NO184" si="212">IF(NF$174=$I175,1-HLOOKUP($I175,$I$27:$AD$45,NF$107,0),IF(NF$174-$I175=1,-HLOOKUP($I175,$I$7:$AD$25,NF$107,0),IF(NF$174-$I175=-1,-HLOOKUP($I175,$I$47:$AD$65,NF$107,0),0)))</f>
        <v>0.99559713827575003</v>
      </c>
      <c r="NG175" s="16">
        <f t="shared" si="212"/>
        <v>1.094175E-2</v>
      </c>
      <c r="NH175" s="16">
        <f t="shared" si="212"/>
        <v>0</v>
      </c>
      <c r="NI175" s="16">
        <f t="shared" si="212"/>
        <v>0</v>
      </c>
      <c r="NJ175" s="16">
        <f t="shared" si="212"/>
        <v>0</v>
      </c>
      <c r="NK175" s="16">
        <f t="shared" si="212"/>
        <v>0</v>
      </c>
      <c r="NL175" s="16">
        <f t="shared" si="212"/>
        <v>0</v>
      </c>
      <c r="NM175" s="16">
        <f t="shared" si="212"/>
        <v>0</v>
      </c>
      <c r="NN175" s="16">
        <f t="shared" si="212"/>
        <v>0</v>
      </c>
      <c r="NO175" s="16">
        <f t="shared" si="212"/>
        <v>0</v>
      </c>
      <c r="NP175" s="16">
        <f t="shared" ref="NP175:NZ184" si="213">IF(NP$174=$I175,1-HLOOKUP($I175,$I$27:$AD$45,NP$107,0),IF(NP$174-$I175=1,-HLOOKUP($I175,$I$7:$AD$25,NP$107,0),IF(NP$174-$I175=-1,-HLOOKUP($I175,$I$47:$AD$65,NP$107,0),0)))</f>
        <v>0</v>
      </c>
      <c r="NQ175" s="16">
        <f t="shared" si="213"/>
        <v>0</v>
      </c>
      <c r="NR175" s="16">
        <f t="shared" si="213"/>
        <v>0</v>
      </c>
      <c r="NS175" s="16">
        <f t="shared" si="213"/>
        <v>0</v>
      </c>
      <c r="NT175" s="16">
        <f t="shared" si="213"/>
        <v>0</v>
      </c>
      <c r="NU175" s="16">
        <f t="shared" si="213"/>
        <v>0</v>
      </c>
      <c r="NV175" s="16">
        <f t="shared" si="213"/>
        <v>0</v>
      </c>
      <c r="NW175" s="16">
        <f t="shared" si="213"/>
        <v>0</v>
      </c>
      <c r="NX175" s="16">
        <f t="shared" si="213"/>
        <v>0</v>
      </c>
      <c r="NY175" s="16">
        <f t="shared" si="213"/>
        <v>0</v>
      </c>
      <c r="NZ175" s="16">
        <f t="shared" si="213"/>
        <v>0</v>
      </c>
      <c r="OC175" s="9">
        <f>OD174</f>
        <v>20</v>
      </c>
      <c r="OD175" s="16">
        <f t="shared" ref="OD175:OM184" si="214">IF(OD$174=$I175,1-HLOOKUP($I175,$I$27:$AD$45,OD$107,0),IF(OD$174-$I175=1,-HLOOKUP($I175,$I$7:$AD$25,OD$107,0),IF(OD$174-$I175=-1,-HLOOKUP($I175,$I$47:$AD$65,OD$107,0),0)))</f>
        <v>0.99933164866854995</v>
      </c>
      <c r="OE175" s="16">
        <f t="shared" si="214"/>
        <v>1.6609499999999987E-3</v>
      </c>
      <c r="OF175" s="16">
        <f t="shared" si="214"/>
        <v>0</v>
      </c>
      <c r="OG175" s="16">
        <f t="shared" si="214"/>
        <v>0</v>
      </c>
      <c r="OH175" s="16">
        <f t="shared" si="214"/>
        <v>0</v>
      </c>
      <c r="OI175" s="16">
        <f t="shared" si="214"/>
        <v>0</v>
      </c>
      <c r="OJ175" s="16">
        <f t="shared" si="214"/>
        <v>0</v>
      </c>
      <c r="OK175" s="16">
        <f t="shared" si="214"/>
        <v>0</v>
      </c>
      <c r="OL175" s="16">
        <f t="shared" si="214"/>
        <v>0</v>
      </c>
      <c r="OM175" s="16">
        <f t="shared" si="214"/>
        <v>0</v>
      </c>
      <c r="ON175" s="16">
        <f t="shared" ref="ON175:OX184" si="215">IF(ON$174=$I175,1-HLOOKUP($I175,$I$27:$AD$45,ON$107,0),IF(ON$174-$I175=1,-HLOOKUP($I175,$I$7:$AD$25,ON$107,0),IF(ON$174-$I175=-1,-HLOOKUP($I175,$I$47:$AD$65,ON$107,0),0)))</f>
        <v>0</v>
      </c>
      <c r="OO175" s="16">
        <f t="shared" si="215"/>
        <v>0</v>
      </c>
      <c r="OP175" s="16">
        <f t="shared" si="215"/>
        <v>0</v>
      </c>
      <c r="OQ175" s="16">
        <f t="shared" si="215"/>
        <v>0</v>
      </c>
      <c r="OR175" s="16">
        <f t="shared" si="215"/>
        <v>0</v>
      </c>
      <c r="OS175" s="16">
        <f t="shared" si="215"/>
        <v>0</v>
      </c>
      <c r="OT175" s="16">
        <f t="shared" si="215"/>
        <v>0</v>
      </c>
      <c r="OU175" s="16">
        <f t="shared" si="215"/>
        <v>0</v>
      </c>
      <c r="OV175" s="16">
        <f t="shared" si="215"/>
        <v>0</v>
      </c>
      <c r="OW175" s="16">
        <f t="shared" si="215"/>
        <v>0</v>
      </c>
      <c r="OX175" s="16">
        <f t="shared" si="215"/>
        <v>0</v>
      </c>
      <c r="PA175" s="9">
        <f>PB174</f>
        <v>20</v>
      </c>
      <c r="PB175" s="16">
        <f t="shared" ref="PB175:PK184" si="216">IF(PB$174=$I175,1-HLOOKUP($I175,$I$27:$AD$45,PB$107,0),IF(PB$174-$I175=1,-HLOOKUP($I175,$I$7:$AD$25,PB$107,0),IF(PB$174-$I175=-1,-HLOOKUP($I175,$I$47:$AD$65,PB$107,0),0)))</f>
        <v>0.99559731935170004</v>
      </c>
      <c r="PC175" s="16">
        <f t="shared" si="216"/>
        <v>1.0941300000000001E-2</v>
      </c>
      <c r="PD175" s="16">
        <f t="shared" si="216"/>
        <v>0</v>
      </c>
      <c r="PE175" s="16">
        <f t="shared" si="216"/>
        <v>0</v>
      </c>
      <c r="PF175" s="16">
        <f t="shared" si="216"/>
        <v>0</v>
      </c>
      <c r="PG175" s="16">
        <f t="shared" si="216"/>
        <v>0</v>
      </c>
      <c r="PH175" s="16">
        <f t="shared" si="216"/>
        <v>0</v>
      </c>
      <c r="PI175" s="16">
        <f t="shared" si="216"/>
        <v>0</v>
      </c>
      <c r="PJ175" s="16">
        <f t="shared" si="216"/>
        <v>0</v>
      </c>
      <c r="PK175" s="16">
        <f t="shared" si="216"/>
        <v>0</v>
      </c>
      <c r="PL175" s="16">
        <f t="shared" ref="PL175:PV184" si="217">IF(PL$174=$I175,1-HLOOKUP($I175,$I$27:$AD$45,PL$107,0),IF(PL$174-$I175=1,-HLOOKUP($I175,$I$7:$AD$25,PL$107,0),IF(PL$174-$I175=-1,-HLOOKUP($I175,$I$47:$AD$65,PL$107,0),0)))</f>
        <v>0</v>
      </c>
      <c r="PM175" s="16">
        <f t="shared" si="217"/>
        <v>0</v>
      </c>
      <c r="PN175" s="16">
        <f t="shared" si="217"/>
        <v>0</v>
      </c>
      <c r="PO175" s="16">
        <f t="shared" si="217"/>
        <v>0</v>
      </c>
      <c r="PP175" s="16">
        <f t="shared" si="217"/>
        <v>0</v>
      </c>
      <c r="PQ175" s="16">
        <f t="shared" si="217"/>
        <v>0</v>
      </c>
      <c r="PR175" s="16">
        <f t="shared" si="217"/>
        <v>0</v>
      </c>
      <c r="PS175" s="16">
        <f t="shared" si="217"/>
        <v>0</v>
      </c>
      <c r="PT175" s="16">
        <f t="shared" si="217"/>
        <v>0</v>
      </c>
      <c r="PU175" s="16">
        <f t="shared" si="217"/>
        <v>0</v>
      </c>
      <c r="PV175" s="16">
        <f t="shared" si="217"/>
        <v>0</v>
      </c>
    </row>
    <row r="176" spans="3:438" x14ac:dyDescent="0.25">
      <c r="C176" s="1"/>
      <c r="D176" s="1"/>
      <c r="I176" s="9">
        <f>I175-1</f>
        <v>19</v>
      </c>
      <c r="J176" s="16">
        <f t="shared" si="182"/>
        <v>1.4075890172033688E-2</v>
      </c>
      <c r="K176" s="16">
        <f t="shared" si="182"/>
        <v>0.97150109712432176</v>
      </c>
      <c r="L176" s="16">
        <f t="shared" si="182"/>
        <v>1.4938540011644533E-2</v>
      </c>
      <c r="M176" s="16">
        <f t="shared" si="182"/>
        <v>0</v>
      </c>
      <c r="N176" s="16">
        <f t="shared" si="182"/>
        <v>0</v>
      </c>
      <c r="O176" s="16">
        <f t="shared" si="182"/>
        <v>0</v>
      </c>
      <c r="P176" s="16">
        <f t="shared" si="182"/>
        <v>0</v>
      </c>
      <c r="Q176" s="16">
        <f t="shared" si="182"/>
        <v>0</v>
      </c>
      <c r="R176" s="16">
        <f t="shared" si="182"/>
        <v>0</v>
      </c>
      <c r="S176" s="16">
        <f t="shared" si="182"/>
        <v>0</v>
      </c>
      <c r="T176" s="16">
        <f t="shared" si="183"/>
        <v>0</v>
      </c>
      <c r="U176" s="16">
        <f t="shared" si="183"/>
        <v>0</v>
      </c>
      <c r="V176" s="16">
        <f t="shared" si="183"/>
        <v>0</v>
      </c>
      <c r="W176" s="16">
        <f t="shared" si="183"/>
        <v>0</v>
      </c>
      <c r="X176" s="16">
        <f t="shared" si="183"/>
        <v>0</v>
      </c>
      <c r="Y176" s="16">
        <f t="shared" si="183"/>
        <v>0</v>
      </c>
      <c r="Z176" s="16">
        <f t="shared" si="183"/>
        <v>0</v>
      </c>
      <c r="AA176" s="16">
        <f t="shared" si="183"/>
        <v>0</v>
      </c>
      <c r="AB176" s="16">
        <f t="shared" si="183"/>
        <v>0</v>
      </c>
      <c r="AC176" s="16">
        <f t="shared" si="183"/>
        <v>0</v>
      </c>
      <c r="AD176" s="16">
        <f t="shared" si="183"/>
        <v>0</v>
      </c>
      <c r="AG176" s="9">
        <f>AG175-1</f>
        <v>19</v>
      </c>
      <c r="AH176" s="16">
        <f t="shared" si="184"/>
        <v>5.6332931350987547E-2</v>
      </c>
      <c r="AI176" s="16">
        <f t="shared" si="184"/>
        <v>0.88594492286791615</v>
      </c>
      <c r="AJ176" s="16">
        <f t="shared" si="184"/>
        <v>5.9785330709096286E-2</v>
      </c>
      <c r="AK176" s="16">
        <f t="shared" si="184"/>
        <v>0</v>
      </c>
      <c r="AL176" s="16">
        <f t="shared" si="184"/>
        <v>0</v>
      </c>
      <c r="AM176" s="16">
        <f t="shared" si="184"/>
        <v>0</v>
      </c>
      <c r="AN176" s="16">
        <f t="shared" si="184"/>
        <v>0</v>
      </c>
      <c r="AO176" s="16">
        <f t="shared" si="184"/>
        <v>0</v>
      </c>
      <c r="AP176" s="16">
        <f t="shared" si="184"/>
        <v>0</v>
      </c>
      <c r="AQ176" s="16">
        <f t="shared" si="184"/>
        <v>0</v>
      </c>
      <c r="AR176" s="16">
        <f t="shared" si="185"/>
        <v>0</v>
      </c>
      <c r="AS176" s="16">
        <f t="shared" si="185"/>
        <v>0</v>
      </c>
      <c r="AT176" s="16">
        <f t="shared" si="185"/>
        <v>0</v>
      </c>
      <c r="AU176" s="16">
        <f t="shared" si="185"/>
        <v>0</v>
      </c>
      <c r="AV176" s="16">
        <f t="shared" si="185"/>
        <v>0</v>
      </c>
      <c r="AW176" s="16">
        <f t="shared" si="185"/>
        <v>0</v>
      </c>
      <c r="AX176" s="16">
        <f t="shared" si="185"/>
        <v>0</v>
      </c>
      <c r="AY176" s="16">
        <f t="shared" si="185"/>
        <v>0</v>
      </c>
      <c r="AZ176" s="16">
        <f t="shared" si="185"/>
        <v>0</v>
      </c>
      <c r="BA176" s="16">
        <f t="shared" si="185"/>
        <v>0</v>
      </c>
      <c r="BB176" s="16">
        <f t="shared" si="185"/>
        <v>0</v>
      </c>
      <c r="BE176" s="9">
        <f>BE175-1</f>
        <v>19</v>
      </c>
      <c r="BF176" s="16">
        <f t="shared" si="186"/>
        <v>5.6325588685274389E-2</v>
      </c>
      <c r="BG176" s="16">
        <f t="shared" si="186"/>
        <v>0.88595978927525887</v>
      </c>
      <c r="BH176" s="16">
        <f t="shared" si="186"/>
        <v>5.9777538043466791E-2</v>
      </c>
      <c r="BI176" s="16">
        <f t="shared" si="186"/>
        <v>0</v>
      </c>
      <c r="BJ176" s="16">
        <f t="shared" si="186"/>
        <v>0</v>
      </c>
      <c r="BK176" s="16">
        <f t="shared" si="186"/>
        <v>0</v>
      </c>
      <c r="BL176" s="16">
        <f t="shared" si="186"/>
        <v>0</v>
      </c>
      <c r="BM176" s="16">
        <f t="shared" si="186"/>
        <v>0</v>
      </c>
      <c r="BN176" s="16">
        <f t="shared" si="186"/>
        <v>0</v>
      </c>
      <c r="BO176" s="16">
        <f t="shared" si="186"/>
        <v>0</v>
      </c>
      <c r="BP176" s="16">
        <f t="shared" si="187"/>
        <v>0</v>
      </c>
      <c r="BQ176" s="16">
        <f t="shared" si="187"/>
        <v>0</v>
      </c>
      <c r="BR176" s="16">
        <f t="shared" si="187"/>
        <v>0</v>
      </c>
      <c r="BS176" s="16">
        <f t="shared" si="187"/>
        <v>0</v>
      </c>
      <c r="BT176" s="16">
        <f t="shared" si="187"/>
        <v>0</v>
      </c>
      <c r="BU176" s="16">
        <f t="shared" si="187"/>
        <v>0</v>
      </c>
      <c r="BV176" s="16">
        <f t="shared" si="187"/>
        <v>0</v>
      </c>
      <c r="BW176" s="16">
        <f t="shared" si="187"/>
        <v>0</v>
      </c>
      <c r="BX176" s="16">
        <f t="shared" si="187"/>
        <v>0</v>
      </c>
      <c r="BY176" s="16">
        <f t="shared" si="187"/>
        <v>0</v>
      </c>
      <c r="BZ176" s="16">
        <f t="shared" si="187"/>
        <v>0</v>
      </c>
      <c r="CC176" s="9">
        <f>CC175-1</f>
        <v>19</v>
      </c>
      <c r="CD176" s="16">
        <f t="shared" si="188"/>
        <v>5.6325588685274229E-2</v>
      </c>
      <c r="CE176" s="16">
        <f t="shared" si="188"/>
        <v>0.88595978927525909</v>
      </c>
      <c r="CF176" s="16">
        <f t="shared" si="188"/>
        <v>5.9777538043466617E-2</v>
      </c>
      <c r="CG176" s="16">
        <f t="shared" si="188"/>
        <v>0</v>
      </c>
      <c r="CH176" s="16">
        <f t="shared" si="188"/>
        <v>0</v>
      </c>
      <c r="CI176" s="16">
        <f t="shared" si="188"/>
        <v>0</v>
      </c>
      <c r="CJ176" s="16">
        <f t="shared" si="188"/>
        <v>0</v>
      </c>
      <c r="CK176" s="16">
        <f t="shared" si="188"/>
        <v>0</v>
      </c>
      <c r="CL176" s="16">
        <f t="shared" si="188"/>
        <v>0</v>
      </c>
      <c r="CM176" s="16">
        <f t="shared" si="188"/>
        <v>0</v>
      </c>
      <c r="CN176" s="16">
        <f t="shared" si="189"/>
        <v>0</v>
      </c>
      <c r="CO176" s="16">
        <f t="shared" si="189"/>
        <v>0</v>
      </c>
      <c r="CP176" s="16">
        <f t="shared" si="189"/>
        <v>0</v>
      </c>
      <c r="CQ176" s="16">
        <f t="shared" si="189"/>
        <v>0</v>
      </c>
      <c r="CR176" s="16">
        <f t="shared" si="189"/>
        <v>0</v>
      </c>
      <c r="CS176" s="16">
        <f t="shared" si="189"/>
        <v>0</v>
      </c>
      <c r="CT176" s="16">
        <f t="shared" si="189"/>
        <v>0</v>
      </c>
      <c r="CU176" s="16">
        <f t="shared" si="189"/>
        <v>0</v>
      </c>
      <c r="CV176" s="16">
        <f t="shared" si="189"/>
        <v>0</v>
      </c>
      <c r="CW176" s="16">
        <f t="shared" si="189"/>
        <v>0</v>
      </c>
      <c r="CX176" s="16">
        <f t="shared" si="189"/>
        <v>0</v>
      </c>
      <c r="DA176" s="9">
        <f>DA175-1</f>
        <v>19</v>
      </c>
      <c r="DB176" s="16">
        <f t="shared" si="190"/>
        <v>1.408323283774701E-2</v>
      </c>
      <c r="DC176" s="16">
        <f t="shared" si="190"/>
        <v>0.97148623071697882</v>
      </c>
      <c r="DD176" s="16">
        <f t="shared" si="190"/>
        <v>1.4946332677274202E-2</v>
      </c>
      <c r="DE176" s="16">
        <f t="shared" si="190"/>
        <v>0</v>
      </c>
      <c r="DF176" s="16">
        <f t="shared" si="190"/>
        <v>0</v>
      </c>
      <c r="DG176" s="16">
        <f t="shared" si="190"/>
        <v>0</v>
      </c>
      <c r="DH176" s="16">
        <f t="shared" si="190"/>
        <v>0</v>
      </c>
      <c r="DI176" s="16">
        <f t="shared" si="190"/>
        <v>0</v>
      </c>
      <c r="DJ176" s="16">
        <f t="shared" si="190"/>
        <v>0</v>
      </c>
      <c r="DK176" s="16">
        <f t="shared" si="190"/>
        <v>0</v>
      </c>
      <c r="DL176" s="16">
        <f t="shared" si="191"/>
        <v>0</v>
      </c>
      <c r="DM176" s="16">
        <f t="shared" si="191"/>
        <v>0</v>
      </c>
      <c r="DN176" s="16">
        <f t="shared" si="191"/>
        <v>0</v>
      </c>
      <c r="DO176" s="16">
        <f t="shared" si="191"/>
        <v>0</v>
      </c>
      <c r="DP176" s="16">
        <f t="shared" si="191"/>
        <v>0</v>
      </c>
      <c r="DQ176" s="16">
        <f t="shared" si="191"/>
        <v>0</v>
      </c>
      <c r="DR176" s="16">
        <f t="shared" si="191"/>
        <v>0</v>
      </c>
      <c r="DS176" s="16">
        <f t="shared" si="191"/>
        <v>0</v>
      </c>
      <c r="DT176" s="16">
        <f t="shared" si="191"/>
        <v>0</v>
      </c>
      <c r="DU176" s="16">
        <f t="shared" si="191"/>
        <v>0</v>
      </c>
      <c r="DV176" s="16">
        <f t="shared" si="191"/>
        <v>0</v>
      </c>
      <c r="DY176" s="9">
        <f>DY175-1</f>
        <v>19</v>
      </c>
      <c r="DZ176" s="16">
        <f t="shared" si="192"/>
        <v>4.038104289902144E-2</v>
      </c>
      <c r="EA176" s="16">
        <f t="shared" si="192"/>
        <v>0.91784888084776473</v>
      </c>
      <c r="EB176" s="16">
        <f t="shared" si="192"/>
        <v>4.3832992257213828E-2</v>
      </c>
      <c r="EC176" s="16">
        <f t="shared" si="192"/>
        <v>0</v>
      </c>
      <c r="ED176" s="16">
        <f t="shared" si="192"/>
        <v>0</v>
      </c>
      <c r="EE176" s="16">
        <f t="shared" si="192"/>
        <v>0</v>
      </c>
      <c r="EF176" s="16">
        <f t="shared" si="192"/>
        <v>0</v>
      </c>
      <c r="EG176" s="16">
        <f t="shared" si="192"/>
        <v>0</v>
      </c>
      <c r="EH176" s="16">
        <f t="shared" si="192"/>
        <v>0</v>
      </c>
      <c r="EI176" s="16">
        <f t="shared" si="192"/>
        <v>0</v>
      </c>
      <c r="EJ176" s="16">
        <f t="shared" si="193"/>
        <v>0</v>
      </c>
      <c r="EK176" s="16">
        <f t="shared" si="193"/>
        <v>0</v>
      </c>
      <c r="EL176" s="16">
        <f t="shared" si="193"/>
        <v>0</v>
      </c>
      <c r="EM176" s="16">
        <f t="shared" si="193"/>
        <v>0</v>
      </c>
      <c r="EN176" s="16">
        <f t="shared" si="193"/>
        <v>0</v>
      </c>
      <c r="EO176" s="16">
        <f t="shared" si="193"/>
        <v>0</v>
      </c>
      <c r="EP176" s="16">
        <f t="shared" si="193"/>
        <v>0</v>
      </c>
      <c r="EQ176" s="16">
        <f t="shared" si="193"/>
        <v>0</v>
      </c>
      <c r="ER176" s="16">
        <f t="shared" si="193"/>
        <v>0</v>
      </c>
      <c r="ES176" s="16">
        <f t="shared" si="193"/>
        <v>0</v>
      </c>
      <c r="ET176" s="16">
        <f t="shared" si="193"/>
        <v>0</v>
      </c>
      <c r="EW176" s="9">
        <f>EW175-1</f>
        <v>19</v>
      </c>
      <c r="EX176" s="16">
        <f t="shared" si="194"/>
        <v>4.0381042899021551E-2</v>
      </c>
      <c r="EY176" s="16">
        <f t="shared" si="194"/>
        <v>0.9178488808477645</v>
      </c>
      <c r="EZ176" s="16">
        <f t="shared" si="194"/>
        <v>4.3832992257213953E-2</v>
      </c>
      <c r="FA176" s="16">
        <f t="shared" si="194"/>
        <v>0</v>
      </c>
      <c r="FB176" s="16">
        <f t="shared" si="194"/>
        <v>0</v>
      </c>
      <c r="FC176" s="16">
        <f t="shared" si="194"/>
        <v>0</v>
      </c>
      <c r="FD176" s="16">
        <f t="shared" si="194"/>
        <v>0</v>
      </c>
      <c r="FE176" s="16">
        <f t="shared" si="194"/>
        <v>0</v>
      </c>
      <c r="FF176" s="16">
        <f t="shared" si="194"/>
        <v>0</v>
      </c>
      <c r="FG176" s="16">
        <f t="shared" si="194"/>
        <v>0</v>
      </c>
      <c r="FH176" s="16">
        <f t="shared" si="195"/>
        <v>0</v>
      </c>
      <c r="FI176" s="16">
        <f t="shared" si="195"/>
        <v>0</v>
      </c>
      <c r="FJ176" s="16">
        <f t="shared" si="195"/>
        <v>0</v>
      </c>
      <c r="FK176" s="16">
        <f t="shared" si="195"/>
        <v>0</v>
      </c>
      <c r="FL176" s="16">
        <f t="shared" si="195"/>
        <v>0</v>
      </c>
      <c r="FM176" s="16">
        <f t="shared" si="195"/>
        <v>0</v>
      </c>
      <c r="FN176" s="16">
        <f t="shared" si="195"/>
        <v>0</v>
      </c>
      <c r="FO176" s="16">
        <f t="shared" si="195"/>
        <v>0</v>
      </c>
      <c r="FP176" s="16">
        <f t="shared" si="195"/>
        <v>0</v>
      </c>
      <c r="FQ176" s="16">
        <f t="shared" si="195"/>
        <v>0</v>
      </c>
      <c r="FR176" s="16">
        <f t="shared" si="195"/>
        <v>0</v>
      </c>
      <c r="FU176" s="9">
        <f>FU175-1</f>
        <v>19</v>
      </c>
      <c r="FV176" s="16">
        <f t="shared" si="196"/>
        <v>4.0386307016202938E-2</v>
      </c>
      <c r="FW176" s="16">
        <f t="shared" si="196"/>
        <v>0.91783817153748537</v>
      </c>
      <c r="FX176" s="16">
        <f t="shared" si="196"/>
        <v>4.3838706374311663E-2</v>
      </c>
      <c r="FY176" s="16">
        <f t="shared" si="196"/>
        <v>0</v>
      </c>
      <c r="FZ176" s="16">
        <f t="shared" si="196"/>
        <v>0</v>
      </c>
      <c r="GA176" s="16">
        <f t="shared" si="196"/>
        <v>0</v>
      </c>
      <c r="GB176" s="16">
        <f t="shared" si="196"/>
        <v>0</v>
      </c>
      <c r="GC176" s="16">
        <f t="shared" si="196"/>
        <v>0</v>
      </c>
      <c r="GD176" s="16">
        <f t="shared" si="196"/>
        <v>0</v>
      </c>
      <c r="GE176" s="16">
        <f t="shared" si="196"/>
        <v>0</v>
      </c>
      <c r="GF176" s="16">
        <f t="shared" si="197"/>
        <v>0</v>
      </c>
      <c r="GG176" s="16">
        <f t="shared" si="197"/>
        <v>0</v>
      </c>
      <c r="GH176" s="16">
        <f t="shared" si="197"/>
        <v>0</v>
      </c>
      <c r="GI176" s="16">
        <f t="shared" si="197"/>
        <v>0</v>
      </c>
      <c r="GJ176" s="16">
        <f t="shared" si="197"/>
        <v>0</v>
      </c>
      <c r="GK176" s="16">
        <f t="shared" si="197"/>
        <v>0</v>
      </c>
      <c r="GL176" s="16">
        <f t="shared" si="197"/>
        <v>0</v>
      </c>
      <c r="GM176" s="16">
        <f t="shared" si="197"/>
        <v>0</v>
      </c>
      <c r="GN176" s="16">
        <f t="shared" si="197"/>
        <v>0</v>
      </c>
      <c r="GO176" s="16">
        <f t="shared" si="197"/>
        <v>0</v>
      </c>
      <c r="GP176" s="16">
        <f t="shared" si="197"/>
        <v>0</v>
      </c>
      <c r="GS176" s="9">
        <f>GS175-1</f>
        <v>19</v>
      </c>
      <c r="GT176" s="16">
        <f t="shared" si="198"/>
        <v>1.7482133159646879E-2</v>
      </c>
      <c r="GU176" s="16">
        <f t="shared" si="198"/>
        <v>0.96443438056256348</v>
      </c>
      <c r="GV176" s="16">
        <f t="shared" si="198"/>
        <v>1.897658288178963E-2</v>
      </c>
      <c r="GW176" s="16">
        <f t="shared" si="198"/>
        <v>0</v>
      </c>
      <c r="GX176" s="16">
        <f t="shared" si="198"/>
        <v>0</v>
      </c>
      <c r="GY176" s="16">
        <f t="shared" si="198"/>
        <v>0</v>
      </c>
      <c r="GZ176" s="16">
        <f t="shared" si="198"/>
        <v>0</v>
      </c>
      <c r="HA176" s="16">
        <f t="shared" si="198"/>
        <v>0</v>
      </c>
      <c r="HB176" s="16">
        <f t="shared" si="198"/>
        <v>0</v>
      </c>
      <c r="HC176" s="16">
        <f t="shared" si="198"/>
        <v>0</v>
      </c>
      <c r="HD176" s="16">
        <f t="shared" si="199"/>
        <v>0</v>
      </c>
      <c r="HE176" s="16">
        <f t="shared" si="199"/>
        <v>0</v>
      </c>
      <c r="HF176" s="16">
        <f t="shared" si="199"/>
        <v>0</v>
      </c>
      <c r="HG176" s="16">
        <f t="shared" si="199"/>
        <v>0</v>
      </c>
      <c r="HH176" s="16">
        <f t="shared" si="199"/>
        <v>0</v>
      </c>
      <c r="HI176" s="16">
        <f t="shared" si="199"/>
        <v>0</v>
      </c>
      <c r="HJ176" s="16">
        <f t="shared" si="199"/>
        <v>0</v>
      </c>
      <c r="HK176" s="16">
        <f t="shared" si="199"/>
        <v>0</v>
      </c>
      <c r="HL176" s="16">
        <f t="shared" si="199"/>
        <v>0</v>
      </c>
      <c r="HM176" s="16">
        <f t="shared" si="199"/>
        <v>0</v>
      </c>
      <c r="HN176" s="16">
        <f t="shared" si="199"/>
        <v>0</v>
      </c>
      <c r="HQ176" s="9">
        <f>HQ175-1</f>
        <v>19</v>
      </c>
      <c r="HR176" s="16">
        <f t="shared" si="200"/>
        <v>0.11519994039919003</v>
      </c>
      <c r="HS176" s="16">
        <f t="shared" si="200"/>
        <v>0.76563745384858295</v>
      </c>
      <c r="HT176" s="16">
        <f t="shared" si="200"/>
        <v>0.12504773856822698</v>
      </c>
      <c r="HU176" s="16">
        <f t="shared" si="200"/>
        <v>0</v>
      </c>
      <c r="HV176" s="16">
        <f t="shared" si="200"/>
        <v>0</v>
      </c>
      <c r="HW176" s="16">
        <f t="shared" si="200"/>
        <v>0</v>
      </c>
      <c r="HX176" s="16">
        <f t="shared" si="200"/>
        <v>0</v>
      </c>
      <c r="HY176" s="16">
        <f t="shared" si="200"/>
        <v>0</v>
      </c>
      <c r="HZ176" s="16">
        <f t="shared" si="200"/>
        <v>0</v>
      </c>
      <c r="IA176" s="16">
        <f t="shared" si="200"/>
        <v>0</v>
      </c>
      <c r="IB176" s="16">
        <f t="shared" si="201"/>
        <v>0</v>
      </c>
      <c r="IC176" s="16">
        <f t="shared" si="201"/>
        <v>0</v>
      </c>
      <c r="ID176" s="16">
        <f t="shared" si="201"/>
        <v>0</v>
      </c>
      <c r="IE176" s="16">
        <f t="shared" si="201"/>
        <v>0</v>
      </c>
      <c r="IF176" s="16">
        <f t="shared" si="201"/>
        <v>0</v>
      </c>
      <c r="IG176" s="16">
        <f t="shared" si="201"/>
        <v>0</v>
      </c>
      <c r="IH176" s="16">
        <f t="shared" si="201"/>
        <v>0</v>
      </c>
      <c r="II176" s="16">
        <f t="shared" si="201"/>
        <v>0</v>
      </c>
      <c r="IJ176" s="16">
        <f t="shared" si="201"/>
        <v>0</v>
      </c>
      <c r="IK176" s="16">
        <f t="shared" si="201"/>
        <v>0</v>
      </c>
      <c r="IL176" s="16">
        <f t="shared" si="201"/>
        <v>0</v>
      </c>
      <c r="IO176" s="9">
        <f>IO175-1</f>
        <v>19</v>
      </c>
      <c r="IP176" s="16">
        <f t="shared" si="202"/>
        <v>1.7486870865110103E-2</v>
      </c>
      <c r="IQ176" s="16">
        <f t="shared" si="202"/>
        <v>0.96442474218331231</v>
      </c>
      <c r="IR176" s="16">
        <f t="shared" si="202"/>
        <v>1.8981725587177541E-2</v>
      </c>
      <c r="IS176" s="16">
        <f t="shared" si="202"/>
        <v>0</v>
      </c>
      <c r="IT176" s="16">
        <f t="shared" si="202"/>
        <v>0</v>
      </c>
      <c r="IU176" s="16">
        <f t="shared" si="202"/>
        <v>0</v>
      </c>
      <c r="IV176" s="16">
        <f t="shared" si="202"/>
        <v>0</v>
      </c>
      <c r="IW176" s="16">
        <f t="shared" si="202"/>
        <v>0</v>
      </c>
      <c r="IX176" s="16">
        <f t="shared" si="202"/>
        <v>0</v>
      </c>
      <c r="IY176" s="16">
        <f t="shared" si="202"/>
        <v>0</v>
      </c>
      <c r="IZ176" s="16">
        <f t="shared" si="203"/>
        <v>0</v>
      </c>
      <c r="JA176" s="16">
        <f t="shared" si="203"/>
        <v>0</v>
      </c>
      <c r="JB176" s="16">
        <f t="shared" si="203"/>
        <v>0</v>
      </c>
      <c r="JC176" s="16">
        <f t="shared" si="203"/>
        <v>0</v>
      </c>
      <c r="JD176" s="16">
        <f t="shared" si="203"/>
        <v>0</v>
      </c>
      <c r="JE176" s="16">
        <f t="shared" si="203"/>
        <v>0</v>
      </c>
      <c r="JF176" s="16">
        <f t="shared" si="203"/>
        <v>0</v>
      </c>
      <c r="JG176" s="16">
        <f t="shared" si="203"/>
        <v>0</v>
      </c>
      <c r="JH176" s="16">
        <f t="shared" si="203"/>
        <v>0</v>
      </c>
      <c r="JI176" s="16">
        <f t="shared" si="203"/>
        <v>0</v>
      </c>
      <c r="JJ176" s="16">
        <f t="shared" si="203"/>
        <v>0</v>
      </c>
      <c r="JM176" s="9">
        <f>JM175-1</f>
        <v>19</v>
      </c>
      <c r="JN176" s="16">
        <f t="shared" si="204"/>
        <v>0.1151978347523175</v>
      </c>
      <c r="JO176" s="16">
        <f t="shared" si="204"/>
        <v>0.7656417375726946</v>
      </c>
      <c r="JP176" s="16">
        <f t="shared" si="204"/>
        <v>0.12504545292138791</v>
      </c>
      <c r="JQ176" s="16">
        <f t="shared" si="204"/>
        <v>0</v>
      </c>
      <c r="JR176" s="16">
        <f t="shared" si="204"/>
        <v>0</v>
      </c>
      <c r="JS176" s="16">
        <f t="shared" si="204"/>
        <v>0</v>
      </c>
      <c r="JT176" s="16">
        <f t="shared" si="204"/>
        <v>0</v>
      </c>
      <c r="JU176" s="16">
        <f t="shared" si="204"/>
        <v>0</v>
      </c>
      <c r="JV176" s="16">
        <f t="shared" si="204"/>
        <v>0</v>
      </c>
      <c r="JW176" s="16">
        <f t="shared" si="204"/>
        <v>0</v>
      </c>
      <c r="JX176" s="16">
        <f t="shared" si="205"/>
        <v>0</v>
      </c>
      <c r="JY176" s="16">
        <f t="shared" si="205"/>
        <v>0</v>
      </c>
      <c r="JZ176" s="16">
        <f t="shared" si="205"/>
        <v>0</v>
      </c>
      <c r="KA176" s="16">
        <f t="shared" si="205"/>
        <v>0</v>
      </c>
      <c r="KB176" s="16">
        <f t="shared" si="205"/>
        <v>0</v>
      </c>
      <c r="KC176" s="16">
        <f t="shared" si="205"/>
        <v>0</v>
      </c>
      <c r="KD176" s="16">
        <f t="shared" si="205"/>
        <v>0</v>
      </c>
      <c r="KE176" s="16">
        <f t="shared" si="205"/>
        <v>0</v>
      </c>
      <c r="KF176" s="16">
        <f t="shared" si="205"/>
        <v>0</v>
      </c>
      <c r="KG176" s="16">
        <f t="shared" si="205"/>
        <v>0</v>
      </c>
      <c r="KH176" s="16">
        <f t="shared" si="205"/>
        <v>0</v>
      </c>
      <c r="KK176" s="9">
        <f>KK175-1</f>
        <v>19</v>
      </c>
      <c r="KL176" s="16">
        <f t="shared" si="206"/>
        <v>1.4602661061385172E-2</v>
      </c>
      <c r="KM176" s="16">
        <f t="shared" si="206"/>
        <v>0.97029237328532125</v>
      </c>
      <c r="KN176" s="16">
        <f t="shared" si="206"/>
        <v>1.5850960829293621E-2</v>
      </c>
      <c r="KO176" s="16">
        <f t="shared" si="206"/>
        <v>0</v>
      </c>
      <c r="KP176" s="16">
        <f t="shared" si="206"/>
        <v>0</v>
      </c>
      <c r="KQ176" s="16">
        <f t="shared" si="206"/>
        <v>0</v>
      </c>
      <c r="KR176" s="16">
        <f t="shared" si="206"/>
        <v>0</v>
      </c>
      <c r="KS176" s="16">
        <f t="shared" si="206"/>
        <v>0</v>
      </c>
      <c r="KT176" s="16">
        <f t="shared" si="206"/>
        <v>0</v>
      </c>
      <c r="KU176" s="16">
        <f t="shared" si="206"/>
        <v>0</v>
      </c>
      <c r="KV176" s="16">
        <f t="shared" si="207"/>
        <v>0</v>
      </c>
      <c r="KW176" s="16">
        <f t="shared" si="207"/>
        <v>0</v>
      </c>
      <c r="KX176" s="16">
        <f t="shared" si="207"/>
        <v>0</v>
      </c>
      <c r="KY176" s="16">
        <f t="shared" si="207"/>
        <v>0</v>
      </c>
      <c r="KZ176" s="16">
        <f t="shared" si="207"/>
        <v>0</v>
      </c>
      <c r="LA176" s="16">
        <f t="shared" si="207"/>
        <v>0</v>
      </c>
      <c r="LB176" s="16">
        <f t="shared" si="207"/>
        <v>0</v>
      </c>
      <c r="LC176" s="16">
        <f t="shared" si="207"/>
        <v>0</v>
      </c>
      <c r="LD176" s="16">
        <f t="shared" si="207"/>
        <v>0</v>
      </c>
      <c r="LE176" s="16">
        <f t="shared" si="207"/>
        <v>0</v>
      </c>
      <c r="LF176" s="16">
        <f t="shared" si="207"/>
        <v>0</v>
      </c>
      <c r="LI176" s="9">
        <f>LI175-1</f>
        <v>19</v>
      </c>
      <c r="LJ176" s="16">
        <f t="shared" si="208"/>
        <v>0.11519730834059934</v>
      </c>
      <c r="LK176" s="16">
        <f t="shared" si="208"/>
        <v>0.76564280850372257</v>
      </c>
      <c r="LL176" s="16">
        <f t="shared" si="208"/>
        <v>0.12504488150967813</v>
      </c>
      <c r="LM176" s="16">
        <f t="shared" si="208"/>
        <v>0</v>
      </c>
      <c r="LN176" s="16">
        <f t="shared" si="208"/>
        <v>0</v>
      </c>
      <c r="LO176" s="16">
        <f t="shared" si="208"/>
        <v>0</v>
      </c>
      <c r="LP176" s="16">
        <f t="shared" si="208"/>
        <v>0</v>
      </c>
      <c r="LQ176" s="16">
        <f t="shared" si="208"/>
        <v>0</v>
      </c>
      <c r="LR176" s="16">
        <f t="shared" si="208"/>
        <v>0</v>
      </c>
      <c r="LS176" s="16">
        <f t="shared" si="208"/>
        <v>0</v>
      </c>
      <c r="LT176" s="16">
        <f t="shared" si="209"/>
        <v>0</v>
      </c>
      <c r="LU176" s="16">
        <f t="shared" si="209"/>
        <v>0</v>
      </c>
      <c r="LV176" s="16">
        <f t="shared" si="209"/>
        <v>0</v>
      </c>
      <c r="LW176" s="16">
        <f t="shared" si="209"/>
        <v>0</v>
      </c>
      <c r="LX176" s="16">
        <f t="shared" si="209"/>
        <v>0</v>
      </c>
      <c r="LY176" s="16">
        <f t="shared" si="209"/>
        <v>0</v>
      </c>
      <c r="LZ176" s="16">
        <f t="shared" si="209"/>
        <v>0</v>
      </c>
      <c r="MA176" s="16">
        <f t="shared" si="209"/>
        <v>0</v>
      </c>
      <c r="MB176" s="16">
        <f t="shared" si="209"/>
        <v>0</v>
      </c>
      <c r="MC176" s="16">
        <f t="shared" si="209"/>
        <v>0</v>
      </c>
      <c r="MD176" s="16">
        <f t="shared" si="209"/>
        <v>0</v>
      </c>
      <c r="MG176" s="9">
        <f>MG175-1</f>
        <v>19</v>
      </c>
      <c r="MH176" s="16">
        <f t="shared" si="210"/>
        <v>1.6045029169106717E-2</v>
      </c>
      <c r="MI176" s="16">
        <f t="shared" si="210"/>
        <v>0.96735802226880285</v>
      </c>
      <c r="MJ176" s="16">
        <f t="shared" si="210"/>
        <v>1.7416628914090477E-2</v>
      </c>
      <c r="MK176" s="16">
        <f t="shared" si="210"/>
        <v>0</v>
      </c>
      <c r="ML176" s="16">
        <f t="shared" si="210"/>
        <v>0</v>
      </c>
      <c r="MM176" s="16">
        <f t="shared" si="210"/>
        <v>0</v>
      </c>
      <c r="MN176" s="16">
        <f t="shared" si="210"/>
        <v>0</v>
      </c>
      <c r="MO176" s="16">
        <f t="shared" si="210"/>
        <v>0</v>
      </c>
      <c r="MP176" s="16">
        <f t="shared" si="210"/>
        <v>0</v>
      </c>
      <c r="MQ176" s="16">
        <f t="shared" si="210"/>
        <v>0</v>
      </c>
      <c r="MR176" s="16">
        <f t="shared" si="211"/>
        <v>0</v>
      </c>
      <c r="MS176" s="16">
        <f t="shared" si="211"/>
        <v>0</v>
      </c>
      <c r="MT176" s="16">
        <f t="shared" si="211"/>
        <v>0</v>
      </c>
      <c r="MU176" s="16">
        <f t="shared" si="211"/>
        <v>0</v>
      </c>
      <c r="MV176" s="16">
        <f t="shared" si="211"/>
        <v>0</v>
      </c>
      <c r="MW176" s="16">
        <f t="shared" si="211"/>
        <v>0</v>
      </c>
      <c r="MX176" s="16">
        <f t="shared" si="211"/>
        <v>0</v>
      </c>
      <c r="MY176" s="16">
        <f t="shared" si="211"/>
        <v>0</v>
      </c>
      <c r="MZ176" s="16">
        <f t="shared" si="211"/>
        <v>0</v>
      </c>
      <c r="NA176" s="16">
        <f t="shared" si="211"/>
        <v>0</v>
      </c>
      <c r="NB176" s="16">
        <f t="shared" si="211"/>
        <v>0</v>
      </c>
      <c r="NE176" s="9">
        <f>NE175-1</f>
        <v>19</v>
      </c>
      <c r="NF176" s="16">
        <f t="shared" si="212"/>
        <v>0.11519730834059934</v>
      </c>
      <c r="NG176" s="16">
        <f t="shared" si="212"/>
        <v>0.76564280850372257</v>
      </c>
      <c r="NH176" s="16">
        <f t="shared" si="212"/>
        <v>0.12504488150967813</v>
      </c>
      <c r="NI176" s="16">
        <f t="shared" si="212"/>
        <v>0</v>
      </c>
      <c r="NJ176" s="16">
        <f t="shared" si="212"/>
        <v>0</v>
      </c>
      <c r="NK176" s="16">
        <f t="shared" si="212"/>
        <v>0</v>
      </c>
      <c r="NL176" s="16">
        <f t="shared" si="212"/>
        <v>0</v>
      </c>
      <c r="NM176" s="16">
        <f t="shared" si="212"/>
        <v>0</v>
      </c>
      <c r="NN176" s="16">
        <f t="shared" si="212"/>
        <v>0</v>
      </c>
      <c r="NO176" s="16">
        <f t="shared" si="212"/>
        <v>0</v>
      </c>
      <c r="NP176" s="16">
        <f t="shared" si="213"/>
        <v>0</v>
      </c>
      <c r="NQ176" s="16">
        <f t="shared" si="213"/>
        <v>0</v>
      </c>
      <c r="NR176" s="16">
        <f t="shared" si="213"/>
        <v>0</v>
      </c>
      <c r="NS176" s="16">
        <f t="shared" si="213"/>
        <v>0</v>
      </c>
      <c r="NT176" s="16">
        <f t="shared" si="213"/>
        <v>0</v>
      </c>
      <c r="NU176" s="16">
        <f t="shared" si="213"/>
        <v>0</v>
      </c>
      <c r="NV176" s="16">
        <f t="shared" si="213"/>
        <v>0</v>
      </c>
      <c r="NW176" s="16">
        <f t="shared" si="213"/>
        <v>0</v>
      </c>
      <c r="NX176" s="16">
        <f t="shared" si="213"/>
        <v>0</v>
      </c>
      <c r="NY176" s="16">
        <f t="shared" si="213"/>
        <v>0</v>
      </c>
      <c r="NZ176" s="16">
        <f t="shared" si="213"/>
        <v>0</v>
      </c>
      <c r="OC176" s="9">
        <f>OC175-1</f>
        <v>19</v>
      </c>
      <c r="OD176" s="16">
        <f t="shared" si="214"/>
        <v>1.7486870865110089E-2</v>
      </c>
      <c r="OE176" s="16">
        <f t="shared" si="214"/>
        <v>0.96442474218331242</v>
      </c>
      <c r="OF176" s="16">
        <f t="shared" si="214"/>
        <v>1.8981725587177527E-2</v>
      </c>
      <c r="OG176" s="16">
        <f t="shared" si="214"/>
        <v>0</v>
      </c>
      <c r="OH176" s="16">
        <f t="shared" si="214"/>
        <v>0</v>
      </c>
      <c r="OI176" s="16">
        <f t="shared" si="214"/>
        <v>0</v>
      </c>
      <c r="OJ176" s="16">
        <f t="shared" si="214"/>
        <v>0</v>
      </c>
      <c r="OK176" s="16">
        <f t="shared" si="214"/>
        <v>0</v>
      </c>
      <c r="OL176" s="16">
        <f t="shared" si="214"/>
        <v>0</v>
      </c>
      <c r="OM176" s="16">
        <f t="shared" si="214"/>
        <v>0</v>
      </c>
      <c r="ON176" s="16">
        <f t="shared" si="215"/>
        <v>0</v>
      </c>
      <c r="OO176" s="16">
        <f t="shared" si="215"/>
        <v>0</v>
      </c>
      <c r="OP176" s="16">
        <f t="shared" si="215"/>
        <v>0</v>
      </c>
      <c r="OQ176" s="16">
        <f t="shared" si="215"/>
        <v>0</v>
      </c>
      <c r="OR176" s="16">
        <f t="shared" si="215"/>
        <v>0</v>
      </c>
      <c r="OS176" s="16">
        <f t="shared" si="215"/>
        <v>0</v>
      </c>
      <c r="OT176" s="16">
        <f t="shared" si="215"/>
        <v>0</v>
      </c>
      <c r="OU176" s="16">
        <f t="shared" si="215"/>
        <v>0</v>
      </c>
      <c r="OV176" s="16">
        <f t="shared" si="215"/>
        <v>0</v>
      </c>
      <c r="OW176" s="16">
        <f t="shared" si="215"/>
        <v>0</v>
      </c>
      <c r="OX176" s="16">
        <f t="shared" si="215"/>
        <v>0</v>
      </c>
      <c r="PA176" s="9">
        <f>PA175-1</f>
        <v>19</v>
      </c>
      <c r="PB176" s="16">
        <f t="shared" si="216"/>
        <v>0.11519257063513602</v>
      </c>
      <c r="PC176" s="16">
        <f t="shared" si="216"/>
        <v>0.76565244688297385</v>
      </c>
      <c r="PD176" s="16">
        <f t="shared" si="216"/>
        <v>0.12503973880429009</v>
      </c>
      <c r="PE176" s="16">
        <f t="shared" si="216"/>
        <v>0</v>
      </c>
      <c r="PF176" s="16">
        <f t="shared" si="216"/>
        <v>0</v>
      </c>
      <c r="PG176" s="16">
        <f t="shared" si="216"/>
        <v>0</v>
      </c>
      <c r="PH176" s="16">
        <f t="shared" si="216"/>
        <v>0</v>
      </c>
      <c r="PI176" s="16">
        <f t="shared" si="216"/>
        <v>0</v>
      </c>
      <c r="PJ176" s="16">
        <f t="shared" si="216"/>
        <v>0</v>
      </c>
      <c r="PK176" s="16">
        <f t="shared" si="216"/>
        <v>0</v>
      </c>
      <c r="PL176" s="16">
        <f t="shared" si="217"/>
        <v>0</v>
      </c>
      <c r="PM176" s="16">
        <f t="shared" si="217"/>
        <v>0</v>
      </c>
      <c r="PN176" s="16">
        <f t="shared" si="217"/>
        <v>0</v>
      </c>
      <c r="PO176" s="16">
        <f t="shared" si="217"/>
        <v>0</v>
      </c>
      <c r="PP176" s="16">
        <f t="shared" si="217"/>
        <v>0</v>
      </c>
      <c r="PQ176" s="16">
        <f t="shared" si="217"/>
        <v>0</v>
      </c>
      <c r="PR176" s="16">
        <f t="shared" si="217"/>
        <v>0</v>
      </c>
      <c r="PS176" s="16">
        <f t="shared" si="217"/>
        <v>0</v>
      </c>
      <c r="PT176" s="16">
        <f t="shared" si="217"/>
        <v>0</v>
      </c>
      <c r="PU176" s="16">
        <f t="shared" si="217"/>
        <v>0</v>
      </c>
      <c r="PV176" s="16">
        <f t="shared" si="217"/>
        <v>0</v>
      </c>
    </row>
    <row r="177" spans="3:438" x14ac:dyDescent="0.25">
      <c r="C177" s="1"/>
      <c r="D177" s="1"/>
      <c r="I177" s="9">
        <f t="shared" ref="I177:I195" si="218">I176-1</f>
        <v>18</v>
      </c>
      <c r="J177" s="16">
        <f t="shared" si="182"/>
        <v>0</v>
      </c>
      <c r="K177" s="16">
        <f t="shared" si="182"/>
        <v>1.4123815252228264E-2</v>
      </c>
      <c r="L177" s="16">
        <f t="shared" si="182"/>
        <v>0.97144381620582176</v>
      </c>
      <c r="M177" s="16">
        <f t="shared" si="182"/>
        <v>1.4890614931449957E-2</v>
      </c>
      <c r="N177" s="16">
        <f t="shared" si="182"/>
        <v>0</v>
      </c>
      <c r="O177" s="16">
        <f t="shared" si="182"/>
        <v>0</v>
      </c>
      <c r="P177" s="16">
        <f t="shared" si="182"/>
        <v>0</v>
      </c>
      <c r="Q177" s="16">
        <f t="shared" si="182"/>
        <v>0</v>
      </c>
      <c r="R177" s="16">
        <f t="shared" si="182"/>
        <v>0</v>
      </c>
      <c r="S177" s="16">
        <f t="shared" si="182"/>
        <v>0</v>
      </c>
      <c r="T177" s="16">
        <f t="shared" si="183"/>
        <v>0</v>
      </c>
      <c r="U177" s="16">
        <f t="shared" si="183"/>
        <v>0</v>
      </c>
      <c r="V177" s="16">
        <f t="shared" si="183"/>
        <v>0</v>
      </c>
      <c r="W177" s="16">
        <f t="shared" si="183"/>
        <v>0</v>
      </c>
      <c r="X177" s="16">
        <f t="shared" si="183"/>
        <v>0</v>
      </c>
      <c r="Y177" s="16">
        <f t="shared" si="183"/>
        <v>0</v>
      </c>
      <c r="Z177" s="16">
        <f t="shared" si="183"/>
        <v>0</v>
      </c>
      <c r="AA177" s="16">
        <f t="shared" si="183"/>
        <v>0</v>
      </c>
      <c r="AB177" s="16">
        <f t="shared" si="183"/>
        <v>0</v>
      </c>
      <c r="AC177" s="16">
        <f t="shared" si="183"/>
        <v>0</v>
      </c>
      <c r="AD177" s="16">
        <f t="shared" si="183"/>
        <v>0</v>
      </c>
      <c r="AG177" s="9">
        <f t="shared" ref="AG177:AG195" si="219">AG176-1</f>
        <v>18</v>
      </c>
      <c r="AH177" s="16">
        <f t="shared" si="184"/>
        <v>0</v>
      </c>
      <c r="AI177" s="16">
        <f t="shared" si="184"/>
        <v>5.6524731671933184E-2</v>
      </c>
      <c r="AJ177" s="16">
        <f t="shared" si="184"/>
        <v>0.88571567967191611</v>
      </c>
      <c r="AK177" s="16">
        <f t="shared" si="184"/>
        <v>5.9593530388150649E-2</v>
      </c>
      <c r="AL177" s="16">
        <f t="shared" si="184"/>
        <v>0</v>
      </c>
      <c r="AM177" s="16">
        <f t="shared" si="184"/>
        <v>0</v>
      </c>
      <c r="AN177" s="16">
        <f t="shared" si="184"/>
        <v>0</v>
      </c>
      <c r="AO177" s="16">
        <f t="shared" si="184"/>
        <v>0</v>
      </c>
      <c r="AP177" s="16">
        <f t="shared" si="184"/>
        <v>0</v>
      </c>
      <c r="AQ177" s="16">
        <f t="shared" si="184"/>
        <v>0</v>
      </c>
      <c r="AR177" s="16">
        <f t="shared" si="185"/>
        <v>0</v>
      </c>
      <c r="AS177" s="16">
        <f t="shared" si="185"/>
        <v>0</v>
      </c>
      <c r="AT177" s="16">
        <f t="shared" si="185"/>
        <v>0</v>
      </c>
      <c r="AU177" s="16">
        <f t="shared" si="185"/>
        <v>0</v>
      </c>
      <c r="AV177" s="16">
        <f t="shared" si="185"/>
        <v>0</v>
      </c>
      <c r="AW177" s="16">
        <f t="shared" si="185"/>
        <v>0</v>
      </c>
      <c r="AX177" s="16">
        <f t="shared" si="185"/>
        <v>0</v>
      </c>
      <c r="AY177" s="16">
        <f t="shared" si="185"/>
        <v>0</v>
      </c>
      <c r="AZ177" s="16">
        <f t="shared" si="185"/>
        <v>0</v>
      </c>
      <c r="BA177" s="16">
        <f t="shared" si="185"/>
        <v>0</v>
      </c>
      <c r="BB177" s="16">
        <f t="shared" si="185"/>
        <v>0</v>
      </c>
      <c r="BE177" s="9">
        <f t="shared" ref="BE177:BE195" si="220">BE176-1</f>
        <v>18</v>
      </c>
      <c r="BF177" s="16">
        <f t="shared" si="186"/>
        <v>0</v>
      </c>
      <c r="BG177" s="16">
        <f t="shared" si="186"/>
        <v>5.6517364006178197E-2</v>
      </c>
      <c r="BH177" s="16">
        <f t="shared" si="186"/>
        <v>0.88573057595975879</v>
      </c>
      <c r="BI177" s="16">
        <f t="shared" si="186"/>
        <v>5.9585762722562989E-2</v>
      </c>
      <c r="BJ177" s="16">
        <f t="shared" si="186"/>
        <v>0</v>
      </c>
      <c r="BK177" s="16">
        <f t="shared" si="186"/>
        <v>0</v>
      </c>
      <c r="BL177" s="16">
        <f t="shared" si="186"/>
        <v>0</v>
      </c>
      <c r="BM177" s="16">
        <f t="shared" si="186"/>
        <v>0</v>
      </c>
      <c r="BN177" s="16">
        <f t="shared" si="186"/>
        <v>0</v>
      </c>
      <c r="BO177" s="16">
        <f t="shared" si="186"/>
        <v>0</v>
      </c>
      <c r="BP177" s="16">
        <f t="shared" si="187"/>
        <v>0</v>
      </c>
      <c r="BQ177" s="16">
        <f t="shared" si="187"/>
        <v>0</v>
      </c>
      <c r="BR177" s="16">
        <f t="shared" si="187"/>
        <v>0</v>
      </c>
      <c r="BS177" s="16">
        <f t="shared" si="187"/>
        <v>0</v>
      </c>
      <c r="BT177" s="16">
        <f t="shared" si="187"/>
        <v>0</v>
      </c>
      <c r="BU177" s="16">
        <f t="shared" si="187"/>
        <v>0</v>
      </c>
      <c r="BV177" s="16">
        <f t="shared" si="187"/>
        <v>0</v>
      </c>
      <c r="BW177" s="16">
        <f t="shared" si="187"/>
        <v>0</v>
      </c>
      <c r="BX177" s="16">
        <f t="shared" si="187"/>
        <v>0</v>
      </c>
      <c r="BY177" s="16">
        <f t="shared" si="187"/>
        <v>0</v>
      </c>
      <c r="BZ177" s="16">
        <f t="shared" si="187"/>
        <v>0</v>
      </c>
      <c r="CC177" s="9">
        <f t="shared" ref="CC177:CC195" si="221">CC176-1</f>
        <v>18</v>
      </c>
      <c r="CD177" s="16">
        <f t="shared" si="188"/>
        <v>0</v>
      </c>
      <c r="CE177" s="16">
        <f t="shared" si="188"/>
        <v>5.6517364006178031E-2</v>
      </c>
      <c r="CF177" s="16">
        <f t="shared" si="188"/>
        <v>0.88573057595975913</v>
      </c>
      <c r="CG177" s="16">
        <f t="shared" si="188"/>
        <v>5.9585762722562816E-2</v>
      </c>
      <c r="CH177" s="16">
        <f t="shared" si="188"/>
        <v>0</v>
      </c>
      <c r="CI177" s="16">
        <f t="shared" si="188"/>
        <v>0</v>
      </c>
      <c r="CJ177" s="16">
        <f t="shared" si="188"/>
        <v>0</v>
      </c>
      <c r="CK177" s="16">
        <f t="shared" si="188"/>
        <v>0</v>
      </c>
      <c r="CL177" s="16">
        <f t="shared" si="188"/>
        <v>0</v>
      </c>
      <c r="CM177" s="16">
        <f t="shared" si="188"/>
        <v>0</v>
      </c>
      <c r="CN177" s="16">
        <f t="shared" si="189"/>
        <v>0</v>
      </c>
      <c r="CO177" s="16">
        <f t="shared" si="189"/>
        <v>0</v>
      </c>
      <c r="CP177" s="16">
        <f t="shared" si="189"/>
        <v>0</v>
      </c>
      <c r="CQ177" s="16">
        <f t="shared" si="189"/>
        <v>0</v>
      </c>
      <c r="CR177" s="16">
        <f t="shared" si="189"/>
        <v>0</v>
      </c>
      <c r="CS177" s="16">
        <f t="shared" si="189"/>
        <v>0</v>
      </c>
      <c r="CT177" s="16">
        <f t="shared" si="189"/>
        <v>0</v>
      </c>
      <c r="CU177" s="16">
        <f t="shared" si="189"/>
        <v>0</v>
      </c>
      <c r="CV177" s="16">
        <f t="shared" si="189"/>
        <v>0</v>
      </c>
      <c r="CW177" s="16">
        <f t="shared" si="189"/>
        <v>0</v>
      </c>
      <c r="CX177" s="16">
        <f t="shared" si="189"/>
        <v>0</v>
      </c>
      <c r="DA177" s="9">
        <f t="shared" ref="DA177:DA195" si="222">DA176-1</f>
        <v>18</v>
      </c>
      <c r="DB177" s="16">
        <f t="shared" si="190"/>
        <v>0</v>
      </c>
      <c r="DC177" s="16">
        <f t="shared" si="190"/>
        <v>1.4131182917983419E-2</v>
      </c>
      <c r="DD177" s="16">
        <f t="shared" si="190"/>
        <v>0.97142891991797875</v>
      </c>
      <c r="DE177" s="16">
        <f t="shared" si="190"/>
        <v>1.4898382597037791E-2</v>
      </c>
      <c r="DF177" s="16">
        <f t="shared" si="190"/>
        <v>0</v>
      </c>
      <c r="DG177" s="16">
        <f t="shared" si="190"/>
        <v>0</v>
      </c>
      <c r="DH177" s="16">
        <f t="shared" si="190"/>
        <v>0</v>
      </c>
      <c r="DI177" s="16">
        <f t="shared" si="190"/>
        <v>0</v>
      </c>
      <c r="DJ177" s="16">
        <f t="shared" si="190"/>
        <v>0</v>
      </c>
      <c r="DK177" s="16">
        <f t="shared" si="190"/>
        <v>0</v>
      </c>
      <c r="DL177" s="16">
        <f t="shared" si="191"/>
        <v>0</v>
      </c>
      <c r="DM177" s="16">
        <f t="shared" si="191"/>
        <v>0</v>
      </c>
      <c r="DN177" s="16">
        <f t="shared" si="191"/>
        <v>0</v>
      </c>
      <c r="DO177" s="16">
        <f t="shared" si="191"/>
        <v>0</v>
      </c>
      <c r="DP177" s="16">
        <f t="shared" si="191"/>
        <v>0</v>
      </c>
      <c r="DQ177" s="16">
        <f t="shared" si="191"/>
        <v>0</v>
      </c>
      <c r="DR177" s="16">
        <f t="shared" si="191"/>
        <v>0</v>
      </c>
      <c r="DS177" s="16">
        <f t="shared" si="191"/>
        <v>0</v>
      </c>
      <c r="DT177" s="16">
        <f t="shared" si="191"/>
        <v>0</v>
      </c>
      <c r="DU177" s="16">
        <f t="shared" si="191"/>
        <v>0</v>
      </c>
      <c r="DV177" s="16">
        <f t="shared" si="191"/>
        <v>0</v>
      </c>
      <c r="DY177" s="9">
        <f t="shared" ref="DY177:DY195" si="223">DY176-1</f>
        <v>18</v>
      </c>
      <c r="DZ177" s="16">
        <f t="shared" si="192"/>
        <v>0</v>
      </c>
      <c r="EA177" s="16">
        <f t="shared" si="192"/>
        <v>4.0572818219925241E-2</v>
      </c>
      <c r="EB177" s="16">
        <f t="shared" si="192"/>
        <v>0.91761966753226476</v>
      </c>
      <c r="EC177" s="16">
        <f t="shared" si="192"/>
        <v>4.3641216936310026E-2</v>
      </c>
      <c r="ED177" s="16">
        <f t="shared" si="192"/>
        <v>0</v>
      </c>
      <c r="EE177" s="16">
        <f t="shared" si="192"/>
        <v>0</v>
      </c>
      <c r="EF177" s="16">
        <f t="shared" si="192"/>
        <v>0</v>
      </c>
      <c r="EG177" s="16">
        <f t="shared" si="192"/>
        <v>0</v>
      </c>
      <c r="EH177" s="16">
        <f t="shared" si="192"/>
        <v>0</v>
      </c>
      <c r="EI177" s="16">
        <f t="shared" si="192"/>
        <v>0</v>
      </c>
      <c r="EJ177" s="16">
        <f t="shared" si="193"/>
        <v>0</v>
      </c>
      <c r="EK177" s="16">
        <f t="shared" si="193"/>
        <v>0</v>
      </c>
      <c r="EL177" s="16">
        <f t="shared" si="193"/>
        <v>0</v>
      </c>
      <c r="EM177" s="16">
        <f t="shared" si="193"/>
        <v>0</v>
      </c>
      <c r="EN177" s="16">
        <f t="shared" si="193"/>
        <v>0</v>
      </c>
      <c r="EO177" s="16">
        <f t="shared" si="193"/>
        <v>0</v>
      </c>
      <c r="EP177" s="16">
        <f t="shared" si="193"/>
        <v>0</v>
      </c>
      <c r="EQ177" s="16">
        <f t="shared" si="193"/>
        <v>0</v>
      </c>
      <c r="ER177" s="16">
        <f t="shared" si="193"/>
        <v>0</v>
      </c>
      <c r="ES177" s="16">
        <f t="shared" si="193"/>
        <v>0</v>
      </c>
      <c r="ET177" s="16">
        <f t="shared" si="193"/>
        <v>0</v>
      </c>
      <c r="EW177" s="9">
        <f t="shared" ref="EW177:EW195" si="224">EW176-1</f>
        <v>18</v>
      </c>
      <c r="EX177" s="16">
        <f t="shared" si="194"/>
        <v>0</v>
      </c>
      <c r="EY177" s="16">
        <f t="shared" si="194"/>
        <v>4.0572818219925359E-2</v>
      </c>
      <c r="EZ177" s="16">
        <f t="shared" si="194"/>
        <v>0.91761966753226454</v>
      </c>
      <c r="FA177" s="16">
        <f t="shared" si="194"/>
        <v>4.3641216936310151E-2</v>
      </c>
      <c r="FB177" s="16">
        <f t="shared" si="194"/>
        <v>0</v>
      </c>
      <c r="FC177" s="16">
        <f t="shared" si="194"/>
        <v>0</v>
      </c>
      <c r="FD177" s="16">
        <f t="shared" si="194"/>
        <v>0</v>
      </c>
      <c r="FE177" s="16">
        <f t="shared" si="194"/>
        <v>0</v>
      </c>
      <c r="FF177" s="16">
        <f t="shared" si="194"/>
        <v>0</v>
      </c>
      <c r="FG177" s="16">
        <f t="shared" si="194"/>
        <v>0</v>
      </c>
      <c r="FH177" s="16">
        <f t="shared" si="195"/>
        <v>0</v>
      </c>
      <c r="FI177" s="16">
        <f t="shared" si="195"/>
        <v>0</v>
      </c>
      <c r="FJ177" s="16">
        <f t="shared" si="195"/>
        <v>0</v>
      </c>
      <c r="FK177" s="16">
        <f t="shared" si="195"/>
        <v>0</v>
      </c>
      <c r="FL177" s="16">
        <f t="shared" si="195"/>
        <v>0</v>
      </c>
      <c r="FM177" s="16">
        <f t="shared" si="195"/>
        <v>0</v>
      </c>
      <c r="FN177" s="16">
        <f t="shared" si="195"/>
        <v>0</v>
      </c>
      <c r="FO177" s="16">
        <f t="shared" si="195"/>
        <v>0</v>
      </c>
      <c r="FP177" s="16">
        <f t="shared" si="195"/>
        <v>0</v>
      </c>
      <c r="FQ177" s="16">
        <f t="shared" si="195"/>
        <v>0</v>
      </c>
      <c r="FR177" s="16">
        <f t="shared" si="195"/>
        <v>0</v>
      </c>
      <c r="FU177" s="9">
        <f t="shared" ref="FU177:FU195" si="225">FU176-1</f>
        <v>18</v>
      </c>
      <c r="FV177" s="16">
        <f t="shared" si="196"/>
        <v>0</v>
      </c>
      <c r="FW177" s="16">
        <f t="shared" si="196"/>
        <v>4.0578107337148575E-2</v>
      </c>
      <c r="FX177" s="16">
        <f t="shared" si="196"/>
        <v>0.91760892834148544</v>
      </c>
      <c r="FY177" s="16">
        <f t="shared" si="196"/>
        <v>4.3646906053366026E-2</v>
      </c>
      <c r="FZ177" s="16">
        <f t="shared" si="196"/>
        <v>0</v>
      </c>
      <c r="GA177" s="16">
        <f t="shared" si="196"/>
        <v>0</v>
      </c>
      <c r="GB177" s="16">
        <f t="shared" si="196"/>
        <v>0</v>
      </c>
      <c r="GC177" s="16">
        <f t="shared" si="196"/>
        <v>0</v>
      </c>
      <c r="GD177" s="16">
        <f t="shared" si="196"/>
        <v>0</v>
      </c>
      <c r="GE177" s="16">
        <f t="shared" si="196"/>
        <v>0</v>
      </c>
      <c r="GF177" s="16">
        <f t="shared" si="197"/>
        <v>0</v>
      </c>
      <c r="GG177" s="16">
        <f t="shared" si="197"/>
        <v>0</v>
      </c>
      <c r="GH177" s="16">
        <f t="shared" si="197"/>
        <v>0</v>
      </c>
      <c r="GI177" s="16">
        <f t="shared" si="197"/>
        <v>0</v>
      </c>
      <c r="GJ177" s="16">
        <f t="shared" si="197"/>
        <v>0</v>
      </c>
      <c r="GK177" s="16">
        <f t="shared" si="197"/>
        <v>0</v>
      </c>
      <c r="GL177" s="16">
        <f t="shared" si="197"/>
        <v>0</v>
      </c>
      <c r="GM177" s="16">
        <f t="shared" si="197"/>
        <v>0</v>
      </c>
      <c r="GN177" s="16">
        <f t="shared" si="197"/>
        <v>0</v>
      </c>
      <c r="GO177" s="16">
        <f t="shared" si="197"/>
        <v>0</v>
      </c>
      <c r="GP177" s="16">
        <f t="shared" si="197"/>
        <v>0</v>
      </c>
      <c r="GS177" s="9">
        <f t="shared" ref="GS177:GS195" si="226">GS176-1</f>
        <v>18</v>
      </c>
      <c r="GT177" s="16">
        <f t="shared" si="198"/>
        <v>0</v>
      </c>
      <c r="GU177" s="16">
        <f t="shared" si="198"/>
        <v>1.7565158298575512E-2</v>
      </c>
      <c r="GV177" s="16">
        <f t="shared" si="198"/>
        <v>0.9643351474220635</v>
      </c>
      <c r="GW177" s="16">
        <f t="shared" si="198"/>
        <v>1.8893557742860997E-2</v>
      </c>
      <c r="GX177" s="16">
        <f t="shared" si="198"/>
        <v>0</v>
      </c>
      <c r="GY177" s="16">
        <f t="shared" si="198"/>
        <v>0</v>
      </c>
      <c r="GZ177" s="16">
        <f t="shared" si="198"/>
        <v>0</v>
      </c>
      <c r="HA177" s="16">
        <f t="shared" si="198"/>
        <v>0</v>
      </c>
      <c r="HB177" s="16">
        <f t="shared" si="198"/>
        <v>0</v>
      </c>
      <c r="HC177" s="16">
        <f t="shared" si="198"/>
        <v>0</v>
      </c>
      <c r="HD177" s="16">
        <f t="shared" si="199"/>
        <v>0</v>
      </c>
      <c r="HE177" s="16">
        <f t="shared" si="199"/>
        <v>0</v>
      </c>
      <c r="HF177" s="16">
        <f t="shared" si="199"/>
        <v>0</v>
      </c>
      <c r="HG177" s="16">
        <f t="shared" si="199"/>
        <v>0</v>
      </c>
      <c r="HH177" s="16">
        <f t="shared" si="199"/>
        <v>0</v>
      </c>
      <c r="HI177" s="16">
        <f t="shared" si="199"/>
        <v>0</v>
      </c>
      <c r="HJ177" s="16">
        <f t="shared" si="199"/>
        <v>0</v>
      </c>
      <c r="HK177" s="16">
        <f t="shared" si="199"/>
        <v>0</v>
      </c>
      <c r="HL177" s="16">
        <f t="shared" si="199"/>
        <v>0</v>
      </c>
      <c r="HM177" s="16">
        <f t="shared" si="199"/>
        <v>0</v>
      </c>
      <c r="HN177" s="16">
        <f t="shared" si="199"/>
        <v>0</v>
      </c>
      <c r="HQ177" s="9">
        <f t="shared" ref="HQ177:HQ195" si="227">HQ176-1</f>
        <v>18</v>
      </c>
      <c r="HR177" s="16">
        <f t="shared" si="200"/>
        <v>0</v>
      </c>
      <c r="HS177" s="16">
        <f t="shared" si="200"/>
        <v>0.11574704131467156</v>
      </c>
      <c r="HT177" s="16">
        <f t="shared" si="200"/>
        <v>0.76498354898658305</v>
      </c>
      <c r="HU177" s="16">
        <f t="shared" si="200"/>
        <v>0.12450063765274544</v>
      </c>
      <c r="HV177" s="16">
        <f t="shared" si="200"/>
        <v>0</v>
      </c>
      <c r="HW177" s="16">
        <f t="shared" si="200"/>
        <v>0</v>
      </c>
      <c r="HX177" s="16">
        <f t="shared" si="200"/>
        <v>0</v>
      </c>
      <c r="HY177" s="16">
        <f t="shared" si="200"/>
        <v>0</v>
      </c>
      <c r="HZ177" s="16">
        <f t="shared" si="200"/>
        <v>0</v>
      </c>
      <c r="IA177" s="16">
        <f t="shared" si="200"/>
        <v>0</v>
      </c>
      <c r="IB177" s="16">
        <f t="shared" si="201"/>
        <v>0</v>
      </c>
      <c r="IC177" s="16">
        <f t="shared" si="201"/>
        <v>0</v>
      </c>
      <c r="ID177" s="16">
        <f t="shared" si="201"/>
        <v>0</v>
      </c>
      <c r="IE177" s="16">
        <f t="shared" si="201"/>
        <v>0</v>
      </c>
      <c r="IF177" s="16">
        <f t="shared" si="201"/>
        <v>0</v>
      </c>
      <c r="IG177" s="16">
        <f t="shared" si="201"/>
        <v>0</v>
      </c>
      <c r="IH177" s="16">
        <f t="shared" si="201"/>
        <v>0</v>
      </c>
      <c r="II177" s="16">
        <f t="shared" si="201"/>
        <v>0</v>
      </c>
      <c r="IJ177" s="16">
        <f t="shared" si="201"/>
        <v>0</v>
      </c>
      <c r="IK177" s="16">
        <f t="shared" si="201"/>
        <v>0</v>
      </c>
      <c r="IL177" s="16">
        <f t="shared" si="201"/>
        <v>0</v>
      </c>
      <c r="IO177" s="9">
        <f t="shared" ref="IO177:IO195" si="228">IO176-1</f>
        <v>18</v>
      </c>
      <c r="IP177" s="16">
        <f t="shared" si="202"/>
        <v>0</v>
      </c>
      <c r="IQ177" s="16">
        <f t="shared" si="202"/>
        <v>1.7569918504076385E-2</v>
      </c>
      <c r="IR177" s="16">
        <f t="shared" si="202"/>
        <v>0.9643254821503624</v>
      </c>
      <c r="IS177" s="16">
        <f t="shared" si="202"/>
        <v>1.8898677948211259E-2</v>
      </c>
      <c r="IT177" s="16">
        <f t="shared" si="202"/>
        <v>0</v>
      </c>
      <c r="IU177" s="16">
        <f t="shared" si="202"/>
        <v>0</v>
      </c>
      <c r="IV177" s="16">
        <f t="shared" si="202"/>
        <v>0</v>
      </c>
      <c r="IW177" s="16">
        <f t="shared" si="202"/>
        <v>0</v>
      </c>
      <c r="IX177" s="16">
        <f t="shared" si="202"/>
        <v>0</v>
      </c>
      <c r="IY177" s="16">
        <f t="shared" si="202"/>
        <v>0</v>
      </c>
      <c r="IZ177" s="16">
        <f t="shared" si="203"/>
        <v>0</v>
      </c>
      <c r="JA177" s="16">
        <f t="shared" si="203"/>
        <v>0</v>
      </c>
      <c r="JB177" s="16">
        <f t="shared" si="203"/>
        <v>0</v>
      </c>
      <c r="JC177" s="16">
        <f t="shared" si="203"/>
        <v>0</v>
      </c>
      <c r="JD177" s="16">
        <f t="shared" si="203"/>
        <v>0</v>
      </c>
      <c r="JE177" s="16">
        <f t="shared" si="203"/>
        <v>0</v>
      </c>
      <c r="JF177" s="16">
        <f t="shared" si="203"/>
        <v>0</v>
      </c>
      <c r="JG177" s="16">
        <f t="shared" si="203"/>
        <v>0</v>
      </c>
      <c r="JH177" s="16">
        <f t="shared" si="203"/>
        <v>0</v>
      </c>
      <c r="JI177" s="16">
        <f t="shared" si="203"/>
        <v>0</v>
      </c>
      <c r="JJ177" s="16">
        <f t="shared" si="203"/>
        <v>0</v>
      </c>
      <c r="JM177" s="9">
        <f t="shared" ref="JM177:JM195" si="229">JM176-1</f>
        <v>18</v>
      </c>
      <c r="JN177" s="16">
        <f t="shared" si="204"/>
        <v>0</v>
      </c>
      <c r="JO177" s="16">
        <f t="shared" si="204"/>
        <v>0.1157449256677823</v>
      </c>
      <c r="JP177" s="16">
        <f t="shared" si="204"/>
        <v>0.7649878446628946</v>
      </c>
      <c r="JQ177" s="16">
        <f t="shared" si="204"/>
        <v>0.12449836200592311</v>
      </c>
      <c r="JR177" s="16">
        <f t="shared" si="204"/>
        <v>0</v>
      </c>
      <c r="JS177" s="16">
        <f t="shared" si="204"/>
        <v>0</v>
      </c>
      <c r="JT177" s="16">
        <f t="shared" si="204"/>
        <v>0</v>
      </c>
      <c r="JU177" s="16">
        <f t="shared" si="204"/>
        <v>0</v>
      </c>
      <c r="JV177" s="16">
        <f t="shared" si="204"/>
        <v>0</v>
      </c>
      <c r="JW177" s="16">
        <f t="shared" si="204"/>
        <v>0</v>
      </c>
      <c r="JX177" s="16">
        <f t="shared" si="205"/>
        <v>0</v>
      </c>
      <c r="JY177" s="16">
        <f t="shared" si="205"/>
        <v>0</v>
      </c>
      <c r="JZ177" s="16">
        <f t="shared" si="205"/>
        <v>0</v>
      </c>
      <c r="KA177" s="16">
        <f t="shared" si="205"/>
        <v>0</v>
      </c>
      <c r="KB177" s="16">
        <f t="shared" si="205"/>
        <v>0</v>
      </c>
      <c r="KC177" s="16">
        <f t="shared" si="205"/>
        <v>0</v>
      </c>
      <c r="KD177" s="16">
        <f t="shared" si="205"/>
        <v>0</v>
      </c>
      <c r="KE177" s="16">
        <f t="shared" si="205"/>
        <v>0</v>
      </c>
      <c r="KF177" s="16">
        <f t="shared" si="205"/>
        <v>0</v>
      </c>
      <c r="KG177" s="16">
        <f t="shared" si="205"/>
        <v>0</v>
      </c>
      <c r="KH177" s="16">
        <f t="shared" si="205"/>
        <v>0</v>
      </c>
      <c r="KK177" s="9">
        <f t="shared" ref="KK177:KK195" si="230">KK176-1</f>
        <v>18</v>
      </c>
      <c r="KL177" s="16">
        <f t="shared" si="206"/>
        <v>0</v>
      </c>
      <c r="KM177" s="16">
        <f t="shared" si="206"/>
        <v>1.4672011177430949E-2</v>
      </c>
      <c r="KN177" s="16">
        <f t="shared" si="206"/>
        <v>0.97020948477832125</v>
      </c>
      <c r="KO177" s="16">
        <f t="shared" si="206"/>
        <v>1.5781610713247844E-2</v>
      </c>
      <c r="KP177" s="16">
        <f t="shared" si="206"/>
        <v>0</v>
      </c>
      <c r="KQ177" s="16">
        <f t="shared" si="206"/>
        <v>0</v>
      </c>
      <c r="KR177" s="16">
        <f t="shared" si="206"/>
        <v>0</v>
      </c>
      <c r="KS177" s="16">
        <f t="shared" si="206"/>
        <v>0</v>
      </c>
      <c r="KT177" s="16">
        <f t="shared" si="206"/>
        <v>0</v>
      </c>
      <c r="KU177" s="16">
        <f t="shared" si="206"/>
        <v>0</v>
      </c>
      <c r="KV177" s="16">
        <f t="shared" si="207"/>
        <v>0</v>
      </c>
      <c r="KW177" s="16">
        <f t="shared" si="207"/>
        <v>0</v>
      </c>
      <c r="KX177" s="16">
        <f t="shared" si="207"/>
        <v>0</v>
      </c>
      <c r="KY177" s="16">
        <f t="shared" si="207"/>
        <v>0</v>
      </c>
      <c r="KZ177" s="16">
        <f t="shared" si="207"/>
        <v>0</v>
      </c>
      <c r="LA177" s="16">
        <f t="shared" si="207"/>
        <v>0</v>
      </c>
      <c r="LB177" s="16">
        <f t="shared" si="207"/>
        <v>0</v>
      </c>
      <c r="LC177" s="16">
        <f t="shared" si="207"/>
        <v>0</v>
      </c>
      <c r="LD177" s="16">
        <f t="shared" si="207"/>
        <v>0</v>
      </c>
      <c r="LE177" s="16">
        <f t="shared" si="207"/>
        <v>0</v>
      </c>
      <c r="LF177" s="16">
        <f t="shared" si="207"/>
        <v>0</v>
      </c>
      <c r="LI177" s="9">
        <f t="shared" ref="LI177:LI195" si="231">LI176-1</f>
        <v>18</v>
      </c>
      <c r="LJ177" s="16">
        <f t="shared" si="208"/>
        <v>0</v>
      </c>
      <c r="LK177" s="16">
        <f t="shared" si="208"/>
        <v>0.11574439675605995</v>
      </c>
      <c r="LL177" s="16">
        <f t="shared" si="208"/>
        <v>0.76498891858197249</v>
      </c>
      <c r="LM177" s="16">
        <f t="shared" si="208"/>
        <v>0.1244977930942175</v>
      </c>
      <c r="LN177" s="16">
        <f t="shared" si="208"/>
        <v>0</v>
      </c>
      <c r="LO177" s="16">
        <f t="shared" si="208"/>
        <v>0</v>
      </c>
      <c r="LP177" s="16">
        <f t="shared" si="208"/>
        <v>0</v>
      </c>
      <c r="LQ177" s="16">
        <f t="shared" si="208"/>
        <v>0</v>
      </c>
      <c r="LR177" s="16">
        <f t="shared" si="208"/>
        <v>0</v>
      </c>
      <c r="LS177" s="16">
        <f t="shared" si="208"/>
        <v>0</v>
      </c>
      <c r="LT177" s="16">
        <f t="shared" si="209"/>
        <v>0</v>
      </c>
      <c r="LU177" s="16">
        <f t="shared" si="209"/>
        <v>0</v>
      </c>
      <c r="LV177" s="16">
        <f t="shared" si="209"/>
        <v>0</v>
      </c>
      <c r="LW177" s="16">
        <f t="shared" si="209"/>
        <v>0</v>
      </c>
      <c r="LX177" s="16">
        <f t="shared" si="209"/>
        <v>0</v>
      </c>
      <c r="LY177" s="16">
        <f t="shared" si="209"/>
        <v>0</v>
      </c>
      <c r="LZ177" s="16">
        <f t="shared" si="209"/>
        <v>0</v>
      </c>
      <c r="MA177" s="16">
        <f t="shared" si="209"/>
        <v>0</v>
      </c>
      <c r="MB177" s="16">
        <f t="shared" si="209"/>
        <v>0</v>
      </c>
      <c r="MC177" s="16">
        <f t="shared" si="209"/>
        <v>0</v>
      </c>
      <c r="MD177" s="16">
        <f t="shared" si="209"/>
        <v>0</v>
      </c>
      <c r="MG177" s="9">
        <f t="shared" ref="MG177:MG195" si="232">MG176-1</f>
        <v>18</v>
      </c>
      <c r="MH177" s="16">
        <f t="shared" si="210"/>
        <v>0</v>
      </c>
      <c r="MI177" s="16">
        <f t="shared" si="210"/>
        <v>1.6121229296614838E-2</v>
      </c>
      <c r="MJ177" s="16">
        <f t="shared" si="210"/>
        <v>0.96726694650480283</v>
      </c>
      <c r="MK177" s="16">
        <f t="shared" si="210"/>
        <v>1.7340428786582356E-2</v>
      </c>
      <c r="ML177" s="16">
        <f t="shared" si="210"/>
        <v>0</v>
      </c>
      <c r="MM177" s="16">
        <f t="shared" si="210"/>
        <v>0</v>
      </c>
      <c r="MN177" s="16">
        <f t="shared" si="210"/>
        <v>0</v>
      </c>
      <c r="MO177" s="16">
        <f t="shared" si="210"/>
        <v>0</v>
      </c>
      <c r="MP177" s="16">
        <f t="shared" si="210"/>
        <v>0</v>
      </c>
      <c r="MQ177" s="16">
        <f t="shared" si="210"/>
        <v>0</v>
      </c>
      <c r="MR177" s="16">
        <f t="shared" si="211"/>
        <v>0</v>
      </c>
      <c r="MS177" s="16">
        <f t="shared" si="211"/>
        <v>0</v>
      </c>
      <c r="MT177" s="16">
        <f t="shared" si="211"/>
        <v>0</v>
      </c>
      <c r="MU177" s="16">
        <f t="shared" si="211"/>
        <v>0</v>
      </c>
      <c r="MV177" s="16">
        <f t="shared" si="211"/>
        <v>0</v>
      </c>
      <c r="MW177" s="16">
        <f t="shared" si="211"/>
        <v>0</v>
      </c>
      <c r="MX177" s="16">
        <f t="shared" si="211"/>
        <v>0</v>
      </c>
      <c r="MY177" s="16">
        <f t="shared" si="211"/>
        <v>0</v>
      </c>
      <c r="MZ177" s="16">
        <f t="shared" si="211"/>
        <v>0</v>
      </c>
      <c r="NA177" s="16">
        <f t="shared" si="211"/>
        <v>0</v>
      </c>
      <c r="NB177" s="16">
        <f t="shared" si="211"/>
        <v>0</v>
      </c>
      <c r="NE177" s="9">
        <f t="shared" ref="NE177:NE195" si="233">NE176-1</f>
        <v>18</v>
      </c>
      <c r="NF177" s="16">
        <f t="shared" si="212"/>
        <v>0</v>
      </c>
      <c r="NG177" s="16">
        <f t="shared" si="212"/>
        <v>0.11574439675605995</v>
      </c>
      <c r="NH177" s="16">
        <f t="shared" si="212"/>
        <v>0.76498891858197249</v>
      </c>
      <c r="NI177" s="16">
        <f t="shared" si="212"/>
        <v>0.1244977930942175</v>
      </c>
      <c r="NJ177" s="16">
        <f t="shared" si="212"/>
        <v>0</v>
      </c>
      <c r="NK177" s="16">
        <f t="shared" si="212"/>
        <v>0</v>
      </c>
      <c r="NL177" s="16">
        <f t="shared" si="212"/>
        <v>0</v>
      </c>
      <c r="NM177" s="16">
        <f t="shared" si="212"/>
        <v>0</v>
      </c>
      <c r="NN177" s="16">
        <f t="shared" si="212"/>
        <v>0</v>
      </c>
      <c r="NO177" s="16">
        <f t="shared" si="212"/>
        <v>0</v>
      </c>
      <c r="NP177" s="16">
        <f t="shared" si="213"/>
        <v>0</v>
      </c>
      <c r="NQ177" s="16">
        <f t="shared" si="213"/>
        <v>0</v>
      </c>
      <c r="NR177" s="16">
        <f t="shared" si="213"/>
        <v>0</v>
      </c>
      <c r="NS177" s="16">
        <f t="shared" si="213"/>
        <v>0</v>
      </c>
      <c r="NT177" s="16">
        <f t="shared" si="213"/>
        <v>0</v>
      </c>
      <c r="NU177" s="16">
        <f t="shared" si="213"/>
        <v>0</v>
      </c>
      <c r="NV177" s="16">
        <f t="shared" si="213"/>
        <v>0</v>
      </c>
      <c r="NW177" s="16">
        <f t="shared" si="213"/>
        <v>0</v>
      </c>
      <c r="NX177" s="16">
        <f t="shared" si="213"/>
        <v>0</v>
      </c>
      <c r="NY177" s="16">
        <f t="shared" si="213"/>
        <v>0</v>
      </c>
      <c r="NZ177" s="16">
        <f t="shared" si="213"/>
        <v>0</v>
      </c>
      <c r="OC177" s="9">
        <f t="shared" ref="OC177:OC195" si="234">OC176-1</f>
        <v>18</v>
      </c>
      <c r="OD177" s="16">
        <f t="shared" si="214"/>
        <v>0</v>
      </c>
      <c r="OE177" s="16">
        <f t="shared" si="214"/>
        <v>1.7569918504076368E-2</v>
      </c>
      <c r="OF177" s="16">
        <f t="shared" si="214"/>
        <v>0.9643254821503624</v>
      </c>
      <c r="OG177" s="16">
        <f t="shared" si="214"/>
        <v>1.8898677948211245E-2</v>
      </c>
      <c r="OH177" s="16">
        <f t="shared" si="214"/>
        <v>0</v>
      </c>
      <c r="OI177" s="16">
        <f t="shared" si="214"/>
        <v>0</v>
      </c>
      <c r="OJ177" s="16">
        <f t="shared" si="214"/>
        <v>0</v>
      </c>
      <c r="OK177" s="16">
        <f t="shared" si="214"/>
        <v>0</v>
      </c>
      <c r="OL177" s="16">
        <f t="shared" si="214"/>
        <v>0</v>
      </c>
      <c r="OM177" s="16">
        <f t="shared" si="214"/>
        <v>0</v>
      </c>
      <c r="ON177" s="16">
        <f t="shared" si="215"/>
        <v>0</v>
      </c>
      <c r="OO177" s="16">
        <f t="shared" si="215"/>
        <v>0</v>
      </c>
      <c r="OP177" s="16">
        <f t="shared" si="215"/>
        <v>0</v>
      </c>
      <c r="OQ177" s="16">
        <f t="shared" si="215"/>
        <v>0</v>
      </c>
      <c r="OR177" s="16">
        <f t="shared" si="215"/>
        <v>0</v>
      </c>
      <c r="OS177" s="16">
        <f t="shared" si="215"/>
        <v>0</v>
      </c>
      <c r="OT177" s="16">
        <f t="shared" si="215"/>
        <v>0</v>
      </c>
      <c r="OU177" s="16">
        <f t="shared" si="215"/>
        <v>0</v>
      </c>
      <c r="OV177" s="16">
        <f t="shared" si="215"/>
        <v>0</v>
      </c>
      <c r="OW177" s="16">
        <f t="shared" si="215"/>
        <v>0</v>
      </c>
      <c r="OX177" s="16">
        <f t="shared" si="215"/>
        <v>0</v>
      </c>
      <c r="PA177" s="9">
        <f t="shared" ref="PA177:PA195" si="235">PA176-1</f>
        <v>18</v>
      </c>
      <c r="PB177" s="16">
        <f t="shared" si="216"/>
        <v>0</v>
      </c>
      <c r="PC177" s="16">
        <f t="shared" si="216"/>
        <v>0.11573963655055898</v>
      </c>
      <c r="PD177" s="16">
        <f t="shared" si="216"/>
        <v>0.76499858385367392</v>
      </c>
      <c r="PE177" s="16">
        <f t="shared" si="216"/>
        <v>0.12449267288886713</v>
      </c>
      <c r="PF177" s="16">
        <f t="shared" si="216"/>
        <v>0</v>
      </c>
      <c r="PG177" s="16">
        <f t="shared" si="216"/>
        <v>0</v>
      </c>
      <c r="PH177" s="16">
        <f t="shared" si="216"/>
        <v>0</v>
      </c>
      <c r="PI177" s="16">
        <f t="shared" si="216"/>
        <v>0</v>
      </c>
      <c r="PJ177" s="16">
        <f t="shared" si="216"/>
        <v>0</v>
      </c>
      <c r="PK177" s="16">
        <f t="shared" si="216"/>
        <v>0</v>
      </c>
      <c r="PL177" s="16">
        <f t="shared" si="217"/>
        <v>0</v>
      </c>
      <c r="PM177" s="16">
        <f t="shared" si="217"/>
        <v>0</v>
      </c>
      <c r="PN177" s="16">
        <f t="shared" si="217"/>
        <v>0</v>
      </c>
      <c r="PO177" s="16">
        <f t="shared" si="217"/>
        <v>0</v>
      </c>
      <c r="PP177" s="16">
        <f t="shared" si="217"/>
        <v>0</v>
      </c>
      <c r="PQ177" s="16">
        <f t="shared" si="217"/>
        <v>0</v>
      </c>
      <c r="PR177" s="16">
        <f t="shared" si="217"/>
        <v>0</v>
      </c>
      <c r="PS177" s="16">
        <f t="shared" si="217"/>
        <v>0</v>
      </c>
      <c r="PT177" s="16">
        <f t="shared" si="217"/>
        <v>0</v>
      </c>
      <c r="PU177" s="16">
        <f t="shared" si="217"/>
        <v>0</v>
      </c>
      <c r="PV177" s="16">
        <f t="shared" si="217"/>
        <v>0</v>
      </c>
    </row>
    <row r="178" spans="3:438" x14ac:dyDescent="0.25">
      <c r="C178" s="1"/>
      <c r="D178" s="1"/>
      <c r="I178" s="9">
        <f t="shared" si="218"/>
        <v>17</v>
      </c>
      <c r="J178" s="16">
        <f t="shared" si="182"/>
        <v>0</v>
      </c>
      <c r="K178" s="16">
        <f t="shared" si="182"/>
        <v>0</v>
      </c>
      <c r="L178" s="16">
        <f t="shared" si="182"/>
        <v>1.417174033242284E-2</v>
      </c>
      <c r="M178" s="16">
        <f t="shared" si="182"/>
        <v>0.97138653528732177</v>
      </c>
      <c r="N178" s="16">
        <f t="shared" si="182"/>
        <v>1.4842689851255381E-2</v>
      </c>
      <c r="O178" s="16">
        <f t="shared" si="182"/>
        <v>0</v>
      </c>
      <c r="P178" s="16">
        <f t="shared" si="182"/>
        <v>0</v>
      </c>
      <c r="Q178" s="16">
        <f t="shared" si="182"/>
        <v>0</v>
      </c>
      <c r="R178" s="16">
        <f t="shared" si="182"/>
        <v>0</v>
      </c>
      <c r="S178" s="16">
        <f t="shared" si="182"/>
        <v>0</v>
      </c>
      <c r="T178" s="16">
        <f t="shared" si="183"/>
        <v>0</v>
      </c>
      <c r="U178" s="16">
        <f t="shared" si="183"/>
        <v>0</v>
      </c>
      <c r="V178" s="16">
        <f t="shared" si="183"/>
        <v>0</v>
      </c>
      <c r="W178" s="16">
        <f t="shared" si="183"/>
        <v>0</v>
      </c>
      <c r="X178" s="16">
        <f t="shared" si="183"/>
        <v>0</v>
      </c>
      <c r="Y178" s="16">
        <f t="shared" si="183"/>
        <v>0</v>
      </c>
      <c r="Z178" s="16">
        <f t="shared" si="183"/>
        <v>0</v>
      </c>
      <c r="AA178" s="16">
        <f t="shared" si="183"/>
        <v>0</v>
      </c>
      <c r="AB178" s="16">
        <f t="shared" si="183"/>
        <v>0</v>
      </c>
      <c r="AC178" s="16">
        <f t="shared" si="183"/>
        <v>0</v>
      </c>
      <c r="AD178" s="16">
        <f t="shared" si="183"/>
        <v>0</v>
      </c>
      <c r="AG178" s="9">
        <f t="shared" si="219"/>
        <v>17</v>
      </c>
      <c r="AH178" s="16">
        <f t="shared" si="184"/>
        <v>0</v>
      </c>
      <c r="AI178" s="16">
        <f t="shared" si="184"/>
        <v>0</v>
      </c>
      <c r="AJ178" s="16">
        <f t="shared" si="184"/>
        <v>5.6716531992878821E-2</v>
      </c>
      <c r="AK178" s="16">
        <f t="shared" si="184"/>
        <v>0.88548643647591618</v>
      </c>
      <c r="AL178" s="16">
        <f t="shared" si="184"/>
        <v>5.9401730067205012E-2</v>
      </c>
      <c r="AM178" s="16">
        <f t="shared" si="184"/>
        <v>0</v>
      </c>
      <c r="AN178" s="16">
        <f t="shared" si="184"/>
        <v>0</v>
      </c>
      <c r="AO178" s="16">
        <f t="shared" si="184"/>
        <v>0</v>
      </c>
      <c r="AP178" s="16">
        <f t="shared" si="184"/>
        <v>0</v>
      </c>
      <c r="AQ178" s="16">
        <f t="shared" si="184"/>
        <v>0</v>
      </c>
      <c r="AR178" s="16">
        <f t="shared" si="185"/>
        <v>0</v>
      </c>
      <c r="AS178" s="16">
        <f t="shared" si="185"/>
        <v>0</v>
      </c>
      <c r="AT178" s="16">
        <f t="shared" si="185"/>
        <v>0</v>
      </c>
      <c r="AU178" s="16">
        <f t="shared" si="185"/>
        <v>0</v>
      </c>
      <c r="AV178" s="16">
        <f t="shared" si="185"/>
        <v>0</v>
      </c>
      <c r="AW178" s="16">
        <f t="shared" si="185"/>
        <v>0</v>
      </c>
      <c r="AX178" s="16">
        <f t="shared" si="185"/>
        <v>0</v>
      </c>
      <c r="AY178" s="16">
        <f t="shared" si="185"/>
        <v>0</v>
      </c>
      <c r="AZ178" s="16">
        <f t="shared" si="185"/>
        <v>0</v>
      </c>
      <c r="BA178" s="16">
        <f t="shared" si="185"/>
        <v>0</v>
      </c>
      <c r="BB178" s="16">
        <f t="shared" si="185"/>
        <v>0</v>
      </c>
      <c r="BE178" s="9">
        <f t="shared" si="220"/>
        <v>17</v>
      </c>
      <c r="BF178" s="16">
        <f t="shared" si="186"/>
        <v>0</v>
      </c>
      <c r="BG178" s="16">
        <f t="shared" si="186"/>
        <v>0</v>
      </c>
      <c r="BH178" s="16">
        <f t="shared" si="186"/>
        <v>5.6709139327081999E-2</v>
      </c>
      <c r="BI178" s="16">
        <f t="shared" si="186"/>
        <v>0.88550136264425883</v>
      </c>
      <c r="BJ178" s="16">
        <f t="shared" si="186"/>
        <v>5.939398740165918E-2</v>
      </c>
      <c r="BK178" s="16">
        <f t="shared" si="186"/>
        <v>0</v>
      </c>
      <c r="BL178" s="16">
        <f t="shared" si="186"/>
        <v>0</v>
      </c>
      <c r="BM178" s="16">
        <f t="shared" si="186"/>
        <v>0</v>
      </c>
      <c r="BN178" s="16">
        <f t="shared" si="186"/>
        <v>0</v>
      </c>
      <c r="BO178" s="16">
        <f t="shared" si="186"/>
        <v>0</v>
      </c>
      <c r="BP178" s="16">
        <f t="shared" si="187"/>
        <v>0</v>
      </c>
      <c r="BQ178" s="16">
        <f t="shared" si="187"/>
        <v>0</v>
      </c>
      <c r="BR178" s="16">
        <f t="shared" si="187"/>
        <v>0</v>
      </c>
      <c r="BS178" s="16">
        <f t="shared" si="187"/>
        <v>0</v>
      </c>
      <c r="BT178" s="16">
        <f t="shared" si="187"/>
        <v>0</v>
      </c>
      <c r="BU178" s="16">
        <f t="shared" si="187"/>
        <v>0</v>
      </c>
      <c r="BV178" s="16">
        <f t="shared" si="187"/>
        <v>0</v>
      </c>
      <c r="BW178" s="16">
        <f t="shared" si="187"/>
        <v>0</v>
      </c>
      <c r="BX178" s="16">
        <f t="shared" si="187"/>
        <v>0</v>
      </c>
      <c r="BY178" s="16">
        <f t="shared" si="187"/>
        <v>0</v>
      </c>
      <c r="BZ178" s="16">
        <f t="shared" si="187"/>
        <v>0</v>
      </c>
      <c r="CC178" s="9">
        <f t="shared" si="221"/>
        <v>17</v>
      </c>
      <c r="CD178" s="16">
        <f t="shared" si="188"/>
        <v>0</v>
      </c>
      <c r="CE178" s="16">
        <f t="shared" si="188"/>
        <v>0</v>
      </c>
      <c r="CF178" s="16">
        <f t="shared" si="188"/>
        <v>5.6709139327081833E-2</v>
      </c>
      <c r="CG178" s="16">
        <f t="shared" si="188"/>
        <v>0.88550136264425916</v>
      </c>
      <c r="CH178" s="16">
        <f t="shared" si="188"/>
        <v>5.9393987401659014E-2</v>
      </c>
      <c r="CI178" s="16">
        <f t="shared" si="188"/>
        <v>0</v>
      </c>
      <c r="CJ178" s="16">
        <f t="shared" si="188"/>
        <v>0</v>
      </c>
      <c r="CK178" s="16">
        <f t="shared" si="188"/>
        <v>0</v>
      </c>
      <c r="CL178" s="16">
        <f t="shared" si="188"/>
        <v>0</v>
      </c>
      <c r="CM178" s="16">
        <f t="shared" si="188"/>
        <v>0</v>
      </c>
      <c r="CN178" s="16">
        <f t="shared" si="189"/>
        <v>0</v>
      </c>
      <c r="CO178" s="16">
        <f t="shared" si="189"/>
        <v>0</v>
      </c>
      <c r="CP178" s="16">
        <f t="shared" si="189"/>
        <v>0</v>
      </c>
      <c r="CQ178" s="16">
        <f t="shared" si="189"/>
        <v>0</v>
      </c>
      <c r="CR178" s="16">
        <f t="shared" si="189"/>
        <v>0</v>
      </c>
      <c r="CS178" s="16">
        <f t="shared" si="189"/>
        <v>0</v>
      </c>
      <c r="CT178" s="16">
        <f t="shared" si="189"/>
        <v>0</v>
      </c>
      <c r="CU178" s="16">
        <f t="shared" si="189"/>
        <v>0</v>
      </c>
      <c r="CV178" s="16">
        <f t="shared" si="189"/>
        <v>0</v>
      </c>
      <c r="CW178" s="16">
        <f t="shared" si="189"/>
        <v>0</v>
      </c>
      <c r="CX178" s="16">
        <f t="shared" si="189"/>
        <v>0</v>
      </c>
      <c r="DA178" s="9">
        <f t="shared" si="222"/>
        <v>17</v>
      </c>
      <c r="DB178" s="16">
        <f t="shared" si="190"/>
        <v>0</v>
      </c>
      <c r="DC178" s="16">
        <f t="shared" si="190"/>
        <v>0</v>
      </c>
      <c r="DD178" s="16">
        <f t="shared" si="190"/>
        <v>1.4179132998219829E-2</v>
      </c>
      <c r="DE178" s="16">
        <f t="shared" si="190"/>
        <v>0.9713716091189788</v>
      </c>
      <c r="DF178" s="16">
        <f t="shared" si="190"/>
        <v>1.4850432516801381E-2</v>
      </c>
      <c r="DG178" s="16">
        <f t="shared" si="190"/>
        <v>0</v>
      </c>
      <c r="DH178" s="16">
        <f t="shared" si="190"/>
        <v>0</v>
      </c>
      <c r="DI178" s="16">
        <f t="shared" si="190"/>
        <v>0</v>
      </c>
      <c r="DJ178" s="16">
        <f t="shared" si="190"/>
        <v>0</v>
      </c>
      <c r="DK178" s="16">
        <f t="shared" si="190"/>
        <v>0</v>
      </c>
      <c r="DL178" s="16">
        <f t="shared" si="191"/>
        <v>0</v>
      </c>
      <c r="DM178" s="16">
        <f t="shared" si="191"/>
        <v>0</v>
      </c>
      <c r="DN178" s="16">
        <f t="shared" si="191"/>
        <v>0</v>
      </c>
      <c r="DO178" s="16">
        <f t="shared" si="191"/>
        <v>0</v>
      </c>
      <c r="DP178" s="16">
        <f t="shared" si="191"/>
        <v>0</v>
      </c>
      <c r="DQ178" s="16">
        <f t="shared" si="191"/>
        <v>0</v>
      </c>
      <c r="DR178" s="16">
        <f t="shared" si="191"/>
        <v>0</v>
      </c>
      <c r="DS178" s="16">
        <f t="shared" si="191"/>
        <v>0</v>
      </c>
      <c r="DT178" s="16">
        <f t="shared" si="191"/>
        <v>0</v>
      </c>
      <c r="DU178" s="16">
        <f t="shared" si="191"/>
        <v>0</v>
      </c>
      <c r="DV178" s="16">
        <f t="shared" si="191"/>
        <v>0</v>
      </c>
      <c r="DY178" s="9">
        <f t="shared" si="223"/>
        <v>17</v>
      </c>
      <c r="DZ178" s="16">
        <f t="shared" si="192"/>
        <v>0</v>
      </c>
      <c r="EA178" s="16">
        <f t="shared" si="192"/>
        <v>0</v>
      </c>
      <c r="EB178" s="16">
        <f t="shared" si="192"/>
        <v>4.0764593540829043E-2</v>
      </c>
      <c r="EC178" s="16">
        <f t="shared" si="192"/>
        <v>0.91739045421676479</v>
      </c>
      <c r="ED178" s="16">
        <f t="shared" si="192"/>
        <v>4.3449441615406217E-2</v>
      </c>
      <c r="EE178" s="16">
        <f t="shared" si="192"/>
        <v>0</v>
      </c>
      <c r="EF178" s="16">
        <f t="shared" si="192"/>
        <v>0</v>
      </c>
      <c r="EG178" s="16">
        <f t="shared" si="192"/>
        <v>0</v>
      </c>
      <c r="EH178" s="16">
        <f t="shared" si="192"/>
        <v>0</v>
      </c>
      <c r="EI178" s="16">
        <f t="shared" si="192"/>
        <v>0</v>
      </c>
      <c r="EJ178" s="16">
        <f t="shared" si="193"/>
        <v>0</v>
      </c>
      <c r="EK178" s="16">
        <f t="shared" si="193"/>
        <v>0</v>
      </c>
      <c r="EL178" s="16">
        <f t="shared" si="193"/>
        <v>0</v>
      </c>
      <c r="EM178" s="16">
        <f t="shared" si="193"/>
        <v>0</v>
      </c>
      <c r="EN178" s="16">
        <f t="shared" si="193"/>
        <v>0</v>
      </c>
      <c r="EO178" s="16">
        <f t="shared" si="193"/>
        <v>0</v>
      </c>
      <c r="EP178" s="16">
        <f t="shared" si="193"/>
        <v>0</v>
      </c>
      <c r="EQ178" s="16">
        <f t="shared" si="193"/>
        <v>0</v>
      </c>
      <c r="ER178" s="16">
        <f t="shared" si="193"/>
        <v>0</v>
      </c>
      <c r="ES178" s="16">
        <f t="shared" si="193"/>
        <v>0</v>
      </c>
      <c r="ET178" s="16">
        <f t="shared" si="193"/>
        <v>0</v>
      </c>
      <c r="EW178" s="9">
        <f t="shared" si="224"/>
        <v>17</v>
      </c>
      <c r="EX178" s="16">
        <f t="shared" si="194"/>
        <v>0</v>
      </c>
      <c r="EY178" s="16">
        <f t="shared" si="194"/>
        <v>0</v>
      </c>
      <c r="EZ178" s="16">
        <f t="shared" si="194"/>
        <v>4.0764593540829161E-2</v>
      </c>
      <c r="FA178" s="16">
        <f t="shared" si="194"/>
        <v>0.91739045421676446</v>
      </c>
      <c r="FB178" s="16">
        <f t="shared" si="194"/>
        <v>4.3449441615406342E-2</v>
      </c>
      <c r="FC178" s="16">
        <f t="shared" si="194"/>
        <v>0</v>
      </c>
      <c r="FD178" s="16">
        <f t="shared" si="194"/>
        <v>0</v>
      </c>
      <c r="FE178" s="16">
        <f t="shared" si="194"/>
        <v>0</v>
      </c>
      <c r="FF178" s="16">
        <f t="shared" si="194"/>
        <v>0</v>
      </c>
      <c r="FG178" s="16">
        <f t="shared" si="194"/>
        <v>0</v>
      </c>
      <c r="FH178" s="16">
        <f t="shared" si="195"/>
        <v>0</v>
      </c>
      <c r="FI178" s="16">
        <f t="shared" si="195"/>
        <v>0</v>
      </c>
      <c r="FJ178" s="16">
        <f t="shared" si="195"/>
        <v>0</v>
      </c>
      <c r="FK178" s="16">
        <f t="shared" si="195"/>
        <v>0</v>
      </c>
      <c r="FL178" s="16">
        <f t="shared" si="195"/>
        <v>0</v>
      </c>
      <c r="FM178" s="16">
        <f t="shared" si="195"/>
        <v>0</v>
      </c>
      <c r="FN178" s="16">
        <f t="shared" si="195"/>
        <v>0</v>
      </c>
      <c r="FO178" s="16">
        <f t="shared" si="195"/>
        <v>0</v>
      </c>
      <c r="FP178" s="16">
        <f t="shared" si="195"/>
        <v>0</v>
      </c>
      <c r="FQ178" s="16">
        <f t="shared" si="195"/>
        <v>0</v>
      </c>
      <c r="FR178" s="16">
        <f t="shared" si="195"/>
        <v>0</v>
      </c>
      <c r="FU178" s="9">
        <f t="shared" si="225"/>
        <v>17</v>
      </c>
      <c r="FV178" s="16">
        <f t="shared" si="196"/>
        <v>0</v>
      </c>
      <c r="FW178" s="16">
        <f t="shared" si="196"/>
        <v>0</v>
      </c>
      <c r="FX178" s="16">
        <f t="shared" si="196"/>
        <v>4.0769907658094212E-2</v>
      </c>
      <c r="FY178" s="16">
        <f t="shared" si="196"/>
        <v>0.9173796851454854</v>
      </c>
      <c r="FZ178" s="16">
        <f t="shared" si="196"/>
        <v>4.3455105732420389E-2</v>
      </c>
      <c r="GA178" s="16">
        <f t="shared" si="196"/>
        <v>0</v>
      </c>
      <c r="GB178" s="16">
        <f t="shared" si="196"/>
        <v>0</v>
      </c>
      <c r="GC178" s="16">
        <f t="shared" si="196"/>
        <v>0</v>
      </c>
      <c r="GD178" s="16">
        <f t="shared" si="196"/>
        <v>0</v>
      </c>
      <c r="GE178" s="16">
        <f t="shared" si="196"/>
        <v>0</v>
      </c>
      <c r="GF178" s="16">
        <f t="shared" si="197"/>
        <v>0</v>
      </c>
      <c r="GG178" s="16">
        <f t="shared" si="197"/>
        <v>0</v>
      </c>
      <c r="GH178" s="16">
        <f t="shared" si="197"/>
        <v>0</v>
      </c>
      <c r="GI178" s="16">
        <f t="shared" si="197"/>
        <v>0</v>
      </c>
      <c r="GJ178" s="16">
        <f t="shared" si="197"/>
        <v>0</v>
      </c>
      <c r="GK178" s="16">
        <f t="shared" si="197"/>
        <v>0</v>
      </c>
      <c r="GL178" s="16">
        <f t="shared" si="197"/>
        <v>0</v>
      </c>
      <c r="GM178" s="16">
        <f t="shared" si="197"/>
        <v>0</v>
      </c>
      <c r="GN178" s="16">
        <f t="shared" si="197"/>
        <v>0</v>
      </c>
      <c r="GO178" s="16">
        <f t="shared" si="197"/>
        <v>0</v>
      </c>
      <c r="GP178" s="16">
        <f t="shared" si="197"/>
        <v>0</v>
      </c>
      <c r="GS178" s="9">
        <f t="shared" si="226"/>
        <v>17</v>
      </c>
      <c r="GT178" s="16">
        <f t="shared" si="198"/>
        <v>0</v>
      </c>
      <c r="GU178" s="16">
        <f t="shared" si="198"/>
        <v>0</v>
      </c>
      <c r="GV178" s="16">
        <f t="shared" si="198"/>
        <v>1.7648183437504145E-2</v>
      </c>
      <c r="GW178" s="16">
        <f t="shared" si="198"/>
        <v>0.96423591428156352</v>
      </c>
      <c r="GX178" s="16">
        <f t="shared" si="198"/>
        <v>1.8810532603932364E-2</v>
      </c>
      <c r="GY178" s="16">
        <f t="shared" si="198"/>
        <v>0</v>
      </c>
      <c r="GZ178" s="16">
        <f t="shared" si="198"/>
        <v>0</v>
      </c>
      <c r="HA178" s="16">
        <f t="shared" si="198"/>
        <v>0</v>
      </c>
      <c r="HB178" s="16">
        <f t="shared" si="198"/>
        <v>0</v>
      </c>
      <c r="HC178" s="16">
        <f t="shared" si="198"/>
        <v>0</v>
      </c>
      <c r="HD178" s="16">
        <f t="shared" si="199"/>
        <v>0</v>
      </c>
      <c r="HE178" s="16">
        <f t="shared" si="199"/>
        <v>0</v>
      </c>
      <c r="HF178" s="16">
        <f t="shared" si="199"/>
        <v>0</v>
      </c>
      <c r="HG178" s="16">
        <f t="shared" si="199"/>
        <v>0</v>
      </c>
      <c r="HH178" s="16">
        <f t="shared" si="199"/>
        <v>0</v>
      </c>
      <c r="HI178" s="16">
        <f t="shared" si="199"/>
        <v>0</v>
      </c>
      <c r="HJ178" s="16">
        <f t="shared" si="199"/>
        <v>0</v>
      </c>
      <c r="HK178" s="16">
        <f t="shared" si="199"/>
        <v>0</v>
      </c>
      <c r="HL178" s="16">
        <f t="shared" si="199"/>
        <v>0</v>
      </c>
      <c r="HM178" s="16">
        <f t="shared" si="199"/>
        <v>0</v>
      </c>
      <c r="HN178" s="16">
        <f t="shared" si="199"/>
        <v>0</v>
      </c>
      <c r="HQ178" s="9">
        <f t="shared" si="227"/>
        <v>17</v>
      </c>
      <c r="HR178" s="16">
        <f t="shared" si="200"/>
        <v>0</v>
      </c>
      <c r="HS178" s="16">
        <f t="shared" si="200"/>
        <v>0</v>
      </c>
      <c r="HT178" s="16">
        <f t="shared" si="200"/>
        <v>0.11629414223015309</v>
      </c>
      <c r="HU178" s="16">
        <f t="shared" si="200"/>
        <v>0.76432964412458304</v>
      </c>
      <c r="HV178" s="16">
        <f t="shared" si="200"/>
        <v>0.12395353673726391</v>
      </c>
      <c r="HW178" s="16">
        <f t="shared" si="200"/>
        <v>0</v>
      </c>
      <c r="HX178" s="16">
        <f t="shared" si="200"/>
        <v>0</v>
      </c>
      <c r="HY178" s="16">
        <f t="shared" si="200"/>
        <v>0</v>
      </c>
      <c r="HZ178" s="16">
        <f t="shared" si="200"/>
        <v>0</v>
      </c>
      <c r="IA178" s="16">
        <f t="shared" si="200"/>
        <v>0</v>
      </c>
      <c r="IB178" s="16">
        <f t="shared" si="201"/>
        <v>0</v>
      </c>
      <c r="IC178" s="16">
        <f t="shared" si="201"/>
        <v>0</v>
      </c>
      <c r="ID178" s="16">
        <f t="shared" si="201"/>
        <v>0</v>
      </c>
      <c r="IE178" s="16">
        <f t="shared" si="201"/>
        <v>0</v>
      </c>
      <c r="IF178" s="16">
        <f t="shared" si="201"/>
        <v>0</v>
      </c>
      <c r="IG178" s="16">
        <f t="shared" si="201"/>
        <v>0</v>
      </c>
      <c r="IH178" s="16">
        <f t="shared" si="201"/>
        <v>0</v>
      </c>
      <c r="II178" s="16">
        <f t="shared" si="201"/>
        <v>0</v>
      </c>
      <c r="IJ178" s="16">
        <f t="shared" si="201"/>
        <v>0</v>
      </c>
      <c r="IK178" s="16">
        <f t="shared" si="201"/>
        <v>0</v>
      </c>
      <c r="IL178" s="16">
        <f t="shared" si="201"/>
        <v>0</v>
      </c>
      <c r="IO178" s="9">
        <f t="shared" si="228"/>
        <v>17</v>
      </c>
      <c r="IP178" s="16">
        <f t="shared" si="202"/>
        <v>0</v>
      </c>
      <c r="IQ178" s="16">
        <f t="shared" si="202"/>
        <v>0</v>
      </c>
      <c r="IR178" s="16">
        <f t="shared" si="202"/>
        <v>1.7652966143042664E-2</v>
      </c>
      <c r="IS178" s="16">
        <f t="shared" si="202"/>
        <v>0.96422622211741238</v>
      </c>
      <c r="IT178" s="16">
        <f t="shared" si="202"/>
        <v>1.8815630309244977E-2</v>
      </c>
      <c r="IU178" s="16">
        <f t="shared" si="202"/>
        <v>0</v>
      </c>
      <c r="IV178" s="16">
        <f t="shared" si="202"/>
        <v>0</v>
      </c>
      <c r="IW178" s="16">
        <f t="shared" si="202"/>
        <v>0</v>
      </c>
      <c r="IX178" s="16">
        <f t="shared" si="202"/>
        <v>0</v>
      </c>
      <c r="IY178" s="16">
        <f t="shared" si="202"/>
        <v>0</v>
      </c>
      <c r="IZ178" s="16">
        <f t="shared" si="203"/>
        <v>0</v>
      </c>
      <c r="JA178" s="16">
        <f t="shared" si="203"/>
        <v>0</v>
      </c>
      <c r="JB178" s="16">
        <f t="shared" si="203"/>
        <v>0</v>
      </c>
      <c r="JC178" s="16">
        <f t="shared" si="203"/>
        <v>0</v>
      </c>
      <c r="JD178" s="16">
        <f t="shared" si="203"/>
        <v>0</v>
      </c>
      <c r="JE178" s="16">
        <f t="shared" si="203"/>
        <v>0</v>
      </c>
      <c r="JF178" s="16">
        <f t="shared" si="203"/>
        <v>0</v>
      </c>
      <c r="JG178" s="16">
        <f t="shared" si="203"/>
        <v>0</v>
      </c>
      <c r="JH178" s="16">
        <f t="shared" si="203"/>
        <v>0</v>
      </c>
      <c r="JI178" s="16">
        <f t="shared" si="203"/>
        <v>0</v>
      </c>
      <c r="JJ178" s="16">
        <f t="shared" si="203"/>
        <v>0</v>
      </c>
      <c r="JM178" s="9">
        <f t="shared" si="229"/>
        <v>17</v>
      </c>
      <c r="JN178" s="16">
        <f t="shared" si="204"/>
        <v>0</v>
      </c>
      <c r="JO178" s="16">
        <f t="shared" si="204"/>
        <v>0</v>
      </c>
      <c r="JP178" s="16">
        <f t="shared" si="204"/>
        <v>0.1162920165832471</v>
      </c>
      <c r="JQ178" s="16">
        <f t="shared" si="204"/>
        <v>0.7643339517530946</v>
      </c>
      <c r="JR178" s="16">
        <f t="shared" si="204"/>
        <v>0.12395127109045831</v>
      </c>
      <c r="JS178" s="16">
        <f t="shared" si="204"/>
        <v>0</v>
      </c>
      <c r="JT178" s="16">
        <f t="shared" si="204"/>
        <v>0</v>
      </c>
      <c r="JU178" s="16">
        <f t="shared" si="204"/>
        <v>0</v>
      </c>
      <c r="JV178" s="16">
        <f t="shared" si="204"/>
        <v>0</v>
      </c>
      <c r="JW178" s="16">
        <f t="shared" si="204"/>
        <v>0</v>
      </c>
      <c r="JX178" s="16">
        <f t="shared" si="205"/>
        <v>0</v>
      </c>
      <c r="JY178" s="16">
        <f t="shared" si="205"/>
        <v>0</v>
      </c>
      <c r="JZ178" s="16">
        <f t="shared" si="205"/>
        <v>0</v>
      </c>
      <c r="KA178" s="16">
        <f t="shared" si="205"/>
        <v>0</v>
      </c>
      <c r="KB178" s="16">
        <f t="shared" si="205"/>
        <v>0</v>
      </c>
      <c r="KC178" s="16">
        <f t="shared" si="205"/>
        <v>0</v>
      </c>
      <c r="KD178" s="16">
        <f t="shared" si="205"/>
        <v>0</v>
      </c>
      <c r="KE178" s="16">
        <f t="shared" si="205"/>
        <v>0</v>
      </c>
      <c r="KF178" s="16">
        <f t="shared" si="205"/>
        <v>0</v>
      </c>
      <c r="KG178" s="16">
        <f t="shared" si="205"/>
        <v>0</v>
      </c>
      <c r="KH178" s="16">
        <f t="shared" si="205"/>
        <v>0</v>
      </c>
      <c r="KK178" s="9">
        <f t="shared" si="230"/>
        <v>17</v>
      </c>
      <c r="KL178" s="16">
        <f t="shared" si="206"/>
        <v>0</v>
      </c>
      <c r="KM178" s="16">
        <f t="shared" si="206"/>
        <v>0</v>
      </c>
      <c r="KN178" s="16">
        <f t="shared" si="206"/>
        <v>1.4741361293476725E-2</v>
      </c>
      <c r="KO178" s="16">
        <f t="shared" si="206"/>
        <v>0.97012659627132125</v>
      </c>
      <c r="KP178" s="16">
        <f t="shared" si="206"/>
        <v>1.5712260597202068E-2</v>
      </c>
      <c r="KQ178" s="16">
        <f t="shared" si="206"/>
        <v>0</v>
      </c>
      <c r="KR178" s="16">
        <f t="shared" si="206"/>
        <v>0</v>
      </c>
      <c r="KS178" s="16">
        <f t="shared" si="206"/>
        <v>0</v>
      </c>
      <c r="KT178" s="16">
        <f t="shared" si="206"/>
        <v>0</v>
      </c>
      <c r="KU178" s="16">
        <f t="shared" si="206"/>
        <v>0</v>
      </c>
      <c r="KV178" s="16">
        <f t="shared" si="207"/>
        <v>0</v>
      </c>
      <c r="KW178" s="16">
        <f t="shared" si="207"/>
        <v>0</v>
      </c>
      <c r="KX178" s="16">
        <f t="shared" si="207"/>
        <v>0</v>
      </c>
      <c r="KY178" s="16">
        <f t="shared" si="207"/>
        <v>0</v>
      </c>
      <c r="KZ178" s="16">
        <f t="shared" si="207"/>
        <v>0</v>
      </c>
      <c r="LA178" s="16">
        <f t="shared" si="207"/>
        <v>0</v>
      </c>
      <c r="LB178" s="16">
        <f t="shared" si="207"/>
        <v>0</v>
      </c>
      <c r="LC178" s="16">
        <f t="shared" si="207"/>
        <v>0</v>
      </c>
      <c r="LD178" s="16">
        <f t="shared" si="207"/>
        <v>0</v>
      </c>
      <c r="LE178" s="16">
        <f t="shared" si="207"/>
        <v>0</v>
      </c>
      <c r="LF178" s="16">
        <f t="shared" si="207"/>
        <v>0</v>
      </c>
      <c r="LI178" s="9">
        <f t="shared" si="231"/>
        <v>17</v>
      </c>
      <c r="LJ178" s="16">
        <f t="shared" si="208"/>
        <v>0</v>
      </c>
      <c r="LK178" s="16">
        <f t="shared" si="208"/>
        <v>0</v>
      </c>
      <c r="LL178" s="16">
        <f t="shared" si="208"/>
        <v>0.11629148517152058</v>
      </c>
      <c r="LM178" s="16">
        <f t="shared" si="208"/>
        <v>0.76433502866022263</v>
      </c>
      <c r="LN178" s="16">
        <f t="shared" si="208"/>
        <v>0.12395070467875689</v>
      </c>
      <c r="LO178" s="16">
        <f t="shared" si="208"/>
        <v>0</v>
      </c>
      <c r="LP178" s="16">
        <f t="shared" si="208"/>
        <v>0</v>
      </c>
      <c r="LQ178" s="16">
        <f t="shared" si="208"/>
        <v>0</v>
      </c>
      <c r="LR178" s="16">
        <f t="shared" si="208"/>
        <v>0</v>
      </c>
      <c r="LS178" s="16">
        <f t="shared" si="208"/>
        <v>0</v>
      </c>
      <c r="LT178" s="16">
        <f t="shared" si="209"/>
        <v>0</v>
      </c>
      <c r="LU178" s="16">
        <f t="shared" si="209"/>
        <v>0</v>
      </c>
      <c r="LV178" s="16">
        <f t="shared" si="209"/>
        <v>0</v>
      </c>
      <c r="LW178" s="16">
        <f t="shared" si="209"/>
        <v>0</v>
      </c>
      <c r="LX178" s="16">
        <f t="shared" si="209"/>
        <v>0</v>
      </c>
      <c r="LY178" s="16">
        <f t="shared" si="209"/>
        <v>0</v>
      </c>
      <c r="LZ178" s="16">
        <f t="shared" si="209"/>
        <v>0</v>
      </c>
      <c r="MA178" s="16">
        <f t="shared" si="209"/>
        <v>0</v>
      </c>
      <c r="MB178" s="16">
        <f t="shared" si="209"/>
        <v>0</v>
      </c>
      <c r="MC178" s="16">
        <f t="shared" si="209"/>
        <v>0</v>
      </c>
      <c r="MD178" s="16">
        <f t="shared" si="209"/>
        <v>0</v>
      </c>
      <c r="MG178" s="9">
        <f t="shared" si="232"/>
        <v>17</v>
      </c>
      <c r="MH178" s="16">
        <f t="shared" si="210"/>
        <v>0</v>
      </c>
      <c r="MI178" s="16">
        <f t="shared" si="210"/>
        <v>0</v>
      </c>
      <c r="MJ178" s="16">
        <f t="shared" si="210"/>
        <v>1.6197429424122958E-2</v>
      </c>
      <c r="MK178" s="16">
        <f t="shared" si="210"/>
        <v>0.9671758707408028</v>
      </c>
      <c r="ML178" s="16">
        <f t="shared" si="210"/>
        <v>1.7264228659074236E-2</v>
      </c>
      <c r="MM178" s="16">
        <f t="shared" si="210"/>
        <v>0</v>
      </c>
      <c r="MN178" s="16">
        <f t="shared" si="210"/>
        <v>0</v>
      </c>
      <c r="MO178" s="16">
        <f t="shared" si="210"/>
        <v>0</v>
      </c>
      <c r="MP178" s="16">
        <f t="shared" si="210"/>
        <v>0</v>
      </c>
      <c r="MQ178" s="16">
        <f t="shared" si="210"/>
        <v>0</v>
      </c>
      <c r="MR178" s="16">
        <f t="shared" si="211"/>
        <v>0</v>
      </c>
      <c r="MS178" s="16">
        <f t="shared" si="211"/>
        <v>0</v>
      </c>
      <c r="MT178" s="16">
        <f t="shared" si="211"/>
        <v>0</v>
      </c>
      <c r="MU178" s="16">
        <f t="shared" si="211"/>
        <v>0</v>
      </c>
      <c r="MV178" s="16">
        <f t="shared" si="211"/>
        <v>0</v>
      </c>
      <c r="MW178" s="16">
        <f t="shared" si="211"/>
        <v>0</v>
      </c>
      <c r="MX178" s="16">
        <f t="shared" si="211"/>
        <v>0</v>
      </c>
      <c r="MY178" s="16">
        <f t="shared" si="211"/>
        <v>0</v>
      </c>
      <c r="MZ178" s="16">
        <f t="shared" si="211"/>
        <v>0</v>
      </c>
      <c r="NA178" s="16">
        <f t="shared" si="211"/>
        <v>0</v>
      </c>
      <c r="NB178" s="16">
        <f t="shared" si="211"/>
        <v>0</v>
      </c>
      <c r="NE178" s="9">
        <f t="shared" si="233"/>
        <v>17</v>
      </c>
      <c r="NF178" s="16">
        <f t="shared" si="212"/>
        <v>0</v>
      </c>
      <c r="NG178" s="16">
        <f t="shared" si="212"/>
        <v>0</v>
      </c>
      <c r="NH178" s="16">
        <f t="shared" si="212"/>
        <v>0.11629148517152058</v>
      </c>
      <c r="NI178" s="16">
        <f t="shared" si="212"/>
        <v>0.76433502866022263</v>
      </c>
      <c r="NJ178" s="16">
        <f t="shared" si="212"/>
        <v>0.12395070467875689</v>
      </c>
      <c r="NK178" s="16">
        <f t="shared" si="212"/>
        <v>0</v>
      </c>
      <c r="NL178" s="16">
        <f t="shared" si="212"/>
        <v>0</v>
      </c>
      <c r="NM178" s="16">
        <f t="shared" si="212"/>
        <v>0</v>
      </c>
      <c r="NN178" s="16">
        <f t="shared" si="212"/>
        <v>0</v>
      </c>
      <c r="NO178" s="16">
        <f t="shared" si="212"/>
        <v>0</v>
      </c>
      <c r="NP178" s="16">
        <f t="shared" si="213"/>
        <v>0</v>
      </c>
      <c r="NQ178" s="16">
        <f t="shared" si="213"/>
        <v>0</v>
      </c>
      <c r="NR178" s="16">
        <f t="shared" si="213"/>
        <v>0</v>
      </c>
      <c r="NS178" s="16">
        <f t="shared" si="213"/>
        <v>0</v>
      </c>
      <c r="NT178" s="16">
        <f t="shared" si="213"/>
        <v>0</v>
      </c>
      <c r="NU178" s="16">
        <f t="shared" si="213"/>
        <v>0</v>
      </c>
      <c r="NV178" s="16">
        <f t="shared" si="213"/>
        <v>0</v>
      </c>
      <c r="NW178" s="16">
        <f t="shared" si="213"/>
        <v>0</v>
      </c>
      <c r="NX178" s="16">
        <f t="shared" si="213"/>
        <v>0</v>
      </c>
      <c r="NY178" s="16">
        <f t="shared" si="213"/>
        <v>0</v>
      </c>
      <c r="NZ178" s="16">
        <f t="shared" si="213"/>
        <v>0</v>
      </c>
      <c r="OC178" s="9">
        <f t="shared" si="234"/>
        <v>17</v>
      </c>
      <c r="OD178" s="16">
        <f t="shared" si="214"/>
        <v>0</v>
      </c>
      <c r="OE178" s="16">
        <f t="shared" si="214"/>
        <v>0</v>
      </c>
      <c r="OF178" s="16">
        <f t="shared" si="214"/>
        <v>1.765296614304265E-2</v>
      </c>
      <c r="OG178" s="16">
        <f t="shared" si="214"/>
        <v>0.96422622211741238</v>
      </c>
      <c r="OH178" s="16">
        <f t="shared" si="214"/>
        <v>1.8815630309244963E-2</v>
      </c>
      <c r="OI178" s="16">
        <f t="shared" si="214"/>
        <v>0</v>
      </c>
      <c r="OJ178" s="16">
        <f t="shared" si="214"/>
        <v>0</v>
      </c>
      <c r="OK178" s="16">
        <f t="shared" si="214"/>
        <v>0</v>
      </c>
      <c r="OL178" s="16">
        <f t="shared" si="214"/>
        <v>0</v>
      </c>
      <c r="OM178" s="16">
        <f t="shared" si="214"/>
        <v>0</v>
      </c>
      <c r="ON178" s="16">
        <f t="shared" si="215"/>
        <v>0</v>
      </c>
      <c r="OO178" s="16">
        <f t="shared" si="215"/>
        <v>0</v>
      </c>
      <c r="OP178" s="16">
        <f t="shared" si="215"/>
        <v>0</v>
      </c>
      <c r="OQ178" s="16">
        <f t="shared" si="215"/>
        <v>0</v>
      </c>
      <c r="OR178" s="16">
        <f t="shared" si="215"/>
        <v>0</v>
      </c>
      <c r="OS178" s="16">
        <f t="shared" si="215"/>
        <v>0</v>
      </c>
      <c r="OT178" s="16">
        <f t="shared" si="215"/>
        <v>0</v>
      </c>
      <c r="OU178" s="16">
        <f t="shared" si="215"/>
        <v>0</v>
      </c>
      <c r="OV178" s="16">
        <f t="shared" si="215"/>
        <v>0</v>
      </c>
      <c r="OW178" s="16">
        <f t="shared" si="215"/>
        <v>0</v>
      </c>
      <c r="OX178" s="16">
        <f t="shared" si="215"/>
        <v>0</v>
      </c>
      <c r="PA178" s="9">
        <f t="shared" si="235"/>
        <v>17</v>
      </c>
      <c r="PB178" s="16">
        <f t="shared" si="216"/>
        <v>0</v>
      </c>
      <c r="PC178" s="16">
        <f t="shared" si="216"/>
        <v>0</v>
      </c>
      <c r="PD178" s="16">
        <f t="shared" si="216"/>
        <v>0.11628670246598195</v>
      </c>
      <c r="PE178" s="16">
        <f t="shared" si="216"/>
        <v>0.76434472082437388</v>
      </c>
      <c r="PF178" s="16">
        <f t="shared" si="216"/>
        <v>0.12394560697344416</v>
      </c>
      <c r="PG178" s="16">
        <f t="shared" si="216"/>
        <v>0</v>
      </c>
      <c r="PH178" s="16">
        <f t="shared" si="216"/>
        <v>0</v>
      </c>
      <c r="PI178" s="16">
        <f t="shared" si="216"/>
        <v>0</v>
      </c>
      <c r="PJ178" s="16">
        <f t="shared" si="216"/>
        <v>0</v>
      </c>
      <c r="PK178" s="16">
        <f t="shared" si="216"/>
        <v>0</v>
      </c>
      <c r="PL178" s="16">
        <f t="shared" si="217"/>
        <v>0</v>
      </c>
      <c r="PM178" s="16">
        <f t="shared" si="217"/>
        <v>0</v>
      </c>
      <c r="PN178" s="16">
        <f t="shared" si="217"/>
        <v>0</v>
      </c>
      <c r="PO178" s="16">
        <f t="shared" si="217"/>
        <v>0</v>
      </c>
      <c r="PP178" s="16">
        <f t="shared" si="217"/>
        <v>0</v>
      </c>
      <c r="PQ178" s="16">
        <f t="shared" si="217"/>
        <v>0</v>
      </c>
      <c r="PR178" s="16">
        <f t="shared" si="217"/>
        <v>0</v>
      </c>
      <c r="PS178" s="16">
        <f t="shared" si="217"/>
        <v>0</v>
      </c>
      <c r="PT178" s="16">
        <f t="shared" si="217"/>
        <v>0</v>
      </c>
      <c r="PU178" s="16">
        <f t="shared" si="217"/>
        <v>0</v>
      </c>
      <c r="PV178" s="16">
        <f t="shared" si="217"/>
        <v>0</v>
      </c>
    </row>
    <row r="179" spans="3:438" x14ac:dyDescent="0.25">
      <c r="C179" s="1"/>
      <c r="D179" s="1"/>
      <c r="I179" s="9">
        <f t="shared" si="218"/>
        <v>16</v>
      </c>
      <c r="J179" s="16">
        <f t="shared" si="182"/>
        <v>0</v>
      </c>
      <c r="K179" s="16">
        <f t="shared" si="182"/>
        <v>0</v>
      </c>
      <c r="L179" s="16">
        <f t="shared" si="182"/>
        <v>0</v>
      </c>
      <c r="M179" s="16">
        <f t="shared" si="182"/>
        <v>1.4219664610671659E-2</v>
      </c>
      <c r="N179" s="16">
        <f t="shared" si="182"/>
        <v>0.97132925532732173</v>
      </c>
      <c r="O179" s="16">
        <f t="shared" si="182"/>
        <v>1.4794765573006562E-2</v>
      </c>
      <c r="P179" s="16">
        <f t="shared" si="182"/>
        <v>0</v>
      </c>
      <c r="Q179" s="16">
        <f t="shared" si="182"/>
        <v>0</v>
      </c>
      <c r="R179" s="16">
        <f t="shared" si="182"/>
        <v>0</v>
      </c>
      <c r="S179" s="16">
        <f t="shared" si="182"/>
        <v>0</v>
      </c>
      <c r="T179" s="16">
        <f t="shared" si="183"/>
        <v>0</v>
      </c>
      <c r="U179" s="16">
        <f t="shared" si="183"/>
        <v>0</v>
      </c>
      <c r="V179" s="16">
        <f t="shared" si="183"/>
        <v>0</v>
      </c>
      <c r="W179" s="16">
        <f t="shared" si="183"/>
        <v>0</v>
      </c>
      <c r="X179" s="16">
        <f t="shared" si="183"/>
        <v>0</v>
      </c>
      <c r="Y179" s="16">
        <f t="shared" si="183"/>
        <v>0</v>
      </c>
      <c r="Z179" s="16">
        <f t="shared" si="183"/>
        <v>0</v>
      </c>
      <c r="AA179" s="16">
        <f t="shared" si="183"/>
        <v>0</v>
      </c>
      <c r="AB179" s="16">
        <f t="shared" si="183"/>
        <v>0</v>
      </c>
      <c r="AC179" s="16">
        <f t="shared" si="183"/>
        <v>0</v>
      </c>
      <c r="AD179" s="16">
        <f t="shared" si="183"/>
        <v>0</v>
      </c>
      <c r="AG179" s="9">
        <f t="shared" si="219"/>
        <v>16</v>
      </c>
      <c r="AH179" s="16">
        <f t="shared" si="184"/>
        <v>0</v>
      </c>
      <c r="AI179" s="16">
        <f t="shared" si="184"/>
        <v>0</v>
      </c>
      <c r="AJ179" s="16">
        <f t="shared" si="184"/>
        <v>0</v>
      </c>
      <c r="AK179" s="16">
        <f t="shared" si="184"/>
        <v>5.6908329104368105E-2</v>
      </c>
      <c r="AL179" s="16">
        <f t="shared" si="184"/>
        <v>0.88525719711591622</v>
      </c>
      <c r="AM179" s="16">
        <f t="shared" si="184"/>
        <v>5.9209932955715736E-2</v>
      </c>
      <c r="AN179" s="16">
        <f t="shared" si="184"/>
        <v>0</v>
      </c>
      <c r="AO179" s="16">
        <f t="shared" si="184"/>
        <v>0</v>
      </c>
      <c r="AP179" s="16">
        <f t="shared" si="184"/>
        <v>0</v>
      </c>
      <c r="AQ179" s="16">
        <f t="shared" si="184"/>
        <v>0</v>
      </c>
      <c r="AR179" s="16">
        <f t="shared" si="185"/>
        <v>0</v>
      </c>
      <c r="AS179" s="16">
        <f t="shared" si="185"/>
        <v>0</v>
      </c>
      <c r="AT179" s="16">
        <f t="shared" si="185"/>
        <v>0</v>
      </c>
      <c r="AU179" s="16">
        <f t="shared" si="185"/>
        <v>0</v>
      </c>
      <c r="AV179" s="16">
        <f t="shared" si="185"/>
        <v>0</v>
      </c>
      <c r="AW179" s="16">
        <f t="shared" si="185"/>
        <v>0</v>
      </c>
      <c r="AX179" s="16">
        <f t="shared" si="185"/>
        <v>0</v>
      </c>
      <c r="AY179" s="16">
        <f t="shared" si="185"/>
        <v>0</v>
      </c>
      <c r="AZ179" s="16">
        <f t="shared" si="185"/>
        <v>0</v>
      </c>
      <c r="BA179" s="16">
        <f t="shared" si="185"/>
        <v>0</v>
      </c>
      <c r="BB179" s="16">
        <f t="shared" si="185"/>
        <v>0</v>
      </c>
      <c r="BE179" s="9">
        <f t="shared" si="220"/>
        <v>16</v>
      </c>
      <c r="BF179" s="16">
        <f t="shared" si="186"/>
        <v>0</v>
      </c>
      <c r="BG179" s="16">
        <f t="shared" si="186"/>
        <v>0</v>
      </c>
      <c r="BH179" s="16">
        <f t="shared" si="186"/>
        <v>0</v>
      </c>
      <c r="BI179" s="16">
        <f t="shared" si="186"/>
        <v>5.6900911438947779E-2</v>
      </c>
      <c r="BJ179" s="16">
        <f t="shared" si="186"/>
        <v>0.88527215316425878</v>
      </c>
      <c r="BK179" s="16">
        <f t="shared" si="186"/>
        <v>5.9202215289793407E-2</v>
      </c>
      <c r="BL179" s="16">
        <f t="shared" si="186"/>
        <v>0</v>
      </c>
      <c r="BM179" s="16">
        <f t="shared" si="186"/>
        <v>0</v>
      </c>
      <c r="BN179" s="16">
        <f t="shared" si="186"/>
        <v>0</v>
      </c>
      <c r="BO179" s="16">
        <f t="shared" si="186"/>
        <v>0</v>
      </c>
      <c r="BP179" s="16">
        <f t="shared" si="187"/>
        <v>0</v>
      </c>
      <c r="BQ179" s="16">
        <f t="shared" si="187"/>
        <v>0</v>
      </c>
      <c r="BR179" s="16">
        <f t="shared" si="187"/>
        <v>0</v>
      </c>
      <c r="BS179" s="16">
        <f t="shared" si="187"/>
        <v>0</v>
      </c>
      <c r="BT179" s="16">
        <f t="shared" si="187"/>
        <v>0</v>
      </c>
      <c r="BU179" s="16">
        <f t="shared" si="187"/>
        <v>0</v>
      </c>
      <c r="BV179" s="16">
        <f t="shared" si="187"/>
        <v>0</v>
      </c>
      <c r="BW179" s="16">
        <f t="shared" si="187"/>
        <v>0</v>
      </c>
      <c r="BX179" s="16">
        <f t="shared" si="187"/>
        <v>0</v>
      </c>
      <c r="BY179" s="16">
        <f t="shared" si="187"/>
        <v>0</v>
      </c>
      <c r="BZ179" s="16">
        <f t="shared" si="187"/>
        <v>0</v>
      </c>
      <c r="CC179" s="9">
        <f t="shared" si="221"/>
        <v>16</v>
      </c>
      <c r="CD179" s="16">
        <f t="shared" si="188"/>
        <v>0</v>
      </c>
      <c r="CE179" s="16">
        <f t="shared" si="188"/>
        <v>0</v>
      </c>
      <c r="CF179" s="16">
        <f t="shared" si="188"/>
        <v>0</v>
      </c>
      <c r="CG179" s="16">
        <f t="shared" si="188"/>
        <v>5.6900911438947613E-2</v>
      </c>
      <c r="CH179" s="16">
        <f t="shared" si="188"/>
        <v>0.88527215316425911</v>
      </c>
      <c r="CI179" s="16">
        <f t="shared" si="188"/>
        <v>5.9202215289793234E-2</v>
      </c>
      <c r="CJ179" s="16">
        <f t="shared" si="188"/>
        <v>0</v>
      </c>
      <c r="CK179" s="16">
        <f t="shared" si="188"/>
        <v>0</v>
      </c>
      <c r="CL179" s="16">
        <f t="shared" si="188"/>
        <v>0</v>
      </c>
      <c r="CM179" s="16">
        <f t="shared" si="188"/>
        <v>0</v>
      </c>
      <c r="CN179" s="16">
        <f t="shared" si="189"/>
        <v>0</v>
      </c>
      <c r="CO179" s="16">
        <f t="shared" si="189"/>
        <v>0</v>
      </c>
      <c r="CP179" s="16">
        <f t="shared" si="189"/>
        <v>0</v>
      </c>
      <c r="CQ179" s="16">
        <f t="shared" si="189"/>
        <v>0</v>
      </c>
      <c r="CR179" s="16">
        <f t="shared" si="189"/>
        <v>0</v>
      </c>
      <c r="CS179" s="16">
        <f t="shared" si="189"/>
        <v>0</v>
      </c>
      <c r="CT179" s="16">
        <f t="shared" si="189"/>
        <v>0</v>
      </c>
      <c r="CU179" s="16">
        <f t="shared" si="189"/>
        <v>0</v>
      </c>
      <c r="CV179" s="16">
        <f t="shared" si="189"/>
        <v>0</v>
      </c>
      <c r="CW179" s="16">
        <f t="shared" si="189"/>
        <v>0</v>
      </c>
      <c r="CX179" s="16">
        <f t="shared" si="189"/>
        <v>0</v>
      </c>
      <c r="DA179" s="9">
        <f t="shared" si="222"/>
        <v>16</v>
      </c>
      <c r="DB179" s="16">
        <f t="shared" si="190"/>
        <v>0</v>
      </c>
      <c r="DC179" s="16">
        <f t="shared" si="190"/>
        <v>0</v>
      </c>
      <c r="DD179" s="16">
        <f t="shared" si="190"/>
        <v>0</v>
      </c>
      <c r="DE179" s="16">
        <f t="shared" si="190"/>
        <v>1.4227082276092149E-2</v>
      </c>
      <c r="DF179" s="16">
        <f t="shared" si="190"/>
        <v>0.97131429927897883</v>
      </c>
      <c r="DG179" s="16">
        <f t="shared" si="190"/>
        <v>1.4802483238929062E-2</v>
      </c>
      <c r="DH179" s="16">
        <f t="shared" si="190"/>
        <v>0</v>
      </c>
      <c r="DI179" s="16">
        <f t="shared" si="190"/>
        <v>0</v>
      </c>
      <c r="DJ179" s="16">
        <f t="shared" si="190"/>
        <v>0</v>
      </c>
      <c r="DK179" s="16">
        <f t="shared" si="190"/>
        <v>0</v>
      </c>
      <c r="DL179" s="16">
        <f t="shared" si="191"/>
        <v>0</v>
      </c>
      <c r="DM179" s="16">
        <f t="shared" si="191"/>
        <v>0</v>
      </c>
      <c r="DN179" s="16">
        <f t="shared" si="191"/>
        <v>0</v>
      </c>
      <c r="DO179" s="16">
        <f t="shared" si="191"/>
        <v>0</v>
      </c>
      <c r="DP179" s="16">
        <f t="shared" si="191"/>
        <v>0</v>
      </c>
      <c r="DQ179" s="16">
        <f t="shared" si="191"/>
        <v>0</v>
      </c>
      <c r="DR179" s="16">
        <f t="shared" si="191"/>
        <v>0</v>
      </c>
      <c r="DS179" s="16">
        <f t="shared" si="191"/>
        <v>0</v>
      </c>
      <c r="DT179" s="16">
        <f t="shared" si="191"/>
        <v>0</v>
      </c>
      <c r="DU179" s="16">
        <f t="shared" si="191"/>
        <v>0</v>
      </c>
      <c r="DV179" s="16">
        <f t="shared" si="191"/>
        <v>0</v>
      </c>
      <c r="DY179" s="9">
        <f t="shared" si="223"/>
        <v>16</v>
      </c>
      <c r="DZ179" s="16">
        <f t="shared" si="192"/>
        <v>0</v>
      </c>
      <c r="EA179" s="16">
        <f t="shared" si="192"/>
        <v>0</v>
      </c>
      <c r="EB179" s="16">
        <f t="shared" si="192"/>
        <v>0</v>
      </c>
      <c r="EC179" s="16">
        <f t="shared" si="192"/>
        <v>4.0956365652694823E-2</v>
      </c>
      <c r="ED179" s="16">
        <f t="shared" si="192"/>
        <v>0.91716124473676475</v>
      </c>
      <c r="EE179" s="16">
        <f t="shared" si="192"/>
        <v>4.3257669503540444E-2</v>
      </c>
      <c r="EF179" s="16">
        <f t="shared" si="192"/>
        <v>0</v>
      </c>
      <c r="EG179" s="16">
        <f t="shared" si="192"/>
        <v>0</v>
      </c>
      <c r="EH179" s="16">
        <f t="shared" si="192"/>
        <v>0</v>
      </c>
      <c r="EI179" s="16">
        <f t="shared" si="192"/>
        <v>0</v>
      </c>
      <c r="EJ179" s="16">
        <f t="shared" si="193"/>
        <v>0</v>
      </c>
      <c r="EK179" s="16">
        <f t="shared" si="193"/>
        <v>0</v>
      </c>
      <c r="EL179" s="16">
        <f t="shared" si="193"/>
        <v>0</v>
      </c>
      <c r="EM179" s="16">
        <f t="shared" si="193"/>
        <v>0</v>
      </c>
      <c r="EN179" s="16">
        <f t="shared" si="193"/>
        <v>0</v>
      </c>
      <c r="EO179" s="16">
        <f t="shared" si="193"/>
        <v>0</v>
      </c>
      <c r="EP179" s="16">
        <f t="shared" si="193"/>
        <v>0</v>
      </c>
      <c r="EQ179" s="16">
        <f t="shared" si="193"/>
        <v>0</v>
      </c>
      <c r="ER179" s="16">
        <f t="shared" si="193"/>
        <v>0</v>
      </c>
      <c r="ES179" s="16">
        <f t="shared" si="193"/>
        <v>0</v>
      </c>
      <c r="ET179" s="16">
        <f t="shared" si="193"/>
        <v>0</v>
      </c>
      <c r="EW179" s="9">
        <f t="shared" si="224"/>
        <v>16</v>
      </c>
      <c r="EX179" s="16">
        <f t="shared" si="194"/>
        <v>0</v>
      </c>
      <c r="EY179" s="16">
        <f t="shared" si="194"/>
        <v>0</v>
      </c>
      <c r="EZ179" s="16">
        <f t="shared" si="194"/>
        <v>0</v>
      </c>
      <c r="FA179" s="16">
        <f t="shared" si="194"/>
        <v>4.0956365652694941E-2</v>
      </c>
      <c r="FB179" s="16">
        <f t="shared" si="194"/>
        <v>0.91716124473676452</v>
      </c>
      <c r="FC179" s="16">
        <f t="shared" si="194"/>
        <v>4.3257669503540569E-2</v>
      </c>
      <c r="FD179" s="16">
        <f t="shared" si="194"/>
        <v>0</v>
      </c>
      <c r="FE179" s="16">
        <f t="shared" si="194"/>
        <v>0</v>
      </c>
      <c r="FF179" s="16">
        <f t="shared" si="194"/>
        <v>0</v>
      </c>
      <c r="FG179" s="16">
        <f t="shared" si="194"/>
        <v>0</v>
      </c>
      <c r="FH179" s="16">
        <f t="shared" si="195"/>
        <v>0</v>
      </c>
      <c r="FI179" s="16">
        <f t="shared" si="195"/>
        <v>0</v>
      </c>
      <c r="FJ179" s="16">
        <f t="shared" si="195"/>
        <v>0</v>
      </c>
      <c r="FK179" s="16">
        <f t="shared" si="195"/>
        <v>0</v>
      </c>
      <c r="FL179" s="16">
        <f t="shared" si="195"/>
        <v>0</v>
      </c>
      <c r="FM179" s="16">
        <f t="shared" si="195"/>
        <v>0</v>
      </c>
      <c r="FN179" s="16">
        <f t="shared" si="195"/>
        <v>0</v>
      </c>
      <c r="FO179" s="16">
        <f t="shared" si="195"/>
        <v>0</v>
      </c>
      <c r="FP179" s="16">
        <f t="shared" si="195"/>
        <v>0</v>
      </c>
      <c r="FQ179" s="16">
        <f t="shared" si="195"/>
        <v>0</v>
      </c>
      <c r="FR179" s="16">
        <f t="shared" si="195"/>
        <v>0</v>
      </c>
      <c r="FU179" s="9">
        <f t="shared" si="225"/>
        <v>16</v>
      </c>
      <c r="FV179" s="16">
        <f t="shared" si="196"/>
        <v>0</v>
      </c>
      <c r="FW179" s="16">
        <f t="shared" si="196"/>
        <v>0</v>
      </c>
      <c r="FX179" s="16">
        <f t="shared" si="196"/>
        <v>0</v>
      </c>
      <c r="FY179" s="16">
        <f t="shared" si="196"/>
        <v>4.0961704769583489E-2</v>
      </c>
      <c r="FZ179" s="16">
        <f t="shared" si="196"/>
        <v>0.91715044578548544</v>
      </c>
      <c r="GA179" s="16">
        <f t="shared" si="196"/>
        <v>4.3263308620931112E-2</v>
      </c>
      <c r="GB179" s="16">
        <f t="shared" si="196"/>
        <v>0</v>
      </c>
      <c r="GC179" s="16">
        <f t="shared" si="196"/>
        <v>0</v>
      </c>
      <c r="GD179" s="16">
        <f t="shared" si="196"/>
        <v>0</v>
      </c>
      <c r="GE179" s="16">
        <f t="shared" si="196"/>
        <v>0</v>
      </c>
      <c r="GF179" s="16">
        <f t="shared" si="197"/>
        <v>0</v>
      </c>
      <c r="GG179" s="16">
        <f t="shared" si="197"/>
        <v>0</v>
      </c>
      <c r="GH179" s="16">
        <f t="shared" si="197"/>
        <v>0</v>
      </c>
      <c r="GI179" s="16">
        <f t="shared" si="197"/>
        <v>0</v>
      </c>
      <c r="GJ179" s="16">
        <f t="shared" si="197"/>
        <v>0</v>
      </c>
      <c r="GK179" s="16">
        <f t="shared" si="197"/>
        <v>0</v>
      </c>
      <c r="GL179" s="16">
        <f t="shared" si="197"/>
        <v>0</v>
      </c>
      <c r="GM179" s="16">
        <f t="shared" si="197"/>
        <v>0</v>
      </c>
      <c r="GN179" s="16">
        <f t="shared" si="197"/>
        <v>0</v>
      </c>
      <c r="GO179" s="16">
        <f t="shared" si="197"/>
        <v>0</v>
      </c>
      <c r="GP179" s="16">
        <f t="shared" si="197"/>
        <v>0</v>
      </c>
      <c r="GS179" s="9">
        <f t="shared" si="226"/>
        <v>16</v>
      </c>
      <c r="GT179" s="16">
        <f t="shared" si="198"/>
        <v>0</v>
      </c>
      <c r="GU179" s="16">
        <f t="shared" si="198"/>
        <v>0</v>
      </c>
      <c r="GV179" s="16">
        <f t="shared" si="198"/>
        <v>0</v>
      </c>
      <c r="GW179" s="16">
        <f t="shared" si="198"/>
        <v>1.7731207187146467E-2</v>
      </c>
      <c r="GX179" s="16">
        <f t="shared" si="198"/>
        <v>0.9641366828015635</v>
      </c>
      <c r="GY179" s="16">
        <f t="shared" si="198"/>
        <v>1.8727508854290042E-2</v>
      </c>
      <c r="GZ179" s="16">
        <f t="shared" si="198"/>
        <v>0</v>
      </c>
      <c r="HA179" s="16">
        <f t="shared" si="198"/>
        <v>0</v>
      </c>
      <c r="HB179" s="16">
        <f t="shared" si="198"/>
        <v>0</v>
      </c>
      <c r="HC179" s="16">
        <f t="shared" si="198"/>
        <v>0</v>
      </c>
      <c r="HD179" s="16">
        <f t="shared" si="199"/>
        <v>0</v>
      </c>
      <c r="HE179" s="16">
        <f t="shared" si="199"/>
        <v>0</v>
      </c>
      <c r="HF179" s="16">
        <f t="shared" si="199"/>
        <v>0</v>
      </c>
      <c r="HG179" s="16">
        <f t="shared" si="199"/>
        <v>0</v>
      </c>
      <c r="HH179" s="16">
        <f t="shared" si="199"/>
        <v>0</v>
      </c>
      <c r="HI179" s="16">
        <f t="shared" si="199"/>
        <v>0</v>
      </c>
      <c r="HJ179" s="16">
        <f t="shared" si="199"/>
        <v>0</v>
      </c>
      <c r="HK179" s="16">
        <f t="shared" si="199"/>
        <v>0</v>
      </c>
      <c r="HL179" s="16">
        <f t="shared" si="199"/>
        <v>0</v>
      </c>
      <c r="HM179" s="16">
        <f t="shared" si="199"/>
        <v>0</v>
      </c>
      <c r="HN179" s="16">
        <f t="shared" si="199"/>
        <v>0</v>
      </c>
      <c r="HQ179" s="9">
        <f t="shared" si="227"/>
        <v>16</v>
      </c>
      <c r="HR179" s="16">
        <f t="shared" si="200"/>
        <v>0</v>
      </c>
      <c r="HS179" s="16">
        <f t="shared" si="200"/>
        <v>0</v>
      </c>
      <c r="HT179" s="16">
        <f t="shared" si="200"/>
        <v>0</v>
      </c>
      <c r="HU179" s="16">
        <f t="shared" si="200"/>
        <v>0.11684123399081933</v>
      </c>
      <c r="HV179" s="16">
        <f t="shared" si="200"/>
        <v>0.763675750204583</v>
      </c>
      <c r="HW179" s="16">
        <f t="shared" si="200"/>
        <v>0.12340644497659767</v>
      </c>
      <c r="HX179" s="16">
        <f t="shared" si="200"/>
        <v>0</v>
      </c>
      <c r="HY179" s="16">
        <f t="shared" si="200"/>
        <v>0</v>
      </c>
      <c r="HZ179" s="16">
        <f t="shared" si="200"/>
        <v>0</v>
      </c>
      <c r="IA179" s="16">
        <f t="shared" si="200"/>
        <v>0</v>
      </c>
      <c r="IB179" s="16">
        <f t="shared" si="201"/>
        <v>0</v>
      </c>
      <c r="IC179" s="16">
        <f t="shared" si="201"/>
        <v>0</v>
      </c>
      <c r="ID179" s="16">
        <f t="shared" si="201"/>
        <v>0</v>
      </c>
      <c r="IE179" s="16">
        <f t="shared" si="201"/>
        <v>0</v>
      </c>
      <c r="IF179" s="16">
        <f t="shared" si="201"/>
        <v>0</v>
      </c>
      <c r="IG179" s="16">
        <f t="shared" si="201"/>
        <v>0</v>
      </c>
      <c r="IH179" s="16">
        <f t="shared" si="201"/>
        <v>0</v>
      </c>
      <c r="II179" s="16">
        <f t="shared" si="201"/>
        <v>0</v>
      </c>
      <c r="IJ179" s="16">
        <f t="shared" si="201"/>
        <v>0</v>
      </c>
      <c r="IK179" s="16">
        <f t="shared" si="201"/>
        <v>0</v>
      </c>
      <c r="IL179" s="16">
        <f t="shared" si="201"/>
        <v>0</v>
      </c>
      <c r="IO179" s="9">
        <f t="shared" si="228"/>
        <v>16</v>
      </c>
      <c r="IP179" s="16">
        <f t="shared" si="202"/>
        <v>0</v>
      </c>
      <c r="IQ179" s="16">
        <f t="shared" si="202"/>
        <v>0</v>
      </c>
      <c r="IR179" s="16">
        <f t="shared" si="202"/>
        <v>0</v>
      </c>
      <c r="IS179" s="16">
        <f t="shared" si="202"/>
        <v>1.7736012392346137E-2</v>
      </c>
      <c r="IT179" s="16">
        <f t="shared" si="202"/>
        <v>0.9641269637454124</v>
      </c>
      <c r="IU179" s="16">
        <f t="shared" si="202"/>
        <v>1.8732584059941507E-2</v>
      </c>
      <c r="IV179" s="16">
        <f t="shared" si="202"/>
        <v>0</v>
      </c>
      <c r="IW179" s="16">
        <f t="shared" si="202"/>
        <v>0</v>
      </c>
      <c r="IX179" s="16">
        <f t="shared" si="202"/>
        <v>0</v>
      </c>
      <c r="IY179" s="16">
        <f t="shared" si="202"/>
        <v>0</v>
      </c>
      <c r="IZ179" s="16">
        <f t="shared" si="203"/>
        <v>0</v>
      </c>
      <c r="JA179" s="16">
        <f t="shared" si="203"/>
        <v>0</v>
      </c>
      <c r="JB179" s="16">
        <f t="shared" si="203"/>
        <v>0</v>
      </c>
      <c r="JC179" s="16">
        <f t="shared" si="203"/>
        <v>0</v>
      </c>
      <c r="JD179" s="16">
        <f t="shared" si="203"/>
        <v>0</v>
      </c>
      <c r="JE179" s="16">
        <f t="shared" si="203"/>
        <v>0</v>
      </c>
      <c r="JF179" s="16">
        <f t="shared" si="203"/>
        <v>0</v>
      </c>
      <c r="JG179" s="16">
        <f t="shared" si="203"/>
        <v>0</v>
      </c>
      <c r="JH179" s="16">
        <f t="shared" si="203"/>
        <v>0</v>
      </c>
      <c r="JI179" s="16">
        <f t="shared" si="203"/>
        <v>0</v>
      </c>
      <c r="JJ179" s="16">
        <f t="shared" si="203"/>
        <v>0</v>
      </c>
      <c r="JM179" s="9">
        <f t="shared" si="229"/>
        <v>16</v>
      </c>
      <c r="JN179" s="16">
        <f t="shared" si="204"/>
        <v>0</v>
      </c>
      <c r="JO179" s="16">
        <f t="shared" si="204"/>
        <v>0</v>
      </c>
      <c r="JP179" s="16">
        <f t="shared" si="204"/>
        <v>0</v>
      </c>
      <c r="JQ179" s="16">
        <f t="shared" si="204"/>
        <v>0.11683909834406393</v>
      </c>
      <c r="JR179" s="16">
        <f t="shared" si="204"/>
        <v>0.76368006978509451</v>
      </c>
      <c r="JS179" s="16">
        <f t="shared" si="204"/>
        <v>0.12340418932964148</v>
      </c>
      <c r="JT179" s="16">
        <f t="shared" si="204"/>
        <v>0</v>
      </c>
      <c r="JU179" s="16">
        <f t="shared" si="204"/>
        <v>0</v>
      </c>
      <c r="JV179" s="16">
        <f t="shared" si="204"/>
        <v>0</v>
      </c>
      <c r="JW179" s="16">
        <f t="shared" si="204"/>
        <v>0</v>
      </c>
      <c r="JX179" s="16">
        <f t="shared" si="205"/>
        <v>0</v>
      </c>
      <c r="JY179" s="16">
        <f t="shared" si="205"/>
        <v>0</v>
      </c>
      <c r="JZ179" s="16">
        <f t="shared" si="205"/>
        <v>0</v>
      </c>
      <c r="KA179" s="16">
        <f t="shared" si="205"/>
        <v>0</v>
      </c>
      <c r="KB179" s="16">
        <f t="shared" si="205"/>
        <v>0</v>
      </c>
      <c r="KC179" s="16">
        <f t="shared" si="205"/>
        <v>0</v>
      </c>
      <c r="KD179" s="16">
        <f t="shared" si="205"/>
        <v>0</v>
      </c>
      <c r="KE179" s="16">
        <f t="shared" si="205"/>
        <v>0</v>
      </c>
      <c r="KF179" s="16">
        <f t="shared" si="205"/>
        <v>0</v>
      </c>
      <c r="KG179" s="16">
        <f t="shared" si="205"/>
        <v>0</v>
      </c>
      <c r="KH179" s="16">
        <f t="shared" si="205"/>
        <v>0</v>
      </c>
      <c r="KK179" s="9">
        <f t="shared" si="230"/>
        <v>16</v>
      </c>
      <c r="KL179" s="16">
        <f t="shared" si="206"/>
        <v>0</v>
      </c>
      <c r="KM179" s="16">
        <f t="shared" si="206"/>
        <v>0</v>
      </c>
      <c r="KN179" s="16">
        <f t="shared" si="206"/>
        <v>0</v>
      </c>
      <c r="KO179" s="16">
        <f t="shared" si="206"/>
        <v>1.4810710249064741E-2</v>
      </c>
      <c r="KP179" s="16">
        <f t="shared" si="206"/>
        <v>0.97004370915132121</v>
      </c>
      <c r="KQ179" s="16">
        <f t="shared" si="206"/>
        <v>1.5642911641614052E-2</v>
      </c>
      <c r="KR179" s="16">
        <f t="shared" si="206"/>
        <v>0</v>
      </c>
      <c r="KS179" s="16">
        <f t="shared" si="206"/>
        <v>0</v>
      </c>
      <c r="KT179" s="16">
        <f t="shared" si="206"/>
        <v>0</v>
      </c>
      <c r="KU179" s="16">
        <f t="shared" si="206"/>
        <v>0</v>
      </c>
      <c r="KV179" s="16">
        <f t="shared" si="207"/>
        <v>0</v>
      </c>
      <c r="KW179" s="16">
        <f t="shared" si="207"/>
        <v>0</v>
      </c>
      <c r="KX179" s="16">
        <f t="shared" si="207"/>
        <v>0</v>
      </c>
      <c r="KY179" s="16">
        <f t="shared" si="207"/>
        <v>0</v>
      </c>
      <c r="KZ179" s="16">
        <f t="shared" si="207"/>
        <v>0</v>
      </c>
      <c r="LA179" s="16">
        <f t="shared" si="207"/>
        <v>0</v>
      </c>
      <c r="LB179" s="16">
        <f t="shared" si="207"/>
        <v>0</v>
      </c>
      <c r="LC179" s="16">
        <f t="shared" si="207"/>
        <v>0</v>
      </c>
      <c r="LD179" s="16">
        <f t="shared" si="207"/>
        <v>0</v>
      </c>
      <c r="LE179" s="16">
        <f t="shared" si="207"/>
        <v>0</v>
      </c>
      <c r="LF179" s="16">
        <f t="shared" si="207"/>
        <v>0</v>
      </c>
      <c r="LI179" s="9">
        <f t="shared" si="231"/>
        <v>16</v>
      </c>
      <c r="LJ179" s="16">
        <f t="shared" si="208"/>
        <v>0</v>
      </c>
      <c r="LK179" s="16">
        <f t="shared" si="208"/>
        <v>0</v>
      </c>
      <c r="LL179" s="16">
        <f t="shared" si="208"/>
        <v>0</v>
      </c>
      <c r="LM179" s="16">
        <f t="shared" si="208"/>
        <v>0.11683856443237506</v>
      </c>
      <c r="LN179" s="16">
        <f t="shared" si="208"/>
        <v>0.76368114968022249</v>
      </c>
      <c r="LO179" s="16">
        <f t="shared" si="208"/>
        <v>0.1234036254179024</v>
      </c>
      <c r="LP179" s="16">
        <f t="shared" si="208"/>
        <v>0</v>
      </c>
      <c r="LQ179" s="16">
        <f t="shared" si="208"/>
        <v>0</v>
      </c>
      <c r="LR179" s="16">
        <f t="shared" si="208"/>
        <v>0</v>
      </c>
      <c r="LS179" s="16">
        <f t="shared" si="208"/>
        <v>0</v>
      </c>
      <c r="LT179" s="16">
        <f t="shared" si="209"/>
        <v>0</v>
      </c>
      <c r="LU179" s="16">
        <f t="shared" si="209"/>
        <v>0</v>
      </c>
      <c r="LV179" s="16">
        <f t="shared" si="209"/>
        <v>0</v>
      </c>
      <c r="LW179" s="16">
        <f t="shared" si="209"/>
        <v>0</v>
      </c>
      <c r="LX179" s="16">
        <f t="shared" si="209"/>
        <v>0</v>
      </c>
      <c r="LY179" s="16">
        <f t="shared" si="209"/>
        <v>0</v>
      </c>
      <c r="LZ179" s="16">
        <f t="shared" si="209"/>
        <v>0</v>
      </c>
      <c r="MA179" s="16">
        <f t="shared" si="209"/>
        <v>0</v>
      </c>
      <c r="MB179" s="16">
        <f t="shared" si="209"/>
        <v>0</v>
      </c>
      <c r="MC179" s="16">
        <f t="shared" si="209"/>
        <v>0</v>
      </c>
      <c r="MD179" s="16">
        <f t="shared" si="209"/>
        <v>0</v>
      </c>
      <c r="MG179" s="9">
        <f t="shared" si="232"/>
        <v>16</v>
      </c>
      <c r="MH179" s="16">
        <f t="shared" si="210"/>
        <v>0</v>
      </c>
      <c r="MI179" s="16">
        <f t="shared" si="210"/>
        <v>0</v>
      </c>
      <c r="MJ179" s="16">
        <f t="shared" si="210"/>
        <v>0</v>
      </c>
      <c r="MK179" s="16">
        <f t="shared" si="210"/>
        <v>1.6273628276549879E-2</v>
      </c>
      <c r="ML179" s="16">
        <f t="shared" si="210"/>
        <v>0.96708479650080281</v>
      </c>
      <c r="MM179" s="16">
        <f t="shared" si="210"/>
        <v>1.7188029806647319E-2</v>
      </c>
      <c r="MN179" s="16">
        <f t="shared" si="210"/>
        <v>0</v>
      </c>
      <c r="MO179" s="16">
        <f t="shared" si="210"/>
        <v>0</v>
      </c>
      <c r="MP179" s="16">
        <f t="shared" si="210"/>
        <v>0</v>
      </c>
      <c r="MQ179" s="16">
        <f t="shared" si="210"/>
        <v>0</v>
      </c>
      <c r="MR179" s="16">
        <f t="shared" si="211"/>
        <v>0</v>
      </c>
      <c r="MS179" s="16">
        <f t="shared" si="211"/>
        <v>0</v>
      </c>
      <c r="MT179" s="16">
        <f t="shared" si="211"/>
        <v>0</v>
      </c>
      <c r="MU179" s="16">
        <f t="shared" si="211"/>
        <v>0</v>
      </c>
      <c r="MV179" s="16">
        <f t="shared" si="211"/>
        <v>0</v>
      </c>
      <c r="MW179" s="16">
        <f t="shared" si="211"/>
        <v>0</v>
      </c>
      <c r="MX179" s="16">
        <f t="shared" si="211"/>
        <v>0</v>
      </c>
      <c r="MY179" s="16">
        <f t="shared" si="211"/>
        <v>0</v>
      </c>
      <c r="MZ179" s="16">
        <f t="shared" si="211"/>
        <v>0</v>
      </c>
      <c r="NA179" s="16">
        <f t="shared" si="211"/>
        <v>0</v>
      </c>
      <c r="NB179" s="16">
        <f t="shared" si="211"/>
        <v>0</v>
      </c>
      <c r="NE179" s="9">
        <f t="shared" si="233"/>
        <v>16</v>
      </c>
      <c r="NF179" s="16">
        <f t="shared" si="212"/>
        <v>0</v>
      </c>
      <c r="NG179" s="16">
        <f t="shared" si="212"/>
        <v>0</v>
      </c>
      <c r="NH179" s="16">
        <f t="shared" si="212"/>
        <v>0</v>
      </c>
      <c r="NI179" s="16">
        <f t="shared" si="212"/>
        <v>0.11683856443237506</v>
      </c>
      <c r="NJ179" s="16">
        <f t="shared" si="212"/>
        <v>0.76368114968022249</v>
      </c>
      <c r="NK179" s="16">
        <f t="shared" si="212"/>
        <v>0.1234036254179024</v>
      </c>
      <c r="NL179" s="16">
        <f t="shared" si="212"/>
        <v>0</v>
      </c>
      <c r="NM179" s="16">
        <f t="shared" si="212"/>
        <v>0</v>
      </c>
      <c r="NN179" s="16">
        <f t="shared" si="212"/>
        <v>0</v>
      </c>
      <c r="NO179" s="16">
        <f t="shared" si="212"/>
        <v>0</v>
      </c>
      <c r="NP179" s="16">
        <f t="shared" si="213"/>
        <v>0</v>
      </c>
      <c r="NQ179" s="16">
        <f t="shared" si="213"/>
        <v>0</v>
      </c>
      <c r="NR179" s="16">
        <f t="shared" si="213"/>
        <v>0</v>
      </c>
      <c r="NS179" s="16">
        <f t="shared" si="213"/>
        <v>0</v>
      </c>
      <c r="NT179" s="16">
        <f t="shared" si="213"/>
        <v>0</v>
      </c>
      <c r="NU179" s="16">
        <f t="shared" si="213"/>
        <v>0</v>
      </c>
      <c r="NV179" s="16">
        <f t="shared" si="213"/>
        <v>0</v>
      </c>
      <c r="NW179" s="16">
        <f t="shared" si="213"/>
        <v>0</v>
      </c>
      <c r="NX179" s="16">
        <f t="shared" si="213"/>
        <v>0</v>
      </c>
      <c r="NY179" s="16">
        <f t="shared" si="213"/>
        <v>0</v>
      </c>
      <c r="NZ179" s="16">
        <f t="shared" si="213"/>
        <v>0</v>
      </c>
      <c r="OC179" s="9">
        <f t="shared" si="234"/>
        <v>16</v>
      </c>
      <c r="OD179" s="16">
        <f t="shared" si="214"/>
        <v>0</v>
      </c>
      <c r="OE179" s="16">
        <f t="shared" si="214"/>
        <v>0</v>
      </c>
      <c r="OF179" s="16">
        <f t="shared" si="214"/>
        <v>0</v>
      </c>
      <c r="OG179" s="16">
        <f t="shared" si="214"/>
        <v>1.7736012392346123E-2</v>
      </c>
      <c r="OH179" s="16">
        <f t="shared" si="214"/>
        <v>0.9641269637454124</v>
      </c>
      <c r="OI179" s="16">
        <f t="shared" si="214"/>
        <v>1.8732584059941489E-2</v>
      </c>
      <c r="OJ179" s="16">
        <f t="shared" si="214"/>
        <v>0</v>
      </c>
      <c r="OK179" s="16">
        <f t="shared" si="214"/>
        <v>0</v>
      </c>
      <c r="OL179" s="16">
        <f t="shared" si="214"/>
        <v>0</v>
      </c>
      <c r="OM179" s="16">
        <f t="shared" si="214"/>
        <v>0</v>
      </c>
      <c r="ON179" s="16">
        <f t="shared" si="215"/>
        <v>0</v>
      </c>
      <c r="OO179" s="16">
        <f t="shared" si="215"/>
        <v>0</v>
      </c>
      <c r="OP179" s="16">
        <f t="shared" si="215"/>
        <v>0</v>
      </c>
      <c r="OQ179" s="16">
        <f t="shared" si="215"/>
        <v>0</v>
      </c>
      <c r="OR179" s="16">
        <f t="shared" si="215"/>
        <v>0</v>
      </c>
      <c r="OS179" s="16">
        <f t="shared" si="215"/>
        <v>0</v>
      </c>
      <c r="OT179" s="16">
        <f t="shared" si="215"/>
        <v>0</v>
      </c>
      <c r="OU179" s="16">
        <f t="shared" si="215"/>
        <v>0</v>
      </c>
      <c r="OV179" s="16">
        <f t="shared" si="215"/>
        <v>0</v>
      </c>
      <c r="OW179" s="16">
        <f t="shared" si="215"/>
        <v>0</v>
      </c>
      <c r="OX179" s="16">
        <f t="shared" si="215"/>
        <v>0</v>
      </c>
      <c r="PA179" s="9">
        <f t="shared" si="235"/>
        <v>16</v>
      </c>
      <c r="PB179" s="16">
        <f t="shared" si="216"/>
        <v>0</v>
      </c>
      <c r="PC179" s="16">
        <f t="shared" si="216"/>
        <v>0</v>
      </c>
      <c r="PD179" s="16">
        <f t="shared" si="216"/>
        <v>0</v>
      </c>
      <c r="PE179" s="16">
        <f t="shared" si="216"/>
        <v>0.11683375922717529</v>
      </c>
      <c r="PF179" s="16">
        <f t="shared" si="216"/>
        <v>0.76369086873637393</v>
      </c>
      <c r="PG179" s="16">
        <f t="shared" si="216"/>
        <v>0.12339855021225082</v>
      </c>
      <c r="PH179" s="16">
        <f t="shared" si="216"/>
        <v>0</v>
      </c>
      <c r="PI179" s="16">
        <f t="shared" si="216"/>
        <v>0</v>
      </c>
      <c r="PJ179" s="16">
        <f t="shared" si="216"/>
        <v>0</v>
      </c>
      <c r="PK179" s="16">
        <f t="shared" si="216"/>
        <v>0</v>
      </c>
      <c r="PL179" s="16">
        <f t="shared" si="217"/>
        <v>0</v>
      </c>
      <c r="PM179" s="16">
        <f t="shared" si="217"/>
        <v>0</v>
      </c>
      <c r="PN179" s="16">
        <f t="shared" si="217"/>
        <v>0</v>
      </c>
      <c r="PO179" s="16">
        <f t="shared" si="217"/>
        <v>0</v>
      </c>
      <c r="PP179" s="16">
        <f t="shared" si="217"/>
        <v>0</v>
      </c>
      <c r="PQ179" s="16">
        <f t="shared" si="217"/>
        <v>0</v>
      </c>
      <c r="PR179" s="16">
        <f t="shared" si="217"/>
        <v>0</v>
      </c>
      <c r="PS179" s="16">
        <f t="shared" si="217"/>
        <v>0</v>
      </c>
      <c r="PT179" s="16">
        <f t="shared" si="217"/>
        <v>0</v>
      </c>
      <c r="PU179" s="16">
        <f t="shared" si="217"/>
        <v>0</v>
      </c>
      <c r="PV179" s="16">
        <f t="shared" si="217"/>
        <v>0</v>
      </c>
    </row>
    <row r="180" spans="3:438" x14ac:dyDescent="0.25">
      <c r="C180" s="1"/>
      <c r="D180" s="1"/>
      <c r="I180" s="9">
        <f t="shared" si="218"/>
        <v>15</v>
      </c>
      <c r="J180" s="16">
        <f t="shared" si="182"/>
        <v>0</v>
      </c>
      <c r="K180" s="16">
        <f t="shared" si="182"/>
        <v>0</v>
      </c>
      <c r="L180" s="16">
        <f t="shared" si="182"/>
        <v>0</v>
      </c>
      <c r="M180" s="16">
        <f t="shared" si="182"/>
        <v>0</v>
      </c>
      <c r="N180" s="16">
        <f t="shared" si="182"/>
        <v>1.4267589690866235E-2</v>
      </c>
      <c r="O180" s="16">
        <f t="shared" si="182"/>
        <v>0.97127197440882174</v>
      </c>
      <c r="P180" s="16">
        <f t="shared" si="182"/>
        <v>1.4746840492811986E-2</v>
      </c>
      <c r="Q180" s="16">
        <f t="shared" si="182"/>
        <v>0</v>
      </c>
      <c r="R180" s="16">
        <f t="shared" si="182"/>
        <v>0</v>
      </c>
      <c r="S180" s="16">
        <f t="shared" si="182"/>
        <v>0</v>
      </c>
      <c r="T180" s="16">
        <f t="shared" si="183"/>
        <v>0</v>
      </c>
      <c r="U180" s="16">
        <f t="shared" si="183"/>
        <v>0</v>
      </c>
      <c r="V180" s="16">
        <f t="shared" si="183"/>
        <v>0</v>
      </c>
      <c r="W180" s="16">
        <f t="shared" si="183"/>
        <v>0</v>
      </c>
      <c r="X180" s="16">
        <f t="shared" si="183"/>
        <v>0</v>
      </c>
      <c r="Y180" s="16">
        <f t="shared" si="183"/>
        <v>0</v>
      </c>
      <c r="Z180" s="16">
        <f t="shared" si="183"/>
        <v>0</v>
      </c>
      <c r="AA180" s="16">
        <f t="shared" si="183"/>
        <v>0</v>
      </c>
      <c r="AB180" s="16">
        <f t="shared" si="183"/>
        <v>0</v>
      </c>
      <c r="AC180" s="16">
        <f t="shared" si="183"/>
        <v>0</v>
      </c>
      <c r="AD180" s="16">
        <f t="shared" si="183"/>
        <v>0</v>
      </c>
      <c r="AG180" s="9">
        <f t="shared" si="219"/>
        <v>15</v>
      </c>
      <c r="AH180" s="16">
        <f t="shared" si="184"/>
        <v>0</v>
      </c>
      <c r="AI180" s="16">
        <f t="shared" si="184"/>
        <v>0</v>
      </c>
      <c r="AJ180" s="16">
        <f t="shared" si="184"/>
        <v>0</v>
      </c>
      <c r="AK180" s="16">
        <f t="shared" si="184"/>
        <v>0</v>
      </c>
      <c r="AL180" s="16">
        <f t="shared" si="184"/>
        <v>5.7100129425313742E-2</v>
      </c>
      <c r="AM180" s="16">
        <f t="shared" si="184"/>
        <v>0.88502795391991618</v>
      </c>
      <c r="AN180" s="16">
        <f t="shared" si="184"/>
        <v>5.9018132634770099E-2</v>
      </c>
      <c r="AO180" s="16">
        <f t="shared" si="184"/>
        <v>0</v>
      </c>
      <c r="AP180" s="16">
        <f t="shared" si="184"/>
        <v>0</v>
      </c>
      <c r="AQ180" s="16">
        <f t="shared" si="184"/>
        <v>0</v>
      </c>
      <c r="AR180" s="16">
        <f t="shared" si="185"/>
        <v>0</v>
      </c>
      <c r="AS180" s="16">
        <f t="shared" si="185"/>
        <v>0</v>
      </c>
      <c r="AT180" s="16">
        <f t="shared" si="185"/>
        <v>0</v>
      </c>
      <c r="AU180" s="16">
        <f t="shared" si="185"/>
        <v>0</v>
      </c>
      <c r="AV180" s="16">
        <f t="shared" si="185"/>
        <v>0</v>
      </c>
      <c r="AW180" s="16">
        <f t="shared" si="185"/>
        <v>0</v>
      </c>
      <c r="AX180" s="16">
        <f t="shared" si="185"/>
        <v>0</v>
      </c>
      <c r="AY180" s="16">
        <f t="shared" si="185"/>
        <v>0</v>
      </c>
      <c r="AZ180" s="16">
        <f t="shared" si="185"/>
        <v>0</v>
      </c>
      <c r="BA180" s="16">
        <f t="shared" si="185"/>
        <v>0</v>
      </c>
      <c r="BB180" s="16">
        <f t="shared" si="185"/>
        <v>0</v>
      </c>
      <c r="BE180" s="9">
        <f t="shared" si="220"/>
        <v>15</v>
      </c>
      <c r="BF180" s="16">
        <f t="shared" si="186"/>
        <v>0</v>
      </c>
      <c r="BG180" s="16">
        <f t="shared" si="186"/>
        <v>0</v>
      </c>
      <c r="BH180" s="16">
        <f t="shared" si="186"/>
        <v>0</v>
      </c>
      <c r="BI180" s="16">
        <f t="shared" si="186"/>
        <v>0</v>
      </c>
      <c r="BJ180" s="16">
        <f t="shared" si="186"/>
        <v>5.7092686759851581E-2</v>
      </c>
      <c r="BK180" s="16">
        <f t="shared" si="186"/>
        <v>0.88504293984875881</v>
      </c>
      <c r="BL180" s="16">
        <f t="shared" si="186"/>
        <v>5.9010439968889598E-2</v>
      </c>
      <c r="BM180" s="16">
        <f t="shared" si="186"/>
        <v>0</v>
      </c>
      <c r="BN180" s="16">
        <f t="shared" si="186"/>
        <v>0</v>
      </c>
      <c r="BO180" s="16">
        <f t="shared" si="186"/>
        <v>0</v>
      </c>
      <c r="BP180" s="16">
        <f t="shared" si="187"/>
        <v>0</v>
      </c>
      <c r="BQ180" s="16">
        <f t="shared" si="187"/>
        <v>0</v>
      </c>
      <c r="BR180" s="16">
        <f t="shared" si="187"/>
        <v>0</v>
      </c>
      <c r="BS180" s="16">
        <f t="shared" si="187"/>
        <v>0</v>
      </c>
      <c r="BT180" s="16">
        <f t="shared" si="187"/>
        <v>0</v>
      </c>
      <c r="BU180" s="16">
        <f t="shared" si="187"/>
        <v>0</v>
      </c>
      <c r="BV180" s="16">
        <f t="shared" si="187"/>
        <v>0</v>
      </c>
      <c r="BW180" s="16">
        <f t="shared" si="187"/>
        <v>0</v>
      </c>
      <c r="BX180" s="16">
        <f t="shared" si="187"/>
        <v>0</v>
      </c>
      <c r="BY180" s="16">
        <f t="shared" si="187"/>
        <v>0</v>
      </c>
      <c r="BZ180" s="16">
        <f t="shared" si="187"/>
        <v>0</v>
      </c>
      <c r="CC180" s="9">
        <f t="shared" si="221"/>
        <v>15</v>
      </c>
      <c r="CD180" s="16">
        <f t="shared" si="188"/>
        <v>0</v>
      </c>
      <c r="CE180" s="16">
        <f t="shared" si="188"/>
        <v>0</v>
      </c>
      <c r="CF180" s="16">
        <f t="shared" si="188"/>
        <v>0</v>
      </c>
      <c r="CG180" s="16">
        <f t="shared" si="188"/>
        <v>0</v>
      </c>
      <c r="CH180" s="16">
        <f t="shared" si="188"/>
        <v>5.7092686759851415E-2</v>
      </c>
      <c r="CI180" s="16">
        <f t="shared" si="188"/>
        <v>0.88504293984875915</v>
      </c>
      <c r="CJ180" s="16">
        <f t="shared" si="188"/>
        <v>5.9010439968889432E-2</v>
      </c>
      <c r="CK180" s="16">
        <f t="shared" si="188"/>
        <v>0</v>
      </c>
      <c r="CL180" s="16">
        <f t="shared" si="188"/>
        <v>0</v>
      </c>
      <c r="CM180" s="16">
        <f t="shared" si="188"/>
        <v>0</v>
      </c>
      <c r="CN180" s="16">
        <f t="shared" si="189"/>
        <v>0</v>
      </c>
      <c r="CO180" s="16">
        <f t="shared" si="189"/>
        <v>0</v>
      </c>
      <c r="CP180" s="16">
        <f t="shared" si="189"/>
        <v>0</v>
      </c>
      <c r="CQ180" s="16">
        <f t="shared" si="189"/>
        <v>0</v>
      </c>
      <c r="CR180" s="16">
        <f t="shared" si="189"/>
        <v>0</v>
      </c>
      <c r="CS180" s="16">
        <f t="shared" si="189"/>
        <v>0</v>
      </c>
      <c r="CT180" s="16">
        <f t="shared" si="189"/>
        <v>0</v>
      </c>
      <c r="CU180" s="16">
        <f t="shared" si="189"/>
        <v>0</v>
      </c>
      <c r="CV180" s="16">
        <f t="shared" si="189"/>
        <v>0</v>
      </c>
      <c r="CW180" s="16">
        <f t="shared" si="189"/>
        <v>0</v>
      </c>
      <c r="CX180" s="16">
        <f t="shared" si="189"/>
        <v>0</v>
      </c>
      <c r="DA180" s="9">
        <f t="shared" si="222"/>
        <v>15</v>
      </c>
      <c r="DB180" s="16">
        <f t="shared" si="190"/>
        <v>0</v>
      </c>
      <c r="DC180" s="16">
        <f t="shared" si="190"/>
        <v>0</v>
      </c>
      <c r="DD180" s="16">
        <f t="shared" si="190"/>
        <v>0</v>
      </c>
      <c r="DE180" s="16">
        <f t="shared" si="190"/>
        <v>0</v>
      </c>
      <c r="DF180" s="16">
        <f t="shared" si="190"/>
        <v>1.4275032356328559E-2</v>
      </c>
      <c r="DG180" s="16">
        <f t="shared" si="190"/>
        <v>0.97125698847997877</v>
      </c>
      <c r="DH180" s="16">
        <f t="shared" si="190"/>
        <v>1.4754533158692651E-2</v>
      </c>
      <c r="DI180" s="16">
        <f t="shared" si="190"/>
        <v>0</v>
      </c>
      <c r="DJ180" s="16">
        <f t="shared" si="190"/>
        <v>0</v>
      </c>
      <c r="DK180" s="16">
        <f t="shared" si="190"/>
        <v>0</v>
      </c>
      <c r="DL180" s="16">
        <f t="shared" si="191"/>
        <v>0</v>
      </c>
      <c r="DM180" s="16">
        <f t="shared" si="191"/>
        <v>0</v>
      </c>
      <c r="DN180" s="16">
        <f t="shared" si="191"/>
        <v>0</v>
      </c>
      <c r="DO180" s="16">
        <f t="shared" si="191"/>
        <v>0</v>
      </c>
      <c r="DP180" s="16">
        <f t="shared" si="191"/>
        <v>0</v>
      </c>
      <c r="DQ180" s="16">
        <f t="shared" si="191"/>
        <v>0</v>
      </c>
      <c r="DR180" s="16">
        <f t="shared" si="191"/>
        <v>0</v>
      </c>
      <c r="DS180" s="16">
        <f t="shared" si="191"/>
        <v>0</v>
      </c>
      <c r="DT180" s="16">
        <f t="shared" si="191"/>
        <v>0</v>
      </c>
      <c r="DU180" s="16">
        <f t="shared" si="191"/>
        <v>0</v>
      </c>
      <c r="DV180" s="16">
        <f t="shared" si="191"/>
        <v>0</v>
      </c>
      <c r="DY180" s="9">
        <f t="shared" si="223"/>
        <v>15</v>
      </c>
      <c r="DZ180" s="16">
        <f t="shared" si="192"/>
        <v>0</v>
      </c>
      <c r="EA180" s="16">
        <f t="shared" si="192"/>
        <v>0</v>
      </c>
      <c r="EB180" s="16">
        <f t="shared" si="192"/>
        <v>0</v>
      </c>
      <c r="EC180" s="16">
        <f t="shared" si="192"/>
        <v>0</v>
      </c>
      <c r="ED180" s="16">
        <f t="shared" si="192"/>
        <v>4.1148140973598625E-2</v>
      </c>
      <c r="EE180" s="16">
        <f t="shared" si="192"/>
        <v>0.91693203142126478</v>
      </c>
      <c r="EF180" s="16">
        <f t="shared" si="192"/>
        <v>4.3065894182636635E-2</v>
      </c>
      <c r="EG180" s="16">
        <f t="shared" si="192"/>
        <v>0</v>
      </c>
      <c r="EH180" s="16">
        <f t="shared" si="192"/>
        <v>0</v>
      </c>
      <c r="EI180" s="16">
        <f t="shared" si="192"/>
        <v>0</v>
      </c>
      <c r="EJ180" s="16">
        <f t="shared" si="193"/>
        <v>0</v>
      </c>
      <c r="EK180" s="16">
        <f t="shared" si="193"/>
        <v>0</v>
      </c>
      <c r="EL180" s="16">
        <f t="shared" si="193"/>
        <v>0</v>
      </c>
      <c r="EM180" s="16">
        <f t="shared" si="193"/>
        <v>0</v>
      </c>
      <c r="EN180" s="16">
        <f t="shared" si="193"/>
        <v>0</v>
      </c>
      <c r="EO180" s="16">
        <f t="shared" si="193"/>
        <v>0</v>
      </c>
      <c r="EP180" s="16">
        <f t="shared" si="193"/>
        <v>0</v>
      </c>
      <c r="EQ180" s="16">
        <f t="shared" si="193"/>
        <v>0</v>
      </c>
      <c r="ER180" s="16">
        <f t="shared" si="193"/>
        <v>0</v>
      </c>
      <c r="ES180" s="16">
        <f t="shared" si="193"/>
        <v>0</v>
      </c>
      <c r="ET180" s="16">
        <f t="shared" si="193"/>
        <v>0</v>
      </c>
      <c r="EW180" s="9">
        <f t="shared" si="224"/>
        <v>15</v>
      </c>
      <c r="EX180" s="16">
        <f t="shared" si="194"/>
        <v>0</v>
      </c>
      <c r="EY180" s="16">
        <f t="shared" si="194"/>
        <v>0</v>
      </c>
      <c r="EZ180" s="16">
        <f t="shared" si="194"/>
        <v>0</v>
      </c>
      <c r="FA180" s="16">
        <f t="shared" si="194"/>
        <v>0</v>
      </c>
      <c r="FB180" s="16">
        <f t="shared" si="194"/>
        <v>4.1148140973598743E-2</v>
      </c>
      <c r="FC180" s="16">
        <f t="shared" si="194"/>
        <v>0.91693203142126445</v>
      </c>
      <c r="FD180" s="16">
        <f t="shared" si="194"/>
        <v>4.306589418263676E-2</v>
      </c>
      <c r="FE180" s="16">
        <f t="shared" si="194"/>
        <v>0</v>
      </c>
      <c r="FF180" s="16">
        <f t="shared" si="194"/>
        <v>0</v>
      </c>
      <c r="FG180" s="16">
        <f t="shared" si="194"/>
        <v>0</v>
      </c>
      <c r="FH180" s="16">
        <f t="shared" si="195"/>
        <v>0</v>
      </c>
      <c r="FI180" s="16">
        <f t="shared" si="195"/>
        <v>0</v>
      </c>
      <c r="FJ180" s="16">
        <f t="shared" si="195"/>
        <v>0</v>
      </c>
      <c r="FK180" s="16">
        <f t="shared" si="195"/>
        <v>0</v>
      </c>
      <c r="FL180" s="16">
        <f t="shared" si="195"/>
        <v>0</v>
      </c>
      <c r="FM180" s="16">
        <f t="shared" si="195"/>
        <v>0</v>
      </c>
      <c r="FN180" s="16">
        <f t="shared" si="195"/>
        <v>0</v>
      </c>
      <c r="FO180" s="16">
        <f t="shared" si="195"/>
        <v>0</v>
      </c>
      <c r="FP180" s="16">
        <f t="shared" si="195"/>
        <v>0</v>
      </c>
      <c r="FQ180" s="16">
        <f t="shared" si="195"/>
        <v>0</v>
      </c>
      <c r="FR180" s="16">
        <f t="shared" si="195"/>
        <v>0</v>
      </c>
      <c r="FU180" s="9">
        <f t="shared" si="225"/>
        <v>15</v>
      </c>
      <c r="FV180" s="16">
        <f t="shared" si="196"/>
        <v>0</v>
      </c>
      <c r="FW180" s="16">
        <f t="shared" si="196"/>
        <v>0</v>
      </c>
      <c r="FX180" s="16">
        <f t="shared" si="196"/>
        <v>0</v>
      </c>
      <c r="FY180" s="16">
        <f t="shared" si="196"/>
        <v>0</v>
      </c>
      <c r="FZ180" s="16">
        <f t="shared" si="196"/>
        <v>4.1153505090529126E-2</v>
      </c>
      <c r="GA180" s="16">
        <f t="shared" si="196"/>
        <v>0.9169212025894854</v>
      </c>
      <c r="GB180" s="16">
        <f t="shared" si="196"/>
        <v>4.3071508299985475E-2</v>
      </c>
      <c r="GC180" s="16">
        <f t="shared" si="196"/>
        <v>0</v>
      </c>
      <c r="GD180" s="16">
        <f t="shared" si="196"/>
        <v>0</v>
      </c>
      <c r="GE180" s="16">
        <f t="shared" si="196"/>
        <v>0</v>
      </c>
      <c r="GF180" s="16">
        <f t="shared" si="197"/>
        <v>0</v>
      </c>
      <c r="GG180" s="16">
        <f t="shared" si="197"/>
        <v>0</v>
      </c>
      <c r="GH180" s="16">
        <f t="shared" si="197"/>
        <v>0</v>
      </c>
      <c r="GI180" s="16">
        <f t="shared" si="197"/>
        <v>0</v>
      </c>
      <c r="GJ180" s="16">
        <f t="shared" si="197"/>
        <v>0</v>
      </c>
      <c r="GK180" s="16">
        <f t="shared" si="197"/>
        <v>0</v>
      </c>
      <c r="GL180" s="16">
        <f t="shared" si="197"/>
        <v>0</v>
      </c>
      <c r="GM180" s="16">
        <f t="shared" si="197"/>
        <v>0</v>
      </c>
      <c r="GN180" s="16">
        <f t="shared" si="197"/>
        <v>0</v>
      </c>
      <c r="GO180" s="16">
        <f t="shared" si="197"/>
        <v>0</v>
      </c>
      <c r="GP180" s="16">
        <f t="shared" si="197"/>
        <v>0</v>
      </c>
      <c r="GS180" s="9">
        <f t="shared" si="226"/>
        <v>15</v>
      </c>
      <c r="GT180" s="16">
        <f t="shared" si="198"/>
        <v>0</v>
      </c>
      <c r="GU180" s="16">
        <f t="shared" si="198"/>
        <v>0</v>
      </c>
      <c r="GV180" s="16">
        <f t="shared" si="198"/>
        <v>0</v>
      </c>
      <c r="GW180" s="16">
        <f t="shared" si="198"/>
        <v>0</v>
      </c>
      <c r="GX180" s="16">
        <f t="shared" si="198"/>
        <v>1.78142323260751E-2</v>
      </c>
      <c r="GY180" s="16">
        <f t="shared" si="198"/>
        <v>0.96403744966106353</v>
      </c>
      <c r="GZ180" s="16">
        <f t="shared" si="198"/>
        <v>1.8644483715361409E-2</v>
      </c>
      <c r="HA180" s="16">
        <f t="shared" si="198"/>
        <v>0</v>
      </c>
      <c r="HB180" s="16">
        <f t="shared" si="198"/>
        <v>0</v>
      </c>
      <c r="HC180" s="16">
        <f t="shared" si="198"/>
        <v>0</v>
      </c>
      <c r="HD180" s="16">
        <f t="shared" si="199"/>
        <v>0</v>
      </c>
      <c r="HE180" s="16">
        <f t="shared" si="199"/>
        <v>0</v>
      </c>
      <c r="HF180" s="16">
        <f t="shared" si="199"/>
        <v>0</v>
      </c>
      <c r="HG180" s="16">
        <f t="shared" si="199"/>
        <v>0</v>
      </c>
      <c r="HH180" s="16">
        <f t="shared" si="199"/>
        <v>0</v>
      </c>
      <c r="HI180" s="16">
        <f t="shared" si="199"/>
        <v>0</v>
      </c>
      <c r="HJ180" s="16">
        <f t="shared" si="199"/>
        <v>0</v>
      </c>
      <c r="HK180" s="16">
        <f t="shared" si="199"/>
        <v>0</v>
      </c>
      <c r="HL180" s="16">
        <f t="shared" si="199"/>
        <v>0</v>
      </c>
      <c r="HM180" s="16">
        <f t="shared" si="199"/>
        <v>0</v>
      </c>
      <c r="HN180" s="16">
        <f t="shared" si="199"/>
        <v>0</v>
      </c>
      <c r="HQ180" s="9">
        <f t="shared" si="227"/>
        <v>15</v>
      </c>
      <c r="HR180" s="16">
        <f t="shared" si="200"/>
        <v>0</v>
      </c>
      <c r="HS180" s="16">
        <f t="shared" si="200"/>
        <v>0</v>
      </c>
      <c r="HT180" s="16">
        <f t="shared" si="200"/>
        <v>0</v>
      </c>
      <c r="HU180" s="16">
        <f t="shared" si="200"/>
        <v>0</v>
      </c>
      <c r="HV180" s="16">
        <f t="shared" si="200"/>
        <v>0.11738833490630086</v>
      </c>
      <c r="HW180" s="16">
        <f t="shared" si="200"/>
        <v>0.76302184534258299</v>
      </c>
      <c r="HX180" s="16">
        <f t="shared" si="200"/>
        <v>0.12285934406111614</v>
      </c>
      <c r="HY180" s="16">
        <f t="shared" si="200"/>
        <v>0</v>
      </c>
      <c r="HZ180" s="16">
        <f t="shared" si="200"/>
        <v>0</v>
      </c>
      <c r="IA180" s="16">
        <f t="shared" si="200"/>
        <v>0</v>
      </c>
      <c r="IB180" s="16">
        <f t="shared" si="201"/>
        <v>0</v>
      </c>
      <c r="IC180" s="16">
        <f t="shared" si="201"/>
        <v>0</v>
      </c>
      <c r="ID180" s="16">
        <f t="shared" si="201"/>
        <v>0</v>
      </c>
      <c r="IE180" s="16">
        <f t="shared" si="201"/>
        <v>0</v>
      </c>
      <c r="IF180" s="16">
        <f t="shared" si="201"/>
        <v>0</v>
      </c>
      <c r="IG180" s="16">
        <f t="shared" si="201"/>
        <v>0</v>
      </c>
      <c r="IH180" s="16">
        <f t="shared" si="201"/>
        <v>0</v>
      </c>
      <c r="II180" s="16">
        <f t="shared" si="201"/>
        <v>0</v>
      </c>
      <c r="IJ180" s="16">
        <f t="shared" si="201"/>
        <v>0</v>
      </c>
      <c r="IK180" s="16">
        <f t="shared" si="201"/>
        <v>0</v>
      </c>
      <c r="IL180" s="16">
        <f t="shared" si="201"/>
        <v>0</v>
      </c>
      <c r="IO180" s="9">
        <f t="shared" si="228"/>
        <v>15</v>
      </c>
      <c r="IP180" s="16">
        <f t="shared" si="202"/>
        <v>0</v>
      </c>
      <c r="IQ180" s="16">
        <f t="shared" si="202"/>
        <v>0</v>
      </c>
      <c r="IR180" s="16">
        <f t="shared" si="202"/>
        <v>0</v>
      </c>
      <c r="IS180" s="16">
        <f t="shared" si="202"/>
        <v>0</v>
      </c>
      <c r="IT180" s="16">
        <f t="shared" si="202"/>
        <v>1.7819060031312419E-2</v>
      </c>
      <c r="IU180" s="16">
        <f t="shared" si="202"/>
        <v>0.96402770371246238</v>
      </c>
      <c r="IV180" s="16">
        <f t="shared" si="202"/>
        <v>1.8649536420975225E-2</v>
      </c>
      <c r="IW180" s="16">
        <f t="shared" si="202"/>
        <v>0</v>
      </c>
      <c r="IX180" s="16">
        <f t="shared" si="202"/>
        <v>0</v>
      </c>
      <c r="IY180" s="16">
        <f t="shared" si="202"/>
        <v>0</v>
      </c>
      <c r="IZ180" s="16">
        <f t="shared" si="203"/>
        <v>0</v>
      </c>
      <c r="JA180" s="16">
        <f t="shared" si="203"/>
        <v>0</v>
      </c>
      <c r="JB180" s="16">
        <f t="shared" si="203"/>
        <v>0</v>
      </c>
      <c r="JC180" s="16">
        <f t="shared" si="203"/>
        <v>0</v>
      </c>
      <c r="JD180" s="16">
        <f t="shared" si="203"/>
        <v>0</v>
      </c>
      <c r="JE180" s="16">
        <f t="shared" si="203"/>
        <v>0</v>
      </c>
      <c r="JF180" s="16">
        <f t="shared" si="203"/>
        <v>0</v>
      </c>
      <c r="JG180" s="16">
        <f t="shared" si="203"/>
        <v>0</v>
      </c>
      <c r="JH180" s="16">
        <f t="shared" si="203"/>
        <v>0</v>
      </c>
      <c r="JI180" s="16">
        <f t="shared" si="203"/>
        <v>0</v>
      </c>
      <c r="JJ180" s="16">
        <f t="shared" si="203"/>
        <v>0</v>
      </c>
      <c r="JM180" s="9">
        <f t="shared" si="229"/>
        <v>15</v>
      </c>
      <c r="JN180" s="16">
        <f t="shared" si="204"/>
        <v>0</v>
      </c>
      <c r="JO180" s="16">
        <f t="shared" si="204"/>
        <v>0</v>
      </c>
      <c r="JP180" s="16">
        <f t="shared" si="204"/>
        <v>0</v>
      </c>
      <c r="JQ180" s="16">
        <f t="shared" si="204"/>
        <v>0</v>
      </c>
      <c r="JR180" s="16">
        <f t="shared" si="204"/>
        <v>0.11738618925952873</v>
      </c>
      <c r="JS180" s="16">
        <f t="shared" si="204"/>
        <v>0.76302617687529461</v>
      </c>
      <c r="JT180" s="16">
        <f t="shared" si="204"/>
        <v>0.12285709841417668</v>
      </c>
      <c r="JU180" s="16">
        <f t="shared" si="204"/>
        <v>0</v>
      </c>
      <c r="JV180" s="16">
        <f t="shared" si="204"/>
        <v>0</v>
      </c>
      <c r="JW180" s="16">
        <f t="shared" si="204"/>
        <v>0</v>
      </c>
      <c r="JX180" s="16">
        <f t="shared" si="205"/>
        <v>0</v>
      </c>
      <c r="JY180" s="16">
        <f t="shared" si="205"/>
        <v>0</v>
      </c>
      <c r="JZ180" s="16">
        <f t="shared" si="205"/>
        <v>0</v>
      </c>
      <c r="KA180" s="16">
        <f t="shared" si="205"/>
        <v>0</v>
      </c>
      <c r="KB180" s="16">
        <f t="shared" si="205"/>
        <v>0</v>
      </c>
      <c r="KC180" s="16">
        <f t="shared" si="205"/>
        <v>0</v>
      </c>
      <c r="KD180" s="16">
        <f t="shared" si="205"/>
        <v>0</v>
      </c>
      <c r="KE180" s="16">
        <f t="shared" si="205"/>
        <v>0</v>
      </c>
      <c r="KF180" s="16">
        <f t="shared" si="205"/>
        <v>0</v>
      </c>
      <c r="KG180" s="16">
        <f t="shared" si="205"/>
        <v>0</v>
      </c>
      <c r="KH180" s="16">
        <f t="shared" si="205"/>
        <v>0</v>
      </c>
      <c r="KK180" s="9">
        <f t="shared" si="230"/>
        <v>15</v>
      </c>
      <c r="KL180" s="16">
        <f t="shared" si="206"/>
        <v>0</v>
      </c>
      <c r="KM180" s="16">
        <f t="shared" si="206"/>
        <v>0</v>
      </c>
      <c r="KN180" s="16">
        <f t="shared" si="206"/>
        <v>0</v>
      </c>
      <c r="KO180" s="16">
        <f t="shared" si="206"/>
        <v>0</v>
      </c>
      <c r="KP180" s="16">
        <f t="shared" si="206"/>
        <v>1.4880060365110517E-2</v>
      </c>
      <c r="KQ180" s="16">
        <f t="shared" si="206"/>
        <v>0.96996082064432121</v>
      </c>
      <c r="KR180" s="16">
        <f t="shared" si="206"/>
        <v>1.5573561525568274E-2</v>
      </c>
      <c r="KS180" s="16">
        <f t="shared" si="206"/>
        <v>0</v>
      </c>
      <c r="KT180" s="16">
        <f t="shared" si="206"/>
        <v>0</v>
      </c>
      <c r="KU180" s="16">
        <f t="shared" si="206"/>
        <v>0</v>
      </c>
      <c r="KV180" s="16">
        <f t="shared" si="207"/>
        <v>0</v>
      </c>
      <c r="KW180" s="16">
        <f t="shared" si="207"/>
        <v>0</v>
      </c>
      <c r="KX180" s="16">
        <f t="shared" si="207"/>
        <v>0</v>
      </c>
      <c r="KY180" s="16">
        <f t="shared" si="207"/>
        <v>0</v>
      </c>
      <c r="KZ180" s="16">
        <f t="shared" si="207"/>
        <v>0</v>
      </c>
      <c r="LA180" s="16">
        <f t="shared" si="207"/>
        <v>0</v>
      </c>
      <c r="LB180" s="16">
        <f t="shared" si="207"/>
        <v>0</v>
      </c>
      <c r="LC180" s="16">
        <f t="shared" si="207"/>
        <v>0</v>
      </c>
      <c r="LD180" s="16">
        <f t="shared" si="207"/>
        <v>0</v>
      </c>
      <c r="LE180" s="16">
        <f t="shared" si="207"/>
        <v>0</v>
      </c>
      <c r="LF180" s="16">
        <f t="shared" si="207"/>
        <v>0</v>
      </c>
      <c r="LI180" s="9">
        <f t="shared" si="231"/>
        <v>15</v>
      </c>
      <c r="LJ180" s="16">
        <f t="shared" si="208"/>
        <v>0</v>
      </c>
      <c r="LK180" s="16">
        <f t="shared" si="208"/>
        <v>0</v>
      </c>
      <c r="LL180" s="16">
        <f t="shared" si="208"/>
        <v>0</v>
      </c>
      <c r="LM180" s="16">
        <f t="shared" si="208"/>
        <v>0</v>
      </c>
      <c r="LN180" s="16">
        <f t="shared" si="208"/>
        <v>0.11738565284783567</v>
      </c>
      <c r="LO180" s="16">
        <f t="shared" si="208"/>
        <v>0.76302725975847252</v>
      </c>
      <c r="LP180" s="16">
        <f t="shared" si="208"/>
        <v>0.12285653700244178</v>
      </c>
      <c r="LQ180" s="16">
        <f t="shared" si="208"/>
        <v>0</v>
      </c>
      <c r="LR180" s="16">
        <f t="shared" si="208"/>
        <v>0</v>
      </c>
      <c r="LS180" s="16">
        <f t="shared" si="208"/>
        <v>0</v>
      </c>
      <c r="LT180" s="16">
        <f t="shared" si="209"/>
        <v>0</v>
      </c>
      <c r="LU180" s="16">
        <f t="shared" si="209"/>
        <v>0</v>
      </c>
      <c r="LV180" s="16">
        <f t="shared" si="209"/>
        <v>0</v>
      </c>
      <c r="LW180" s="16">
        <f t="shared" si="209"/>
        <v>0</v>
      </c>
      <c r="LX180" s="16">
        <f t="shared" si="209"/>
        <v>0</v>
      </c>
      <c r="LY180" s="16">
        <f t="shared" si="209"/>
        <v>0</v>
      </c>
      <c r="LZ180" s="16">
        <f t="shared" si="209"/>
        <v>0</v>
      </c>
      <c r="MA180" s="16">
        <f t="shared" si="209"/>
        <v>0</v>
      </c>
      <c r="MB180" s="16">
        <f t="shared" si="209"/>
        <v>0</v>
      </c>
      <c r="MC180" s="16">
        <f t="shared" si="209"/>
        <v>0</v>
      </c>
      <c r="MD180" s="16">
        <f t="shared" si="209"/>
        <v>0</v>
      </c>
      <c r="MG180" s="9">
        <f t="shared" si="232"/>
        <v>15</v>
      </c>
      <c r="MH180" s="16">
        <f t="shared" si="210"/>
        <v>0</v>
      </c>
      <c r="MI180" s="16">
        <f t="shared" si="210"/>
        <v>0</v>
      </c>
      <c r="MJ180" s="16">
        <f t="shared" si="210"/>
        <v>0</v>
      </c>
      <c r="MK180" s="16">
        <f t="shared" si="210"/>
        <v>0</v>
      </c>
      <c r="ML180" s="16">
        <f t="shared" si="210"/>
        <v>1.6349828404057999E-2</v>
      </c>
      <c r="MM180" s="16">
        <f t="shared" si="210"/>
        <v>0.96699372073680279</v>
      </c>
      <c r="MN180" s="16">
        <f t="shared" si="210"/>
        <v>1.7111829679139198E-2</v>
      </c>
      <c r="MO180" s="16">
        <f t="shared" si="210"/>
        <v>0</v>
      </c>
      <c r="MP180" s="16">
        <f t="shared" si="210"/>
        <v>0</v>
      </c>
      <c r="MQ180" s="16">
        <f t="shared" si="210"/>
        <v>0</v>
      </c>
      <c r="MR180" s="16">
        <f t="shared" si="211"/>
        <v>0</v>
      </c>
      <c r="MS180" s="16">
        <f t="shared" si="211"/>
        <v>0</v>
      </c>
      <c r="MT180" s="16">
        <f t="shared" si="211"/>
        <v>0</v>
      </c>
      <c r="MU180" s="16">
        <f t="shared" si="211"/>
        <v>0</v>
      </c>
      <c r="MV180" s="16">
        <f t="shared" si="211"/>
        <v>0</v>
      </c>
      <c r="MW180" s="16">
        <f t="shared" si="211"/>
        <v>0</v>
      </c>
      <c r="MX180" s="16">
        <f t="shared" si="211"/>
        <v>0</v>
      </c>
      <c r="MY180" s="16">
        <f t="shared" si="211"/>
        <v>0</v>
      </c>
      <c r="MZ180" s="16">
        <f t="shared" si="211"/>
        <v>0</v>
      </c>
      <c r="NA180" s="16">
        <f t="shared" si="211"/>
        <v>0</v>
      </c>
      <c r="NB180" s="16">
        <f t="shared" si="211"/>
        <v>0</v>
      </c>
      <c r="NE180" s="9">
        <f t="shared" si="233"/>
        <v>15</v>
      </c>
      <c r="NF180" s="16">
        <f t="shared" si="212"/>
        <v>0</v>
      </c>
      <c r="NG180" s="16">
        <f t="shared" si="212"/>
        <v>0</v>
      </c>
      <c r="NH180" s="16">
        <f t="shared" si="212"/>
        <v>0</v>
      </c>
      <c r="NI180" s="16">
        <f t="shared" si="212"/>
        <v>0</v>
      </c>
      <c r="NJ180" s="16">
        <f t="shared" si="212"/>
        <v>0.11738565284783567</v>
      </c>
      <c r="NK180" s="16">
        <f t="shared" si="212"/>
        <v>0.76302725975847252</v>
      </c>
      <c r="NL180" s="16">
        <f t="shared" si="212"/>
        <v>0.12285653700244178</v>
      </c>
      <c r="NM180" s="16">
        <f t="shared" si="212"/>
        <v>0</v>
      </c>
      <c r="NN180" s="16">
        <f t="shared" si="212"/>
        <v>0</v>
      </c>
      <c r="NO180" s="16">
        <f t="shared" si="212"/>
        <v>0</v>
      </c>
      <c r="NP180" s="16">
        <f t="shared" si="213"/>
        <v>0</v>
      </c>
      <c r="NQ180" s="16">
        <f t="shared" si="213"/>
        <v>0</v>
      </c>
      <c r="NR180" s="16">
        <f t="shared" si="213"/>
        <v>0</v>
      </c>
      <c r="NS180" s="16">
        <f t="shared" si="213"/>
        <v>0</v>
      </c>
      <c r="NT180" s="16">
        <f t="shared" si="213"/>
        <v>0</v>
      </c>
      <c r="NU180" s="16">
        <f t="shared" si="213"/>
        <v>0</v>
      </c>
      <c r="NV180" s="16">
        <f t="shared" si="213"/>
        <v>0</v>
      </c>
      <c r="NW180" s="16">
        <f t="shared" si="213"/>
        <v>0</v>
      </c>
      <c r="NX180" s="16">
        <f t="shared" si="213"/>
        <v>0</v>
      </c>
      <c r="NY180" s="16">
        <f t="shared" si="213"/>
        <v>0</v>
      </c>
      <c r="NZ180" s="16">
        <f t="shared" si="213"/>
        <v>0</v>
      </c>
      <c r="OC180" s="9">
        <f t="shared" si="234"/>
        <v>15</v>
      </c>
      <c r="OD180" s="16">
        <f t="shared" si="214"/>
        <v>0</v>
      </c>
      <c r="OE180" s="16">
        <f t="shared" si="214"/>
        <v>0</v>
      </c>
      <c r="OF180" s="16">
        <f t="shared" si="214"/>
        <v>0</v>
      </c>
      <c r="OG180" s="16">
        <f t="shared" si="214"/>
        <v>0</v>
      </c>
      <c r="OH180" s="16">
        <f t="shared" si="214"/>
        <v>1.7819060031312402E-2</v>
      </c>
      <c r="OI180" s="16">
        <f t="shared" si="214"/>
        <v>0.96402770371246238</v>
      </c>
      <c r="OJ180" s="16">
        <f t="shared" si="214"/>
        <v>1.8649536420975211E-2</v>
      </c>
      <c r="OK180" s="16">
        <f t="shared" si="214"/>
        <v>0</v>
      </c>
      <c r="OL180" s="16">
        <f t="shared" si="214"/>
        <v>0</v>
      </c>
      <c r="OM180" s="16">
        <f t="shared" si="214"/>
        <v>0</v>
      </c>
      <c r="ON180" s="16">
        <f t="shared" si="215"/>
        <v>0</v>
      </c>
      <c r="OO180" s="16">
        <f t="shared" si="215"/>
        <v>0</v>
      </c>
      <c r="OP180" s="16">
        <f t="shared" si="215"/>
        <v>0</v>
      </c>
      <c r="OQ180" s="16">
        <f t="shared" si="215"/>
        <v>0</v>
      </c>
      <c r="OR180" s="16">
        <f t="shared" si="215"/>
        <v>0</v>
      </c>
      <c r="OS180" s="16">
        <f t="shared" si="215"/>
        <v>0</v>
      </c>
      <c r="OT180" s="16">
        <f t="shared" si="215"/>
        <v>0</v>
      </c>
      <c r="OU180" s="16">
        <f t="shared" si="215"/>
        <v>0</v>
      </c>
      <c r="OV180" s="16">
        <f t="shared" si="215"/>
        <v>0</v>
      </c>
      <c r="OW180" s="16">
        <f t="shared" si="215"/>
        <v>0</v>
      </c>
      <c r="OX180" s="16">
        <f t="shared" si="215"/>
        <v>0</v>
      </c>
      <c r="PA180" s="9">
        <f t="shared" si="235"/>
        <v>15</v>
      </c>
      <c r="PB180" s="16">
        <f t="shared" si="216"/>
        <v>0</v>
      </c>
      <c r="PC180" s="16">
        <f t="shared" si="216"/>
        <v>0</v>
      </c>
      <c r="PD180" s="16">
        <f t="shared" si="216"/>
        <v>0</v>
      </c>
      <c r="PE180" s="16">
        <f t="shared" si="216"/>
        <v>0</v>
      </c>
      <c r="PF180" s="16">
        <f t="shared" si="216"/>
        <v>0.11738082514259825</v>
      </c>
      <c r="PG180" s="16">
        <f t="shared" si="216"/>
        <v>0.76303700570707389</v>
      </c>
      <c r="PH180" s="16">
        <f t="shared" si="216"/>
        <v>0.12285148429682786</v>
      </c>
      <c r="PI180" s="16">
        <f t="shared" si="216"/>
        <v>0</v>
      </c>
      <c r="PJ180" s="16">
        <f t="shared" si="216"/>
        <v>0</v>
      </c>
      <c r="PK180" s="16">
        <f t="shared" si="216"/>
        <v>0</v>
      </c>
      <c r="PL180" s="16">
        <f t="shared" si="217"/>
        <v>0</v>
      </c>
      <c r="PM180" s="16">
        <f t="shared" si="217"/>
        <v>0</v>
      </c>
      <c r="PN180" s="16">
        <f t="shared" si="217"/>
        <v>0</v>
      </c>
      <c r="PO180" s="16">
        <f t="shared" si="217"/>
        <v>0</v>
      </c>
      <c r="PP180" s="16">
        <f t="shared" si="217"/>
        <v>0</v>
      </c>
      <c r="PQ180" s="16">
        <f t="shared" si="217"/>
        <v>0</v>
      </c>
      <c r="PR180" s="16">
        <f t="shared" si="217"/>
        <v>0</v>
      </c>
      <c r="PS180" s="16">
        <f t="shared" si="217"/>
        <v>0</v>
      </c>
      <c r="PT180" s="16">
        <f t="shared" si="217"/>
        <v>0</v>
      </c>
      <c r="PU180" s="16">
        <f t="shared" si="217"/>
        <v>0</v>
      </c>
      <c r="PV180" s="16">
        <f t="shared" si="217"/>
        <v>0</v>
      </c>
    </row>
    <row r="181" spans="3:438" x14ac:dyDescent="0.25">
      <c r="C181" s="1"/>
      <c r="D181" s="1"/>
      <c r="I181" s="9">
        <f t="shared" si="218"/>
        <v>14</v>
      </c>
      <c r="J181" s="16">
        <f t="shared" si="182"/>
        <v>0</v>
      </c>
      <c r="K181" s="16">
        <f t="shared" si="182"/>
        <v>0</v>
      </c>
      <c r="L181" s="16">
        <f t="shared" si="182"/>
        <v>0</v>
      </c>
      <c r="M181" s="16">
        <f t="shared" si="182"/>
        <v>0</v>
      </c>
      <c r="N181" s="16">
        <f t="shared" si="182"/>
        <v>0</v>
      </c>
      <c r="O181" s="16">
        <f t="shared" si="182"/>
        <v>1.431551477106081E-2</v>
      </c>
      <c r="P181" s="16">
        <f t="shared" si="182"/>
        <v>0.97121469349032175</v>
      </c>
      <c r="Q181" s="16">
        <f t="shared" si="182"/>
        <v>1.4698915412617411E-2</v>
      </c>
      <c r="R181" s="16">
        <f t="shared" si="182"/>
        <v>0</v>
      </c>
      <c r="S181" s="16">
        <f t="shared" si="182"/>
        <v>0</v>
      </c>
      <c r="T181" s="16">
        <f t="shared" si="183"/>
        <v>0</v>
      </c>
      <c r="U181" s="16">
        <f t="shared" si="183"/>
        <v>0</v>
      </c>
      <c r="V181" s="16">
        <f t="shared" si="183"/>
        <v>0</v>
      </c>
      <c r="W181" s="16">
        <f t="shared" si="183"/>
        <v>0</v>
      </c>
      <c r="X181" s="16">
        <f t="shared" si="183"/>
        <v>0</v>
      </c>
      <c r="Y181" s="16">
        <f t="shared" si="183"/>
        <v>0</v>
      </c>
      <c r="Z181" s="16">
        <f t="shared" si="183"/>
        <v>0</v>
      </c>
      <c r="AA181" s="16">
        <f t="shared" si="183"/>
        <v>0</v>
      </c>
      <c r="AB181" s="16">
        <f t="shared" si="183"/>
        <v>0</v>
      </c>
      <c r="AC181" s="16">
        <f t="shared" si="183"/>
        <v>0</v>
      </c>
      <c r="AD181" s="16">
        <f t="shared" si="183"/>
        <v>0</v>
      </c>
      <c r="AG181" s="9">
        <f t="shared" si="219"/>
        <v>14</v>
      </c>
      <c r="AH181" s="16">
        <f t="shared" si="184"/>
        <v>0</v>
      </c>
      <c r="AI181" s="16">
        <f t="shared" si="184"/>
        <v>0</v>
      </c>
      <c r="AJ181" s="16">
        <f t="shared" si="184"/>
        <v>0</v>
      </c>
      <c r="AK181" s="16">
        <f t="shared" si="184"/>
        <v>0</v>
      </c>
      <c r="AL181" s="16">
        <f t="shared" si="184"/>
        <v>0</v>
      </c>
      <c r="AM181" s="16">
        <f t="shared" si="184"/>
        <v>5.7291929746259379E-2</v>
      </c>
      <c r="AN181" s="16">
        <f t="shared" si="184"/>
        <v>0.88479871072391614</v>
      </c>
      <c r="AO181" s="16">
        <f t="shared" si="184"/>
        <v>5.8826332313824455E-2</v>
      </c>
      <c r="AP181" s="16">
        <f t="shared" si="184"/>
        <v>0</v>
      </c>
      <c r="AQ181" s="16">
        <f t="shared" si="184"/>
        <v>0</v>
      </c>
      <c r="AR181" s="16">
        <f t="shared" si="185"/>
        <v>0</v>
      </c>
      <c r="AS181" s="16">
        <f t="shared" si="185"/>
        <v>0</v>
      </c>
      <c r="AT181" s="16">
        <f t="shared" si="185"/>
        <v>0</v>
      </c>
      <c r="AU181" s="16">
        <f t="shared" si="185"/>
        <v>0</v>
      </c>
      <c r="AV181" s="16">
        <f t="shared" si="185"/>
        <v>0</v>
      </c>
      <c r="AW181" s="16">
        <f t="shared" si="185"/>
        <v>0</v>
      </c>
      <c r="AX181" s="16">
        <f t="shared" si="185"/>
        <v>0</v>
      </c>
      <c r="AY181" s="16">
        <f t="shared" si="185"/>
        <v>0</v>
      </c>
      <c r="AZ181" s="16">
        <f t="shared" si="185"/>
        <v>0</v>
      </c>
      <c r="BA181" s="16">
        <f t="shared" si="185"/>
        <v>0</v>
      </c>
      <c r="BB181" s="16">
        <f t="shared" si="185"/>
        <v>0</v>
      </c>
      <c r="BE181" s="9">
        <f t="shared" si="220"/>
        <v>14</v>
      </c>
      <c r="BF181" s="16">
        <f t="shared" si="186"/>
        <v>0</v>
      </c>
      <c r="BG181" s="16">
        <f t="shared" si="186"/>
        <v>0</v>
      </c>
      <c r="BH181" s="16">
        <f t="shared" si="186"/>
        <v>0</v>
      </c>
      <c r="BI181" s="16">
        <f t="shared" si="186"/>
        <v>0</v>
      </c>
      <c r="BJ181" s="16">
        <f t="shared" si="186"/>
        <v>0</v>
      </c>
      <c r="BK181" s="16">
        <f t="shared" si="186"/>
        <v>5.7284462080755383E-2</v>
      </c>
      <c r="BL181" s="16">
        <f t="shared" si="186"/>
        <v>0.88481372653325885</v>
      </c>
      <c r="BM181" s="16">
        <f t="shared" si="186"/>
        <v>5.8818664647985797E-2</v>
      </c>
      <c r="BN181" s="16">
        <f t="shared" si="186"/>
        <v>0</v>
      </c>
      <c r="BO181" s="16">
        <f t="shared" si="186"/>
        <v>0</v>
      </c>
      <c r="BP181" s="16">
        <f t="shared" si="187"/>
        <v>0</v>
      </c>
      <c r="BQ181" s="16">
        <f t="shared" si="187"/>
        <v>0</v>
      </c>
      <c r="BR181" s="16">
        <f t="shared" si="187"/>
        <v>0</v>
      </c>
      <c r="BS181" s="16">
        <f t="shared" si="187"/>
        <v>0</v>
      </c>
      <c r="BT181" s="16">
        <f t="shared" si="187"/>
        <v>0</v>
      </c>
      <c r="BU181" s="16">
        <f t="shared" si="187"/>
        <v>0</v>
      </c>
      <c r="BV181" s="16">
        <f t="shared" si="187"/>
        <v>0</v>
      </c>
      <c r="BW181" s="16">
        <f t="shared" si="187"/>
        <v>0</v>
      </c>
      <c r="BX181" s="16">
        <f t="shared" si="187"/>
        <v>0</v>
      </c>
      <c r="BY181" s="16">
        <f t="shared" si="187"/>
        <v>0</v>
      </c>
      <c r="BZ181" s="16">
        <f t="shared" si="187"/>
        <v>0</v>
      </c>
      <c r="CC181" s="9">
        <f t="shared" si="221"/>
        <v>14</v>
      </c>
      <c r="CD181" s="16">
        <f t="shared" si="188"/>
        <v>0</v>
      </c>
      <c r="CE181" s="16">
        <f t="shared" si="188"/>
        <v>0</v>
      </c>
      <c r="CF181" s="16">
        <f t="shared" si="188"/>
        <v>0</v>
      </c>
      <c r="CG181" s="16">
        <f t="shared" si="188"/>
        <v>0</v>
      </c>
      <c r="CH181" s="16">
        <f t="shared" si="188"/>
        <v>0</v>
      </c>
      <c r="CI181" s="16">
        <f t="shared" si="188"/>
        <v>5.7284462080755216E-2</v>
      </c>
      <c r="CJ181" s="16">
        <f t="shared" si="188"/>
        <v>0.88481372653325918</v>
      </c>
      <c r="CK181" s="16">
        <f t="shared" si="188"/>
        <v>5.8818664647985623E-2</v>
      </c>
      <c r="CL181" s="16">
        <f t="shared" si="188"/>
        <v>0</v>
      </c>
      <c r="CM181" s="16">
        <f t="shared" si="188"/>
        <v>0</v>
      </c>
      <c r="CN181" s="16">
        <f t="shared" si="189"/>
        <v>0</v>
      </c>
      <c r="CO181" s="16">
        <f t="shared" si="189"/>
        <v>0</v>
      </c>
      <c r="CP181" s="16">
        <f t="shared" si="189"/>
        <v>0</v>
      </c>
      <c r="CQ181" s="16">
        <f t="shared" si="189"/>
        <v>0</v>
      </c>
      <c r="CR181" s="16">
        <f t="shared" si="189"/>
        <v>0</v>
      </c>
      <c r="CS181" s="16">
        <f t="shared" si="189"/>
        <v>0</v>
      </c>
      <c r="CT181" s="16">
        <f t="shared" si="189"/>
        <v>0</v>
      </c>
      <c r="CU181" s="16">
        <f t="shared" si="189"/>
        <v>0</v>
      </c>
      <c r="CV181" s="16">
        <f t="shared" si="189"/>
        <v>0</v>
      </c>
      <c r="CW181" s="16">
        <f t="shared" si="189"/>
        <v>0</v>
      </c>
      <c r="CX181" s="16">
        <f t="shared" si="189"/>
        <v>0</v>
      </c>
      <c r="DA181" s="9">
        <f t="shared" si="222"/>
        <v>14</v>
      </c>
      <c r="DB181" s="16">
        <f t="shared" si="190"/>
        <v>0</v>
      </c>
      <c r="DC181" s="16">
        <f t="shared" si="190"/>
        <v>0</v>
      </c>
      <c r="DD181" s="16">
        <f t="shared" si="190"/>
        <v>0</v>
      </c>
      <c r="DE181" s="16">
        <f t="shared" si="190"/>
        <v>0</v>
      </c>
      <c r="DF181" s="16">
        <f t="shared" si="190"/>
        <v>0</v>
      </c>
      <c r="DG181" s="16">
        <f t="shared" si="190"/>
        <v>1.4322982436564968E-2</v>
      </c>
      <c r="DH181" s="16">
        <f t="shared" si="190"/>
        <v>0.97119967768097881</v>
      </c>
      <c r="DI181" s="16">
        <f t="shared" si="190"/>
        <v>1.4706583078456242E-2</v>
      </c>
      <c r="DJ181" s="16">
        <f t="shared" si="190"/>
        <v>0</v>
      </c>
      <c r="DK181" s="16">
        <f t="shared" si="190"/>
        <v>0</v>
      </c>
      <c r="DL181" s="16">
        <f t="shared" si="191"/>
        <v>0</v>
      </c>
      <c r="DM181" s="16">
        <f t="shared" si="191"/>
        <v>0</v>
      </c>
      <c r="DN181" s="16">
        <f t="shared" si="191"/>
        <v>0</v>
      </c>
      <c r="DO181" s="16">
        <f t="shared" si="191"/>
        <v>0</v>
      </c>
      <c r="DP181" s="16">
        <f t="shared" si="191"/>
        <v>0</v>
      </c>
      <c r="DQ181" s="16">
        <f t="shared" si="191"/>
        <v>0</v>
      </c>
      <c r="DR181" s="16">
        <f t="shared" si="191"/>
        <v>0</v>
      </c>
      <c r="DS181" s="16">
        <f t="shared" si="191"/>
        <v>0</v>
      </c>
      <c r="DT181" s="16">
        <f t="shared" si="191"/>
        <v>0</v>
      </c>
      <c r="DU181" s="16">
        <f t="shared" si="191"/>
        <v>0</v>
      </c>
      <c r="DV181" s="16">
        <f t="shared" si="191"/>
        <v>0</v>
      </c>
      <c r="DY181" s="9">
        <f t="shared" si="223"/>
        <v>14</v>
      </c>
      <c r="DZ181" s="16">
        <f t="shared" si="192"/>
        <v>0</v>
      </c>
      <c r="EA181" s="16">
        <f t="shared" si="192"/>
        <v>0</v>
      </c>
      <c r="EB181" s="16">
        <f t="shared" si="192"/>
        <v>0</v>
      </c>
      <c r="EC181" s="16">
        <f t="shared" si="192"/>
        <v>0</v>
      </c>
      <c r="ED181" s="16">
        <f t="shared" si="192"/>
        <v>0</v>
      </c>
      <c r="EE181" s="16">
        <f t="shared" si="192"/>
        <v>4.1339916294502427E-2</v>
      </c>
      <c r="EF181" s="16">
        <f t="shared" si="192"/>
        <v>0.91670281810576471</v>
      </c>
      <c r="EG181" s="16">
        <f t="shared" si="192"/>
        <v>4.2874118861732834E-2</v>
      </c>
      <c r="EH181" s="16">
        <f t="shared" si="192"/>
        <v>0</v>
      </c>
      <c r="EI181" s="16">
        <f t="shared" si="192"/>
        <v>0</v>
      </c>
      <c r="EJ181" s="16">
        <f t="shared" si="193"/>
        <v>0</v>
      </c>
      <c r="EK181" s="16">
        <f t="shared" si="193"/>
        <v>0</v>
      </c>
      <c r="EL181" s="16">
        <f t="shared" si="193"/>
        <v>0</v>
      </c>
      <c r="EM181" s="16">
        <f t="shared" si="193"/>
        <v>0</v>
      </c>
      <c r="EN181" s="16">
        <f t="shared" si="193"/>
        <v>0</v>
      </c>
      <c r="EO181" s="16">
        <f t="shared" si="193"/>
        <v>0</v>
      </c>
      <c r="EP181" s="16">
        <f t="shared" si="193"/>
        <v>0</v>
      </c>
      <c r="EQ181" s="16">
        <f t="shared" si="193"/>
        <v>0</v>
      </c>
      <c r="ER181" s="16">
        <f t="shared" si="193"/>
        <v>0</v>
      </c>
      <c r="ES181" s="16">
        <f t="shared" si="193"/>
        <v>0</v>
      </c>
      <c r="ET181" s="16">
        <f t="shared" si="193"/>
        <v>0</v>
      </c>
      <c r="EW181" s="9">
        <f t="shared" si="224"/>
        <v>14</v>
      </c>
      <c r="EX181" s="16">
        <f t="shared" si="194"/>
        <v>0</v>
      </c>
      <c r="EY181" s="16">
        <f t="shared" si="194"/>
        <v>0</v>
      </c>
      <c r="EZ181" s="16">
        <f t="shared" si="194"/>
        <v>0</v>
      </c>
      <c r="FA181" s="16">
        <f t="shared" si="194"/>
        <v>0</v>
      </c>
      <c r="FB181" s="16">
        <f t="shared" si="194"/>
        <v>0</v>
      </c>
      <c r="FC181" s="16">
        <f t="shared" si="194"/>
        <v>4.1339916294502545E-2</v>
      </c>
      <c r="FD181" s="16">
        <f t="shared" si="194"/>
        <v>0.91670281810576448</v>
      </c>
      <c r="FE181" s="16">
        <f t="shared" si="194"/>
        <v>4.2874118861732959E-2</v>
      </c>
      <c r="FF181" s="16">
        <f t="shared" si="194"/>
        <v>0</v>
      </c>
      <c r="FG181" s="16">
        <f t="shared" si="194"/>
        <v>0</v>
      </c>
      <c r="FH181" s="16">
        <f t="shared" si="195"/>
        <v>0</v>
      </c>
      <c r="FI181" s="16">
        <f t="shared" si="195"/>
        <v>0</v>
      </c>
      <c r="FJ181" s="16">
        <f t="shared" si="195"/>
        <v>0</v>
      </c>
      <c r="FK181" s="16">
        <f t="shared" si="195"/>
        <v>0</v>
      </c>
      <c r="FL181" s="16">
        <f t="shared" si="195"/>
        <v>0</v>
      </c>
      <c r="FM181" s="16">
        <f t="shared" si="195"/>
        <v>0</v>
      </c>
      <c r="FN181" s="16">
        <f t="shared" si="195"/>
        <v>0</v>
      </c>
      <c r="FO181" s="16">
        <f t="shared" si="195"/>
        <v>0</v>
      </c>
      <c r="FP181" s="16">
        <f t="shared" si="195"/>
        <v>0</v>
      </c>
      <c r="FQ181" s="16">
        <f t="shared" si="195"/>
        <v>0</v>
      </c>
      <c r="FR181" s="16">
        <f t="shared" si="195"/>
        <v>0</v>
      </c>
      <c r="FU181" s="9">
        <f t="shared" si="225"/>
        <v>14</v>
      </c>
      <c r="FV181" s="16">
        <f t="shared" si="196"/>
        <v>0</v>
      </c>
      <c r="FW181" s="16">
        <f t="shared" si="196"/>
        <v>0</v>
      </c>
      <c r="FX181" s="16">
        <f t="shared" si="196"/>
        <v>0</v>
      </c>
      <c r="FY181" s="16">
        <f t="shared" si="196"/>
        <v>0</v>
      </c>
      <c r="FZ181" s="16">
        <f t="shared" si="196"/>
        <v>0</v>
      </c>
      <c r="GA181" s="16">
        <f t="shared" si="196"/>
        <v>4.1345305411474763E-2</v>
      </c>
      <c r="GB181" s="16">
        <f t="shared" si="196"/>
        <v>0.91669195939348547</v>
      </c>
      <c r="GC181" s="16">
        <f t="shared" si="196"/>
        <v>4.2879707979039838E-2</v>
      </c>
      <c r="GD181" s="16">
        <f t="shared" si="196"/>
        <v>0</v>
      </c>
      <c r="GE181" s="16">
        <f t="shared" si="196"/>
        <v>0</v>
      </c>
      <c r="GF181" s="16">
        <f t="shared" si="197"/>
        <v>0</v>
      </c>
      <c r="GG181" s="16">
        <f t="shared" si="197"/>
        <v>0</v>
      </c>
      <c r="GH181" s="16">
        <f t="shared" si="197"/>
        <v>0</v>
      </c>
      <c r="GI181" s="16">
        <f t="shared" si="197"/>
        <v>0</v>
      </c>
      <c r="GJ181" s="16">
        <f t="shared" si="197"/>
        <v>0</v>
      </c>
      <c r="GK181" s="16">
        <f t="shared" si="197"/>
        <v>0</v>
      </c>
      <c r="GL181" s="16">
        <f t="shared" si="197"/>
        <v>0</v>
      </c>
      <c r="GM181" s="16">
        <f t="shared" si="197"/>
        <v>0</v>
      </c>
      <c r="GN181" s="16">
        <f t="shared" si="197"/>
        <v>0</v>
      </c>
      <c r="GO181" s="16">
        <f t="shared" si="197"/>
        <v>0</v>
      </c>
      <c r="GP181" s="16">
        <f t="shared" si="197"/>
        <v>0</v>
      </c>
      <c r="GS181" s="9">
        <f t="shared" si="226"/>
        <v>14</v>
      </c>
      <c r="GT181" s="16">
        <f t="shared" si="198"/>
        <v>0</v>
      </c>
      <c r="GU181" s="16">
        <f t="shared" si="198"/>
        <v>0</v>
      </c>
      <c r="GV181" s="16">
        <f t="shared" si="198"/>
        <v>0</v>
      </c>
      <c r="GW181" s="16">
        <f t="shared" si="198"/>
        <v>0</v>
      </c>
      <c r="GX181" s="16">
        <f t="shared" si="198"/>
        <v>0</v>
      </c>
      <c r="GY181" s="16">
        <f t="shared" si="198"/>
        <v>1.789725746500373E-2</v>
      </c>
      <c r="GZ181" s="16">
        <f t="shared" si="198"/>
        <v>0.96393821652056344</v>
      </c>
      <c r="HA181" s="16">
        <f t="shared" si="198"/>
        <v>1.8561458576432779E-2</v>
      </c>
      <c r="HB181" s="16">
        <f t="shared" si="198"/>
        <v>0</v>
      </c>
      <c r="HC181" s="16">
        <f t="shared" si="198"/>
        <v>0</v>
      </c>
      <c r="HD181" s="16">
        <f t="shared" si="199"/>
        <v>0</v>
      </c>
      <c r="HE181" s="16">
        <f t="shared" si="199"/>
        <v>0</v>
      </c>
      <c r="HF181" s="16">
        <f t="shared" si="199"/>
        <v>0</v>
      </c>
      <c r="HG181" s="16">
        <f t="shared" si="199"/>
        <v>0</v>
      </c>
      <c r="HH181" s="16">
        <f t="shared" si="199"/>
        <v>0</v>
      </c>
      <c r="HI181" s="16">
        <f t="shared" si="199"/>
        <v>0</v>
      </c>
      <c r="HJ181" s="16">
        <f t="shared" si="199"/>
        <v>0</v>
      </c>
      <c r="HK181" s="16">
        <f t="shared" si="199"/>
        <v>0</v>
      </c>
      <c r="HL181" s="16">
        <f t="shared" si="199"/>
        <v>0</v>
      </c>
      <c r="HM181" s="16">
        <f t="shared" si="199"/>
        <v>0</v>
      </c>
      <c r="HN181" s="16">
        <f t="shared" si="199"/>
        <v>0</v>
      </c>
      <c r="HQ181" s="9">
        <f t="shared" si="227"/>
        <v>14</v>
      </c>
      <c r="HR181" s="16">
        <f t="shared" si="200"/>
        <v>0</v>
      </c>
      <c r="HS181" s="16">
        <f t="shared" si="200"/>
        <v>0</v>
      </c>
      <c r="HT181" s="16">
        <f t="shared" si="200"/>
        <v>0</v>
      </c>
      <c r="HU181" s="16">
        <f t="shared" si="200"/>
        <v>0</v>
      </c>
      <c r="HV181" s="16">
        <f t="shared" si="200"/>
        <v>0</v>
      </c>
      <c r="HW181" s="16">
        <f t="shared" si="200"/>
        <v>0.1179354358217824</v>
      </c>
      <c r="HX181" s="16">
        <f t="shared" si="200"/>
        <v>0.76236794048058298</v>
      </c>
      <c r="HY181" s="16">
        <f t="shared" si="200"/>
        <v>0.1223122431456346</v>
      </c>
      <c r="HZ181" s="16">
        <f t="shared" si="200"/>
        <v>0</v>
      </c>
      <c r="IA181" s="16">
        <f t="shared" si="200"/>
        <v>0</v>
      </c>
      <c r="IB181" s="16">
        <f t="shared" si="201"/>
        <v>0</v>
      </c>
      <c r="IC181" s="16">
        <f t="shared" si="201"/>
        <v>0</v>
      </c>
      <c r="ID181" s="16">
        <f t="shared" si="201"/>
        <v>0</v>
      </c>
      <c r="IE181" s="16">
        <f t="shared" si="201"/>
        <v>0</v>
      </c>
      <c r="IF181" s="16">
        <f t="shared" si="201"/>
        <v>0</v>
      </c>
      <c r="IG181" s="16">
        <f t="shared" si="201"/>
        <v>0</v>
      </c>
      <c r="IH181" s="16">
        <f t="shared" si="201"/>
        <v>0</v>
      </c>
      <c r="II181" s="16">
        <f t="shared" si="201"/>
        <v>0</v>
      </c>
      <c r="IJ181" s="16">
        <f t="shared" si="201"/>
        <v>0</v>
      </c>
      <c r="IK181" s="16">
        <f t="shared" si="201"/>
        <v>0</v>
      </c>
      <c r="IL181" s="16">
        <f t="shared" si="201"/>
        <v>0</v>
      </c>
      <c r="IO181" s="9">
        <f t="shared" si="228"/>
        <v>14</v>
      </c>
      <c r="IP181" s="16">
        <f t="shared" si="202"/>
        <v>0</v>
      </c>
      <c r="IQ181" s="16">
        <f t="shared" si="202"/>
        <v>0</v>
      </c>
      <c r="IR181" s="16">
        <f t="shared" si="202"/>
        <v>0</v>
      </c>
      <c r="IS181" s="16">
        <f t="shared" si="202"/>
        <v>0</v>
      </c>
      <c r="IT181" s="16">
        <f t="shared" si="202"/>
        <v>0</v>
      </c>
      <c r="IU181" s="16">
        <f t="shared" si="202"/>
        <v>1.7902107670278701E-2</v>
      </c>
      <c r="IV181" s="16">
        <f t="shared" si="202"/>
        <v>0.96392844367951236</v>
      </c>
      <c r="IW181" s="16">
        <f t="shared" si="202"/>
        <v>1.8566488782008943E-2</v>
      </c>
      <c r="IX181" s="16">
        <f t="shared" si="202"/>
        <v>0</v>
      </c>
      <c r="IY181" s="16">
        <f t="shared" si="202"/>
        <v>0</v>
      </c>
      <c r="IZ181" s="16">
        <f t="shared" si="203"/>
        <v>0</v>
      </c>
      <c r="JA181" s="16">
        <f t="shared" si="203"/>
        <v>0</v>
      </c>
      <c r="JB181" s="16">
        <f t="shared" si="203"/>
        <v>0</v>
      </c>
      <c r="JC181" s="16">
        <f t="shared" si="203"/>
        <v>0</v>
      </c>
      <c r="JD181" s="16">
        <f t="shared" si="203"/>
        <v>0</v>
      </c>
      <c r="JE181" s="16">
        <f t="shared" si="203"/>
        <v>0</v>
      </c>
      <c r="JF181" s="16">
        <f t="shared" si="203"/>
        <v>0</v>
      </c>
      <c r="JG181" s="16">
        <f t="shared" si="203"/>
        <v>0</v>
      </c>
      <c r="JH181" s="16">
        <f t="shared" si="203"/>
        <v>0</v>
      </c>
      <c r="JI181" s="16">
        <f t="shared" si="203"/>
        <v>0</v>
      </c>
      <c r="JJ181" s="16">
        <f t="shared" si="203"/>
        <v>0</v>
      </c>
      <c r="JM181" s="9">
        <f t="shared" si="229"/>
        <v>14</v>
      </c>
      <c r="JN181" s="16">
        <f t="shared" si="204"/>
        <v>0</v>
      </c>
      <c r="JO181" s="16">
        <f t="shared" si="204"/>
        <v>0</v>
      </c>
      <c r="JP181" s="16">
        <f t="shared" si="204"/>
        <v>0</v>
      </c>
      <c r="JQ181" s="16">
        <f t="shared" si="204"/>
        <v>0</v>
      </c>
      <c r="JR181" s="16">
        <f t="shared" si="204"/>
        <v>0</v>
      </c>
      <c r="JS181" s="16">
        <f t="shared" si="204"/>
        <v>0.11793328017499353</v>
      </c>
      <c r="JT181" s="16">
        <f t="shared" si="204"/>
        <v>0.76237228396549461</v>
      </c>
      <c r="JU181" s="16">
        <f t="shared" si="204"/>
        <v>0.12231000749871188</v>
      </c>
      <c r="JV181" s="16">
        <f t="shared" si="204"/>
        <v>0</v>
      </c>
      <c r="JW181" s="16">
        <f t="shared" si="204"/>
        <v>0</v>
      </c>
      <c r="JX181" s="16">
        <f t="shared" si="205"/>
        <v>0</v>
      </c>
      <c r="JY181" s="16">
        <f t="shared" si="205"/>
        <v>0</v>
      </c>
      <c r="JZ181" s="16">
        <f t="shared" si="205"/>
        <v>0</v>
      </c>
      <c r="KA181" s="16">
        <f t="shared" si="205"/>
        <v>0</v>
      </c>
      <c r="KB181" s="16">
        <f t="shared" si="205"/>
        <v>0</v>
      </c>
      <c r="KC181" s="16">
        <f t="shared" si="205"/>
        <v>0</v>
      </c>
      <c r="KD181" s="16">
        <f t="shared" si="205"/>
        <v>0</v>
      </c>
      <c r="KE181" s="16">
        <f t="shared" si="205"/>
        <v>0</v>
      </c>
      <c r="KF181" s="16">
        <f t="shared" si="205"/>
        <v>0</v>
      </c>
      <c r="KG181" s="16">
        <f t="shared" si="205"/>
        <v>0</v>
      </c>
      <c r="KH181" s="16">
        <f t="shared" si="205"/>
        <v>0</v>
      </c>
      <c r="KK181" s="9">
        <f t="shared" si="230"/>
        <v>14</v>
      </c>
      <c r="KL181" s="16">
        <f t="shared" si="206"/>
        <v>0</v>
      </c>
      <c r="KM181" s="16">
        <f t="shared" si="206"/>
        <v>0</v>
      </c>
      <c r="KN181" s="16">
        <f t="shared" si="206"/>
        <v>0</v>
      </c>
      <c r="KO181" s="16">
        <f t="shared" si="206"/>
        <v>0</v>
      </c>
      <c r="KP181" s="16">
        <f t="shared" si="206"/>
        <v>0</v>
      </c>
      <c r="KQ181" s="16">
        <f t="shared" si="206"/>
        <v>1.4949410481156293E-2</v>
      </c>
      <c r="KR181" s="16">
        <f t="shared" si="206"/>
        <v>0.96987793213732121</v>
      </c>
      <c r="KS181" s="16">
        <f t="shared" si="206"/>
        <v>1.5504211409522498E-2</v>
      </c>
      <c r="KT181" s="16">
        <f t="shared" si="206"/>
        <v>0</v>
      </c>
      <c r="KU181" s="16">
        <f t="shared" si="206"/>
        <v>0</v>
      </c>
      <c r="KV181" s="16">
        <f t="shared" si="207"/>
        <v>0</v>
      </c>
      <c r="KW181" s="16">
        <f t="shared" si="207"/>
        <v>0</v>
      </c>
      <c r="KX181" s="16">
        <f t="shared" si="207"/>
        <v>0</v>
      </c>
      <c r="KY181" s="16">
        <f t="shared" si="207"/>
        <v>0</v>
      </c>
      <c r="KZ181" s="16">
        <f t="shared" si="207"/>
        <v>0</v>
      </c>
      <c r="LA181" s="16">
        <f t="shared" si="207"/>
        <v>0</v>
      </c>
      <c r="LB181" s="16">
        <f t="shared" si="207"/>
        <v>0</v>
      </c>
      <c r="LC181" s="16">
        <f t="shared" si="207"/>
        <v>0</v>
      </c>
      <c r="LD181" s="16">
        <f t="shared" si="207"/>
        <v>0</v>
      </c>
      <c r="LE181" s="16">
        <f t="shared" si="207"/>
        <v>0</v>
      </c>
      <c r="LF181" s="16">
        <f t="shared" si="207"/>
        <v>0</v>
      </c>
      <c r="LI181" s="9">
        <f t="shared" si="231"/>
        <v>14</v>
      </c>
      <c r="LJ181" s="16">
        <f t="shared" si="208"/>
        <v>0</v>
      </c>
      <c r="LK181" s="16">
        <f t="shared" si="208"/>
        <v>0</v>
      </c>
      <c r="LL181" s="16">
        <f t="shared" si="208"/>
        <v>0</v>
      </c>
      <c r="LM181" s="16">
        <f t="shared" si="208"/>
        <v>0</v>
      </c>
      <c r="LN181" s="16">
        <f t="shared" si="208"/>
        <v>0</v>
      </c>
      <c r="LO181" s="16">
        <f t="shared" si="208"/>
        <v>0.1179327412632963</v>
      </c>
      <c r="LP181" s="16">
        <f t="shared" si="208"/>
        <v>0.76237336983672255</v>
      </c>
      <c r="LQ181" s="16">
        <f t="shared" si="208"/>
        <v>0.12230944858698117</v>
      </c>
      <c r="LR181" s="16">
        <f t="shared" si="208"/>
        <v>0</v>
      </c>
      <c r="LS181" s="16">
        <f t="shared" si="208"/>
        <v>0</v>
      </c>
      <c r="LT181" s="16">
        <f t="shared" si="209"/>
        <v>0</v>
      </c>
      <c r="LU181" s="16">
        <f t="shared" si="209"/>
        <v>0</v>
      </c>
      <c r="LV181" s="16">
        <f t="shared" si="209"/>
        <v>0</v>
      </c>
      <c r="LW181" s="16">
        <f t="shared" si="209"/>
        <v>0</v>
      </c>
      <c r="LX181" s="16">
        <f t="shared" si="209"/>
        <v>0</v>
      </c>
      <c r="LY181" s="16">
        <f t="shared" si="209"/>
        <v>0</v>
      </c>
      <c r="LZ181" s="16">
        <f t="shared" si="209"/>
        <v>0</v>
      </c>
      <c r="MA181" s="16">
        <f t="shared" si="209"/>
        <v>0</v>
      </c>
      <c r="MB181" s="16">
        <f t="shared" si="209"/>
        <v>0</v>
      </c>
      <c r="MC181" s="16">
        <f t="shared" si="209"/>
        <v>0</v>
      </c>
      <c r="MD181" s="16">
        <f t="shared" si="209"/>
        <v>0</v>
      </c>
      <c r="MG181" s="9">
        <f t="shared" si="232"/>
        <v>14</v>
      </c>
      <c r="MH181" s="16">
        <f t="shared" si="210"/>
        <v>0</v>
      </c>
      <c r="MI181" s="16">
        <f t="shared" si="210"/>
        <v>0</v>
      </c>
      <c r="MJ181" s="16">
        <f t="shared" si="210"/>
        <v>0</v>
      </c>
      <c r="MK181" s="16">
        <f t="shared" si="210"/>
        <v>0</v>
      </c>
      <c r="ML181" s="16">
        <f t="shared" si="210"/>
        <v>0</v>
      </c>
      <c r="MM181" s="16">
        <f t="shared" si="210"/>
        <v>1.642602853156612E-2</v>
      </c>
      <c r="MN181" s="16">
        <f t="shared" si="210"/>
        <v>0.96690264497280276</v>
      </c>
      <c r="MO181" s="16">
        <f t="shared" si="210"/>
        <v>1.7035629551631078E-2</v>
      </c>
      <c r="MP181" s="16">
        <f t="shared" si="210"/>
        <v>0</v>
      </c>
      <c r="MQ181" s="16">
        <f t="shared" si="210"/>
        <v>0</v>
      </c>
      <c r="MR181" s="16">
        <f t="shared" si="211"/>
        <v>0</v>
      </c>
      <c r="MS181" s="16">
        <f t="shared" si="211"/>
        <v>0</v>
      </c>
      <c r="MT181" s="16">
        <f t="shared" si="211"/>
        <v>0</v>
      </c>
      <c r="MU181" s="16">
        <f t="shared" si="211"/>
        <v>0</v>
      </c>
      <c r="MV181" s="16">
        <f t="shared" si="211"/>
        <v>0</v>
      </c>
      <c r="MW181" s="16">
        <f t="shared" si="211"/>
        <v>0</v>
      </c>
      <c r="MX181" s="16">
        <f t="shared" si="211"/>
        <v>0</v>
      </c>
      <c r="MY181" s="16">
        <f t="shared" si="211"/>
        <v>0</v>
      </c>
      <c r="MZ181" s="16">
        <f t="shared" si="211"/>
        <v>0</v>
      </c>
      <c r="NA181" s="16">
        <f t="shared" si="211"/>
        <v>0</v>
      </c>
      <c r="NB181" s="16">
        <f t="shared" si="211"/>
        <v>0</v>
      </c>
      <c r="NE181" s="9">
        <f t="shared" si="233"/>
        <v>14</v>
      </c>
      <c r="NF181" s="16">
        <f t="shared" si="212"/>
        <v>0</v>
      </c>
      <c r="NG181" s="16">
        <f t="shared" si="212"/>
        <v>0</v>
      </c>
      <c r="NH181" s="16">
        <f t="shared" si="212"/>
        <v>0</v>
      </c>
      <c r="NI181" s="16">
        <f t="shared" si="212"/>
        <v>0</v>
      </c>
      <c r="NJ181" s="16">
        <f t="shared" si="212"/>
        <v>0</v>
      </c>
      <c r="NK181" s="16">
        <f t="shared" si="212"/>
        <v>0.1179327412632963</v>
      </c>
      <c r="NL181" s="16">
        <f t="shared" si="212"/>
        <v>0.76237336983672255</v>
      </c>
      <c r="NM181" s="16">
        <f t="shared" si="212"/>
        <v>0.12230944858698117</v>
      </c>
      <c r="NN181" s="16">
        <f t="shared" si="212"/>
        <v>0</v>
      </c>
      <c r="NO181" s="16">
        <f t="shared" si="212"/>
        <v>0</v>
      </c>
      <c r="NP181" s="16">
        <f t="shared" si="213"/>
        <v>0</v>
      </c>
      <c r="NQ181" s="16">
        <f t="shared" si="213"/>
        <v>0</v>
      </c>
      <c r="NR181" s="16">
        <f t="shared" si="213"/>
        <v>0</v>
      </c>
      <c r="NS181" s="16">
        <f t="shared" si="213"/>
        <v>0</v>
      </c>
      <c r="NT181" s="16">
        <f t="shared" si="213"/>
        <v>0</v>
      </c>
      <c r="NU181" s="16">
        <f t="shared" si="213"/>
        <v>0</v>
      </c>
      <c r="NV181" s="16">
        <f t="shared" si="213"/>
        <v>0</v>
      </c>
      <c r="NW181" s="16">
        <f t="shared" si="213"/>
        <v>0</v>
      </c>
      <c r="NX181" s="16">
        <f t="shared" si="213"/>
        <v>0</v>
      </c>
      <c r="NY181" s="16">
        <f t="shared" si="213"/>
        <v>0</v>
      </c>
      <c r="NZ181" s="16">
        <f t="shared" si="213"/>
        <v>0</v>
      </c>
      <c r="OC181" s="9">
        <f t="shared" si="234"/>
        <v>14</v>
      </c>
      <c r="OD181" s="16">
        <f t="shared" si="214"/>
        <v>0</v>
      </c>
      <c r="OE181" s="16">
        <f t="shared" si="214"/>
        <v>0</v>
      </c>
      <c r="OF181" s="16">
        <f t="shared" si="214"/>
        <v>0</v>
      </c>
      <c r="OG181" s="16">
        <f t="shared" si="214"/>
        <v>0</v>
      </c>
      <c r="OH181" s="16">
        <f t="shared" si="214"/>
        <v>0</v>
      </c>
      <c r="OI181" s="16">
        <f t="shared" si="214"/>
        <v>1.7902107670278684E-2</v>
      </c>
      <c r="OJ181" s="16">
        <f t="shared" si="214"/>
        <v>0.96392844367951236</v>
      </c>
      <c r="OK181" s="16">
        <f t="shared" si="214"/>
        <v>1.8566488782008929E-2</v>
      </c>
      <c r="OL181" s="16">
        <f t="shared" si="214"/>
        <v>0</v>
      </c>
      <c r="OM181" s="16">
        <f t="shared" si="214"/>
        <v>0</v>
      </c>
      <c r="ON181" s="16">
        <f t="shared" si="215"/>
        <v>0</v>
      </c>
      <c r="OO181" s="16">
        <f t="shared" si="215"/>
        <v>0</v>
      </c>
      <c r="OP181" s="16">
        <f t="shared" si="215"/>
        <v>0</v>
      </c>
      <c r="OQ181" s="16">
        <f t="shared" si="215"/>
        <v>0</v>
      </c>
      <c r="OR181" s="16">
        <f t="shared" si="215"/>
        <v>0</v>
      </c>
      <c r="OS181" s="16">
        <f t="shared" si="215"/>
        <v>0</v>
      </c>
      <c r="OT181" s="16">
        <f t="shared" si="215"/>
        <v>0</v>
      </c>
      <c r="OU181" s="16">
        <f t="shared" si="215"/>
        <v>0</v>
      </c>
      <c r="OV181" s="16">
        <f t="shared" si="215"/>
        <v>0</v>
      </c>
      <c r="OW181" s="16">
        <f t="shared" si="215"/>
        <v>0</v>
      </c>
      <c r="OX181" s="16">
        <f t="shared" si="215"/>
        <v>0</v>
      </c>
      <c r="PA181" s="9">
        <f t="shared" si="235"/>
        <v>14</v>
      </c>
      <c r="PB181" s="16">
        <f t="shared" si="216"/>
        <v>0</v>
      </c>
      <c r="PC181" s="16">
        <f t="shared" si="216"/>
        <v>0</v>
      </c>
      <c r="PD181" s="16">
        <f t="shared" si="216"/>
        <v>0</v>
      </c>
      <c r="PE181" s="16">
        <f t="shared" si="216"/>
        <v>0</v>
      </c>
      <c r="PF181" s="16">
        <f t="shared" si="216"/>
        <v>0</v>
      </c>
      <c r="PG181" s="16">
        <f t="shared" si="216"/>
        <v>0.11792789105802122</v>
      </c>
      <c r="PH181" s="16">
        <f t="shared" si="216"/>
        <v>0.76238314267777385</v>
      </c>
      <c r="PI181" s="16">
        <f t="shared" si="216"/>
        <v>0.12230441838140489</v>
      </c>
      <c r="PJ181" s="16">
        <f t="shared" si="216"/>
        <v>0</v>
      </c>
      <c r="PK181" s="16">
        <f t="shared" si="216"/>
        <v>0</v>
      </c>
      <c r="PL181" s="16">
        <f t="shared" si="217"/>
        <v>0</v>
      </c>
      <c r="PM181" s="16">
        <f t="shared" si="217"/>
        <v>0</v>
      </c>
      <c r="PN181" s="16">
        <f t="shared" si="217"/>
        <v>0</v>
      </c>
      <c r="PO181" s="16">
        <f t="shared" si="217"/>
        <v>0</v>
      </c>
      <c r="PP181" s="16">
        <f t="shared" si="217"/>
        <v>0</v>
      </c>
      <c r="PQ181" s="16">
        <f t="shared" si="217"/>
        <v>0</v>
      </c>
      <c r="PR181" s="16">
        <f t="shared" si="217"/>
        <v>0</v>
      </c>
      <c r="PS181" s="16">
        <f t="shared" si="217"/>
        <v>0</v>
      </c>
      <c r="PT181" s="16">
        <f t="shared" si="217"/>
        <v>0</v>
      </c>
      <c r="PU181" s="16">
        <f t="shared" si="217"/>
        <v>0</v>
      </c>
      <c r="PV181" s="16">
        <f t="shared" si="217"/>
        <v>0</v>
      </c>
    </row>
    <row r="182" spans="3:438" x14ac:dyDescent="0.25">
      <c r="C182" s="1"/>
      <c r="D182" s="1"/>
      <c r="I182" s="9">
        <f t="shared" si="218"/>
        <v>13</v>
      </c>
      <c r="J182" s="16">
        <f t="shared" si="182"/>
        <v>0</v>
      </c>
      <c r="K182" s="16">
        <f t="shared" si="182"/>
        <v>0</v>
      </c>
      <c r="L182" s="16">
        <f t="shared" si="182"/>
        <v>0</v>
      </c>
      <c r="M182" s="16">
        <f t="shared" si="182"/>
        <v>0</v>
      </c>
      <c r="N182" s="16">
        <f t="shared" si="182"/>
        <v>0</v>
      </c>
      <c r="O182" s="16">
        <f t="shared" si="182"/>
        <v>0</v>
      </c>
      <c r="P182" s="16">
        <f t="shared" si="182"/>
        <v>1.4363439851255386E-2</v>
      </c>
      <c r="Q182" s="16">
        <f t="shared" si="182"/>
        <v>0.97115741257182175</v>
      </c>
      <c r="R182" s="16">
        <f t="shared" si="182"/>
        <v>1.4650990332422835E-2</v>
      </c>
      <c r="S182" s="16">
        <f t="shared" si="182"/>
        <v>0</v>
      </c>
      <c r="T182" s="16">
        <f t="shared" si="183"/>
        <v>0</v>
      </c>
      <c r="U182" s="16">
        <f t="shared" si="183"/>
        <v>0</v>
      </c>
      <c r="V182" s="16">
        <f t="shared" si="183"/>
        <v>0</v>
      </c>
      <c r="W182" s="16">
        <f t="shared" si="183"/>
        <v>0</v>
      </c>
      <c r="X182" s="16">
        <f t="shared" si="183"/>
        <v>0</v>
      </c>
      <c r="Y182" s="16">
        <f t="shared" si="183"/>
        <v>0</v>
      </c>
      <c r="Z182" s="16">
        <f t="shared" si="183"/>
        <v>0</v>
      </c>
      <c r="AA182" s="16">
        <f t="shared" si="183"/>
        <v>0</v>
      </c>
      <c r="AB182" s="16">
        <f t="shared" si="183"/>
        <v>0</v>
      </c>
      <c r="AC182" s="16">
        <f t="shared" si="183"/>
        <v>0</v>
      </c>
      <c r="AD182" s="16">
        <f t="shared" si="183"/>
        <v>0</v>
      </c>
      <c r="AG182" s="9">
        <f t="shared" si="219"/>
        <v>13</v>
      </c>
      <c r="AH182" s="16">
        <f t="shared" si="184"/>
        <v>0</v>
      </c>
      <c r="AI182" s="16">
        <f t="shared" si="184"/>
        <v>0</v>
      </c>
      <c r="AJ182" s="16">
        <f t="shared" si="184"/>
        <v>0</v>
      </c>
      <c r="AK182" s="16">
        <f t="shared" si="184"/>
        <v>0</v>
      </c>
      <c r="AL182" s="16">
        <f t="shared" si="184"/>
        <v>0</v>
      </c>
      <c r="AM182" s="16">
        <f t="shared" si="184"/>
        <v>0</v>
      </c>
      <c r="AN182" s="16">
        <f t="shared" si="184"/>
        <v>5.7483730067205016E-2</v>
      </c>
      <c r="AO182" s="16">
        <f t="shared" si="184"/>
        <v>0.88456946752791621</v>
      </c>
      <c r="AP182" s="16">
        <f t="shared" si="184"/>
        <v>5.8634531992878818E-2</v>
      </c>
      <c r="AQ182" s="16">
        <f t="shared" si="184"/>
        <v>0</v>
      </c>
      <c r="AR182" s="16">
        <f t="shared" si="185"/>
        <v>0</v>
      </c>
      <c r="AS182" s="16">
        <f t="shared" si="185"/>
        <v>0</v>
      </c>
      <c r="AT182" s="16">
        <f t="shared" si="185"/>
        <v>0</v>
      </c>
      <c r="AU182" s="16">
        <f t="shared" si="185"/>
        <v>0</v>
      </c>
      <c r="AV182" s="16">
        <f t="shared" si="185"/>
        <v>0</v>
      </c>
      <c r="AW182" s="16">
        <f t="shared" si="185"/>
        <v>0</v>
      </c>
      <c r="AX182" s="16">
        <f t="shared" si="185"/>
        <v>0</v>
      </c>
      <c r="AY182" s="16">
        <f t="shared" si="185"/>
        <v>0</v>
      </c>
      <c r="AZ182" s="16">
        <f t="shared" si="185"/>
        <v>0</v>
      </c>
      <c r="BA182" s="16">
        <f t="shared" si="185"/>
        <v>0</v>
      </c>
      <c r="BB182" s="16">
        <f t="shared" si="185"/>
        <v>0</v>
      </c>
      <c r="BE182" s="9">
        <f t="shared" si="220"/>
        <v>13</v>
      </c>
      <c r="BF182" s="16">
        <f t="shared" si="186"/>
        <v>0</v>
      </c>
      <c r="BG182" s="16">
        <f t="shared" si="186"/>
        <v>0</v>
      </c>
      <c r="BH182" s="16">
        <f t="shared" si="186"/>
        <v>0</v>
      </c>
      <c r="BI182" s="16">
        <f t="shared" si="186"/>
        <v>0</v>
      </c>
      <c r="BJ182" s="16">
        <f t="shared" si="186"/>
        <v>0</v>
      </c>
      <c r="BK182" s="16">
        <f t="shared" si="186"/>
        <v>0</v>
      </c>
      <c r="BL182" s="16">
        <f t="shared" si="186"/>
        <v>5.7476237401659191E-2</v>
      </c>
      <c r="BM182" s="16">
        <f t="shared" si="186"/>
        <v>0.88458451321775877</v>
      </c>
      <c r="BN182" s="16">
        <f t="shared" si="186"/>
        <v>5.8626889327081995E-2</v>
      </c>
      <c r="BO182" s="16">
        <f t="shared" si="186"/>
        <v>0</v>
      </c>
      <c r="BP182" s="16">
        <f t="shared" si="187"/>
        <v>0</v>
      </c>
      <c r="BQ182" s="16">
        <f t="shared" si="187"/>
        <v>0</v>
      </c>
      <c r="BR182" s="16">
        <f t="shared" si="187"/>
        <v>0</v>
      </c>
      <c r="BS182" s="16">
        <f t="shared" si="187"/>
        <v>0</v>
      </c>
      <c r="BT182" s="16">
        <f t="shared" si="187"/>
        <v>0</v>
      </c>
      <c r="BU182" s="16">
        <f t="shared" si="187"/>
        <v>0</v>
      </c>
      <c r="BV182" s="16">
        <f t="shared" si="187"/>
        <v>0</v>
      </c>
      <c r="BW182" s="16">
        <f t="shared" si="187"/>
        <v>0</v>
      </c>
      <c r="BX182" s="16">
        <f t="shared" si="187"/>
        <v>0</v>
      </c>
      <c r="BY182" s="16">
        <f t="shared" si="187"/>
        <v>0</v>
      </c>
      <c r="BZ182" s="16">
        <f t="shared" si="187"/>
        <v>0</v>
      </c>
      <c r="CC182" s="9">
        <f t="shared" si="221"/>
        <v>13</v>
      </c>
      <c r="CD182" s="16">
        <f t="shared" si="188"/>
        <v>0</v>
      </c>
      <c r="CE182" s="16">
        <f t="shared" si="188"/>
        <v>0</v>
      </c>
      <c r="CF182" s="16">
        <f t="shared" si="188"/>
        <v>0</v>
      </c>
      <c r="CG182" s="16">
        <f t="shared" si="188"/>
        <v>0</v>
      </c>
      <c r="CH182" s="16">
        <f t="shared" si="188"/>
        <v>0</v>
      </c>
      <c r="CI182" s="16">
        <f t="shared" si="188"/>
        <v>0</v>
      </c>
      <c r="CJ182" s="16">
        <f t="shared" si="188"/>
        <v>5.7476237401659025E-2</v>
      </c>
      <c r="CK182" s="16">
        <f t="shared" si="188"/>
        <v>0.88458451321775911</v>
      </c>
      <c r="CL182" s="16">
        <f t="shared" si="188"/>
        <v>5.8626889327081821E-2</v>
      </c>
      <c r="CM182" s="16">
        <f t="shared" si="188"/>
        <v>0</v>
      </c>
      <c r="CN182" s="16">
        <f t="shared" si="189"/>
        <v>0</v>
      </c>
      <c r="CO182" s="16">
        <f t="shared" si="189"/>
        <v>0</v>
      </c>
      <c r="CP182" s="16">
        <f t="shared" si="189"/>
        <v>0</v>
      </c>
      <c r="CQ182" s="16">
        <f t="shared" si="189"/>
        <v>0</v>
      </c>
      <c r="CR182" s="16">
        <f t="shared" si="189"/>
        <v>0</v>
      </c>
      <c r="CS182" s="16">
        <f t="shared" si="189"/>
        <v>0</v>
      </c>
      <c r="CT182" s="16">
        <f t="shared" si="189"/>
        <v>0</v>
      </c>
      <c r="CU182" s="16">
        <f t="shared" si="189"/>
        <v>0</v>
      </c>
      <c r="CV182" s="16">
        <f t="shared" si="189"/>
        <v>0</v>
      </c>
      <c r="CW182" s="16">
        <f t="shared" si="189"/>
        <v>0</v>
      </c>
      <c r="CX182" s="16">
        <f t="shared" si="189"/>
        <v>0</v>
      </c>
      <c r="DA182" s="9">
        <f t="shared" si="222"/>
        <v>13</v>
      </c>
      <c r="DB182" s="16">
        <f t="shared" si="190"/>
        <v>0</v>
      </c>
      <c r="DC182" s="16">
        <f t="shared" si="190"/>
        <v>0</v>
      </c>
      <c r="DD182" s="16">
        <f t="shared" si="190"/>
        <v>0</v>
      </c>
      <c r="DE182" s="16">
        <f t="shared" si="190"/>
        <v>0</v>
      </c>
      <c r="DF182" s="16">
        <f t="shared" si="190"/>
        <v>0</v>
      </c>
      <c r="DG182" s="16">
        <f t="shared" si="190"/>
        <v>0</v>
      </c>
      <c r="DH182" s="16">
        <f t="shared" si="190"/>
        <v>1.4370932516801379E-2</v>
      </c>
      <c r="DI182" s="16">
        <f t="shared" si="190"/>
        <v>0.97114236688197875</v>
      </c>
      <c r="DJ182" s="16">
        <f t="shared" si="190"/>
        <v>1.4658632998219833E-2</v>
      </c>
      <c r="DK182" s="16">
        <f t="shared" si="190"/>
        <v>0</v>
      </c>
      <c r="DL182" s="16">
        <f t="shared" si="191"/>
        <v>0</v>
      </c>
      <c r="DM182" s="16">
        <f t="shared" si="191"/>
        <v>0</v>
      </c>
      <c r="DN182" s="16">
        <f t="shared" si="191"/>
        <v>0</v>
      </c>
      <c r="DO182" s="16">
        <f t="shared" si="191"/>
        <v>0</v>
      </c>
      <c r="DP182" s="16">
        <f t="shared" si="191"/>
        <v>0</v>
      </c>
      <c r="DQ182" s="16">
        <f t="shared" si="191"/>
        <v>0</v>
      </c>
      <c r="DR182" s="16">
        <f t="shared" si="191"/>
        <v>0</v>
      </c>
      <c r="DS182" s="16">
        <f t="shared" si="191"/>
        <v>0</v>
      </c>
      <c r="DT182" s="16">
        <f t="shared" si="191"/>
        <v>0</v>
      </c>
      <c r="DU182" s="16">
        <f t="shared" si="191"/>
        <v>0</v>
      </c>
      <c r="DV182" s="16">
        <f t="shared" si="191"/>
        <v>0</v>
      </c>
      <c r="DY182" s="9">
        <f t="shared" si="223"/>
        <v>13</v>
      </c>
      <c r="DZ182" s="16">
        <f t="shared" si="192"/>
        <v>0</v>
      </c>
      <c r="EA182" s="16">
        <f t="shared" si="192"/>
        <v>0</v>
      </c>
      <c r="EB182" s="16">
        <f t="shared" si="192"/>
        <v>0</v>
      </c>
      <c r="EC182" s="16">
        <f t="shared" si="192"/>
        <v>0</v>
      </c>
      <c r="ED182" s="16">
        <f t="shared" si="192"/>
        <v>0</v>
      </c>
      <c r="EE182" s="16">
        <f t="shared" si="192"/>
        <v>0</v>
      </c>
      <c r="EF182" s="16">
        <f t="shared" si="192"/>
        <v>4.1531691615406229E-2</v>
      </c>
      <c r="EG182" s="16">
        <f t="shared" si="192"/>
        <v>0.91647360479026474</v>
      </c>
      <c r="EH182" s="16">
        <f t="shared" si="192"/>
        <v>4.2682343540829032E-2</v>
      </c>
      <c r="EI182" s="16">
        <f t="shared" si="192"/>
        <v>0</v>
      </c>
      <c r="EJ182" s="16">
        <f t="shared" si="193"/>
        <v>0</v>
      </c>
      <c r="EK182" s="16">
        <f t="shared" si="193"/>
        <v>0</v>
      </c>
      <c r="EL182" s="16">
        <f t="shared" si="193"/>
        <v>0</v>
      </c>
      <c r="EM182" s="16">
        <f t="shared" si="193"/>
        <v>0</v>
      </c>
      <c r="EN182" s="16">
        <f t="shared" si="193"/>
        <v>0</v>
      </c>
      <c r="EO182" s="16">
        <f t="shared" si="193"/>
        <v>0</v>
      </c>
      <c r="EP182" s="16">
        <f t="shared" si="193"/>
        <v>0</v>
      </c>
      <c r="EQ182" s="16">
        <f t="shared" si="193"/>
        <v>0</v>
      </c>
      <c r="ER182" s="16">
        <f t="shared" si="193"/>
        <v>0</v>
      </c>
      <c r="ES182" s="16">
        <f t="shared" si="193"/>
        <v>0</v>
      </c>
      <c r="ET182" s="16">
        <f t="shared" si="193"/>
        <v>0</v>
      </c>
      <c r="EW182" s="9">
        <f t="shared" si="224"/>
        <v>13</v>
      </c>
      <c r="EX182" s="16">
        <f t="shared" si="194"/>
        <v>0</v>
      </c>
      <c r="EY182" s="16">
        <f t="shared" si="194"/>
        <v>0</v>
      </c>
      <c r="EZ182" s="16">
        <f t="shared" si="194"/>
        <v>0</v>
      </c>
      <c r="FA182" s="16">
        <f t="shared" si="194"/>
        <v>0</v>
      </c>
      <c r="FB182" s="16">
        <f t="shared" si="194"/>
        <v>0</v>
      </c>
      <c r="FC182" s="16">
        <f t="shared" si="194"/>
        <v>0</v>
      </c>
      <c r="FD182" s="16">
        <f t="shared" si="194"/>
        <v>4.1531691615406353E-2</v>
      </c>
      <c r="FE182" s="16">
        <f t="shared" si="194"/>
        <v>0.91647360479026452</v>
      </c>
      <c r="FF182" s="16">
        <f t="shared" si="194"/>
        <v>4.2682343540829157E-2</v>
      </c>
      <c r="FG182" s="16">
        <f t="shared" si="194"/>
        <v>0</v>
      </c>
      <c r="FH182" s="16">
        <f t="shared" si="195"/>
        <v>0</v>
      </c>
      <c r="FI182" s="16">
        <f t="shared" si="195"/>
        <v>0</v>
      </c>
      <c r="FJ182" s="16">
        <f t="shared" si="195"/>
        <v>0</v>
      </c>
      <c r="FK182" s="16">
        <f t="shared" si="195"/>
        <v>0</v>
      </c>
      <c r="FL182" s="16">
        <f t="shared" si="195"/>
        <v>0</v>
      </c>
      <c r="FM182" s="16">
        <f t="shared" si="195"/>
        <v>0</v>
      </c>
      <c r="FN182" s="16">
        <f t="shared" si="195"/>
        <v>0</v>
      </c>
      <c r="FO182" s="16">
        <f t="shared" si="195"/>
        <v>0</v>
      </c>
      <c r="FP182" s="16">
        <f t="shared" si="195"/>
        <v>0</v>
      </c>
      <c r="FQ182" s="16">
        <f t="shared" si="195"/>
        <v>0</v>
      </c>
      <c r="FR182" s="16">
        <f t="shared" si="195"/>
        <v>0</v>
      </c>
      <c r="FU182" s="9">
        <f t="shared" si="225"/>
        <v>13</v>
      </c>
      <c r="FV182" s="16">
        <f t="shared" si="196"/>
        <v>0</v>
      </c>
      <c r="FW182" s="16">
        <f t="shared" si="196"/>
        <v>0</v>
      </c>
      <c r="FX182" s="16">
        <f t="shared" si="196"/>
        <v>0</v>
      </c>
      <c r="FY182" s="16">
        <f t="shared" si="196"/>
        <v>0</v>
      </c>
      <c r="FZ182" s="16">
        <f t="shared" si="196"/>
        <v>0</v>
      </c>
      <c r="GA182" s="16">
        <f t="shared" si="196"/>
        <v>0</v>
      </c>
      <c r="GB182" s="16">
        <f t="shared" si="196"/>
        <v>4.15371057324204E-2</v>
      </c>
      <c r="GC182" s="16">
        <f t="shared" si="196"/>
        <v>0.91646271619748543</v>
      </c>
      <c r="GD182" s="16">
        <f t="shared" si="196"/>
        <v>4.2687907658094201E-2</v>
      </c>
      <c r="GE182" s="16">
        <f t="shared" si="196"/>
        <v>0</v>
      </c>
      <c r="GF182" s="16">
        <f t="shared" si="197"/>
        <v>0</v>
      </c>
      <c r="GG182" s="16">
        <f t="shared" si="197"/>
        <v>0</v>
      </c>
      <c r="GH182" s="16">
        <f t="shared" si="197"/>
        <v>0</v>
      </c>
      <c r="GI182" s="16">
        <f t="shared" si="197"/>
        <v>0</v>
      </c>
      <c r="GJ182" s="16">
        <f t="shared" si="197"/>
        <v>0</v>
      </c>
      <c r="GK182" s="16">
        <f t="shared" si="197"/>
        <v>0</v>
      </c>
      <c r="GL182" s="16">
        <f t="shared" si="197"/>
        <v>0</v>
      </c>
      <c r="GM182" s="16">
        <f t="shared" si="197"/>
        <v>0</v>
      </c>
      <c r="GN182" s="16">
        <f t="shared" si="197"/>
        <v>0</v>
      </c>
      <c r="GO182" s="16">
        <f t="shared" si="197"/>
        <v>0</v>
      </c>
      <c r="GP182" s="16">
        <f t="shared" si="197"/>
        <v>0</v>
      </c>
      <c r="GS182" s="9">
        <f t="shared" si="226"/>
        <v>13</v>
      </c>
      <c r="GT182" s="16">
        <f t="shared" si="198"/>
        <v>0</v>
      </c>
      <c r="GU182" s="16">
        <f t="shared" si="198"/>
        <v>0</v>
      </c>
      <c r="GV182" s="16">
        <f t="shared" si="198"/>
        <v>0</v>
      </c>
      <c r="GW182" s="16">
        <f t="shared" si="198"/>
        <v>0</v>
      </c>
      <c r="GX182" s="16">
        <f t="shared" si="198"/>
        <v>0</v>
      </c>
      <c r="GY182" s="16">
        <f t="shared" si="198"/>
        <v>0</v>
      </c>
      <c r="GZ182" s="16">
        <f t="shared" si="198"/>
        <v>1.7980282603932363E-2</v>
      </c>
      <c r="HA182" s="16">
        <f t="shared" si="198"/>
        <v>0.96383898338006346</v>
      </c>
      <c r="HB182" s="16">
        <f t="shared" si="198"/>
        <v>1.8478433437504146E-2</v>
      </c>
      <c r="HC182" s="16">
        <f t="shared" si="198"/>
        <v>0</v>
      </c>
      <c r="HD182" s="16">
        <f t="shared" si="199"/>
        <v>0</v>
      </c>
      <c r="HE182" s="16">
        <f t="shared" si="199"/>
        <v>0</v>
      </c>
      <c r="HF182" s="16">
        <f t="shared" si="199"/>
        <v>0</v>
      </c>
      <c r="HG182" s="16">
        <f t="shared" si="199"/>
        <v>0</v>
      </c>
      <c r="HH182" s="16">
        <f t="shared" si="199"/>
        <v>0</v>
      </c>
      <c r="HI182" s="16">
        <f t="shared" si="199"/>
        <v>0</v>
      </c>
      <c r="HJ182" s="16">
        <f t="shared" si="199"/>
        <v>0</v>
      </c>
      <c r="HK182" s="16">
        <f t="shared" si="199"/>
        <v>0</v>
      </c>
      <c r="HL182" s="16">
        <f t="shared" si="199"/>
        <v>0</v>
      </c>
      <c r="HM182" s="16">
        <f t="shared" si="199"/>
        <v>0</v>
      </c>
      <c r="HN182" s="16">
        <f t="shared" si="199"/>
        <v>0</v>
      </c>
      <c r="HQ182" s="9">
        <f t="shared" si="227"/>
        <v>13</v>
      </c>
      <c r="HR182" s="16">
        <f t="shared" si="200"/>
        <v>0</v>
      </c>
      <c r="HS182" s="16">
        <f t="shared" si="200"/>
        <v>0</v>
      </c>
      <c r="HT182" s="16">
        <f t="shared" si="200"/>
        <v>0</v>
      </c>
      <c r="HU182" s="16">
        <f t="shared" si="200"/>
        <v>0</v>
      </c>
      <c r="HV182" s="16">
        <f t="shared" si="200"/>
        <v>0</v>
      </c>
      <c r="HW182" s="16">
        <f t="shared" si="200"/>
        <v>0</v>
      </c>
      <c r="HX182" s="16">
        <f t="shared" si="200"/>
        <v>0.11848253673726393</v>
      </c>
      <c r="HY182" s="16">
        <f t="shared" si="200"/>
        <v>0.76171403561858297</v>
      </c>
      <c r="HZ182" s="16">
        <f t="shared" si="200"/>
        <v>0.12176514223015307</v>
      </c>
      <c r="IA182" s="16">
        <f t="shared" si="200"/>
        <v>0</v>
      </c>
      <c r="IB182" s="16">
        <f t="shared" si="201"/>
        <v>0</v>
      </c>
      <c r="IC182" s="16">
        <f t="shared" si="201"/>
        <v>0</v>
      </c>
      <c r="ID182" s="16">
        <f t="shared" si="201"/>
        <v>0</v>
      </c>
      <c r="IE182" s="16">
        <f t="shared" si="201"/>
        <v>0</v>
      </c>
      <c r="IF182" s="16">
        <f t="shared" si="201"/>
        <v>0</v>
      </c>
      <c r="IG182" s="16">
        <f t="shared" si="201"/>
        <v>0</v>
      </c>
      <c r="IH182" s="16">
        <f t="shared" si="201"/>
        <v>0</v>
      </c>
      <c r="II182" s="16">
        <f t="shared" si="201"/>
        <v>0</v>
      </c>
      <c r="IJ182" s="16">
        <f t="shared" si="201"/>
        <v>0</v>
      </c>
      <c r="IK182" s="16">
        <f t="shared" si="201"/>
        <v>0</v>
      </c>
      <c r="IL182" s="16">
        <f t="shared" si="201"/>
        <v>0</v>
      </c>
      <c r="IO182" s="9">
        <f t="shared" si="228"/>
        <v>13</v>
      </c>
      <c r="IP182" s="16">
        <f t="shared" si="202"/>
        <v>0</v>
      </c>
      <c r="IQ182" s="16">
        <f t="shared" si="202"/>
        <v>0</v>
      </c>
      <c r="IR182" s="16">
        <f t="shared" si="202"/>
        <v>0</v>
      </c>
      <c r="IS182" s="16">
        <f t="shared" si="202"/>
        <v>0</v>
      </c>
      <c r="IT182" s="16">
        <f t="shared" si="202"/>
        <v>0</v>
      </c>
      <c r="IU182" s="16">
        <f t="shared" si="202"/>
        <v>0</v>
      </c>
      <c r="IV182" s="16">
        <f t="shared" si="202"/>
        <v>1.798515530924498E-2</v>
      </c>
      <c r="IW182" s="16">
        <f t="shared" si="202"/>
        <v>0.96382918364656234</v>
      </c>
      <c r="IX182" s="16">
        <f t="shared" si="202"/>
        <v>1.8483441143042661E-2</v>
      </c>
      <c r="IY182" s="16">
        <f t="shared" si="202"/>
        <v>0</v>
      </c>
      <c r="IZ182" s="16">
        <f t="shared" si="203"/>
        <v>0</v>
      </c>
      <c r="JA182" s="16">
        <f t="shared" si="203"/>
        <v>0</v>
      </c>
      <c r="JB182" s="16">
        <f t="shared" si="203"/>
        <v>0</v>
      </c>
      <c r="JC182" s="16">
        <f t="shared" si="203"/>
        <v>0</v>
      </c>
      <c r="JD182" s="16">
        <f t="shared" si="203"/>
        <v>0</v>
      </c>
      <c r="JE182" s="16">
        <f t="shared" si="203"/>
        <v>0</v>
      </c>
      <c r="JF182" s="16">
        <f t="shared" si="203"/>
        <v>0</v>
      </c>
      <c r="JG182" s="16">
        <f t="shared" si="203"/>
        <v>0</v>
      </c>
      <c r="JH182" s="16">
        <f t="shared" si="203"/>
        <v>0</v>
      </c>
      <c r="JI182" s="16">
        <f t="shared" si="203"/>
        <v>0</v>
      </c>
      <c r="JJ182" s="16">
        <f t="shared" si="203"/>
        <v>0</v>
      </c>
      <c r="JM182" s="9">
        <f t="shared" si="229"/>
        <v>13</v>
      </c>
      <c r="JN182" s="16">
        <f t="shared" si="204"/>
        <v>0</v>
      </c>
      <c r="JO182" s="16">
        <f t="shared" si="204"/>
        <v>0</v>
      </c>
      <c r="JP182" s="16">
        <f t="shared" si="204"/>
        <v>0</v>
      </c>
      <c r="JQ182" s="16">
        <f t="shared" si="204"/>
        <v>0</v>
      </c>
      <c r="JR182" s="16">
        <f t="shared" si="204"/>
        <v>0</v>
      </c>
      <c r="JS182" s="16">
        <f t="shared" si="204"/>
        <v>0</v>
      </c>
      <c r="JT182" s="16">
        <f t="shared" si="204"/>
        <v>0.11848037109045834</v>
      </c>
      <c r="JU182" s="16">
        <f t="shared" si="204"/>
        <v>0.76171839105569461</v>
      </c>
      <c r="JV182" s="16">
        <f t="shared" si="204"/>
        <v>0.12176291658324707</v>
      </c>
      <c r="JW182" s="16">
        <f t="shared" si="204"/>
        <v>0</v>
      </c>
      <c r="JX182" s="16">
        <f t="shared" si="205"/>
        <v>0</v>
      </c>
      <c r="JY182" s="16">
        <f t="shared" si="205"/>
        <v>0</v>
      </c>
      <c r="JZ182" s="16">
        <f t="shared" si="205"/>
        <v>0</v>
      </c>
      <c r="KA182" s="16">
        <f t="shared" si="205"/>
        <v>0</v>
      </c>
      <c r="KB182" s="16">
        <f t="shared" si="205"/>
        <v>0</v>
      </c>
      <c r="KC182" s="16">
        <f t="shared" si="205"/>
        <v>0</v>
      </c>
      <c r="KD182" s="16">
        <f t="shared" si="205"/>
        <v>0</v>
      </c>
      <c r="KE182" s="16">
        <f t="shared" si="205"/>
        <v>0</v>
      </c>
      <c r="KF182" s="16">
        <f t="shared" si="205"/>
        <v>0</v>
      </c>
      <c r="KG182" s="16">
        <f t="shared" si="205"/>
        <v>0</v>
      </c>
      <c r="KH182" s="16">
        <f t="shared" si="205"/>
        <v>0</v>
      </c>
      <c r="KK182" s="9">
        <f t="shared" si="230"/>
        <v>13</v>
      </c>
      <c r="KL182" s="16">
        <f t="shared" si="206"/>
        <v>0</v>
      </c>
      <c r="KM182" s="16">
        <f t="shared" si="206"/>
        <v>0</v>
      </c>
      <c r="KN182" s="16">
        <f t="shared" si="206"/>
        <v>0</v>
      </c>
      <c r="KO182" s="16">
        <f t="shared" si="206"/>
        <v>0</v>
      </c>
      <c r="KP182" s="16">
        <f t="shared" si="206"/>
        <v>0</v>
      </c>
      <c r="KQ182" s="16">
        <f t="shared" si="206"/>
        <v>0</v>
      </c>
      <c r="KR182" s="16">
        <f t="shared" si="206"/>
        <v>1.501876059720207E-2</v>
      </c>
      <c r="KS182" s="16">
        <f t="shared" si="206"/>
        <v>0.96979504363032121</v>
      </c>
      <c r="KT182" s="16">
        <f t="shared" si="206"/>
        <v>1.5434861293476721E-2</v>
      </c>
      <c r="KU182" s="16">
        <f t="shared" si="206"/>
        <v>0</v>
      </c>
      <c r="KV182" s="16">
        <f t="shared" si="207"/>
        <v>0</v>
      </c>
      <c r="KW182" s="16">
        <f t="shared" si="207"/>
        <v>0</v>
      </c>
      <c r="KX182" s="16">
        <f t="shared" si="207"/>
        <v>0</v>
      </c>
      <c r="KY182" s="16">
        <f t="shared" si="207"/>
        <v>0</v>
      </c>
      <c r="KZ182" s="16">
        <f t="shared" si="207"/>
        <v>0</v>
      </c>
      <c r="LA182" s="16">
        <f t="shared" si="207"/>
        <v>0</v>
      </c>
      <c r="LB182" s="16">
        <f t="shared" si="207"/>
        <v>0</v>
      </c>
      <c r="LC182" s="16">
        <f t="shared" si="207"/>
        <v>0</v>
      </c>
      <c r="LD182" s="16">
        <f t="shared" si="207"/>
        <v>0</v>
      </c>
      <c r="LE182" s="16">
        <f t="shared" si="207"/>
        <v>0</v>
      </c>
      <c r="LF182" s="16">
        <f t="shared" si="207"/>
        <v>0</v>
      </c>
      <c r="LI182" s="9">
        <f t="shared" si="231"/>
        <v>13</v>
      </c>
      <c r="LJ182" s="16">
        <f t="shared" si="208"/>
        <v>0</v>
      </c>
      <c r="LK182" s="16">
        <f t="shared" si="208"/>
        <v>0</v>
      </c>
      <c r="LL182" s="16">
        <f t="shared" si="208"/>
        <v>0</v>
      </c>
      <c r="LM182" s="16">
        <f t="shared" si="208"/>
        <v>0</v>
      </c>
      <c r="LN182" s="16">
        <f t="shared" si="208"/>
        <v>0</v>
      </c>
      <c r="LO182" s="16">
        <f t="shared" si="208"/>
        <v>0</v>
      </c>
      <c r="LP182" s="16">
        <f t="shared" si="208"/>
        <v>0.11847982967875691</v>
      </c>
      <c r="LQ182" s="16">
        <f t="shared" si="208"/>
        <v>0.76171947991497246</v>
      </c>
      <c r="LR182" s="16">
        <f t="shared" si="208"/>
        <v>0.12176236017152055</v>
      </c>
      <c r="LS182" s="16">
        <f t="shared" si="208"/>
        <v>0</v>
      </c>
      <c r="LT182" s="16">
        <f t="shared" si="209"/>
        <v>0</v>
      </c>
      <c r="LU182" s="16">
        <f t="shared" si="209"/>
        <v>0</v>
      </c>
      <c r="LV182" s="16">
        <f t="shared" si="209"/>
        <v>0</v>
      </c>
      <c r="LW182" s="16">
        <f t="shared" si="209"/>
        <v>0</v>
      </c>
      <c r="LX182" s="16">
        <f t="shared" si="209"/>
        <v>0</v>
      </c>
      <c r="LY182" s="16">
        <f t="shared" si="209"/>
        <v>0</v>
      </c>
      <c r="LZ182" s="16">
        <f t="shared" si="209"/>
        <v>0</v>
      </c>
      <c r="MA182" s="16">
        <f t="shared" si="209"/>
        <v>0</v>
      </c>
      <c r="MB182" s="16">
        <f t="shared" si="209"/>
        <v>0</v>
      </c>
      <c r="MC182" s="16">
        <f t="shared" si="209"/>
        <v>0</v>
      </c>
      <c r="MD182" s="16">
        <f t="shared" si="209"/>
        <v>0</v>
      </c>
      <c r="MG182" s="9">
        <f t="shared" si="232"/>
        <v>13</v>
      </c>
      <c r="MH182" s="16">
        <f t="shared" si="210"/>
        <v>0</v>
      </c>
      <c r="MI182" s="16">
        <f t="shared" si="210"/>
        <v>0</v>
      </c>
      <c r="MJ182" s="16">
        <f t="shared" si="210"/>
        <v>0</v>
      </c>
      <c r="MK182" s="16">
        <f t="shared" si="210"/>
        <v>0</v>
      </c>
      <c r="ML182" s="16">
        <f t="shared" si="210"/>
        <v>0</v>
      </c>
      <c r="MM182" s="16">
        <f t="shared" si="210"/>
        <v>0</v>
      </c>
      <c r="MN182" s="16">
        <f t="shared" si="210"/>
        <v>1.650222865907424E-2</v>
      </c>
      <c r="MO182" s="16">
        <f t="shared" si="210"/>
        <v>0.96681156920880285</v>
      </c>
      <c r="MP182" s="16">
        <f t="shared" si="210"/>
        <v>1.6959429424122957E-2</v>
      </c>
      <c r="MQ182" s="16">
        <f t="shared" si="210"/>
        <v>0</v>
      </c>
      <c r="MR182" s="16">
        <f t="shared" si="211"/>
        <v>0</v>
      </c>
      <c r="MS182" s="16">
        <f t="shared" si="211"/>
        <v>0</v>
      </c>
      <c r="MT182" s="16">
        <f t="shared" si="211"/>
        <v>0</v>
      </c>
      <c r="MU182" s="16">
        <f t="shared" si="211"/>
        <v>0</v>
      </c>
      <c r="MV182" s="16">
        <f t="shared" si="211"/>
        <v>0</v>
      </c>
      <c r="MW182" s="16">
        <f t="shared" si="211"/>
        <v>0</v>
      </c>
      <c r="MX182" s="16">
        <f t="shared" si="211"/>
        <v>0</v>
      </c>
      <c r="MY182" s="16">
        <f t="shared" si="211"/>
        <v>0</v>
      </c>
      <c r="MZ182" s="16">
        <f t="shared" si="211"/>
        <v>0</v>
      </c>
      <c r="NA182" s="16">
        <f t="shared" si="211"/>
        <v>0</v>
      </c>
      <c r="NB182" s="16">
        <f t="shared" si="211"/>
        <v>0</v>
      </c>
      <c r="NE182" s="9">
        <f t="shared" si="233"/>
        <v>13</v>
      </c>
      <c r="NF182" s="16">
        <f t="shared" si="212"/>
        <v>0</v>
      </c>
      <c r="NG182" s="16">
        <f t="shared" si="212"/>
        <v>0</v>
      </c>
      <c r="NH182" s="16">
        <f t="shared" si="212"/>
        <v>0</v>
      </c>
      <c r="NI182" s="16">
        <f t="shared" si="212"/>
        <v>0</v>
      </c>
      <c r="NJ182" s="16">
        <f t="shared" si="212"/>
        <v>0</v>
      </c>
      <c r="NK182" s="16">
        <f t="shared" si="212"/>
        <v>0</v>
      </c>
      <c r="NL182" s="16">
        <f t="shared" si="212"/>
        <v>0.11847982967875691</v>
      </c>
      <c r="NM182" s="16">
        <f t="shared" si="212"/>
        <v>0.76171947991497246</v>
      </c>
      <c r="NN182" s="16">
        <f t="shared" si="212"/>
        <v>0.12176236017152055</v>
      </c>
      <c r="NO182" s="16">
        <f t="shared" si="212"/>
        <v>0</v>
      </c>
      <c r="NP182" s="16">
        <f t="shared" si="213"/>
        <v>0</v>
      </c>
      <c r="NQ182" s="16">
        <f t="shared" si="213"/>
        <v>0</v>
      </c>
      <c r="NR182" s="16">
        <f t="shared" si="213"/>
        <v>0</v>
      </c>
      <c r="NS182" s="16">
        <f t="shared" si="213"/>
        <v>0</v>
      </c>
      <c r="NT182" s="16">
        <f t="shared" si="213"/>
        <v>0</v>
      </c>
      <c r="NU182" s="16">
        <f t="shared" si="213"/>
        <v>0</v>
      </c>
      <c r="NV182" s="16">
        <f t="shared" si="213"/>
        <v>0</v>
      </c>
      <c r="NW182" s="16">
        <f t="shared" si="213"/>
        <v>0</v>
      </c>
      <c r="NX182" s="16">
        <f t="shared" si="213"/>
        <v>0</v>
      </c>
      <c r="NY182" s="16">
        <f t="shared" si="213"/>
        <v>0</v>
      </c>
      <c r="NZ182" s="16">
        <f t="shared" si="213"/>
        <v>0</v>
      </c>
      <c r="OC182" s="9">
        <f t="shared" si="234"/>
        <v>13</v>
      </c>
      <c r="OD182" s="16">
        <f t="shared" si="214"/>
        <v>0</v>
      </c>
      <c r="OE182" s="16">
        <f t="shared" si="214"/>
        <v>0</v>
      </c>
      <c r="OF182" s="16">
        <f t="shared" si="214"/>
        <v>0</v>
      </c>
      <c r="OG182" s="16">
        <f t="shared" si="214"/>
        <v>0</v>
      </c>
      <c r="OH182" s="16">
        <f t="shared" si="214"/>
        <v>0</v>
      </c>
      <c r="OI182" s="16">
        <f t="shared" si="214"/>
        <v>0</v>
      </c>
      <c r="OJ182" s="16">
        <f t="shared" si="214"/>
        <v>1.7985155309244966E-2</v>
      </c>
      <c r="OK182" s="16">
        <f t="shared" si="214"/>
        <v>0.96382918364656234</v>
      </c>
      <c r="OL182" s="16">
        <f t="shared" si="214"/>
        <v>1.8483441143042647E-2</v>
      </c>
      <c r="OM182" s="16">
        <f t="shared" si="214"/>
        <v>0</v>
      </c>
      <c r="ON182" s="16">
        <f t="shared" si="215"/>
        <v>0</v>
      </c>
      <c r="OO182" s="16">
        <f t="shared" si="215"/>
        <v>0</v>
      </c>
      <c r="OP182" s="16">
        <f t="shared" si="215"/>
        <v>0</v>
      </c>
      <c r="OQ182" s="16">
        <f t="shared" si="215"/>
        <v>0</v>
      </c>
      <c r="OR182" s="16">
        <f t="shared" si="215"/>
        <v>0</v>
      </c>
      <c r="OS182" s="16">
        <f t="shared" si="215"/>
        <v>0</v>
      </c>
      <c r="OT182" s="16">
        <f t="shared" si="215"/>
        <v>0</v>
      </c>
      <c r="OU182" s="16">
        <f t="shared" si="215"/>
        <v>0</v>
      </c>
      <c r="OV182" s="16">
        <f t="shared" si="215"/>
        <v>0</v>
      </c>
      <c r="OW182" s="16">
        <f t="shared" si="215"/>
        <v>0</v>
      </c>
      <c r="OX182" s="16">
        <f t="shared" si="215"/>
        <v>0</v>
      </c>
      <c r="PA182" s="9">
        <f t="shared" si="235"/>
        <v>13</v>
      </c>
      <c r="PB182" s="16">
        <f t="shared" si="216"/>
        <v>0</v>
      </c>
      <c r="PC182" s="16">
        <f t="shared" si="216"/>
        <v>0</v>
      </c>
      <c r="PD182" s="16">
        <f t="shared" si="216"/>
        <v>0</v>
      </c>
      <c r="PE182" s="16">
        <f t="shared" si="216"/>
        <v>0</v>
      </c>
      <c r="PF182" s="16">
        <f t="shared" si="216"/>
        <v>0</v>
      </c>
      <c r="PG182" s="16">
        <f t="shared" si="216"/>
        <v>0</v>
      </c>
      <c r="PH182" s="16">
        <f t="shared" si="216"/>
        <v>0.11847495697344418</v>
      </c>
      <c r="PI182" s="16">
        <f t="shared" si="216"/>
        <v>0.76172927964847381</v>
      </c>
      <c r="PJ182" s="16">
        <f t="shared" si="216"/>
        <v>0.12175735246598193</v>
      </c>
      <c r="PK182" s="16">
        <f t="shared" si="216"/>
        <v>0</v>
      </c>
      <c r="PL182" s="16">
        <f t="shared" si="217"/>
        <v>0</v>
      </c>
      <c r="PM182" s="16">
        <f t="shared" si="217"/>
        <v>0</v>
      </c>
      <c r="PN182" s="16">
        <f t="shared" si="217"/>
        <v>0</v>
      </c>
      <c r="PO182" s="16">
        <f t="shared" si="217"/>
        <v>0</v>
      </c>
      <c r="PP182" s="16">
        <f t="shared" si="217"/>
        <v>0</v>
      </c>
      <c r="PQ182" s="16">
        <f t="shared" si="217"/>
        <v>0</v>
      </c>
      <c r="PR182" s="16">
        <f t="shared" si="217"/>
        <v>0</v>
      </c>
      <c r="PS182" s="16">
        <f t="shared" si="217"/>
        <v>0</v>
      </c>
      <c r="PT182" s="16">
        <f t="shared" si="217"/>
        <v>0</v>
      </c>
      <c r="PU182" s="16">
        <f t="shared" si="217"/>
        <v>0</v>
      </c>
      <c r="PV182" s="16">
        <f t="shared" si="217"/>
        <v>0</v>
      </c>
    </row>
    <row r="183" spans="3:438" x14ac:dyDescent="0.25">
      <c r="C183" s="1"/>
      <c r="D183" s="1"/>
      <c r="I183" s="9">
        <f t="shared" si="218"/>
        <v>12</v>
      </c>
      <c r="J183" s="16">
        <f t="shared" si="182"/>
        <v>0</v>
      </c>
      <c r="K183" s="16">
        <f t="shared" si="182"/>
        <v>0</v>
      </c>
      <c r="L183" s="16">
        <f t="shared" si="182"/>
        <v>0</v>
      </c>
      <c r="M183" s="16">
        <f t="shared" si="182"/>
        <v>0</v>
      </c>
      <c r="N183" s="16">
        <f t="shared" si="182"/>
        <v>0</v>
      </c>
      <c r="O183" s="16">
        <f t="shared" si="182"/>
        <v>0</v>
      </c>
      <c r="P183" s="16">
        <f t="shared" si="182"/>
        <v>0</v>
      </c>
      <c r="Q183" s="16">
        <f t="shared" si="182"/>
        <v>1.4411364931449958E-2</v>
      </c>
      <c r="R183" s="16">
        <f t="shared" si="182"/>
        <v>0.97110013165332176</v>
      </c>
      <c r="S183" s="16">
        <f t="shared" si="182"/>
        <v>1.4603065252228261E-2</v>
      </c>
      <c r="T183" s="16">
        <f t="shared" si="183"/>
        <v>0</v>
      </c>
      <c r="U183" s="16">
        <f t="shared" si="183"/>
        <v>0</v>
      </c>
      <c r="V183" s="16">
        <f t="shared" si="183"/>
        <v>0</v>
      </c>
      <c r="W183" s="16">
        <f t="shared" si="183"/>
        <v>0</v>
      </c>
      <c r="X183" s="16">
        <f t="shared" si="183"/>
        <v>0</v>
      </c>
      <c r="Y183" s="16">
        <f t="shared" si="183"/>
        <v>0</v>
      </c>
      <c r="Z183" s="16">
        <f t="shared" si="183"/>
        <v>0</v>
      </c>
      <c r="AA183" s="16">
        <f t="shared" si="183"/>
        <v>0</v>
      </c>
      <c r="AB183" s="16">
        <f t="shared" si="183"/>
        <v>0</v>
      </c>
      <c r="AC183" s="16">
        <f t="shared" si="183"/>
        <v>0</v>
      </c>
      <c r="AD183" s="16">
        <f t="shared" si="183"/>
        <v>0</v>
      </c>
      <c r="AG183" s="9">
        <f t="shared" si="219"/>
        <v>12</v>
      </c>
      <c r="AH183" s="16">
        <f t="shared" si="184"/>
        <v>0</v>
      </c>
      <c r="AI183" s="16">
        <f t="shared" si="184"/>
        <v>0</v>
      </c>
      <c r="AJ183" s="16">
        <f t="shared" si="184"/>
        <v>0</v>
      </c>
      <c r="AK183" s="16">
        <f t="shared" si="184"/>
        <v>0</v>
      </c>
      <c r="AL183" s="16">
        <f t="shared" si="184"/>
        <v>0</v>
      </c>
      <c r="AM183" s="16">
        <f t="shared" si="184"/>
        <v>0</v>
      </c>
      <c r="AN183" s="16">
        <f t="shared" si="184"/>
        <v>0</v>
      </c>
      <c r="AO183" s="16">
        <f t="shared" si="184"/>
        <v>5.7675530388150646E-2</v>
      </c>
      <c r="AP183" s="16">
        <f t="shared" si="184"/>
        <v>0.88434022433191617</v>
      </c>
      <c r="AQ183" s="16">
        <f t="shared" si="184"/>
        <v>5.8442731671933194E-2</v>
      </c>
      <c r="AR183" s="16">
        <f t="shared" si="185"/>
        <v>0</v>
      </c>
      <c r="AS183" s="16">
        <f t="shared" si="185"/>
        <v>0</v>
      </c>
      <c r="AT183" s="16">
        <f t="shared" si="185"/>
        <v>0</v>
      </c>
      <c r="AU183" s="16">
        <f t="shared" si="185"/>
        <v>0</v>
      </c>
      <c r="AV183" s="16">
        <f t="shared" si="185"/>
        <v>0</v>
      </c>
      <c r="AW183" s="16">
        <f t="shared" si="185"/>
        <v>0</v>
      </c>
      <c r="AX183" s="16">
        <f t="shared" si="185"/>
        <v>0</v>
      </c>
      <c r="AY183" s="16">
        <f t="shared" si="185"/>
        <v>0</v>
      </c>
      <c r="AZ183" s="16">
        <f t="shared" si="185"/>
        <v>0</v>
      </c>
      <c r="BA183" s="16">
        <f t="shared" si="185"/>
        <v>0</v>
      </c>
      <c r="BB183" s="16">
        <f t="shared" si="185"/>
        <v>0</v>
      </c>
      <c r="BE183" s="9">
        <f t="shared" si="220"/>
        <v>12</v>
      </c>
      <c r="BF183" s="16">
        <f t="shared" si="186"/>
        <v>0</v>
      </c>
      <c r="BG183" s="16">
        <f t="shared" si="186"/>
        <v>0</v>
      </c>
      <c r="BH183" s="16">
        <f t="shared" si="186"/>
        <v>0</v>
      </c>
      <c r="BI183" s="16">
        <f t="shared" si="186"/>
        <v>0</v>
      </c>
      <c r="BJ183" s="16">
        <f t="shared" si="186"/>
        <v>0</v>
      </c>
      <c r="BK183" s="16">
        <f t="shared" si="186"/>
        <v>0</v>
      </c>
      <c r="BL183" s="16">
        <f t="shared" si="186"/>
        <v>0</v>
      </c>
      <c r="BM183" s="16">
        <f t="shared" si="186"/>
        <v>5.7668012722562986E-2</v>
      </c>
      <c r="BN183" s="16">
        <f t="shared" si="186"/>
        <v>0.88435529990225881</v>
      </c>
      <c r="BO183" s="16">
        <f t="shared" si="186"/>
        <v>5.84351140061782E-2</v>
      </c>
      <c r="BP183" s="16">
        <f t="shared" si="187"/>
        <v>0</v>
      </c>
      <c r="BQ183" s="16">
        <f t="shared" si="187"/>
        <v>0</v>
      </c>
      <c r="BR183" s="16">
        <f t="shared" si="187"/>
        <v>0</v>
      </c>
      <c r="BS183" s="16">
        <f t="shared" si="187"/>
        <v>0</v>
      </c>
      <c r="BT183" s="16">
        <f t="shared" si="187"/>
        <v>0</v>
      </c>
      <c r="BU183" s="16">
        <f t="shared" si="187"/>
        <v>0</v>
      </c>
      <c r="BV183" s="16">
        <f t="shared" si="187"/>
        <v>0</v>
      </c>
      <c r="BW183" s="16">
        <f t="shared" si="187"/>
        <v>0</v>
      </c>
      <c r="BX183" s="16">
        <f t="shared" si="187"/>
        <v>0</v>
      </c>
      <c r="BY183" s="16">
        <f t="shared" si="187"/>
        <v>0</v>
      </c>
      <c r="BZ183" s="16">
        <f t="shared" si="187"/>
        <v>0</v>
      </c>
      <c r="CC183" s="9">
        <f t="shared" si="221"/>
        <v>12</v>
      </c>
      <c r="CD183" s="16">
        <f t="shared" si="188"/>
        <v>0</v>
      </c>
      <c r="CE183" s="16">
        <f t="shared" si="188"/>
        <v>0</v>
      </c>
      <c r="CF183" s="16">
        <f t="shared" si="188"/>
        <v>0</v>
      </c>
      <c r="CG183" s="16">
        <f t="shared" si="188"/>
        <v>0</v>
      </c>
      <c r="CH183" s="16">
        <f t="shared" si="188"/>
        <v>0</v>
      </c>
      <c r="CI183" s="16">
        <f t="shared" si="188"/>
        <v>0</v>
      </c>
      <c r="CJ183" s="16">
        <f t="shared" si="188"/>
        <v>0</v>
      </c>
      <c r="CK183" s="16">
        <f t="shared" si="188"/>
        <v>5.766801272256282E-2</v>
      </c>
      <c r="CL183" s="16">
        <f t="shared" si="188"/>
        <v>0.88435529990225914</v>
      </c>
      <c r="CM183" s="16">
        <f t="shared" si="188"/>
        <v>5.8435114006178027E-2</v>
      </c>
      <c r="CN183" s="16">
        <f t="shared" si="189"/>
        <v>0</v>
      </c>
      <c r="CO183" s="16">
        <f t="shared" si="189"/>
        <v>0</v>
      </c>
      <c r="CP183" s="16">
        <f t="shared" si="189"/>
        <v>0</v>
      </c>
      <c r="CQ183" s="16">
        <f t="shared" si="189"/>
        <v>0</v>
      </c>
      <c r="CR183" s="16">
        <f t="shared" si="189"/>
        <v>0</v>
      </c>
      <c r="CS183" s="16">
        <f t="shared" si="189"/>
        <v>0</v>
      </c>
      <c r="CT183" s="16">
        <f t="shared" si="189"/>
        <v>0</v>
      </c>
      <c r="CU183" s="16">
        <f t="shared" si="189"/>
        <v>0</v>
      </c>
      <c r="CV183" s="16">
        <f t="shared" si="189"/>
        <v>0</v>
      </c>
      <c r="CW183" s="16">
        <f t="shared" si="189"/>
        <v>0</v>
      </c>
      <c r="CX183" s="16">
        <f t="shared" si="189"/>
        <v>0</v>
      </c>
      <c r="DA183" s="9">
        <f t="shared" si="222"/>
        <v>12</v>
      </c>
      <c r="DB183" s="16">
        <f t="shared" si="190"/>
        <v>0</v>
      </c>
      <c r="DC183" s="16">
        <f t="shared" si="190"/>
        <v>0</v>
      </c>
      <c r="DD183" s="16">
        <f t="shared" si="190"/>
        <v>0</v>
      </c>
      <c r="DE183" s="16">
        <f t="shared" si="190"/>
        <v>0</v>
      </c>
      <c r="DF183" s="16">
        <f t="shared" si="190"/>
        <v>0</v>
      </c>
      <c r="DG183" s="16">
        <f t="shared" si="190"/>
        <v>0</v>
      </c>
      <c r="DH183" s="16">
        <f t="shared" si="190"/>
        <v>0</v>
      </c>
      <c r="DI183" s="16">
        <f t="shared" si="190"/>
        <v>1.4418882597037786E-2</v>
      </c>
      <c r="DJ183" s="16">
        <f t="shared" si="190"/>
        <v>0.97108505608297879</v>
      </c>
      <c r="DK183" s="16">
        <f t="shared" si="190"/>
        <v>1.4610682917983425E-2</v>
      </c>
      <c r="DL183" s="16">
        <f t="shared" si="191"/>
        <v>0</v>
      </c>
      <c r="DM183" s="16">
        <f t="shared" si="191"/>
        <v>0</v>
      </c>
      <c r="DN183" s="16">
        <f t="shared" si="191"/>
        <v>0</v>
      </c>
      <c r="DO183" s="16">
        <f t="shared" si="191"/>
        <v>0</v>
      </c>
      <c r="DP183" s="16">
        <f t="shared" si="191"/>
        <v>0</v>
      </c>
      <c r="DQ183" s="16">
        <f t="shared" si="191"/>
        <v>0</v>
      </c>
      <c r="DR183" s="16">
        <f t="shared" si="191"/>
        <v>0</v>
      </c>
      <c r="DS183" s="16">
        <f t="shared" si="191"/>
        <v>0</v>
      </c>
      <c r="DT183" s="16">
        <f t="shared" si="191"/>
        <v>0</v>
      </c>
      <c r="DU183" s="16">
        <f t="shared" si="191"/>
        <v>0</v>
      </c>
      <c r="DV183" s="16">
        <f t="shared" si="191"/>
        <v>0</v>
      </c>
      <c r="DY183" s="9">
        <f t="shared" si="223"/>
        <v>12</v>
      </c>
      <c r="DZ183" s="16">
        <f t="shared" si="192"/>
        <v>0</v>
      </c>
      <c r="EA183" s="16">
        <f t="shared" si="192"/>
        <v>0</v>
      </c>
      <c r="EB183" s="16">
        <f t="shared" si="192"/>
        <v>0</v>
      </c>
      <c r="EC183" s="16">
        <f t="shared" si="192"/>
        <v>0</v>
      </c>
      <c r="ED183" s="16">
        <f t="shared" si="192"/>
        <v>0</v>
      </c>
      <c r="EE183" s="16">
        <f t="shared" si="192"/>
        <v>0</v>
      </c>
      <c r="EF183" s="16">
        <f t="shared" si="192"/>
        <v>0</v>
      </c>
      <c r="EG183" s="16">
        <f t="shared" si="192"/>
        <v>4.1723466936310023E-2</v>
      </c>
      <c r="EH183" s="16">
        <f t="shared" si="192"/>
        <v>0.91624439147476477</v>
      </c>
      <c r="EI183" s="16">
        <f t="shared" si="192"/>
        <v>4.2490568219925237E-2</v>
      </c>
      <c r="EJ183" s="16">
        <f t="shared" si="193"/>
        <v>0</v>
      </c>
      <c r="EK183" s="16">
        <f t="shared" si="193"/>
        <v>0</v>
      </c>
      <c r="EL183" s="16">
        <f t="shared" si="193"/>
        <v>0</v>
      </c>
      <c r="EM183" s="16">
        <f t="shared" si="193"/>
        <v>0</v>
      </c>
      <c r="EN183" s="16">
        <f t="shared" si="193"/>
        <v>0</v>
      </c>
      <c r="EO183" s="16">
        <f t="shared" si="193"/>
        <v>0</v>
      </c>
      <c r="EP183" s="16">
        <f t="shared" si="193"/>
        <v>0</v>
      </c>
      <c r="EQ183" s="16">
        <f t="shared" si="193"/>
        <v>0</v>
      </c>
      <c r="ER183" s="16">
        <f t="shared" si="193"/>
        <v>0</v>
      </c>
      <c r="ES183" s="16">
        <f t="shared" si="193"/>
        <v>0</v>
      </c>
      <c r="ET183" s="16">
        <f t="shared" si="193"/>
        <v>0</v>
      </c>
      <c r="EW183" s="9">
        <f t="shared" si="224"/>
        <v>12</v>
      </c>
      <c r="EX183" s="16">
        <f t="shared" si="194"/>
        <v>0</v>
      </c>
      <c r="EY183" s="16">
        <f t="shared" si="194"/>
        <v>0</v>
      </c>
      <c r="EZ183" s="16">
        <f t="shared" si="194"/>
        <v>0</v>
      </c>
      <c r="FA183" s="16">
        <f t="shared" si="194"/>
        <v>0</v>
      </c>
      <c r="FB183" s="16">
        <f t="shared" si="194"/>
        <v>0</v>
      </c>
      <c r="FC183" s="16">
        <f t="shared" si="194"/>
        <v>0</v>
      </c>
      <c r="FD183" s="16">
        <f t="shared" si="194"/>
        <v>0</v>
      </c>
      <c r="FE183" s="16">
        <f t="shared" si="194"/>
        <v>4.1723466936310148E-2</v>
      </c>
      <c r="FF183" s="16">
        <f t="shared" si="194"/>
        <v>0.91624439147476444</v>
      </c>
      <c r="FG183" s="16">
        <f t="shared" si="194"/>
        <v>4.2490568219925362E-2</v>
      </c>
      <c r="FH183" s="16">
        <f t="shared" si="195"/>
        <v>0</v>
      </c>
      <c r="FI183" s="16">
        <f t="shared" si="195"/>
        <v>0</v>
      </c>
      <c r="FJ183" s="16">
        <f t="shared" si="195"/>
        <v>0</v>
      </c>
      <c r="FK183" s="16">
        <f t="shared" si="195"/>
        <v>0</v>
      </c>
      <c r="FL183" s="16">
        <f t="shared" si="195"/>
        <v>0</v>
      </c>
      <c r="FM183" s="16">
        <f t="shared" si="195"/>
        <v>0</v>
      </c>
      <c r="FN183" s="16">
        <f t="shared" si="195"/>
        <v>0</v>
      </c>
      <c r="FO183" s="16">
        <f t="shared" si="195"/>
        <v>0</v>
      </c>
      <c r="FP183" s="16">
        <f t="shared" si="195"/>
        <v>0</v>
      </c>
      <c r="FQ183" s="16">
        <f t="shared" si="195"/>
        <v>0</v>
      </c>
      <c r="FR183" s="16">
        <f t="shared" si="195"/>
        <v>0</v>
      </c>
      <c r="FU183" s="9">
        <f t="shared" si="225"/>
        <v>12</v>
      </c>
      <c r="FV183" s="16">
        <f t="shared" si="196"/>
        <v>0</v>
      </c>
      <c r="FW183" s="16">
        <f t="shared" si="196"/>
        <v>0</v>
      </c>
      <c r="FX183" s="16">
        <f t="shared" si="196"/>
        <v>0</v>
      </c>
      <c r="FY183" s="16">
        <f t="shared" si="196"/>
        <v>0</v>
      </c>
      <c r="FZ183" s="16">
        <f t="shared" si="196"/>
        <v>0</v>
      </c>
      <c r="GA183" s="16">
        <f t="shared" si="196"/>
        <v>0</v>
      </c>
      <c r="GB183" s="16">
        <f t="shared" si="196"/>
        <v>0</v>
      </c>
      <c r="GC183" s="16">
        <f t="shared" si="196"/>
        <v>4.1728906053366023E-2</v>
      </c>
      <c r="GD183" s="16">
        <f t="shared" si="196"/>
        <v>0.91623347300148539</v>
      </c>
      <c r="GE183" s="16">
        <f t="shared" si="196"/>
        <v>4.2496107337148571E-2</v>
      </c>
      <c r="GF183" s="16">
        <f t="shared" si="197"/>
        <v>0</v>
      </c>
      <c r="GG183" s="16">
        <f t="shared" si="197"/>
        <v>0</v>
      </c>
      <c r="GH183" s="16">
        <f t="shared" si="197"/>
        <v>0</v>
      </c>
      <c r="GI183" s="16">
        <f t="shared" si="197"/>
        <v>0</v>
      </c>
      <c r="GJ183" s="16">
        <f t="shared" si="197"/>
        <v>0</v>
      </c>
      <c r="GK183" s="16">
        <f t="shared" si="197"/>
        <v>0</v>
      </c>
      <c r="GL183" s="16">
        <f t="shared" si="197"/>
        <v>0</v>
      </c>
      <c r="GM183" s="16">
        <f t="shared" si="197"/>
        <v>0</v>
      </c>
      <c r="GN183" s="16">
        <f t="shared" si="197"/>
        <v>0</v>
      </c>
      <c r="GO183" s="16">
        <f t="shared" si="197"/>
        <v>0</v>
      </c>
      <c r="GP183" s="16">
        <f t="shared" si="197"/>
        <v>0</v>
      </c>
      <c r="GS183" s="9">
        <f t="shared" si="226"/>
        <v>12</v>
      </c>
      <c r="GT183" s="16">
        <f t="shared" si="198"/>
        <v>0</v>
      </c>
      <c r="GU183" s="16">
        <f t="shared" si="198"/>
        <v>0</v>
      </c>
      <c r="GV183" s="16">
        <f t="shared" si="198"/>
        <v>0</v>
      </c>
      <c r="GW183" s="16">
        <f t="shared" si="198"/>
        <v>0</v>
      </c>
      <c r="GX183" s="16">
        <f t="shared" si="198"/>
        <v>0</v>
      </c>
      <c r="GY183" s="16">
        <f t="shared" si="198"/>
        <v>0</v>
      </c>
      <c r="GZ183" s="16">
        <f t="shared" si="198"/>
        <v>0</v>
      </c>
      <c r="HA183" s="16">
        <f t="shared" si="198"/>
        <v>1.8063307742860992E-2</v>
      </c>
      <c r="HB183" s="16">
        <f t="shared" si="198"/>
        <v>0.96373975023956349</v>
      </c>
      <c r="HC183" s="16">
        <f t="shared" si="198"/>
        <v>1.8395408298575517E-2</v>
      </c>
      <c r="HD183" s="16">
        <f t="shared" si="199"/>
        <v>0</v>
      </c>
      <c r="HE183" s="16">
        <f t="shared" si="199"/>
        <v>0</v>
      </c>
      <c r="HF183" s="16">
        <f t="shared" si="199"/>
        <v>0</v>
      </c>
      <c r="HG183" s="16">
        <f t="shared" si="199"/>
        <v>0</v>
      </c>
      <c r="HH183" s="16">
        <f t="shared" si="199"/>
        <v>0</v>
      </c>
      <c r="HI183" s="16">
        <f t="shared" si="199"/>
        <v>0</v>
      </c>
      <c r="HJ183" s="16">
        <f t="shared" si="199"/>
        <v>0</v>
      </c>
      <c r="HK183" s="16">
        <f t="shared" si="199"/>
        <v>0</v>
      </c>
      <c r="HL183" s="16">
        <f t="shared" si="199"/>
        <v>0</v>
      </c>
      <c r="HM183" s="16">
        <f t="shared" si="199"/>
        <v>0</v>
      </c>
      <c r="HN183" s="16">
        <f t="shared" si="199"/>
        <v>0</v>
      </c>
      <c r="HQ183" s="9">
        <f t="shared" si="227"/>
        <v>12</v>
      </c>
      <c r="HR183" s="16">
        <f t="shared" si="200"/>
        <v>0</v>
      </c>
      <c r="HS183" s="16">
        <f t="shared" si="200"/>
        <v>0</v>
      </c>
      <c r="HT183" s="16">
        <f t="shared" si="200"/>
        <v>0</v>
      </c>
      <c r="HU183" s="16">
        <f t="shared" si="200"/>
        <v>0</v>
      </c>
      <c r="HV183" s="16">
        <f t="shared" si="200"/>
        <v>0</v>
      </c>
      <c r="HW183" s="16">
        <f t="shared" si="200"/>
        <v>0</v>
      </c>
      <c r="HX183" s="16">
        <f t="shared" si="200"/>
        <v>0</v>
      </c>
      <c r="HY183" s="16">
        <f t="shared" si="200"/>
        <v>0.11902963765274543</v>
      </c>
      <c r="HZ183" s="16">
        <f t="shared" si="200"/>
        <v>0.76106013075658296</v>
      </c>
      <c r="IA183" s="16">
        <f t="shared" si="200"/>
        <v>0.12121804131467157</v>
      </c>
      <c r="IB183" s="16">
        <f t="shared" si="201"/>
        <v>0</v>
      </c>
      <c r="IC183" s="16">
        <f t="shared" si="201"/>
        <v>0</v>
      </c>
      <c r="ID183" s="16">
        <f t="shared" si="201"/>
        <v>0</v>
      </c>
      <c r="IE183" s="16">
        <f t="shared" si="201"/>
        <v>0</v>
      </c>
      <c r="IF183" s="16">
        <f t="shared" si="201"/>
        <v>0</v>
      </c>
      <c r="IG183" s="16">
        <f t="shared" si="201"/>
        <v>0</v>
      </c>
      <c r="IH183" s="16">
        <f t="shared" si="201"/>
        <v>0</v>
      </c>
      <c r="II183" s="16">
        <f t="shared" si="201"/>
        <v>0</v>
      </c>
      <c r="IJ183" s="16">
        <f t="shared" si="201"/>
        <v>0</v>
      </c>
      <c r="IK183" s="16">
        <f t="shared" si="201"/>
        <v>0</v>
      </c>
      <c r="IL183" s="16">
        <f t="shared" si="201"/>
        <v>0</v>
      </c>
      <c r="IO183" s="9">
        <f t="shared" si="228"/>
        <v>12</v>
      </c>
      <c r="IP183" s="16">
        <f t="shared" si="202"/>
        <v>0</v>
      </c>
      <c r="IQ183" s="16">
        <f t="shared" si="202"/>
        <v>0</v>
      </c>
      <c r="IR183" s="16">
        <f t="shared" si="202"/>
        <v>0</v>
      </c>
      <c r="IS183" s="16">
        <f t="shared" si="202"/>
        <v>0</v>
      </c>
      <c r="IT183" s="16">
        <f t="shared" si="202"/>
        <v>0</v>
      </c>
      <c r="IU183" s="16">
        <f t="shared" si="202"/>
        <v>0</v>
      </c>
      <c r="IV183" s="16">
        <f t="shared" si="202"/>
        <v>0</v>
      </c>
      <c r="IW183" s="16">
        <f t="shared" si="202"/>
        <v>1.8068202948211258E-2</v>
      </c>
      <c r="IX183" s="16">
        <f t="shared" si="202"/>
        <v>0.96372992361361232</v>
      </c>
      <c r="IY183" s="16">
        <f t="shared" si="202"/>
        <v>1.8400393504076386E-2</v>
      </c>
      <c r="IZ183" s="16">
        <f t="shared" si="203"/>
        <v>0</v>
      </c>
      <c r="JA183" s="16">
        <f t="shared" si="203"/>
        <v>0</v>
      </c>
      <c r="JB183" s="16">
        <f t="shared" si="203"/>
        <v>0</v>
      </c>
      <c r="JC183" s="16">
        <f t="shared" si="203"/>
        <v>0</v>
      </c>
      <c r="JD183" s="16">
        <f t="shared" si="203"/>
        <v>0</v>
      </c>
      <c r="JE183" s="16">
        <f t="shared" si="203"/>
        <v>0</v>
      </c>
      <c r="JF183" s="16">
        <f t="shared" si="203"/>
        <v>0</v>
      </c>
      <c r="JG183" s="16">
        <f t="shared" si="203"/>
        <v>0</v>
      </c>
      <c r="JH183" s="16">
        <f t="shared" si="203"/>
        <v>0</v>
      </c>
      <c r="JI183" s="16">
        <f t="shared" si="203"/>
        <v>0</v>
      </c>
      <c r="JJ183" s="16">
        <f t="shared" si="203"/>
        <v>0</v>
      </c>
      <c r="JM183" s="9">
        <f t="shared" si="229"/>
        <v>12</v>
      </c>
      <c r="JN183" s="16">
        <f t="shared" si="204"/>
        <v>0</v>
      </c>
      <c r="JO183" s="16">
        <f t="shared" si="204"/>
        <v>0</v>
      </c>
      <c r="JP183" s="16">
        <f t="shared" si="204"/>
        <v>0</v>
      </c>
      <c r="JQ183" s="16">
        <f t="shared" si="204"/>
        <v>0</v>
      </c>
      <c r="JR183" s="16">
        <f t="shared" si="204"/>
        <v>0</v>
      </c>
      <c r="JS183" s="16">
        <f t="shared" si="204"/>
        <v>0</v>
      </c>
      <c r="JT183" s="16">
        <f t="shared" si="204"/>
        <v>0</v>
      </c>
      <c r="JU183" s="16">
        <f t="shared" si="204"/>
        <v>0.11902746200592311</v>
      </c>
      <c r="JV183" s="16">
        <f t="shared" si="204"/>
        <v>0.76106449814589461</v>
      </c>
      <c r="JW183" s="16">
        <f t="shared" si="204"/>
        <v>0.1212158256677823</v>
      </c>
      <c r="JX183" s="16">
        <f t="shared" si="205"/>
        <v>0</v>
      </c>
      <c r="JY183" s="16">
        <f t="shared" si="205"/>
        <v>0</v>
      </c>
      <c r="JZ183" s="16">
        <f t="shared" si="205"/>
        <v>0</v>
      </c>
      <c r="KA183" s="16">
        <f t="shared" si="205"/>
        <v>0</v>
      </c>
      <c r="KB183" s="16">
        <f t="shared" si="205"/>
        <v>0</v>
      </c>
      <c r="KC183" s="16">
        <f t="shared" si="205"/>
        <v>0</v>
      </c>
      <c r="KD183" s="16">
        <f t="shared" si="205"/>
        <v>0</v>
      </c>
      <c r="KE183" s="16">
        <f t="shared" si="205"/>
        <v>0</v>
      </c>
      <c r="KF183" s="16">
        <f t="shared" si="205"/>
        <v>0</v>
      </c>
      <c r="KG183" s="16">
        <f t="shared" si="205"/>
        <v>0</v>
      </c>
      <c r="KH183" s="16">
        <f t="shared" si="205"/>
        <v>0</v>
      </c>
      <c r="KK183" s="9">
        <f t="shared" si="230"/>
        <v>12</v>
      </c>
      <c r="KL183" s="16">
        <f t="shared" si="206"/>
        <v>0</v>
      </c>
      <c r="KM183" s="16">
        <f t="shared" si="206"/>
        <v>0</v>
      </c>
      <c r="KN183" s="16">
        <f t="shared" si="206"/>
        <v>0</v>
      </c>
      <c r="KO183" s="16">
        <f t="shared" si="206"/>
        <v>0</v>
      </c>
      <c r="KP183" s="16">
        <f t="shared" si="206"/>
        <v>0</v>
      </c>
      <c r="KQ183" s="16">
        <f t="shared" si="206"/>
        <v>0</v>
      </c>
      <c r="KR183" s="16">
        <f t="shared" si="206"/>
        <v>0</v>
      </c>
      <c r="KS183" s="16">
        <f t="shared" si="206"/>
        <v>1.5088110713247843E-2</v>
      </c>
      <c r="KT183" s="16">
        <f t="shared" si="206"/>
        <v>0.96971215512332121</v>
      </c>
      <c r="KU183" s="16">
        <f t="shared" si="206"/>
        <v>1.5365511177430949E-2</v>
      </c>
      <c r="KV183" s="16">
        <f t="shared" si="207"/>
        <v>0</v>
      </c>
      <c r="KW183" s="16">
        <f t="shared" si="207"/>
        <v>0</v>
      </c>
      <c r="KX183" s="16">
        <f t="shared" si="207"/>
        <v>0</v>
      </c>
      <c r="KY183" s="16">
        <f t="shared" si="207"/>
        <v>0</v>
      </c>
      <c r="KZ183" s="16">
        <f t="shared" si="207"/>
        <v>0</v>
      </c>
      <c r="LA183" s="16">
        <f t="shared" si="207"/>
        <v>0</v>
      </c>
      <c r="LB183" s="16">
        <f t="shared" si="207"/>
        <v>0</v>
      </c>
      <c r="LC183" s="16">
        <f t="shared" si="207"/>
        <v>0</v>
      </c>
      <c r="LD183" s="16">
        <f t="shared" si="207"/>
        <v>0</v>
      </c>
      <c r="LE183" s="16">
        <f t="shared" si="207"/>
        <v>0</v>
      </c>
      <c r="LF183" s="16">
        <f t="shared" si="207"/>
        <v>0</v>
      </c>
      <c r="LI183" s="9">
        <f t="shared" si="231"/>
        <v>12</v>
      </c>
      <c r="LJ183" s="16">
        <f t="shared" si="208"/>
        <v>0</v>
      </c>
      <c r="LK183" s="16">
        <f t="shared" si="208"/>
        <v>0</v>
      </c>
      <c r="LL183" s="16">
        <f t="shared" si="208"/>
        <v>0</v>
      </c>
      <c r="LM183" s="16">
        <f t="shared" si="208"/>
        <v>0</v>
      </c>
      <c r="LN183" s="16">
        <f t="shared" si="208"/>
        <v>0</v>
      </c>
      <c r="LO183" s="16">
        <f t="shared" si="208"/>
        <v>0</v>
      </c>
      <c r="LP183" s="16">
        <f t="shared" si="208"/>
        <v>0</v>
      </c>
      <c r="LQ183" s="16">
        <f t="shared" si="208"/>
        <v>0.11902691809421749</v>
      </c>
      <c r="LR183" s="16">
        <f t="shared" si="208"/>
        <v>0.7610655899932226</v>
      </c>
      <c r="LS183" s="16">
        <f t="shared" si="208"/>
        <v>0.12121527175605996</v>
      </c>
      <c r="LT183" s="16">
        <f t="shared" si="209"/>
        <v>0</v>
      </c>
      <c r="LU183" s="16">
        <f t="shared" si="209"/>
        <v>0</v>
      </c>
      <c r="LV183" s="16">
        <f t="shared" si="209"/>
        <v>0</v>
      </c>
      <c r="LW183" s="16">
        <f t="shared" si="209"/>
        <v>0</v>
      </c>
      <c r="LX183" s="16">
        <f t="shared" si="209"/>
        <v>0</v>
      </c>
      <c r="LY183" s="16">
        <f t="shared" si="209"/>
        <v>0</v>
      </c>
      <c r="LZ183" s="16">
        <f t="shared" si="209"/>
        <v>0</v>
      </c>
      <c r="MA183" s="16">
        <f t="shared" si="209"/>
        <v>0</v>
      </c>
      <c r="MB183" s="16">
        <f t="shared" si="209"/>
        <v>0</v>
      </c>
      <c r="MC183" s="16">
        <f t="shared" si="209"/>
        <v>0</v>
      </c>
      <c r="MD183" s="16">
        <f t="shared" si="209"/>
        <v>0</v>
      </c>
      <c r="MG183" s="9">
        <f t="shared" si="232"/>
        <v>12</v>
      </c>
      <c r="MH183" s="16">
        <f t="shared" si="210"/>
        <v>0</v>
      </c>
      <c r="MI183" s="16">
        <f t="shared" si="210"/>
        <v>0</v>
      </c>
      <c r="MJ183" s="16">
        <f t="shared" si="210"/>
        <v>0</v>
      </c>
      <c r="MK183" s="16">
        <f t="shared" si="210"/>
        <v>0</v>
      </c>
      <c r="ML183" s="16">
        <f t="shared" si="210"/>
        <v>0</v>
      </c>
      <c r="MM183" s="16">
        <f t="shared" si="210"/>
        <v>0</v>
      </c>
      <c r="MN183" s="16">
        <f t="shared" si="210"/>
        <v>0</v>
      </c>
      <c r="MO183" s="16">
        <f t="shared" si="210"/>
        <v>1.6578428786582357E-2</v>
      </c>
      <c r="MP183" s="16">
        <f t="shared" si="210"/>
        <v>0.96672049344480282</v>
      </c>
      <c r="MQ183" s="16">
        <f t="shared" si="210"/>
        <v>1.688322929661484E-2</v>
      </c>
      <c r="MR183" s="16">
        <f t="shared" si="211"/>
        <v>0</v>
      </c>
      <c r="MS183" s="16">
        <f t="shared" si="211"/>
        <v>0</v>
      </c>
      <c r="MT183" s="16">
        <f t="shared" si="211"/>
        <v>0</v>
      </c>
      <c r="MU183" s="16">
        <f t="shared" si="211"/>
        <v>0</v>
      </c>
      <c r="MV183" s="16">
        <f t="shared" si="211"/>
        <v>0</v>
      </c>
      <c r="MW183" s="16">
        <f t="shared" si="211"/>
        <v>0</v>
      </c>
      <c r="MX183" s="16">
        <f t="shared" si="211"/>
        <v>0</v>
      </c>
      <c r="MY183" s="16">
        <f t="shared" si="211"/>
        <v>0</v>
      </c>
      <c r="MZ183" s="16">
        <f t="shared" si="211"/>
        <v>0</v>
      </c>
      <c r="NA183" s="16">
        <f t="shared" si="211"/>
        <v>0</v>
      </c>
      <c r="NB183" s="16">
        <f t="shared" si="211"/>
        <v>0</v>
      </c>
      <c r="NE183" s="9">
        <f t="shared" si="233"/>
        <v>12</v>
      </c>
      <c r="NF183" s="16">
        <f t="shared" si="212"/>
        <v>0</v>
      </c>
      <c r="NG183" s="16">
        <f t="shared" si="212"/>
        <v>0</v>
      </c>
      <c r="NH183" s="16">
        <f t="shared" si="212"/>
        <v>0</v>
      </c>
      <c r="NI183" s="16">
        <f t="shared" si="212"/>
        <v>0</v>
      </c>
      <c r="NJ183" s="16">
        <f t="shared" si="212"/>
        <v>0</v>
      </c>
      <c r="NK183" s="16">
        <f t="shared" si="212"/>
        <v>0</v>
      </c>
      <c r="NL183" s="16">
        <f t="shared" si="212"/>
        <v>0</v>
      </c>
      <c r="NM183" s="16">
        <f t="shared" si="212"/>
        <v>0.11902691809421749</v>
      </c>
      <c r="NN183" s="16">
        <f t="shared" si="212"/>
        <v>0.7610655899932226</v>
      </c>
      <c r="NO183" s="16">
        <f t="shared" si="212"/>
        <v>0.12121527175605996</v>
      </c>
      <c r="NP183" s="16">
        <f t="shared" si="213"/>
        <v>0</v>
      </c>
      <c r="NQ183" s="16">
        <f t="shared" si="213"/>
        <v>0</v>
      </c>
      <c r="NR183" s="16">
        <f t="shared" si="213"/>
        <v>0</v>
      </c>
      <c r="NS183" s="16">
        <f t="shared" si="213"/>
        <v>0</v>
      </c>
      <c r="NT183" s="16">
        <f t="shared" si="213"/>
        <v>0</v>
      </c>
      <c r="NU183" s="16">
        <f t="shared" si="213"/>
        <v>0</v>
      </c>
      <c r="NV183" s="16">
        <f t="shared" si="213"/>
        <v>0</v>
      </c>
      <c r="NW183" s="16">
        <f t="shared" si="213"/>
        <v>0</v>
      </c>
      <c r="NX183" s="16">
        <f t="shared" si="213"/>
        <v>0</v>
      </c>
      <c r="NY183" s="16">
        <f t="shared" si="213"/>
        <v>0</v>
      </c>
      <c r="NZ183" s="16">
        <f t="shared" si="213"/>
        <v>0</v>
      </c>
      <c r="OC183" s="9">
        <f t="shared" si="234"/>
        <v>12</v>
      </c>
      <c r="OD183" s="16">
        <f t="shared" si="214"/>
        <v>0</v>
      </c>
      <c r="OE183" s="16">
        <f t="shared" si="214"/>
        <v>0</v>
      </c>
      <c r="OF183" s="16">
        <f t="shared" si="214"/>
        <v>0</v>
      </c>
      <c r="OG183" s="16">
        <f t="shared" si="214"/>
        <v>0</v>
      </c>
      <c r="OH183" s="16">
        <f t="shared" si="214"/>
        <v>0</v>
      </c>
      <c r="OI183" s="16">
        <f t="shared" si="214"/>
        <v>0</v>
      </c>
      <c r="OJ183" s="16">
        <f t="shared" si="214"/>
        <v>0</v>
      </c>
      <c r="OK183" s="16">
        <f t="shared" si="214"/>
        <v>1.8068202948211244E-2</v>
      </c>
      <c r="OL183" s="16">
        <f t="shared" si="214"/>
        <v>0.96372992361361243</v>
      </c>
      <c r="OM183" s="16">
        <f t="shared" si="214"/>
        <v>1.8400393504076368E-2</v>
      </c>
      <c r="ON183" s="16">
        <f t="shared" si="215"/>
        <v>0</v>
      </c>
      <c r="OO183" s="16">
        <f t="shared" si="215"/>
        <v>0</v>
      </c>
      <c r="OP183" s="16">
        <f t="shared" si="215"/>
        <v>0</v>
      </c>
      <c r="OQ183" s="16">
        <f t="shared" si="215"/>
        <v>0</v>
      </c>
      <c r="OR183" s="16">
        <f t="shared" si="215"/>
        <v>0</v>
      </c>
      <c r="OS183" s="16">
        <f t="shared" si="215"/>
        <v>0</v>
      </c>
      <c r="OT183" s="16">
        <f t="shared" si="215"/>
        <v>0</v>
      </c>
      <c r="OU183" s="16">
        <f t="shared" si="215"/>
        <v>0</v>
      </c>
      <c r="OV183" s="16">
        <f t="shared" si="215"/>
        <v>0</v>
      </c>
      <c r="OW183" s="16">
        <f t="shared" si="215"/>
        <v>0</v>
      </c>
      <c r="OX183" s="16">
        <f t="shared" si="215"/>
        <v>0</v>
      </c>
      <c r="PA183" s="9">
        <f t="shared" si="235"/>
        <v>12</v>
      </c>
      <c r="PB183" s="16">
        <f t="shared" si="216"/>
        <v>0</v>
      </c>
      <c r="PC183" s="16">
        <f t="shared" si="216"/>
        <v>0</v>
      </c>
      <c r="PD183" s="16">
        <f t="shared" si="216"/>
        <v>0</v>
      </c>
      <c r="PE183" s="16">
        <f t="shared" si="216"/>
        <v>0</v>
      </c>
      <c r="PF183" s="16">
        <f t="shared" si="216"/>
        <v>0</v>
      </c>
      <c r="PG183" s="16">
        <f t="shared" si="216"/>
        <v>0</v>
      </c>
      <c r="PH183" s="16">
        <f t="shared" si="216"/>
        <v>0</v>
      </c>
      <c r="PI183" s="16">
        <f t="shared" si="216"/>
        <v>0.11902202288886712</v>
      </c>
      <c r="PJ183" s="16">
        <f t="shared" si="216"/>
        <v>0.76107541661917388</v>
      </c>
      <c r="PK183" s="16">
        <f t="shared" si="216"/>
        <v>0.12121028655055899</v>
      </c>
      <c r="PL183" s="16">
        <f t="shared" si="217"/>
        <v>0</v>
      </c>
      <c r="PM183" s="16">
        <f t="shared" si="217"/>
        <v>0</v>
      </c>
      <c r="PN183" s="16">
        <f t="shared" si="217"/>
        <v>0</v>
      </c>
      <c r="PO183" s="16">
        <f t="shared" si="217"/>
        <v>0</v>
      </c>
      <c r="PP183" s="16">
        <f t="shared" si="217"/>
        <v>0</v>
      </c>
      <c r="PQ183" s="16">
        <f t="shared" si="217"/>
        <v>0</v>
      </c>
      <c r="PR183" s="16">
        <f t="shared" si="217"/>
        <v>0</v>
      </c>
      <c r="PS183" s="16">
        <f t="shared" si="217"/>
        <v>0</v>
      </c>
      <c r="PT183" s="16">
        <f t="shared" si="217"/>
        <v>0</v>
      </c>
      <c r="PU183" s="16">
        <f t="shared" si="217"/>
        <v>0</v>
      </c>
      <c r="PV183" s="16">
        <f t="shared" si="217"/>
        <v>0</v>
      </c>
    </row>
    <row r="184" spans="3:438" x14ac:dyDescent="0.25">
      <c r="C184" s="1"/>
      <c r="D184" s="1"/>
      <c r="I184" s="9">
        <f t="shared" si="218"/>
        <v>11</v>
      </c>
      <c r="J184" s="16">
        <f t="shared" si="182"/>
        <v>0</v>
      </c>
      <c r="K184" s="16">
        <f t="shared" si="182"/>
        <v>0</v>
      </c>
      <c r="L184" s="16">
        <f t="shared" si="182"/>
        <v>0</v>
      </c>
      <c r="M184" s="16">
        <f t="shared" si="182"/>
        <v>0</v>
      </c>
      <c r="N184" s="16">
        <f t="shared" si="182"/>
        <v>0</v>
      </c>
      <c r="O184" s="16">
        <f t="shared" si="182"/>
        <v>0</v>
      </c>
      <c r="P184" s="16">
        <f t="shared" si="182"/>
        <v>0</v>
      </c>
      <c r="Q184" s="16">
        <f t="shared" si="182"/>
        <v>0</v>
      </c>
      <c r="R184" s="16">
        <f t="shared" si="182"/>
        <v>1.4459290091839112E-2</v>
      </c>
      <c r="S184" s="16">
        <f t="shared" si="182"/>
        <v>0.97104285063897178</v>
      </c>
      <c r="T184" s="16">
        <f t="shared" si="183"/>
        <v>1.4555140091839109E-2</v>
      </c>
      <c r="U184" s="16">
        <f t="shared" si="183"/>
        <v>0</v>
      </c>
      <c r="V184" s="16">
        <f t="shared" si="183"/>
        <v>0</v>
      </c>
      <c r="W184" s="16">
        <f t="shared" si="183"/>
        <v>0</v>
      </c>
      <c r="X184" s="16">
        <f t="shared" si="183"/>
        <v>0</v>
      </c>
      <c r="Y184" s="16">
        <f t="shared" si="183"/>
        <v>0</v>
      </c>
      <c r="Z184" s="16">
        <f t="shared" si="183"/>
        <v>0</v>
      </c>
      <c r="AA184" s="16">
        <f t="shared" si="183"/>
        <v>0</v>
      </c>
      <c r="AB184" s="16">
        <f t="shared" si="183"/>
        <v>0</v>
      </c>
      <c r="AC184" s="16">
        <f t="shared" si="183"/>
        <v>0</v>
      </c>
      <c r="AD184" s="16">
        <f t="shared" si="183"/>
        <v>0</v>
      </c>
      <c r="AG184" s="9">
        <f t="shared" si="219"/>
        <v>11</v>
      </c>
      <c r="AH184" s="16">
        <f t="shared" si="184"/>
        <v>0</v>
      </c>
      <c r="AI184" s="16">
        <f t="shared" si="184"/>
        <v>0</v>
      </c>
      <c r="AJ184" s="16">
        <f t="shared" si="184"/>
        <v>0</v>
      </c>
      <c r="AK184" s="16">
        <f t="shared" si="184"/>
        <v>0</v>
      </c>
      <c r="AL184" s="16">
        <f t="shared" si="184"/>
        <v>0</v>
      </c>
      <c r="AM184" s="16">
        <f t="shared" si="184"/>
        <v>0</v>
      </c>
      <c r="AN184" s="16">
        <f t="shared" si="184"/>
        <v>0</v>
      </c>
      <c r="AO184" s="16">
        <f t="shared" si="184"/>
        <v>0</v>
      </c>
      <c r="AP184" s="16">
        <f t="shared" si="184"/>
        <v>5.7867331030041921E-2</v>
      </c>
      <c r="AQ184" s="16">
        <f t="shared" si="184"/>
        <v>0.8841109807523162</v>
      </c>
      <c r="AR184" s="16">
        <f t="shared" si="185"/>
        <v>5.8250931030041912E-2</v>
      </c>
      <c r="AS184" s="16">
        <f t="shared" si="185"/>
        <v>0</v>
      </c>
      <c r="AT184" s="16">
        <f t="shared" si="185"/>
        <v>0</v>
      </c>
      <c r="AU184" s="16">
        <f t="shared" si="185"/>
        <v>0</v>
      </c>
      <c r="AV184" s="16">
        <f t="shared" si="185"/>
        <v>0</v>
      </c>
      <c r="AW184" s="16">
        <f t="shared" si="185"/>
        <v>0</v>
      </c>
      <c r="AX184" s="16">
        <f t="shared" si="185"/>
        <v>0</v>
      </c>
      <c r="AY184" s="16">
        <f t="shared" si="185"/>
        <v>0</v>
      </c>
      <c r="AZ184" s="16">
        <f t="shared" si="185"/>
        <v>0</v>
      </c>
      <c r="BA184" s="16">
        <f t="shared" si="185"/>
        <v>0</v>
      </c>
      <c r="BB184" s="16">
        <f t="shared" si="185"/>
        <v>0</v>
      </c>
      <c r="BE184" s="9">
        <f t="shared" si="220"/>
        <v>11</v>
      </c>
      <c r="BF184" s="16">
        <f t="shared" si="186"/>
        <v>0</v>
      </c>
      <c r="BG184" s="16">
        <f t="shared" si="186"/>
        <v>0</v>
      </c>
      <c r="BH184" s="16">
        <f t="shared" si="186"/>
        <v>0</v>
      </c>
      <c r="BI184" s="16">
        <f t="shared" si="186"/>
        <v>0</v>
      </c>
      <c r="BJ184" s="16">
        <f t="shared" si="186"/>
        <v>0</v>
      </c>
      <c r="BK184" s="16">
        <f t="shared" si="186"/>
        <v>0</v>
      </c>
      <c r="BL184" s="16">
        <f t="shared" si="186"/>
        <v>0</v>
      </c>
      <c r="BM184" s="16">
        <f t="shared" si="186"/>
        <v>0</v>
      </c>
      <c r="BN184" s="16">
        <f t="shared" si="186"/>
        <v>5.7859788364370592E-2</v>
      </c>
      <c r="BO184" s="16">
        <f t="shared" si="186"/>
        <v>0.88412608620320876</v>
      </c>
      <c r="BP184" s="16">
        <f t="shared" si="187"/>
        <v>5.8243338364370588E-2</v>
      </c>
      <c r="BQ184" s="16">
        <f t="shared" si="187"/>
        <v>0</v>
      </c>
      <c r="BR184" s="16">
        <f t="shared" si="187"/>
        <v>0</v>
      </c>
      <c r="BS184" s="16">
        <f t="shared" si="187"/>
        <v>0</v>
      </c>
      <c r="BT184" s="16">
        <f t="shared" si="187"/>
        <v>0</v>
      </c>
      <c r="BU184" s="16">
        <f t="shared" si="187"/>
        <v>0</v>
      </c>
      <c r="BV184" s="16">
        <f t="shared" si="187"/>
        <v>0</v>
      </c>
      <c r="BW184" s="16">
        <f t="shared" si="187"/>
        <v>0</v>
      </c>
      <c r="BX184" s="16">
        <f t="shared" si="187"/>
        <v>0</v>
      </c>
      <c r="BY184" s="16">
        <f t="shared" si="187"/>
        <v>0</v>
      </c>
      <c r="BZ184" s="16">
        <f t="shared" si="187"/>
        <v>0</v>
      </c>
      <c r="CC184" s="9">
        <f t="shared" si="221"/>
        <v>11</v>
      </c>
      <c r="CD184" s="16">
        <f t="shared" si="188"/>
        <v>0</v>
      </c>
      <c r="CE184" s="16">
        <f t="shared" si="188"/>
        <v>0</v>
      </c>
      <c r="CF184" s="16">
        <f t="shared" si="188"/>
        <v>0</v>
      </c>
      <c r="CG184" s="16">
        <f t="shared" si="188"/>
        <v>0</v>
      </c>
      <c r="CH184" s="16">
        <f t="shared" si="188"/>
        <v>0</v>
      </c>
      <c r="CI184" s="16">
        <f t="shared" si="188"/>
        <v>0</v>
      </c>
      <c r="CJ184" s="16">
        <f t="shared" si="188"/>
        <v>0</v>
      </c>
      <c r="CK184" s="16">
        <f t="shared" si="188"/>
        <v>0</v>
      </c>
      <c r="CL184" s="16">
        <f t="shared" si="188"/>
        <v>5.7859788364370425E-2</v>
      </c>
      <c r="CM184" s="16">
        <f t="shared" si="188"/>
        <v>0.8841260862032092</v>
      </c>
      <c r="CN184" s="16">
        <f t="shared" si="189"/>
        <v>5.8243338364370421E-2</v>
      </c>
      <c r="CO184" s="16">
        <f t="shared" si="189"/>
        <v>0</v>
      </c>
      <c r="CP184" s="16">
        <f t="shared" si="189"/>
        <v>0</v>
      </c>
      <c r="CQ184" s="16">
        <f t="shared" si="189"/>
        <v>0</v>
      </c>
      <c r="CR184" s="16">
        <f t="shared" si="189"/>
        <v>0</v>
      </c>
      <c r="CS184" s="16">
        <f t="shared" si="189"/>
        <v>0</v>
      </c>
      <c r="CT184" s="16">
        <f t="shared" si="189"/>
        <v>0</v>
      </c>
      <c r="CU184" s="16">
        <f t="shared" si="189"/>
        <v>0</v>
      </c>
      <c r="CV184" s="16">
        <f t="shared" si="189"/>
        <v>0</v>
      </c>
      <c r="CW184" s="16">
        <f t="shared" si="189"/>
        <v>0</v>
      </c>
      <c r="CX184" s="16">
        <f t="shared" si="189"/>
        <v>0</v>
      </c>
      <c r="DA184" s="9">
        <f t="shared" si="222"/>
        <v>11</v>
      </c>
      <c r="DB184" s="16">
        <f t="shared" si="190"/>
        <v>0</v>
      </c>
      <c r="DC184" s="16">
        <f t="shared" si="190"/>
        <v>0</v>
      </c>
      <c r="DD184" s="16">
        <f t="shared" si="190"/>
        <v>0</v>
      </c>
      <c r="DE184" s="16">
        <f t="shared" si="190"/>
        <v>0</v>
      </c>
      <c r="DF184" s="16">
        <f t="shared" si="190"/>
        <v>0</v>
      </c>
      <c r="DG184" s="16">
        <f t="shared" si="190"/>
        <v>0</v>
      </c>
      <c r="DH184" s="16">
        <f t="shared" si="190"/>
        <v>0</v>
      </c>
      <c r="DI184" s="16">
        <f t="shared" si="190"/>
        <v>0</v>
      </c>
      <c r="DJ184" s="16">
        <f t="shared" si="190"/>
        <v>1.4466832757510605E-2</v>
      </c>
      <c r="DK184" s="16">
        <f t="shared" si="190"/>
        <v>0.97102774518807877</v>
      </c>
      <c r="DL184" s="16">
        <f t="shared" si="191"/>
        <v>1.4562732757510605E-2</v>
      </c>
      <c r="DM184" s="16">
        <f t="shared" si="191"/>
        <v>0</v>
      </c>
      <c r="DN184" s="16">
        <f t="shared" si="191"/>
        <v>0</v>
      </c>
      <c r="DO184" s="16">
        <f t="shared" si="191"/>
        <v>0</v>
      </c>
      <c r="DP184" s="16">
        <f t="shared" si="191"/>
        <v>0</v>
      </c>
      <c r="DQ184" s="16">
        <f t="shared" si="191"/>
        <v>0</v>
      </c>
      <c r="DR184" s="16">
        <f t="shared" si="191"/>
        <v>0</v>
      </c>
      <c r="DS184" s="16">
        <f t="shared" si="191"/>
        <v>0</v>
      </c>
      <c r="DT184" s="16">
        <f t="shared" si="191"/>
        <v>0</v>
      </c>
      <c r="DU184" s="16">
        <f t="shared" si="191"/>
        <v>0</v>
      </c>
      <c r="DV184" s="16">
        <f t="shared" si="191"/>
        <v>0</v>
      </c>
      <c r="DY184" s="9">
        <f t="shared" si="223"/>
        <v>11</v>
      </c>
      <c r="DZ184" s="16">
        <f t="shared" si="192"/>
        <v>0</v>
      </c>
      <c r="EA184" s="16">
        <f t="shared" si="192"/>
        <v>0</v>
      </c>
      <c r="EB184" s="16">
        <f t="shared" si="192"/>
        <v>0</v>
      </c>
      <c r="EC184" s="16">
        <f t="shared" si="192"/>
        <v>0</v>
      </c>
      <c r="ED184" s="16">
        <f t="shared" si="192"/>
        <v>0</v>
      </c>
      <c r="EE184" s="16">
        <f t="shared" si="192"/>
        <v>0</v>
      </c>
      <c r="EF184" s="16">
        <f t="shared" si="192"/>
        <v>0</v>
      </c>
      <c r="EG184" s="16">
        <f t="shared" si="192"/>
        <v>0</v>
      </c>
      <c r="EH184" s="16">
        <f t="shared" si="192"/>
        <v>4.1915242578117635E-2</v>
      </c>
      <c r="EI184" s="16">
        <f t="shared" si="192"/>
        <v>0.91601517777571473</v>
      </c>
      <c r="EJ184" s="16">
        <f t="shared" si="193"/>
        <v>4.2298792578117625E-2</v>
      </c>
      <c r="EK184" s="16">
        <f t="shared" si="193"/>
        <v>0</v>
      </c>
      <c r="EL184" s="16">
        <f t="shared" si="193"/>
        <v>0</v>
      </c>
      <c r="EM184" s="16">
        <f t="shared" si="193"/>
        <v>0</v>
      </c>
      <c r="EN184" s="16">
        <f t="shared" si="193"/>
        <v>0</v>
      </c>
      <c r="EO184" s="16">
        <f t="shared" si="193"/>
        <v>0</v>
      </c>
      <c r="EP184" s="16">
        <f t="shared" si="193"/>
        <v>0</v>
      </c>
      <c r="EQ184" s="16">
        <f t="shared" si="193"/>
        <v>0</v>
      </c>
      <c r="ER184" s="16">
        <f t="shared" si="193"/>
        <v>0</v>
      </c>
      <c r="ES184" s="16">
        <f t="shared" si="193"/>
        <v>0</v>
      </c>
      <c r="ET184" s="16">
        <f t="shared" si="193"/>
        <v>0</v>
      </c>
      <c r="EW184" s="9">
        <f t="shared" si="224"/>
        <v>11</v>
      </c>
      <c r="EX184" s="16">
        <f t="shared" si="194"/>
        <v>0</v>
      </c>
      <c r="EY184" s="16">
        <f t="shared" si="194"/>
        <v>0</v>
      </c>
      <c r="EZ184" s="16">
        <f t="shared" si="194"/>
        <v>0</v>
      </c>
      <c r="FA184" s="16">
        <f t="shared" si="194"/>
        <v>0</v>
      </c>
      <c r="FB184" s="16">
        <f t="shared" si="194"/>
        <v>0</v>
      </c>
      <c r="FC184" s="16">
        <f t="shared" si="194"/>
        <v>0</v>
      </c>
      <c r="FD184" s="16">
        <f t="shared" si="194"/>
        <v>0</v>
      </c>
      <c r="FE184" s="16">
        <f t="shared" si="194"/>
        <v>0</v>
      </c>
      <c r="FF184" s="16">
        <f t="shared" si="194"/>
        <v>4.191524257811776E-2</v>
      </c>
      <c r="FG184" s="16">
        <f t="shared" si="194"/>
        <v>0.91601517777571451</v>
      </c>
      <c r="FH184" s="16">
        <f t="shared" si="195"/>
        <v>4.229879257811775E-2</v>
      </c>
      <c r="FI184" s="16">
        <f t="shared" si="195"/>
        <v>0</v>
      </c>
      <c r="FJ184" s="16">
        <f t="shared" si="195"/>
        <v>0</v>
      </c>
      <c r="FK184" s="16">
        <f t="shared" si="195"/>
        <v>0</v>
      </c>
      <c r="FL184" s="16">
        <f t="shared" si="195"/>
        <v>0</v>
      </c>
      <c r="FM184" s="16">
        <f t="shared" si="195"/>
        <v>0</v>
      </c>
      <c r="FN184" s="16">
        <f t="shared" si="195"/>
        <v>0</v>
      </c>
      <c r="FO184" s="16">
        <f t="shared" si="195"/>
        <v>0</v>
      </c>
      <c r="FP184" s="16">
        <f t="shared" si="195"/>
        <v>0</v>
      </c>
      <c r="FQ184" s="16">
        <f t="shared" si="195"/>
        <v>0</v>
      </c>
      <c r="FR184" s="16">
        <f t="shared" si="195"/>
        <v>0</v>
      </c>
      <c r="FU184" s="9">
        <f t="shared" si="225"/>
        <v>11</v>
      </c>
      <c r="FV184" s="16">
        <f t="shared" si="196"/>
        <v>0</v>
      </c>
      <c r="FW184" s="16">
        <f t="shared" si="196"/>
        <v>0</v>
      </c>
      <c r="FX184" s="16">
        <f t="shared" si="196"/>
        <v>0</v>
      </c>
      <c r="FY184" s="16">
        <f t="shared" si="196"/>
        <v>0</v>
      </c>
      <c r="FZ184" s="16">
        <f t="shared" si="196"/>
        <v>0</v>
      </c>
      <c r="GA184" s="16">
        <f t="shared" si="196"/>
        <v>0</v>
      </c>
      <c r="GB184" s="16">
        <f t="shared" si="196"/>
        <v>0</v>
      </c>
      <c r="GC184" s="16">
        <f t="shared" si="196"/>
        <v>0</v>
      </c>
      <c r="GD184" s="16">
        <f t="shared" si="196"/>
        <v>4.1920706695257305E-2</v>
      </c>
      <c r="GE184" s="16">
        <f t="shared" si="196"/>
        <v>0.91600422942188542</v>
      </c>
      <c r="GF184" s="16">
        <f t="shared" si="197"/>
        <v>4.2304306695257296E-2</v>
      </c>
      <c r="GG184" s="16">
        <f t="shared" si="197"/>
        <v>0</v>
      </c>
      <c r="GH184" s="16">
        <f t="shared" si="197"/>
        <v>0</v>
      </c>
      <c r="GI184" s="16">
        <f t="shared" si="197"/>
        <v>0</v>
      </c>
      <c r="GJ184" s="16">
        <f t="shared" si="197"/>
        <v>0</v>
      </c>
      <c r="GK184" s="16">
        <f t="shared" si="197"/>
        <v>0</v>
      </c>
      <c r="GL184" s="16">
        <f t="shared" si="197"/>
        <v>0</v>
      </c>
      <c r="GM184" s="16">
        <f t="shared" si="197"/>
        <v>0</v>
      </c>
      <c r="GN184" s="16">
        <f t="shared" si="197"/>
        <v>0</v>
      </c>
      <c r="GO184" s="16">
        <f t="shared" si="197"/>
        <v>0</v>
      </c>
      <c r="GP184" s="16">
        <f t="shared" si="197"/>
        <v>0</v>
      </c>
      <c r="GS184" s="9">
        <f t="shared" si="226"/>
        <v>11</v>
      </c>
      <c r="GT184" s="16">
        <f t="shared" si="198"/>
        <v>0</v>
      </c>
      <c r="GU184" s="16">
        <f t="shared" si="198"/>
        <v>0</v>
      </c>
      <c r="GV184" s="16">
        <f t="shared" si="198"/>
        <v>0</v>
      </c>
      <c r="GW184" s="16">
        <f t="shared" si="198"/>
        <v>0</v>
      </c>
      <c r="GX184" s="16">
        <f t="shared" si="198"/>
        <v>0</v>
      </c>
      <c r="GY184" s="16">
        <f t="shared" si="198"/>
        <v>0</v>
      </c>
      <c r="GZ184" s="16">
        <f t="shared" si="198"/>
        <v>0</v>
      </c>
      <c r="HA184" s="16">
        <f t="shared" si="198"/>
        <v>0</v>
      </c>
      <c r="HB184" s="16">
        <f t="shared" si="198"/>
        <v>1.8146333020718258E-2</v>
      </c>
      <c r="HC184" s="16">
        <f t="shared" si="198"/>
        <v>0.96364051693301345</v>
      </c>
      <c r="HD184" s="16">
        <f t="shared" si="199"/>
        <v>1.8312383020718252E-2</v>
      </c>
      <c r="HE184" s="16">
        <f t="shared" si="199"/>
        <v>0</v>
      </c>
      <c r="HF184" s="16">
        <f t="shared" si="199"/>
        <v>0</v>
      </c>
      <c r="HG184" s="16">
        <f t="shared" si="199"/>
        <v>0</v>
      </c>
      <c r="HH184" s="16">
        <f t="shared" si="199"/>
        <v>0</v>
      </c>
      <c r="HI184" s="16">
        <f t="shared" si="199"/>
        <v>0</v>
      </c>
      <c r="HJ184" s="16">
        <f t="shared" si="199"/>
        <v>0</v>
      </c>
      <c r="HK184" s="16">
        <f t="shared" si="199"/>
        <v>0</v>
      </c>
      <c r="HL184" s="16">
        <f t="shared" si="199"/>
        <v>0</v>
      </c>
      <c r="HM184" s="16">
        <f t="shared" si="199"/>
        <v>0</v>
      </c>
      <c r="HN184" s="16">
        <f t="shared" si="199"/>
        <v>0</v>
      </c>
      <c r="HQ184" s="9">
        <f t="shared" si="227"/>
        <v>11</v>
      </c>
      <c r="HR184" s="16">
        <f t="shared" si="200"/>
        <v>0</v>
      </c>
      <c r="HS184" s="16">
        <f t="shared" si="200"/>
        <v>0</v>
      </c>
      <c r="HT184" s="16">
        <f t="shared" si="200"/>
        <v>0</v>
      </c>
      <c r="HU184" s="16">
        <f t="shared" si="200"/>
        <v>0</v>
      </c>
      <c r="HV184" s="16">
        <f t="shared" si="200"/>
        <v>0</v>
      </c>
      <c r="HW184" s="16">
        <f t="shared" si="200"/>
        <v>0</v>
      </c>
      <c r="HX184" s="16">
        <f t="shared" si="200"/>
        <v>0</v>
      </c>
      <c r="HY184" s="16">
        <f t="shared" si="200"/>
        <v>0</v>
      </c>
      <c r="HZ184" s="16">
        <f t="shared" si="200"/>
        <v>0.11957673948370852</v>
      </c>
      <c r="IA184" s="16">
        <f t="shared" si="200"/>
        <v>0.760406224800383</v>
      </c>
      <c r="IB184" s="16">
        <f t="shared" si="201"/>
        <v>0.12067093948370849</v>
      </c>
      <c r="IC184" s="16">
        <f t="shared" si="201"/>
        <v>0</v>
      </c>
      <c r="ID184" s="16">
        <f t="shared" si="201"/>
        <v>0</v>
      </c>
      <c r="IE184" s="16">
        <f t="shared" si="201"/>
        <v>0</v>
      </c>
      <c r="IF184" s="16">
        <f t="shared" si="201"/>
        <v>0</v>
      </c>
      <c r="IG184" s="16">
        <f t="shared" si="201"/>
        <v>0</v>
      </c>
      <c r="IH184" s="16">
        <f t="shared" si="201"/>
        <v>0</v>
      </c>
      <c r="II184" s="16">
        <f t="shared" si="201"/>
        <v>0</v>
      </c>
      <c r="IJ184" s="16">
        <f t="shared" si="201"/>
        <v>0</v>
      </c>
      <c r="IK184" s="16">
        <f t="shared" si="201"/>
        <v>0</v>
      </c>
      <c r="IL184" s="16">
        <f t="shared" si="201"/>
        <v>0</v>
      </c>
      <c r="IO184" s="9">
        <f t="shared" si="228"/>
        <v>11</v>
      </c>
      <c r="IP184" s="16">
        <f t="shared" si="202"/>
        <v>0</v>
      </c>
      <c r="IQ184" s="16">
        <f t="shared" si="202"/>
        <v>0</v>
      </c>
      <c r="IR184" s="16">
        <f t="shared" si="202"/>
        <v>0</v>
      </c>
      <c r="IS184" s="16">
        <f t="shared" si="202"/>
        <v>0</v>
      </c>
      <c r="IT184" s="16">
        <f t="shared" si="202"/>
        <v>0</v>
      </c>
      <c r="IU184" s="16">
        <f t="shared" si="202"/>
        <v>0</v>
      </c>
      <c r="IV184" s="16">
        <f t="shared" si="202"/>
        <v>0</v>
      </c>
      <c r="IW184" s="16">
        <f t="shared" si="202"/>
        <v>0</v>
      </c>
      <c r="IX184" s="16">
        <f t="shared" si="202"/>
        <v>1.8151250726143823E-2</v>
      </c>
      <c r="IY184" s="16">
        <f t="shared" si="202"/>
        <v>0.96363066341456738</v>
      </c>
      <c r="IZ184" s="16">
        <f t="shared" si="203"/>
        <v>1.8317345726143821E-2</v>
      </c>
      <c r="JA184" s="16">
        <f t="shared" si="203"/>
        <v>0</v>
      </c>
      <c r="JB184" s="16">
        <f t="shared" si="203"/>
        <v>0</v>
      </c>
      <c r="JC184" s="16">
        <f t="shared" si="203"/>
        <v>0</v>
      </c>
      <c r="JD184" s="16">
        <f t="shared" si="203"/>
        <v>0</v>
      </c>
      <c r="JE184" s="16">
        <f t="shared" si="203"/>
        <v>0</v>
      </c>
      <c r="JF184" s="16">
        <f t="shared" si="203"/>
        <v>0</v>
      </c>
      <c r="JG184" s="16">
        <f t="shared" si="203"/>
        <v>0</v>
      </c>
      <c r="JH184" s="16">
        <f t="shared" si="203"/>
        <v>0</v>
      </c>
      <c r="JI184" s="16">
        <f t="shared" si="203"/>
        <v>0</v>
      </c>
      <c r="JJ184" s="16">
        <f t="shared" si="203"/>
        <v>0</v>
      </c>
      <c r="JM184" s="9">
        <f t="shared" si="229"/>
        <v>11</v>
      </c>
      <c r="JN184" s="16">
        <f t="shared" si="204"/>
        <v>0</v>
      </c>
      <c r="JO184" s="16">
        <f t="shared" si="204"/>
        <v>0</v>
      </c>
      <c r="JP184" s="16">
        <f t="shared" si="204"/>
        <v>0</v>
      </c>
      <c r="JQ184" s="16">
        <f t="shared" si="204"/>
        <v>0</v>
      </c>
      <c r="JR184" s="16">
        <f t="shared" si="204"/>
        <v>0</v>
      </c>
      <c r="JS184" s="16">
        <f t="shared" si="204"/>
        <v>0</v>
      </c>
      <c r="JT184" s="16">
        <f t="shared" si="204"/>
        <v>0</v>
      </c>
      <c r="JU184" s="16">
        <f t="shared" si="204"/>
        <v>0</v>
      </c>
      <c r="JV184" s="16">
        <f t="shared" si="204"/>
        <v>0.11957455383685273</v>
      </c>
      <c r="JW184" s="16">
        <f t="shared" si="204"/>
        <v>0.76041060414191453</v>
      </c>
      <c r="JX184" s="16">
        <f t="shared" si="205"/>
        <v>0.1206687338368527</v>
      </c>
      <c r="JY184" s="16">
        <f t="shared" si="205"/>
        <v>0</v>
      </c>
      <c r="JZ184" s="16">
        <f t="shared" si="205"/>
        <v>0</v>
      </c>
      <c r="KA184" s="16">
        <f t="shared" si="205"/>
        <v>0</v>
      </c>
      <c r="KB184" s="16">
        <f t="shared" si="205"/>
        <v>0</v>
      </c>
      <c r="KC184" s="16">
        <f t="shared" si="205"/>
        <v>0</v>
      </c>
      <c r="KD184" s="16">
        <f t="shared" si="205"/>
        <v>0</v>
      </c>
      <c r="KE184" s="16">
        <f t="shared" si="205"/>
        <v>0</v>
      </c>
      <c r="KF184" s="16">
        <f t="shared" si="205"/>
        <v>0</v>
      </c>
      <c r="KG184" s="16">
        <f t="shared" si="205"/>
        <v>0</v>
      </c>
      <c r="KH184" s="16">
        <f t="shared" si="205"/>
        <v>0</v>
      </c>
      <c r="KK184" s="9">
        <f t="shared" si="230"/>
        <v>11</v>
      </c>
      <c r="KL184" s="16">
        <f t="shared" si="206"/>
        <v>0</v>
      </c>
      <c r="KM184" s="16">
        <f t="shared" si="206"/>
        <v>0</v>
      </c>
      <c r="KN184" s="16">
        <f t="shared" si="206"/>
        <v>0</v>
      </c>
      <c r="KO184" s="16">
        <f t="shared" si="206"/>
        <v>0</v>
      </c>
      <c r="KP184" s="16">
        <f t="shared" si="206"/>
        <v>0</v>
      </c>
      <c r="KQ184" s="16">
        <f t="shared" si="206"/>
        <v>0</v>
      </c>
      <c r="KR184" s="16">
        <f t="shared" si="206"/>
        <v>0</v>
      </c>
      <c r="KS184" s="16">
        <f t="shared" si="206"/>
        <v>0</v>
      </c>
      <c r="KT184" s="16">
        <f t="shared" si="206"/>
        <v>1.5157460945339398E-2</v>
      </c>
      <c r="KU184" s="16">
        <f t="shared" si="206"/>
        <v>0.96962926647762115</v>
      </c>
      <c r="KV184" s="16">
        <f t="shared" si="207"/>
        <v>1.5296160945339395E-2</v>
      </c>
      <c r="KW184" s="16">
        <f t="shared" si="207"/>
        <v>0</v>
      </c>
      <c r="KX184" s="16">
        <f t="shared" si="207"/>
        <v>0</v>
      </c>
      <c r="KY184" s="16">
        <f t="shared" si="207"/>
        <v>0</v>
      </c>
      <c r="KZ184" s="16">
        <f t="shared" si="207"/>
        <v>0</v>
      </c>
      <c r="LA184" s="16">
        <f t="shared" si="207"/>
        <v>0</v>
      </c>
      <c r="LB184" s="16">
        <f t="shared" si="207"/>
        <v>0</v>
      </c>
      <c r="LC184" s="16">
        <f t="shared" si="207"/>
        <v>0</v>
      </c>
      <c r="LD184" s="16">
        <f t="shared" si="207"/>
        <v>0</v>
      </c>
      <c r="LE184" s="16">
        <f t="shared" si="207"/>
        <v>0</v>
      </c>
      <c r="LF184" s="16">
        <f t="shared" si="207"/>
        <v>0</v>
      </c>
      <c r="LI184" s="9">
        <f t="shared" si="231"/>
        <v>11</v>
      </c>
      <c r="LJ184" s="16">
        <f t="shared" si="208"/>
        <v>0</v>
      </c>
      <c r="LK184" s="16">
        <f t="shared" si="208"/>
        <v>0</v>
      </c>
      <c r="LL184" s="16">
        <f t="shared" si="208"/>
        <v>0</v>
      </c>
      <c r="LM184" s="16">
        <f t="shared" si="208"/>
        <v>0</v>
      </c>
      <c r="LN184" s="16">
        <f t="shared" si="208"/>
        <v>0</v>
      </c>
      <c r="LO184" s="16">
        <f t="shared" si="208"/>
        <v>0</v>
      </c>
      <c r="LP184" s="16">
        <f t="shared" si="208"/>
        <v>0</v>
      </c>
      <c r="LQ184" s="16">
        <f t="shared" si="208"/>
        <v>0</v>
      </c>
      <c r="LR184" s="16">
        <f t="shared" si="208"/>
        <v>0.11957400742513874</v>
      </c>
      <c r="LS184" s="16">
        <f t="shared" si="208"/>
        <v>0.76041169897729755</v>
      </c>
      <c r="LT184" s="16">
        <f t="shared" si="209"/>
        <v>0.12066818242513871</v>
      </c>
      <c r="LU184" s="16">
        <f t="shared" si="209"/>
        <v>0</v>
      </c>
      <c r="LV184" s="16">
        <f t="shared" si="209"/>
        <v>0</v>
      </c>
      <c r="LW184" s="16">
        <f t="shared" si="209"/>
        <v>0</v>
      </c>
      <c r="LX184" s="16">
        <f t="shared" si="209"/>
        <v>0</v>
      </c>
      <c r="LY184" s="16">
        <f t="shared" si="209"/>
        <v>0</v>
      </c>
      <c r="LZ184" s="16">
        <f t="shared" si="209"/>
        <v>0</v>
      </c>
      <c r="MA184" s="16">
        <f t="shared" si="209"/>
        <v>0</v>
      </c>
      <c r="MB184" s="16">
        <f t="shared" si="209"/>
        <v>0</v>
      </c>
      <c r="MC184" s="16">
        <f t="shared" si="209"/>
        <v>0</v>
      </c>
      <c r="MD184" s="16">
        <f t="shared" si="209"/>
        <v>0</v>
      </c>
      <c r="MG184" s="9">
        <f t="shared" si="232"/>
        <v>11</v>
      </c>
      <c r="MH184" s="16">
        <f t="shared" si="210"/>
        <v>0</v>
      </c>
      <c r="MI184" s="16">
        <f t="shared" si="210"/>
        <v>0</v>
      </c>
      <c r="MJ184" s="16">
        <f t="shared" si="210"/>
        <v>0</v>
      </c>
      <c r="MK184" s="16">
        <f t="shared" si="210"/>
        <v>0</v>
      </c>
      <c r="ML184" s="16">
        <f t="shared" si="210"/>
        <v>0</v>
      </c>
      <c r="MM184" s="16">
        <f t="shared" si="210"/>
        <v>0</v>
      </c>
      <c r="MN184" s="16">
        <f t="shared" si="210"/>
        <v>0</v>
      </c>
      <c r="MO184" s="16">
        <f t="shared" si="210"/>
        <v>0</v>
      </c>
      <c r="MP184" s="16">
        <f t="shared" si="210"/>
        <v>1.66546290415986E-2</v>
      </c>
      <c r="MQ184" s="16">
        <f t="shared" si="210"/>
        <v>0.96662941752840281</v>
      </c>
      <c r="MR184" s="16">
        <f t="shared" si="211"/>
        <v>1.6807029041598597E-2</v>
      </c>
      <c r="MS184" s="16">
        <f t="shared" si="211"/>
        <v>0</v>
      </c>
      <c r="MT184" s="16">
        <f t="shared" si="211"/>
        <v>0</v>
      </c>
      <c r="MU184" s="16">
        <f t="shared" si="211"/>
        <v>0</v>
      </c>
      <c r="MV184" s="16">
        <f t="shared" si="211"/>
        <v>0</v>
      </c>
      <c r="MW184" s="16">
        <f t="shared" si="211"/>
        <v>0</v>
      </c>
      <c r="MX184" s="16">
        <f t="shared" si="211"/>
        <v>0</v>
      </c>
      <c r="MY184" s="16">
        <f t="shared" si="211"/>
        <v>0</v>
      </c>
      <c r="MZ184" s="16">
        <f t="shared" si="211"/>
        <v>0</v>
      </c>
      <c r="NA184" s="16">
        <f t="shared" si="211"/>
        <v>0</v>
      </c>
      <c r="NB184" s="16">
        <f t="shared" si="211"/>
        <v>0</v>
      </c>
      <c r="NE184" s="9">
        <f t="shared" si="233"/>
        <v>11</v>
      </c>
      <c r="NF184" s="16">
        <f t="shared" si="212"/>
        <v>0</v>
      </c>
      <c r="NG184" s="16">
        <f t="shared" si="212"/>
        <v>0</v>
      </c>
      <c r="NH184" s="16">
        <f t="shared" si="212"/>
        <v>0</v>
      </c>
      <c r="NI184" s="16">
        <f t="shared" si="212"/>
        <v>0</v>
      </c>
      <c r="NJ184" s="16">
        <f t="shared" si="212"/>
        <v>0</v>
      </c>
      <c r="NK184" s="16">
        <f t="shared" si="212"/>
        <v>0</v>
      </c>
      <c r="NL184" s="16">
        <f t="shared" si="212"/>
        <v>0</v>
      </c>
      <c r="NM184" s="16">
        <f t="shared" si="212"/>
        <v>0</v>
      </c>
      <c r="NN184" s="16">
        <f t="shared" si="212"/>
        <v>0.11957400742513874</v>
      </c>
      <c r="NO184" s="16">
        <f t="shared" si="212"/>
        <v>0.76041169897729755</v>
      </c>
      <c r="NP184" s="16">
        <f t="shared" si="213"/>
        <v>0.12066818242513871</v>
      </c>
      <c r="NQ184" s="16">
        <f t="shared" si="213"/>
        <v>0</v>
      </c>
      <c r="NR184" s="16">
        <f t="shared" si="213"/>
        <v>0</v>
      </c>
      <c r="NS184" s="16">
        <f t="shared" si="213"/>
        <v>0</v>
      </c>
      <c r="NT184" s="16">
        <f t="shared" si="213"/>
        <v>0</v>
      </c>
      <c r="NU184" s="16">
        <f t="shared" si="213"/>
        <v>0</v>
      </c>
      <c r="NV184" s="16">
        <f t="shared" si="213"/>
        <v>0</v>
      </c>
      <c r="NW184" s="16">
        <f t="shared" si="213"/>
        <v>0</v>
      </c>
      <c r="NX184" s="16">
        <f t="shared" si="213"/>
        <v>0</v>
      </c>
      <c r="NY184" s="16">
        <f t="shared" si="213"/>
        <v>0</v>
      </c>
      <c r="NZ184" s="16">
        <f t="shared" si="213"/>
        <v>0</v>
      </c>
      <c r="OC184" s="9">
        <f t="shared" si="234"/>
        <v>11</v>
      </c>
      <c r="OD184" s="16">
        <f t="shared" si="214"/>
        <v>0</v>
      </c>
      <c r="OE184" s="16">
        <f t="shared" si="214"/>
        <v>0</v>
      </c>
      <c r="OF184" s="16">
        <f t="shared" si="214"/>
        <v>0</v>
      </c>
      <c r="OG184" s="16">
        <f t="shared" si="214"/>
        <v>0</v>
      </c>
      <c r="OH184" s="16">
        <f t="shared" si="214"/>
        <v>0</v>
      </c>
      <c r="OI184" s="16">
        <f t="shared" si="214"/>
        <v>0</v>
      </c>
      <c r="OJ184" s="16">
        <f t="shared" si="214"/>
        <v>0</v>
      </c>
      <c r="OK184" s="16">
        <f t="shared" si="214"/>
        <v>0</v>
      </c>
      <c r="OL184" s="16">
        <f t="shared" si="214"/>
        <v>1.8151250726143809E-2</v>
      </c>
      <c r="OM184" s="16">
        <f t="shared" si="214"/>
        <v>0.96363066341456738</v>
      </c>
      <c r="ON184" s="16">
        <f t="shared" si="215"/>
        <v>1.8317345726143804E-2</v>
      </c>
      <c r="OO184" s="16">
        <f t="shared" si="215"/>
        <v>0</v>
      </c>
      <c r="OP184" s="16">
        <f t="shared" si="215"/>
        <v>0</v>
      </c>
      <c r="OQ184" s="16">
        <f t="shared" si="215"/>
        <v>0</v>
      </c>
      <c r="OR184" s="16">
        <f t="shared" si="215"/>
        <v>0</v>
      </c>
      <c r="OS184" s="16">
        <f t="shared" si="215"/>
        <v>0</v>
      </c>
      <c r="OT184" s="16">
        <f t="shared" si="215"/>
        <v>0</v>
      </c>
      <c r="OU184" s="16">
        <f t="shared" si="215"/>
        <v>0</v>
      </c>
      <c r="OV184" s="16">
        <f t="shared" si="215"/>
        <v>0</v>
      </c>
      <c r="OW184" s="16">
        <f t="shared" si="215"/>
        <v>0</v>
      </c>
      <c r="OX184" s="16">
        <f t="shared" si="215"/>
        <v>0</v>
      </c>
      <c r="PA184" s="9">
        <f t="shared" si="235"/>
        <v>11</v>
      </c>
      <c r="PB184" s="16">
        <f t="shared" si="216"/>
        <v>0</v>
      </c>
      <c r="PC184" s="16">
        <f t="shared" si="216"/>
        <v>0</v>
      </c>
      <c r="PD184" s="16">
        <f t="shared" si="216"/>
        <v>0</v>
      </c>
      <c r="PE184" s="16">
        <f t="shared" si="216"/>
        <v>0</v>
      </c>
      <c r="PF184" s="16">
        <f t="shared" si="216"/>
        <v>0</v>
      </c>
      <c r="PG184" s="16">
        <f t="shared" si="216"/>
        <v>0</v>
      </c>
      <c r="PH184" s="16">
        <f t="shared" si="216"/>
        <v>0</v>
      </c>
      <c r="PI184" s="16">
        <f t="shared" si="216"/>
        <v>0</v>
      </c>
      <c r="PJ184" s="16">
        <f t="shared" si="216"/>
        <v>0.11956908971971307</v>
      </c>
      <c r="PK184" s="16">
        <f t="shared" si="216"/>
        <v>0.76042155249574384</v>
      </c>
      <c r="PL184" s="16">
        <f t="shared" si="217"/>
        <v>0.12066321971971304</v>
      </c>
      <c r="PM184" s="16">
        <f t="shared" si="217"/>
        <v>0</v>
      </c>
      <c r="PN184" s="16">
        <f t="shared" si="217"/>
        <v>0</v>
      </c>
      <c r="PO184" s="16">
        <f t="shared" si="217"/>
        <v>0</v>
      </c>
      <c r="PP184" s="16">
        <f t="shared" si="217"/>
        <v>0</v>
      </c>
      <c r="PQ184" s="16">
        <f t="shared" si="217"/>
        <v>0</v>
      </c>
      <c r="PR184" s="16">
        <f t="shared" si="217"/>
        <v>0</v>
      </c>
      <c r="PS184" s="16">
        <f t="shared" si="217"/>
        <v>0</v>
      </c>
      <c r="PT184" s="16">
        <f t="shared" si="217"/>
        <v>0</v>
      </c>
      <c r="PU184" s="16">
        <f t="shared" si="217"/>
        <v>0</v>
      </c>
      <c r="PV184" s="16">
        <f t="shared" si="217"/>
        <v>0</v>
      </c>
    </row>
    <row r="185" spans="3:438" x14ac:dyDescent="0.25">
      <c r="C185" s="1"/>
      <c r="D185" s="1"/>
      <c r="I185" s="9">
        <f t="shared" si="218"/>
        <v>10</v>
      </c>
      <c r="J185" s="16">
        <f t="shared" ref="J185:S195" si="236">IF(J$174=$I185,1-HLOOKUP($I185,$I$27:$AD$45,J$107,0),IF(J$174-$I185=1,-HLOOKUP($I185,$I$7:$AD$25,J$107,0),IF(J$174-$I185=-1,-HLOOKUP($I185,$I$47:$AD$65,J$107,0),0)))</f>
        <v>0</v>
      </c>
      <c r="K185" s="16">
        <f t="shared" si="236"/>
        <v>0</v>
      </c>
      <c r="L185" s="16">
        <f t="shared" si="236"/>
        <v>0</v>
      </c>
      <c r="M185" s="16">
        <f t="shared" si="236"/>
        <v>0</v>
      </c>
      <c r="N185" s="16">
        <f t="shared" si="236"/>
        <v>0</v>
      </c>
      <c r="O185" s="16">
        <f t="shared" si="236"/>
        <v>0</v>
      </c>
      <c r="P185" s="16">
        <f t="shared" si="236"/>
        <v>0</v>
      </c>
      <c r="Q185" s="16">
        <f t="shared" si="236"/>
        <v>0</v>
      </c>
      <c r="R185" s="16">
        <f t="shared" si="236"/>
        <v>0</v>
      </c>
      <c r="S185" s="16">
        <f t="shared" si="236"/>
        <v>1.450721509183911E-2</v>
      </c>
      <c r="T185" s="16">
        <f t="shared" ref="T185:AD195" si="237">IF(T$174=$I185,1-HLOOKUP($I185,$I$27:$AD$45,T$107,0),IF(T$174-$I185=1,-HLOOKUP($I185,$I$7:$AD$25,T$107,0),IF(T$174-$I185=-1,-HLOOKUP($I185,$I$47:$AD$65,T$107,0),0)))</f>
        <v>0.97098556981632178</v>
      </c>
      <c r="U185" s="16">
        <f t="shared" si="237"/>
        <v>1.450721509183911E-2</v>
      </c>
      <c r="V185" s="16">
        <f t="shared" si="237"/>
        <v>0</v>
      </c>
      <c r="W185" s="16">
        <f t="shared" si="237"/>
        <v>0</v>
      </c>
      <c r="X185" s="16">
        <f t="shared" si="237"/>
        <v>0</v>
      </c>
      <c r="Y185" s="16">
        <f t="shared" si="237"/>
        <v>0</v>
      </c>
      <c r="Z185" s="16">
        <f t="shared" si="237"/>
        <v>0</v>
      </c>
      <c r="AA185" s="16">
        <f t="shared" si="237"/>
        <v>0</v>
      </c>
      <c r="AB185" s="16">
        <f t="shared" si="237"/>
        <v>0</v>
      </c>
      <c r="AC185" s="16">
        <f t="shared" si="237"/>
        <v>0</v>
      </c>
      <c r="AD185" s="16">
        <f t="shared" si="237"/>
        <v>0</v>
      </c>
      <c r="AG185" s="9">
        <f t="shared" si="219"/>
        <v>10</v>
      </c>
      <c r="AH185" s="16">
        <f t="shared" ref="AH185:AQ195" si="238">IF(AH$174=$I185,1-HLOOKUP($I185,$I$27:$AD$45,AH$107,0),IF(AH$174-$I185=1,-HLOOKUP($I185,$I$7:$AD$25,AH$107,0),IF(AH$174-$I185=-1,-HLOOKUP($I185,$I$47:$AD$65,AH$107,0),0)))</f>
        <v>0</v>
      </c>
      <c r="AI185" s="16">
        <f t="shared" si="238"/>
        <v>0</v>
      </c>
      <c r="AJ185" s="16">
        <f t="shared" si="238"/>
        <v>0</v>
      </c>
      <c r="AK185" s="16">
        <f t="shared" si="238"/>
        <v>0</v>
      </c>
      <c r="AL185" s="16">
        <f t="shared" si="238"/>
        <v>0</v>
      </c>
      <c r="AM185" s="16">
        <f t="shared" si="238"/>
        <v>0</v>
      </c>
      <c r="AN185" s="16">
        <f t="shared" si="238"/>
        <v>0</v>
      </c>
      <c r="AO185" s="16">
        <f t="shared" si="238"/>
        <v>0</v>
      </c>
      <c r="AP185" s="16">
        <f t="shared" si="238"/>
        <v>0</v>
      </c>
      <c r="AQ185" s="16">
        <f t="shared" si="238"/>
        <v>5.805913103004192E-2</v>
      </c>
      <c r="AR185" s="16">
        <f t="shared" ref="AR185:BB195" si="239">IF(AR$174=$I185,1-HLOOKUP($I185,$I$27:$AD$45,AR$107,0),IF(AR$174-$I185=1,-HLOOKUP($I185,$I$7:$AD$25,AR$107,0),IF(AR$174-$I185=-1,-HLOOKUP($I185,$I$47:$AD$65,AR$107,0),0)))</f>
        <v>0.8838817379399162</v>
      </c>
      <c r="AS185" s="16">
        <f t="shared" si="239"/>
        <v>5.805913103004192E-2</v>
      </c>
      <c r="AT185" s="16">
        <f t="shared" si="239"/>
        <v>0</v>
      </c>
      <c r="AU185" s="16">
        <f t="shared" si="239"/>
        <v>0</v>
      </c>
      <c r="AV185" s="16">
        <f t="shared" si="239"/>
        <v>0</v>
      </c>
      <c r="AW185" s="16">
        <f t="shared" si="239"/>
        <v>0</v>
      </c>
      <c r="AX185" s="16">
        <f t="shared" si="239"/>
        <v>0</v>
      </c>
      <c r="AY185" s="16">
        <f t="shared" si="239"/>
        <v>0</v>
      </c>
      <c r="AZ185" s="16">
        <f t="shared" si="239"/>
        <v>0</v>
      </c>
      <c r="BA185" s="16">
        <f t="shared" si="239"/>
        <v>0</v>
      </c>
      <c r="BB185" s="16">
        <f t="shared" si="239"/>
        <v>0</v>
      </c>
      <c r="BE185" s="9">
        <f t="shared" si="220"/>
        <v>10</v>
      </c>
      <c r="BF185" s="16">
        <f t="shared" ref="BF185:BO195" si="240">IF(BF$174=$I185,1-HLOOKUP($I185,$I$27:$AD$45,BF$107,0),IF(BF$174-$I185=1,-HLOOKUP($I185,$I$7:$AD$25,BF$107,0),IF(BF$174-$I185=-1,-HLOOKUP($I185,$I$47:$AD$65,BF$107,0),0)))</f>
        <v>0</v>
      </c>
      <c r="BG185" s="16">
        <f t="shared" si="240"/>
        <v>0</v>
      </c>
      <c r="BH185" s="16">
        <f t="shared" si="240"/>
        <v>0</v>
      </c>
      <c r="BI185" s="16">
        <f t="shared" si="240"/>
        <v>0</v>
      </c>
      <c r="BJ185" s="16">
        <f t="shared" si="240"/>
        <v>0</v>
      </c>
      <c r="BK185" s="16">
        <f t="shared" si="240"/>
        <v>0</v>
      </c>
      <c r="BL185" s="16">
        <f t="shared" si="240"/>
        <v>0</v>
      </c>
      <c r="BM185" s="16">
        <f t="shared" si="240"/>
        <v>0</v>
      </c>
      <c r="BN185" s="16">
        <f t="shared" si="240"/>
        <v>0</v>
      </c>
      <c r="BO185" s="16">
        <f t="shared" si="240"/>
        <v>5.805156336437059E-2</v>
      </c>
      <c r="BP185" s="16">
        <f t="shared" ref="BP185:BZ195" si="241">IF(BP$174=$I185,1-HLOOKUP($I185,$I$27:$AD$45,BP$107,0),IF(BP$174-$I185=1,-HLOOKUP($I185,$I$7:$AD$25,BP$107,0),IF(BP$174-$I185=-1,-HLOOKUP($I185,$I$47:$AD$65,BP$107,0),0)))</f>
        <v>0.88389687327125888</v>
      </c>
      <c r="BQ185" s="16">
        <f t="shared" si="241"/>
        <v>5.805156336437059E-2</v>
      </c>
      <c r="BR185" s="16">
        <f t="shared" si="241"/>
        <v>0</v>
      </c>
      <c r="BS185" s="16">
        <f t="shared" si="241"/>
        <v>0</v>
      </c>
      <c r="BT185" s="16">
        <f t="shared" si="241"/>
        <v>0</v>
      </c>
      <c r="BU185" s="16">
        <f t="shared" si="241"/>
        <v>0</v>
      </c>
      <c r="BV185" s="16">
        <f t="shared" si="241"/>
        <v>0</v>
      </c>
      <c r="BW185" s="16">
        <f t="shared" si="241"/>
        <v>0</v>
      </c>
      <c r="BX185" s="16">
        <f t="shared" si="241"/>
        <v>0</v>
      </c>
      <c r="BY185" s="16">
        <f t="shared" si="241"/>
        <v>0</v>
      </c>
      <c r="BZ185" s="16">
        <f t="shared" si="241"/>
        <v>0</v>
      </c>
      <c r="CC185" s="9">
        <f t="shared" si="221"/>
        <v>10</v>
      </c>
      <c r="CD185" s="16">
        <f t="shared" ref="CD185:CM195" si="242">IF(CD$174=$I185,1-HLOOKUP($I185,$I$27:$AD$45,CD$107,0),IF(CD$174-$I185=1,-HLOOKUP($I185,$I$7:$AD$25,CD$107,0),IF(CD$174-$I185=-1,-HLOOKUP($I185,$I$47:$AD$65,CD$107,0),0)))</f>
        <v>0</v>
      </c>
      <c r="CE185" s="16">
        <f t="shared" si="242"/>
        <v>0</v>
      </c>
      <c r="CF185" s="16">
        <f t="shared" si="242"/>
        <v>0</v>
      </c>
      <c r="CG185" s="16">
        <f t="shared" si="242"/>
        <v>0</v>
      </c>
      <c r="CH185" s="16">
        <f t="shared" si="242"/>
        <v>0</v>
      </c>
      <c r="CI185" s="16">
        <f t="shared" si="242"/>
        <v>0</v>
      </c>
      <c r="CJ185" s="16">
        <f t="shared" si="242"/>
        <v>0</v>
      </c>
      <c r="CK185" s="16">
        <f t="shared" si="242"/>
        <v>0</v>
      </c>
      <c r="CL185" s="16">
        <f t="shared" si="242"/>
        <v>0</v>
      </c>
      <c r="CM185" s="16">
        <f t="shared" si="242"/>
        <v>5.8051563364370423E-2</v>
      </c>
      <c r="CN185" s="16">
        <f t="shared" ref="CN185:CX195" si="243">IF(CN$174=$I185,1-HLOOKUP($I185,$I$27:$AD$45,CN$107,0),IF(CN$174-$I185=1,-HLOOKUP($I185,$I$7:$AD$25,CN$107,0),IF(CN$174-$I185=-1,-HLOOKUP($I185,$I$47:$AD$65,CN$107,0),0)))</f>
        <v>0.8838968732712591</v>
      </c>
      <c r="CO185" s="16">
        <f t="shared" si="243"/>
        <v>5.8051563364370423E-2</v>
      </c>
      <c r="CP185" s="16">
        <f t="shared" si="243"/>
        <v>0</v>
      </c>
      <c r="CQ185" s="16">
        <f t="shared" si="243"/>
        <v>0</v>
      </c>
      <c r="CR185" s="16">
        <f t="shared" si="243"/>
        <v>0</v>
      </c>
      <c r="CS185" s="16">
        <f t="shared" si="243"/>
        <v>0</v>
      </c>
      <c r="CT185" s="16">
        <f t="shared" si="243"/>
        <v>0</v>
      </c>
      <c r="CU185" s="16">
        <f t="shared" si="243"/>
        <v>0</v>
      </c>
      <c r="CV185" s="16">
        <f t="shared" si="243"/>
        <v>0</v>
      </c>
      <c r="CW185" s="16">
        <f t="shared" si="243"/>
        <v>0</v>
      </c>
      <c r="CX185" s="16">
        <f t="shared" si="243"/>
        <v>0</v>
      </c>
      <c r="DA185" s="9">
        <f t="shared" si="222"/>
        <v>10</v>
      </c>
      <c r="DB185" s="16">
        <f t="shared" ref="DB185:DK195" si="244">IF(DB$174=$I185,1-HLOOKUP($I185,$I$27:$AD$45,DB$107,0),IF(DB$174-$I185=1,-HLOOKUP($I185,$I$7:$AD$25,DB$107,0),IF(DB$174-$I185=-1,-HLOOKUP($I185,$I$47:$AD$65,DB$107,0),0)))</f>
        <v>0</v>
      </c>
      <c r="DC185" s="16">
        <f t="shared" si="244"/>
        <v>0</v>
      </c>
      <c r="DD185" s="16">
        <f t="shared" si="244"/>
        <v>0</v>
      </c>
      <c r="DE185" s="16">
        <f t="shared" si="244"/>
        <v>0</v>
      </c>
      <c r="DF185" s="16">
        <f t="shared" si="244"/>
        <v>0</v>
      </c>
      <c r="DG185" s="16">
        <f t="shared" si="244"/>
        <v>0</v>
      </c>
      <c r="DH185" s="16">
        <f t="shared" si="244"/>
        <v>0</v>
      </c>
      <c r="DI185" s="16">
        <f t="shared" si="244"/>
        <v>0</v>
      </c>
      <c r="DJ185" s="16">
        <f t="shared" si="244"/>
        <v>0</v>
      </c>
      <c r="DK185" s="16">
        <f t="shared" si="244"/>
        <v>1.4514782757510605E-2</v>
      </c>
      <c r="DL185" s="16">
        <f t="shared" ref="DL185:DV195" si="245">IF(DL$174=$I185,1-HLOOKUP($I185,$I$27:$AD$45,DL$107,0),IF(DL$174-$I185=1,-HLOOKUP($I185,$I$7:$AD$25,DL$107,0),IF(DL$174-$I185=-1,-HLOOKUP($I185,$I$47:$AD$65,DL$107,0),0)))</f>
        <v>0.97097043448497877</v>
      </c>
      <c r="DM185" s="16">
        <f t="shared" si="245"/>
        <v>1.4514782757510605E-2</v>
      </c>
      <c r="DN185" s="16">
        <f t="shared" si="245"/>
        <v>0</v>
      </c>
      <c r="DO185" s="16">
        <f t="shared" si="245"/>
        <v>0</v>
      </c>
      <c r="DP185" s="16">
        <f t="shared" si="245"/>
        <v>0</v>
      </c>
      <c r="DQ185" s="16">
        <f t="shared" si="245"/>
        <v>0</v>
      </c>
      <c r="DR185" s="16">
        <f t="shared" si="245"/>
        <v>0</v>
      </c>
      <c r="DS185" s="16">
        <f t="shared" si="245"/>
        <v>0</v>
      </c>
      <c r="DT185" s="16">
        <f t="shared" si="245"/>
        <v>0</v>
      </c>
      <c r="DU185" s="16">
        <f t="shared" si="245"/>
        <v>0</v>
      </c>
      <c r="DV185" s="16">
        <f t="shared" si="245"/>
        <v>0</v>
      </c>
      <c r="DY185" s="9">
        <f t="shared" si="223"/>
        <v>10</v>
      </c>
      <c r="DZ185" s="16">
        <f t="shared" ref="DZ185:EI195" si="246">IF(DZ$174=$I185,1-HLOOKUP($I185,$I$27:$AD$45,DZ$107,0),IF(DZ$174-$I185=1,-HLOOKUP($I185,$I$7:$AD$25,DZ$107,0),IF(DZ$174-$I185=-1,-HLOOKUP($I185,$I$47:$AD$65,DZ$107,0),0)))</f>
        <v>0</v>
      </c>
      <c r="EA185" s="16">
        <f t="shared" si="246"/>
        <v>0</v>
      </c>
      <c r="EB185" s="16">
        <f t="shared" si="246"/>
        <v>0</v>
      </c>
      <c r="EC185" s="16">
        <f t="shared" si="246"/>
        <v>0</v>
      </c>
      <c r="ED185" s="16">
        <f t="shared" si="246"/>
        <v>0</v>
      </c>
      <c r="EE185" s="16">
        <f t="shared" si="246"/>
        <v>0</v>
      </c>
      <c r="EF185" s="16">
        <f t="shared" si="246"/>
        <v>0</v>
      </c>
      <c r="EG185" s="16">
        <f t="shared" si="246"/>
        <v>0</v>
      </c>
      <c r="EH185" s="16">
        <f t="shared" si="246"/>
        <v>0</v>
      </c>
      <c r="EI185" s="16">
        <f t="shared" si="246"/>
        <v>4.2107017578117634E-2</v>
      </c>
      <c r="EJ185" s="16">
        <f t="shared" ref="EJ185:ET195" si="247">IF(EJ$174=$I185,1-HLOOKUP($I185,$I$27:$AD$45,EJ$107,0),IF(EJ$174-$I185=1,-HLOOKUP($I185,$I$7:$AD$25,EJ$107,0),IF(EJ$174-$I185=-1,-HLOOKUP($I185,$I$47:$AD$65,EJ$107,0),0)))</f>
        <v>0.91578596484376473</v>
      </c>
      <c r="EK185" s="16">
        <f t="shared" si="247"/>
        <v>4.2107017578117634E-2</v>
      </c>
      <c r="EL185" s="16">
        <f t="shared" si="247"/>
        <v>0</v>
      </c>
      <c r="EM185" s="16">
        <f t="shared" si="247"/>
        <v>0</v>
      </c>
      <c r="EN185" s="16">
        <f t="shared" si="247"/>
        <v>0</v>
      </c>
      <c r="EO185" s="16">
        <f t="shared" si="247"/>
        <v>0</v>
      </c>
      <c r="EP185" s="16">
        <f t="shared" si="247"/>
        <v>0</v>
      </c>
      <c r="EQ185" s="16">
        <f t="shared" si="247"/>
        <v>0</v>
      </c>
      <c r="ER185" s="16">
        <f t="shared" si="247"/>
        <v>0</v>
      </c>
      <c r="ES185" s="16">
        <f t="shared" si="247"/>
        <v>0</v>
      </c>
      <c r="ET185" s="16">
        <f t="shared" si="247"/>
        <v>0</v>
      </c>
      <c r="EW185" s="9">
        <f t="shared" si="224"/>
        <v>10</v>
      </c>
      <c r="EX185" s="16">
        <f t="shared" ref="EX185:FG195" si="248">IF(EX$174=$I185,1-HLOOKUP($I185,$I$27:$AD$45,EX$107,0),IF(EX$174-$I185=1,-HLOOKUP($I185,$I$7:$AD$25,EX$107,0),IF(EX$174-$I185=-1,-HLOOKUP($I185,$I$47:$AD$65,EX$107,0),0)))</f>
        <v>0</v>
      </c>
      <c r="EY185" s="16">
        <f t="shared" si="248"/>
        <v>0</v>
      </c>
      <c r="EZ185" s="16">
        <f t="shared" si="248"/>
        <v>0</v>
      </c>
      <c r="FA185" s="16">
        <f t="shared" si="248"/>
        <v>0</v>
      </c>
      <c r="FB185" s="16">
        <f t="shared" si="248"/>
        <v>0</v>
      </c>
      <c r="FC185" s="16">
        <f t="shared" si="248"/>
        <v>0</v>
      </c>
      <c r="FD185" s="16">
        <f t="shared" si="248"/>
        <v>0</v>
      </c>
      <c r="FE185" s="16">
        <f t="shared" si="248"/>
        <v>0</v>
      </c>
      <c r="FF185" s="16">
        <f t="shared" si="248"/>
        <v>0</v>
      </c>
      <c r="FG185" s="16">
        <f t="shared" si="248"/>
        <v>4.2107017578117752E-2</v>
      </c>
      <c r="FH185" s="16">
        <f t="shared" ref="FH185:FR195" si="249">IF(FH$174=$I185,1-HLOOKUP($I185,$I$27:$AD$45,FH$107,0),IF(FH$174-$I185=1,-HLOOKUP($I185,$I$7:$AD$25,FH$107,0),IF(FH$174-$I185=-1,-HLOOKUP($I185,$I$47:$AD$65,FH$107,0),0)))</f>
        <v>0.91578596484376451</v>
      </c>
      <c r="FI185" s="16">
        <f t="shared" si="249"/>
        <v>4.2107017578117752E-2</v>
      </c>
      <c r="FJ185" s="16">
        <f t="shared" si="249"/>
        <v>0</v>
      </c>
      <c r="FK185" s="16">
        <f t="shared" si="249"/>
        <v>0</v>
      </c>
      <c r="FL185" s="16">
        <f t="shared" si="249"/>
        <v>0</v>
      </c>
      <c r="FM185" s="16">
        <f t="shared" si="249"/>
        <v>0</v>
      </c>
      <c r="FN185" s="16">
        <f t="shared" si="249"/>
        <v>0</v>
      </c>
      <c r="FO185" s="16">
        <f t="shared" si="249"/>
        <v>0</v>
      </c>
      <c r="FP185" s="16">
        <f t="shared" si="249"/>
        <v>0</v>
      </c>
      <c r="FQ185" s="16">
        <f t="shared" si="249"/>
        <v>0</v>
      </c>
      <c r="FR185" s="16">
        <f t="shared" si="249"/>
        <v>0</v>
      </c>
      <c r="FU185" s="9">
        <f t="shared" si="225"/>
        <v>10</v>
      </c>
      <c r="FV185" s="16">
        <f t="shared" ref="FV185:GE195" si="250">IF(FV$174=$I185,1-HLOOKUP($I185,$I$27:$AD$45,FV$107,0),IF(FV$174-$I185=1,-HLOOKUP($I185,$I$7:$AD$25,FV$107,0),IF(FV$174-$I185=-1,-HLOOKUP($I185,$I$47:$AD$65,FV$107,0),0)))</f>
        <v>0</v>
      </c>
      <c r="FW185" s="16">
        <f t="shared" si="250"/>
        <v>0</v>
      </c>
      <c r="FX185" s="16">
        <f t="shared" si="250"/>
        <v>0</v>
      </c>
      <c r="FY185" s="16">
        <f t="shared" si="250"/>
        <v>0</v>
      </c>
      <c r="FZ185" s="16">
        <f t="shared" si="250"/>
        <v>0</v>
      </c>
      <c r="GA185" s="16">
        <f t="shared" si="250"/>
        <v>0</v>
      </c>
      <c r="GB185" s="16">
        <f t="shared" si="250"/>
        <v>0</v>
      </c>
      <c r="GC185" s="16">
        <f t="shared" si="250"/>
        <v>0</v>
      </c>
      <c r="GD185" s="16">
        <f t="shared" si="250"/>
        <v>0</v>
      </c>
      <c r="GE185" s="16">
        <f t="shared" si="250"/>
        <v>4.2112506695257297E-2</v>
      </c>
      <c r="GF185" s="16">
        <f t="shared" ref="GF185:GP195" si="251">IF(GF$174=$I185,1-HLOOKUP($I185,$I$27:$AD$45,GF$107,0),IF(GF$174-$I185=1,-HLOOKUP($I185,$I$7:$AD$25,GF$107,0),IF(GF$174-$I185=-1,-HLOOKUP($I185,$I$47:$AD$65,GF$107,0),0)))</f>
        <v>0.91577498660948542</v>
      </c>
      <c r="GG185" s="16">
        <f t="shared" si="251"/>
        <v>4.2112506695257297E-2</v>
      </c>
      <c r="GH185" s="16">
        <f t="shared" si="251"/>
        <v>0</v>
      </c>
      <c r="GI185" s="16">
        <f t="shared" si="251"/>
        <v>0</v>
      </c>
      <c r="GJ185" s="16">
        <f t="shared" si="251"/>
        <v>0</v>
      </c>
      <c r="GK185" s="16">
        <f t="shared" si="251"/>
        <v>0</v>
      </c>
      <c r="GL185" s="16">
        <f t="shared" si="251"/>
        <v>0</v>
      </c>
      <c r="GM185" s="16">
        <f t="shared" si="251"/>
        <v>0</v>
      </c>
      <c r="GN185" s="16">
        <f t="shared" si="251"/>
        <v>0</v>
      </c>
      <c r="GO185" s="16">
        <f t="shared" si="251"/>
        <v>0</v>
      </c>
      <c r="GP185" s="16">
        <f t="shared" si="251"/>
        <v>0</v>
      </c>
      <c r="GS185" s="9">
        <f t="shared" si="226"/>
        <v>10</v>
      </c>
      <c r="GT185" s="16">
        <f t="shared" ref="GT185:HC195" si="252">IF(GT$174=$I185,1-HLOOKUP($I185,$I$27:$AD$45,GT$107,0),IF(GT$174-$I185=1,-HLOOKUP($I185,$I$7:$AD$25,GT$107,0),IF(GT$174-$I185=-1,-HLOOKUP($I185,$I$47:$AD$65,GT$107,0),0)))</f>
        <v>0</v>
      </c>
      <c r="GU185" s="16">
        <f t="shared" si="252"/>
        <v>0</v>
      </c>
      <c r="GV185" s="16">
        <f t="shared" si="252"/>
        <v>0</v>
      </c>
      <c r="GW185" s="16">
        <f t="shared" si="252"/>
        <v>0</v>
      </c>
      <c r="GX185" s="16">
        <f t="shared" si="252"/>
        <v>0</v>
      </c>
      <c r="GY185" s="16">
        <f t="shared" si="252"/>
        <v>0</v>
      </c>
      <c r="GZ185" s="16">
        <f t="shared" si="252"/>
        <v>0</v>
      </c>
      <c r="HA185" s="16">
        <f t="shared" si="252"/>
        <v>0</v>
      </c>
      <c r="HB185" s="16">
        <f t="shared" si="252"/>
        <v>0</v>
      </c>
      <c r="HC185" s="16">
        <f t="shared" si="252"/>
        <v>1.8229358020718255E-2</v>
      </c>
      <c r="HD185" s="16">
        <f t="shared" ref="HD185:HN195" si="253">IF(HD$174=$I185,1-HLOOKUP($I185,$I$27:$AD$45,HD$107,0),IF(HD$174-$I185=1,-HLOOKUP($I185,$I$7:$AD$25,HD$107,0),IF(HD$174-$I185=-1,-HLOOKUP($I185,$I$47:$AD$65,HD$107,0),0)))</f>
        <v>0.96354128395856353</v>
      </c>
      <c r="HE185" s="16">
        <f t="shared" si="253"/>
        <v>1.8229358020718255E-2</v>
      </c>
      <c r="HF185" s="16">
        <f t="shared" si="253"/>
        <v>0</v>
      </c>
      <c r="HG185" s="16">
        <f t="shared" si="253"/>
        <v>0</v>
      </c>
      <c r="HH185" s="16">
        <f t="shared" si="253"/>
        <v>0</v>
      </c>
      <c r="HI185" s="16">
        <f t="shared" si="253"/>
        <v>0</v>
      </c>
      <c r="HJ185" s="16">
        <f t="shared" si="253"/>
        <v>0</v>
      </c>
      <c r="HK185" s="16">
        <f t="shared" si="253"/>
        <v>0</v>
      </c>
      <c r="HL185" s="16">
        <f t="shared" si="253"/>
        <v>0</v>
      </c>
      <c r="HM185" s="16">
        <f t="shared" si="253"/>
        <v>0</v>
      </c>
      <c r="HN185" s="16">
        <f t="shared" si="253"/>
        <v>0</v>
      </c>
      <c r="HQ185" s="9">
        <f t="shared" si="227"/>
        <v>10</v>
      </c>
      <c r="HR185" s="16">
        <f t="shared" ref="HR185:IA195" si="254">IF(HR$174=$I185,1-HLOOKUP($I185,$I$27:$AD$45,HR$107,0),IF(HR$174-$I185=1,-HLOOKUP($I185,$I$7:$AD$25,HR$107,0),IF(HR$174-$I185=-1,-HLOOKUP($I185,$I$47:$AD$65,HR$107,0),0)))</f>
        <v>0</v>
      </c>
      <c r="HS185" s="16">
        <f t="shared" si="254"/>
        <v>0</v>
      </c>
      <c r="HT185" s="16">
        <f t="shared" si="254"/>
        <v>0</v>
      </c>
      <c r="HU185" s="16">
        <f t="shared" si="254"/>
        <v>0</v>
      </c>
      <c r="HV185" s="16">
        <f t="shared" si="254"/>
        <v>0</v>
      </c>
      <c r="HW185" s="16">
        <f t="shared" si="254"/>
        <v>0</v>
      </c>
      <c r="HX185" s="16">
        <f t="shared" si="254"/>
        <v>0</v>
      </c>
      <c r="HY185" s="16">
        <f t="shared" si="254"/>
        <v>0</v>
      </c>
      <c r="HZ185" s="16">
        <f t="shared" si="254"/>
        <v>0</v>
      </c>
      <c r="IA185" s="16">
        <f t="shared" si="254"/>
        <v>0.1201238394837085</v>
      </c>
      <c r="IB185" s="16">
        <f t="shared" ref="IB185:IL195" si="255">IF(IB$174=$I185,1-HLOOKUP($I185,$I$27:$AD$45,IB$107,0),IF(IB$174-$I185=1,-HLOOKUP($I185,$I$7:$AD$25,IB$107,0),IF(IB$174-$I185=-1,-HLOOKUP($I185,$I$47:$AD$65,IB$107,0),0)))</f>
        <v>0.75975232103258294</v>
      </c>
      <c r="IC185" s="16">
        <f t="shared" si="255"/>
        <v>0.1201238394837085</v>
      </c>
      <c r="ID185" s="16">
        <f t="shared" si="255"/>
        <v>0</v>
      </c>
      <c r="IE185" s="16">
        <f t="shared" si="255"/>
        <v>0</v>
      </c>
      <c r="IF185" s="16">
        <f t="shared" si="255"/>
        <v>0</v>
      </c>
      <c r="IG185" s="16">
        <f t="shared" si="255"/>
        <v>0</v>
      </c>
      <c r="IH185" s="16">
        <f t="shared" si="255"/>
        <v>0</v>
      </c>
      <c r="II185" s="16">
        <f t="shared" si="255"/>
        <v>0</v>
      </c>
      <c r="IJ185" s="16">
        <f t="shared" si="255"/>
        <v>0</v>
      </c>
      <c r="IK185" s="16">
        <f t="shared" si="255"/>
        <v>0</v>
      </c>
      <c r="IL185" s="16">
        <f t="shared" si="255"/>
        <v>0</v>
      </c>
      <c r="IO185" s="9">
        <f t="shared" si="228"/>
        <v>10</v>
      </c>
      <c r="IP185" s="16">
        <f t="shared" ref="IP185:IY195" si="256">IF(IP$174=$I185,1-HLOOKUP($I185,$I$27:$AD$45,IP$107,0),IF(IP$174-$I185=1,-HLOOKUP($I185,$I$7:$AD$25,IP$107,0),IF(IP$174-$I185=-1,-HLOOKUP($I185,$I$47:$AD$65,IP$107,0),0)))</f>
        <v>0</v>
      </c>
      <c r="IQ185" s="16">
        <f t="shared" si="256"/>
        <v>0</v>
      </c>
      <c r="IR185" s="16">
        <f t="shared" si="256"/>
        <v>0</v>
      </c>
      <c r="IS185" s="16">
        <f t="shared" si="256"/>
        <v>0</v>
      </c>
      <c r="IT185" s="16">
        <f t="shared" si="256"/>
        <v>0</v>
      </c>
      <c r="IU185" s="16">
        <f t="shared" si="256"/>
        <v>0</v>
      </c>
      <c r="IV185" s="16">
        <f t="shared" si="256"/>
        <v>0</v>
      </c>
      <c r="IW185" s="16">
        <f t="shared" si="256"/>
        <v>0</v>
      </c>
      <c r="IX185" s="16">
        <f t="shared" si="256"/>
        <v>0</v>
      </c>
      <c r="IY185" s="16">
        <f t="shared" si="256"/>
        <v>1.8234298226143822E-2</v>
      </c>
      <c r="IZ185" s="16">
        <f t="shared" ref="IZ185:JJ195" si="257">IF(IZ$174=$I185,1-HLOOKUP($I185,$I$27:$AD$45,IZ$107,0),IF(IZ$174-$I185=1,-HLOOKUP($I185,$I$7:$AD$25,IZ$107,0),IF(IZ$174-$I185=-1,-HLOOKUP($I185,$I$47:$AD$65,IZ$107,0),0)))</f>
        <v>0.96353140354771238</v>
      </c>
      <c r="JA185" s="16">
        <f t="shared" si="257"/>
        <v>1.8234298226143822E-2</v>
      </c>
      <c r="JB185" s="16">
        <f t="shared" si="257"/>
        <v>0</v>
      </c>
      <c r="JC185" s="16">
        <f t="shared" si="257"/>
        <v>0</v>
      </c>
      <c r="JD185" s="16">
        <f t="shared" si="257"/>
        <v>0</v>
      </c>
      <c r="JE185" s="16">
        <f t="shared" si="257"/>
        <v>0</v>
      </c>
      <c r="JF185" s="16">
        <f t="shared" si="257"/>
        <v>0</v>
      </c>
      <c r="JG185" s="16">
        <f t="shared" si="257"/>
        <v>0</v>
      </c>
      <c r="JH185" s="16">
        <f t="shared" si="257"/>
        <v>0</v>
      </c>
      <c r="JI185" s="16">
        <f t="shared" si="257"/>
        <v>0</v>
      </c>
      <c r="JJ185" s="16">
        <f t="shared" si="257"/>
        <v>0</v>
      </c>
      <c r="JM185" s="9">
        <f t="shared" si="229"/>
        <v>10</v>
      </c>
      <c r="JN185" s="16">
        <f t="shared" ref="JN185:JW195" si="258">IF(JN$174=$I185,1-HLOOKUP($I185,$I$27:$AD$45,JN$107,0),IF(JN$174-$I185=1,-HLOOKUP($I185,$I$7:$AD$25,JN$107,0),IF(JN$174-$I185=-1,-HLOOKUP($I185,$I$47:$AD$65,JN$107,0),0)))</f>
        <v>0</v>
      </c>
      <c r="JO185" s="16">
        <f t="shared" si="258"/>
        <v>0</v>
      </c>
      <c r="JP185" s="16">
        <f t="shared" si="258"/>
        <v>0</v>
      </c>
      <c r="JQ185" s="16">
        <f t="shared" si="258"/>
        <v>0</v>
      </c>
      <c r="JR185" s="16">
        <f t="shared" si="258"/>
        <v>0</v>
      </c>
      <c r="JS185" s="16">
        <f t="shared" si="258"/>
        <v>0</v>
      </c>
      <c r="JT185" s="16">
        <f t="shared" si="258"/>
        <v>0</v>
      </c>
      <c r="JU185" s="16">
        <f t="shared" si="258"/>
        <v>0</v>
      </c>
      <c r="JV185" s="16">
        <f t="shared" si="258"/>
        <v>0</v>
      </c>
      <c r="JW185" s="16">
        <f t="shared" si="258"/>
        <v>0.12012164383685271</v>
      </c>
      <c r="JX185" s="16">
        <f t="shared" ref="JX185:KH195" si="259">IF(JX$174=$I185,1-HLOOKUP($I185,$I$27:$AD$45,JX$107,0),IF(JX$174-$I185=1,-HLOOKUP($I185,$I$7:$AD$25,JX$107,0),IF(JX$174-$I185=-1,-HLOOKUP($I185,$I$47:$AD$65,JX$107,0),0)))</f>
        <v>0.7597567123262946</v>
      </c>
      <c r="JY185" s="16">
        <f t="shared" si="259"/>
        <v>0.12012164383685271</v>
      </c>
      <c r="JZ185" s="16">
        <f t="shared" si="259"/>
        <v>0</v>
      </c>
      <c r="KA185" s="16">
        <f t="shared" si="259"/>
        <v>0</v>
      </c>
      <c r="KB185" s="16">
        <f t="shared" si="259"/>
        <v>0</v>
      </c>
      <c r="KC185" s="16">
        <f t="shared" si="259"/>
        <v>0</v>
      </c>
      <c r="KD185" s="16">
        <f t="shared" si="259"/>
        <v>0</v>
      </c>
      <c r="KE185" s="16">
        <f t="shared" si="259"/>
        <v>0</v>
      </c>
      <c r="KF185" s="16">
        <f t="shared" si="259"/>
        <v>0</v>
      </c>
      <c r="KG185" s="16">
        <f t="shared" si="259"/>
        <v>0</v>
      </c>
      <c r="KH185" s="16">
        <f t="shared" si="259"/>
        <v>0</v>
      </c>
      <c r="KK185" s="9">
        <f t="shared" si="230"/>
        <v>10</v>
      </c>
      <c r="KL185" s="16">
        <f t="shared" ref="KL185:KU195" si="260">IF(KL$174=$I185,1-HLOOKUP($I185,$I$27:$AD$45,KL$107,0),IF(KL$174-$I185=1,-HLOOKUP($I185,$I$7:$AD$25,KL$107,0),IF(KL$174-$I185=-1,-HLOOKUP($I185,$I$47:$AD$65,KL$107,0),0)))</f>
        <v>0</v>
      </c>
      <c r="KM185" s="16">
        <f t="shared" si="260"/>
        <v>0</v>
      </c>
      <c r="KN185" s="16">
        <f t="shared" si="260"/>
        <v>0</v>
      </c>
      <c r="KO185" s="16">
        <f t="shared" si="260"/>
        <v>0</v>
      </c>
      <c r="KP185" s="16">
        <f t="shared" si="260"/>
        <v>0</v>
      </c>
      <c r="KQ185" s="16">
        <f t="shared" si="260"/>
        <v>0</v>
      </c>
      <c r="KR185" s="16">
        <f t="shared" si="260"/>
        <v>0</v>
      </c>
      <c r="KS185" s="16">
        <f t="shared" si="260"/>
        <v>0</v>
      </c>
      <c r="KT185" s="16">
        <f t="shared" si="260"/>
        <v>0</v>
      </c>
      <c r="KU185" s="16">
        <f t="shared" si="260"/>
        <v>1.5226810945339396E-2</v>
      </c>
      <c r="KV185" s="16">
        <f t="shared" ref="KV185:LF195" si="261">IF(KV$174=$I185,1-HLOOKUP($I185,$I$27:$AD$45,KV$107,0),IF(KV$174-$I185=1,-HLOOKUP($I185,$I$7:$AD$25,KV$107,0),IF(KV$174-$I185=-1,-HLOOKUP($I185,$I$47:$AD$65,KV$107,0),0)))</f>
        <v>0.96954637810932121</v>
      </c>
      <c r="KW185" s="16">
        <f t="shared" si="261"/>
        <v>1.5226810945339396E-2</v>
      </c>
      <c r="KX185" s="16">
        <f t="shared" si="261"/>
        <v>0</v>
      </c>
      <c r="KY185" s="16">
        <f t="shared" si="261"/>
        <v>0</v>
      </c>
      <c r="KZ185" s="16">
        <f t="shared" si="261"/>
        <v>0</v>
      </c>
      <c r="LA185" s="16">
        <f t="shared" si="261"/>
        <v>0</v>
      </c>
      <c r="LB185" s="16">
        <f t="shared" si="261"/>
        <v>0</v>
      </c>
      <c r="LC185" s="16">
        <f t="shared" si="261"/>
        <v>0</v>
      </c>
      <c r="LD185" s="16">
        <f t="shared" si="261"/>
        <v>0</v>
      </c>
      <c r="LE185" s="16">
        <f t="shared" si="261"/>
        <v>0</v>
      </c>
      <c r="LF185" s="16">
        <f t="shared" si="261"/>
        <v>0</v>
      </c>
      <c r="LI185" s="9">
        <f t="shared" si="231"/>
        <v>10</v>
      </c>
      <c r="LJ185" s="16">
        <f t="shared" ref="LJ185:LS195" si="262">IF(LJ$174=$I185,1-HLOOKUP($I185,$I$27:$AD$45,LJ$107,0),IF(LJ$174-$I185=1,-HLOOKUP($I185,$I$7:$AD$25,LJ$107,0),IF(LJ$174-$I185=-1,-HLOOKUP($I185,$I$47:$AD$65,LJ$107,0),0)))</f>
        <v>0</v>
      </c>
      <c r="LK185" s="16">
        <f t="shared" si="262"/>
        <v>0</v>
      </c>
      <c r="LL185" s="16">
        <f t="shared" si="262"/>
        <v>0</v>
      </c>
      <c r="LM185" s="16">
        <f t="shared" si="262"/>
        <v>0</v>
      </c>
      <c r="LN185" s="16">
        <f t="shared" si="262"/>
        <v>0</v>
      </c>
      <c r="LO185" s="16">
        <f t="shared" si="262"/>
        <v>0</v>
      </c>
      <c r="LP185" s="16">
        <f t="shared" si="262"/>
        <v>0</v>
      </c>
      <c r="LQ185" s="16">
        <f t="shared" si="262"/>
        <v>0</v>
      </c>
      <c r="LR185" s="16">
        <f t="shared" si="262"/>
        <v>0</v>
      </c>
      <c r="LS185" s="16">
        <f t="shared" si="262"/>
        <v>0.12012109492513873</v>
      </c>
      <c r="LT185" s="16">
        <f t="shared" ref="LT185:MD195" si="263">IF(LT$174=$I185,1-HLOOKUP($I185,$I$27:$AD$45,LT$107,0),IF(LT$174-$I185=1,-HLOOKUP($I185,$I$7:$AD$25,LT$107,0),IF(LT$174-$I185=-1,-HLOOKUP($I185,$I$47:$AD$65,LT$107,0),0)))</f>
        <v>0.75975781014972255</v>
      </c>
      <c r="LU185" s="16">
        <f t="shared" si="263"/>
        <v>0.12012109492513873</v>
      </c>
      <c r="LV185" s="16">
        <f t="shared" si="263"/>
        <v>0</v>
      </c>
      <c r="LW185" s="16">
        <f t="shared" si="263"/>
        <v>0</v>
      </c>
      <c r="LX185" s="16">
        <f t="shared" si="263"/>
        <v>0</v>
      </c>
      <c r="LY185" s="16">
        <f t="shared" si="263"/>
        <v>0</v>
      </c>
      <c r="LZ185" s="16">
        <f t="shared" si="263"/>
        <v>0</v>
      </c>
      <c r="MA185" s="16">
        <f t="shared" si="263"/>
        <v>0</v>
      </c>
      <c r="MB185" s="16">
        <f t="shared" si="263"/>
        <v>0</v>
      </c>
      <c r="MC185" s="16">
        <f t="shared" si="263"/>
        <v>0</v>
      </c>
      <c r="MD185" s="16">
        <f t="shared" si="263"/>
        <v>0</v>
      </c>
      <c r="MG185" s="9">
        <f t="shared" si="232"/>
        <v>10</v>
      </c>
      <c r="MH185" s="16">
        <f t="shared" ref="MH185:MQ195" si="264">IF(MH$174=$I185,1-HLOOKUP($I185,$I$27:$AD$45,MH$107,0),IF(MH$174-$I185=1,-HLOOKUP($I185,$I$7:$AD$25,MH$107,0),IF(MH$174-$I185=-1,-HLOOKUP($I185,$I$47:$AD$65,MH$107,0),0)))</f>
        <v>0</v>
      </c>
      <c r="MI185" s="16">
        <f t="shared" si="264"/>
        <v>0</v>
      </c>
      <c r="MJ185" s="16">
        <f t="shared" si="264"/>
        <v>0</v>
      </c>
      <c r="MK185" s="16">
        <f t="shared" si="264"/>
        <v>0</v>
      </c>
      <c r="ML185" s="16">
        <f t="shared" si="264"/>
        <v>0</v>
      </c>
      <c r="MM185" s="16">
        <f t="shared" si="264"/>
        <v>0</v>
      </c>
      <c r="MN185" s="16">
        <f t="shared" si="264"/>
        <v>0</v>
      </c>
      <c r="MO185" s="16">
        <f t="shared" si="264"/>
        <v>0</v>
      </c>
      <c r="MP185" s="16">
        <f t="shared" si="264"/>
        <v>0</v>
      </c>
      <c r="MQ185" s="16">
        <f t="shared" si="264"/>
        <v>1.6730829041598599E-2</v>
      </c>
      <c r="MR185" s="16">
        <f t="shared" ref="MR185:NB195" si="265">IF(MR$174=$I185,1-HLOOKUP($I185,$I$27:$AD$45,MR$107,0),IF(MR$174-$I185=1,-HLOOKUP($I185,$I$7:$AD$25,MR$107,0),IF(MR$174-$I185=-1,-HLOOKUP($I185,$I$47:$AD$65,MR$107,0),0)))</f>
        <v>0.96653834191680277</v>
      </c>
      <c r="MS185" s="16">
        <f t="shared" si="265"/>
        <v>1.6730829041598599E-2</v>
      </c>
      <c r="MT185" s="16">
        <f t="shared" si="265"/>
        <v>0</v>
      </c>
      <c r="MU185" s="16">
        <f t="shared" si="265"/>
        <v>0</v>
      </c>
      <c r="MV185" s="16">
        <f t="shared" si="265"/>
        <v>0</v>
      </c>
      <c r="MW185" s="16">
        <f t="shared" si="265"/>
        <v>0</v>
      </c>
      <c r="MX185" s="16">
        <f t="shared" si="265"/>
        <v>0</v>
      </c>
      <c r="MY185" s="16">
        <f t="shared" si="265"/>
        <v>0</v>
      </c>
      <c r="MZ185" s="16">
        <f t="shared" si="265"/>
        <v>0</v>
      </c>
      <c r="NA185" s="16">
        <f t="shared" si="265"/>
        <v>0</v>
      </c>
      <c r="NB185" s="16">
        <f t="shared" si="265"/>
        <v>0</v>
      </c>
      <c r="NE185" s="9">
        <f t="shared" si="233"/>
        <v>10</v>
      </c>
      <c r="NF185" s="16">
        <f t="shared" ref="NF185:NO195" si="266">IF(NF$174=$I185,1-HLOOKUP($I185,$I$27:$AD$45,NF$107,0),IF(NF$174-$I185=1,-HLOOKUP($I185,$I$7:$AD$25,NF$107,0),IF(NF$174-$I185=-1,-HLOOKUP($I185,$I$47:$AD$65,NF$107,0),0)))</f>
        <v>0</v>
      </c>
      <c r="NG185" s="16">
        <f t="shared" si="266"/>
        <v>0</v>
      </c>
      <c r="NH185" s="16">
        <f t="shared" si="266"/>
        <v>0</v>
      </c>
      <c r="NI185" s="16">
        <f t="shared" si="266"/>
        <v>0</v>
      </c>
      <c r="NJ185" s="16">
        <f t="shared" si="266"/>
        <v>0</v>
      </c>
      <c r="NK185" s="16">
        <f t="shared" si="266"/>
        <v>0</v>
      </c>
      <c r="NL185" s="16">
        <f t="shared" si="266"/>
        <v>0</v>
      </c>
      <c r="NM185" s="16">
        <f t="shared" si="266"/>
        <v>0</v>
      </c>
      <c r="NN185" s="16">
        <f t="shared" si="266"/>
        <v>0</v>
      </c>
      <c r="NO185" s="16">
        <f t="shared" si="266"/>
        <v>0.12012109492513873</v>
      </c>
      <c r="NP185" s="16">
        <f t="shared" ref="NP185:NZ195" si="267">IF(NP$174=$I185,1-HLOOKUP($I185,$I$27:$AD$45,NP$107,0),IF(NP$174-$I185=1,-HLOOKUP($I185,$I$7:$AD$25,NP$107,0),IF(NP$174-$I185=-1,-HLOOKUP($I185,$I$47:$AD$65,NP$107,0),0)))</f>
        <v>0.75975781014972255</v>
      </c>
      <c r="NQ185" s="16">
        <f t="shared" si="267"/>
        <v>0.12012109492513873</v>
      </c>
      <c r="NR185" s="16">
        <f t="shared" si="267"/>
        <v>0</v>
      </c>
      <c r="NS185" s="16">
        <f t="shared" si="267"/>
        <v>0</v>
      </c>
      <c r="NT185" s="16">
        <f t="shared" si="267"/>
        <v>0</v>
      </c>
      <c r="NU185" s="16">
        <f t="shared" si="267"/>
        <v>0</v>
      </c>
      <c r="NV185" s="16">
        <f t="shared" si="267"/>
        <v>0</v>
      </c>
      <c r="NW185" s="16">
        <f t="shared" si="267"/>
        <v>0</v>
      </c>
      <c r="NX185" s="16">
        <f t="shared" si="267"/>
        <v>0</v>
      </c>
      <c r="NY185" s="16">
        <f t="shared" si="267"/>
        <v>0</v>
      </c>
      <c r="NZ185" s="16">
        <f t="shared" si="267"/>
        <v>0</v>
      </c>
      <c r="OC185" s="9">
        <f t="shared" si="234"/>
        <v>10</v>
      </c>
      <c r="OD185" s="16">
        <f t="shared" ref="OD185:OM195" si="268">IF(OD$174=$I185,1-HLOOKUP($I185,$I$27:$AD$45,OD$107,0),IF(OD$174-$I185=1,-HLOOKUP($I185,$I$7:$AD$25,OD$107,0),IF(OD$174-$I185=-1,-HLOOKUP($I185,$I$47:$AD$65,OD$107,0),0)))</f>
        <v>0</v>
      </c>
      <c r="OE185" s="16">
        <f t="shared" si="268"/>
        <v>0</v>
      </c>
      <c r="OF185" s="16">
        <f t="shared" si="268"/>
        <v>0</v>
      </c>
      <c r="OG185" s="16">
        <f t="shared" si="268"/>
        <v>0</v>
      </c>
      <c r="OH185" s="16">
        <f t="shared" si="268"/>
        <v>0</v>
      </c>
      <c r="OI185" s="16">
        <f t="shared" si="268"/>
        <v>0</v>
      </c>
      <c r="OJ185" s="16">
        <f t="shared" si="268"/>
        <v>0</v>
      </c>
      <c r="OK185" s="16">
        <f t="shared" si="268"/>
        <v>0</v>
      </c>
      <c r="OL185" s="16">
        <f t="shared" si="268"/>
        <v>0</v>
      </c>
      <c r="OM185" s="16">
        <f t="shared" si="268"/>
        <v>1.8234298226143808E-2</v>
      </c>
      <c r="ON185" s="16">
        <f t="shared" ref="ON185:OX195" si="269">IF(ON$174=$I185,1-HLOOKUP($I185,$I$27:$AD$45,ON$107,0),IF(ON$174-$I185=1,-HLOOKUP($I185,$I$7:$AD$25,ON$107,0),IF(ON$174-$I185=-1,-HLOOKUP($I185,$I$47:$AD$65,ON$107,0),0)))</f>
        <v>0.96353140354771238</v>
      </c>
      <c r="OO185" s="16">
        <f t="shared" si="269"/>
        <v>1.8234298226143808E-2</v>
      </c>
      <c r="OP185" s="16">
        <f t="shared" si="269"/>
        <v>0</v>
      </c>
      <c r="OQ185" s="16">
        <f t="shared" si="269"/>
        <v>0</v>
      </c>
      <c r="OR185" s="16">
        <f t="shared" si="269"/>
        <v>0</v>
      </c>
      <c r="OS185" s="16">
        <f t="shared" si="269"/>
        <v>0</v>
      </c>
      <c r="OT185" s="16">
        <f t="shared" si="269"/>
        <v>0</v>
      </c>
      <c r="OU185" s="16">
        <f t="shared" si="269"/>
        <v>0</v>
      </c>
      <c r="OV185" s="16">
        <f t="shared" si="269"/>
        <v>0</v>
      </c>
      <c r="OW185" s="16">
        <f t="shared" si="269"/>
        <v>0</v>
      </c>
      <c r="OX185" s="16">
        <f t="shared" si="269"/>
        <v>0</v>
      </c>
      <c r="PA185" s="9">
        <f t="shared" si="235"/>
        <v>10</v>
      </c>
      <c r="PB185" s="16">
        <f t="shared" ref="PB185:PK195" si="270">IF(PB$174=$I185,1-HLOOKUP($I185,$I$27:$AD$45,PB$107,0),IF(PB$174-$I185=1,-HLOOKUP($I185,$I$7:$AD$25,PB$107,0),IF(PB$174-$I185=-1,-HLOOKUP($I185,$I$47:$AD$65,PB$107,0),0)))</f>
        <v>0</v>
      </c>
      <c r="PC185" s="16">
        <f t="shared" si="270"/>
        <v>0</v>
      </c>
      <c r="PD185" s="16">
        <f t="shared" si="270"/>
        <v>0</v>
      </c>
      <c r="PE185" s="16">
        <f t="shared" si="270"/>
        <v>0</v>
      </c>
      <c r="PF185" s="16">
        <f t="shared" si="270"/>
        <v>0</v>
      </c>
      <c r="PG185" s="16">
        <f t="shared" si="270"/>
        <v>0</v>
      </c>
      <c r="PH185" s="16">
        <f t="shared" si="270"/>
        <v>0</v>
      </c>
      <c r="PI185" s="16">
        <f t="shared" si="270"/>
        <v>0</v>
      </c>
      <c r="PJ185" s="16">
        <f t="shared" si="270"/>
        <v>0</v>
      </c>
      <c r="PK185" s="16">
        <f t="shared" si="270"/>
        <v>0.12011615471971306</v>
      </c>
      <c r="PL185" s="16">
        <f t="shared" ref="PL185:PV195" si="271">IF(PL$174=$I185,1-HLOOKUP($I185,$I$27:$AD$45,PL$107,0),IF(PL$174-$I185=1,-HLOOKUP($I185,$I$7:$AD$25,PL$107,0),IF(PL$174-$I185=-1,-HLOOKUP($I185,$I$47:$AD$65,PL$107,0),0)))</f>
        <v>0.75976769056057392</v>
      </c>
      <c r="PM185" s="16">
        <f t="shared" si="271"/>
        <v>0.12011615471971306</v>
      </c>
      <c r="PN185" s="16">
        <f t="shared" si="271"/>
        <v>0</v>
      </c>
      <c r="PO185" s="16">
        <f t="shared" si="271"/>
        <v>0</v>
      </c>
      <c r="PP185" s="16">
        <f t="shared" si="271"/>
        <v>0</v>
      </c>
      <c r="PQ185" s="16">
        <f t="shared" si="271"/>
        <v>0</v>
      </c>
      <c r="PR185" s="16">
        <f t="shared" si="271"/>
        <v>0</v>
      </c>
      <c r="PS185" s="16">
        <f t="shared" si="271"/>
        <v>0</v>
      </c>
      <c r="PT185" s="16">
        <f t="shared" si="271"/>
        <v>0</v>
      </c>
      <c r="PU185" s="16">
        <f t="shared" si="271"/>
        <v>0</v>
      </c>
      <c r="PV185" s="16">
        <f t="shared" si="271"/>
        <v>0</v>
      </c>
    </row>
    <row r="186" spans="3:438" x14ac:dyDescent="0.25">
      <c r="C186" s="1"/>
      <c r="D186" s="1"/>
      <c r="I186" s="9">
        <f t="shared" si="218"/>
        <v>9</v>
      </c>
      <c r="J186" s="16">
        <f t="shared" si="236"/>
        <v>0</v>
      </c>
      <c r="K186" s="16">
        <f t="shared" si="236"/>
        <v>0</v>
      </c>
      <c r="L186" s="16">
        <f t="shared" si="236"/>
        <v>0</v>
      </c>
      <c r="M186" s="16">
        <f t="shared" si="236"/>
        <v>0</v>
      </c>
      <c r="N186" s="16">
        <f t="shared" si="236"/>
        <v>0</v>
      </c>
      <c r="O186" s="16">
        <f t="shared" si="236"/>
        <v>0</v>
      </c>
      <c r="P186" s="16">
        <f t="shared" si="236"/>
        <v>0</v>
      </c>
      <c r="Q186" s="16">
        <f t="shared" si="236"/>
        <v>0</v>
      </c>
      <c r="R186" s="16">
        <f t="shared" si="236"/>
        <v>0</v>
      </c>
      <c r="S186" s="16">
        <f t="shared" si="236"/>
        <v>0</v>
      </c>
      <c r="T186" s="16">
        <f t="shared" si="237"/>
        <v>1.4555140091839109E-2</v>
      </c>
      <c r="U186" s="16">
        <f t="shared" si="237"/>
        <v>0.97092828899367178</v>
      </c>
      <c r="V186" s="16">
        <f t="shared" si="237"/>
        <v>1.4459290091839112E-2</v>
      </c>
      <c r="W186" s="16">
        <f t="shared" si="237"/>
        <v>0</v>
      </c>
      <c r="X186" s="16">
        <f t="shared" si="237"/>
        <v>0</v>
      </c>
      <c r="Y186" s="16">
        <f t="shared" si="237"/>
        <v>0</v>
      </c>
      <c r="Z186" s="16">
        <f t="shared" si="237"/>
        <v>0</v>
      </c>
      <c r="AA186" s="16">
        <f t="shared" si="237"/>
        <v>0</v>
      </c>
      <c r="AB186" s="16">
        <f t="shared" si="237"/>
        <v>0</v>
      </c>
      <c r="AC186" s="16">
        <f t="shared" si="237"/>
        <v>0</v>
      </c>
      <c r="AD186" s="16">
        <f t="shared" si="237"/>
        <v>0</v>
      </c>
      <c r="AG186" s="9">
        <f t="shared" si="219"/>
        <v>9</v>
      </c>
      <c r="AH186" s="16">
        <f t="shared" si="238"/>
        <v>0</v>
      </c>
      <c r="AI186" s="16">
        <f t="shared" si="238"/>
        <v>0</v>
      </c>
      <c r="AJ186" s="16">
        <f t="shared" si="238"/>
        <v>0</v>
      </c>
      <c r="AK186" s="16">
        <f t="shared" si="238"/>
        <v>0</v>
      </c>
      <c r="AL186" s="16">
        <f t="shared" si="238"/>
        <v>0</v>
      </c>
      <c r="AM186" s="16">
        <f t="shared" si="238"/>
        <v>0</v>
      </c>
      <c r="AN186" s="16">
        <f t="shared" si="238"/>
        <v>0</v>
      </c>
      <c r="AO186" s="16">
        <f t="shared" si="238"/>
        <v>0</v>
      </c>
      <c r="AP186" s="16">
        <f t="shared" si="238"/>
        <v>0</v>
      </c>
      <c r="AQ186" s="16">
        <f t="shared" si="238"/>
        <v>0</v>
      </c>
      <c r="AR186" s="16">
        <f t="shared" si="239"/>
        <v>5.8250931030041912E-2</v>
      </c>
      <c r="AS186" s="16">
        <f t="shared" si="239"/>
        <v>0.8836524951275162</v>
      </c>
      <c r="AT186" s="16">
        <f t="shared" si="239"/>
        <v>5.7867331030041921E-2</v>
      </c>
      <c r="AU186" s="16">
        <f t="shared" si="239"/>
        <v>0</v>
      </c>
      <c r="AV186" s="16">
        <f t="shared" si="239"/>
        <v>0</v>
      </c>
      <c r="AW186" s="16">
        <f t="shared" si="239"/>
        <v>0</v>
      </c>
      <c r="AX186" s="16">
        <f t="shared" si="239"/>
        <v>0</v>
      </c>
      <c r="AY186" s="16">
        <f t="shared" si="239"/>
        <v>0</v>
      </c>
      <c r="AZ186" s="16">
        <f t="shared" si="239"/>
        <v>0</v>
      </c>
      <c r="BA186" s="16">
        <f t="shared" si="239"/>
        <v>0</v>
      </c>
      <c r="BB186" s="16">
        <f t="shared" si="239"/>
        <v>0</v>
      </c>
      <c r="BE186" s="9">
        <f t="shared" si="220"/>
        <v>9</v>
      </c>
      <c r="BF186" s="16">
        <f t="shared" si="240"/>
        <v>0</v>
      </c>
      <c r="BG186" s="16">
        <f t="shared" si="240"/>
        <v>0</v>
      </c>
      <c r="BH186" s="16">
        <f t="shared" si="240"/>
        <v>0</v>
      </c>
      <c r="BI186" s="16">
        <f t="shared" si="240"/>
        <v>0</v>
      </c>
      <c r="BJ186" s="16">
        <f t="shared" si="240"/>
        <v>0</v>
      </c>
      <c r="BK186" s="16">
        <f t="shared" si="240"/>
        <v>0</v>
      </c>
      <c r="BL186" s="16">
        <f t="shared" si="240"/>
        <v>0</v>
      </c>
      <c r="BM186" s="16">
        <f t="shared" si="240"/>
        <v>0</v>
      </c>
      <c r="BN186" s="16">
        <f t="shared" si="240"/>
        <v>0</v>
      </c>
      <c r="BO186" s="16">
        <f t="shared" si="240"/>
        <v>0</v>
      </c>
      <c r="BP186" s="16">
        <f t="shared" si="241"/>
        <v>5.8243338364370588E-2</v>
      </c>
      <c r="BQ186" s="16">
        <f t="shared" si="241"/>
        <v>0.88366766033930877</v>
      </c>
      <c r="BR186" s="16">
        <f t="shared" si="241"/>
        <v>5.7859788364370592E-2</v>
      </c>
      <c r="BS186" s="16">
        <f t="shared" si="241"/>
        <v>0</v>
      </c>
      <c r="BT186" s="16">
        <f t="shared" si="241"/>
        <v>0</v>
      </c>
      <c r="BU186" s="16">
        <f t="shared" si="241"/>
        <v>0</v>
      </c>
      <c r="BV186" s="16">
        <f t="shared" si="241"/>
        <v>0</v>
      </c>
      <c r="BW186" s="16">
        <f t="shared" si="241"/>
        <v>0</v>
      </c>
      <c r="BX186" s="16">
        <f t="shared" si="241"/>
        <v>0</v>
      </c>
      <c r="BY186" s="16">
        <f t="shared" si="241"/>
        <v>0</v>
      </c>
      <c r="BZ186" s="16">
        <f t="shared" si="241"/>
        <v>0</v>
      </c>
      <c r="CC186" s="9">
        <f t="shared" si="221"/>
        <v>9</v>
      </c>
      <c r="CD186" s="16">
        <f t="shared" si="242"/>
        <v>0</v>
      </c>
      <c r="CE186" s="16">
        <f t="shared" si="242"/>
        <v>0</v>
      </c>
      <c r="CF186" s="16">
        <f t="shared" si="242"/>
        <v>0</v>
      </c>
      <c r="CG186" s="16">
        <f t="shared" si="242"/>
        <v>0</v>
      </c>
      <c r="CH186" s="16">
        <f t="shared" si="242"/>
        <v>0</v>
      </c>
      <c r="CI186" s="16">
        <f t="shared" si="242"/>
        <v>0</v>
      </c>
      <c r="CJ186" s="16">
        <f t="shared" si="242"/>
        <v>0</v>
      </c>
      <c r="CK186" s="16">
        <f t="shared" si="242"/>
        <v>0</v>
      </c>
      <c r="CL186" s="16">
        <f t="shared" si="242"/>
        <v>0</v>
      </c>
      <c r="CM186" s="16">
        <f t="shared" si="242"/>
        <v>0</v>
      </c>
      <c r="CN186" s="16">
        <f t="shared" si="243"/>
        <v>5.8243338364370421E-2</v>
      </c>
      <c r="CO186" s="16">
        <f t="shared" si="243"/>
        <v>0.88366766033930921</v>
      </c>
      <c r="CP186" s="16">
        <f t="shared" si="243"/>
        <v>5.7859788364370425E-2</v>
      </c>
      <c r="CQ186" s="16">
        <f t="shared" si="243"/>
        <v>0</v>
      </c>
      <c r="CR186" s="16">
        <f t="shared" si="243"/>
        <v>0</v>
      </c>
      <c r="CS186" s="16">
        <f t="shared" si="243"/>
        <v>0</v>
      </c>
      <c r="CT186" s="16">
        <f t="shared" si="243"/>
        <v>0</v>
      </c>
      <c r="CU186" s="16">
        <f t="shared" si="243"/>
        <v>0</v>
      </c>
      <c r="CV186" s="16">
        <f t="shared" si="243"/>
        <v>0</v>
      </c>
      <c r="CW186" s="16">
        <f t="shared" si="243"/>
        <v>0</v>
      </c>
      <c r="CX186" s="16">
        <f t="shared" si="243"/>
        <v>0</v>
      </c>
      <c r="DA186" s="9">
        <f t="shared" si="222"/>
        <v>9</v>
      </c>
      <c r="DB186" s="16">
        <f t="shared" si="244"/>
        <v>0</v>
      </c>
      <c r="DC186" s="16">
        <f t="shared" si="244"/>
        <v>0</v>
      </c>
      <c r="DD186" s="16">
        <f t="shared" si="244"/>
        <v>0</v>
      </c>
      <c r="DE186" s="16">
        <f t="shared" si="244"/>
        <v>0</v>
      </c>
      <c r="DF186" s="16">
        <f t="shared" si="244"/>
        <v>0</v>
      </c>
      <c r="DG186" s="16">
        <f t="shared" si="244"/>
        <v>0</v>
      </c>
      <c r="DH186" s="16">
        <f t="shared" si="244"/>
        <v>0</v>
      </c>
      <c r="DI186" s="16">
        <f t="shared" si="244"/>
        <v>0</v>
      </c>
      <c r="DJ186" s="16">
        <f t="shared" si="244"/>
        <v>0</v>
      </c>
      <c r="DK186" s="16">
        <f t="shared" si="244"/>
        <v>0</v>
      </c>
      <c r="DL186" s="16">
        <f t="shared" si="245"/>
        <v>1.4562732757510605E-2</v>
      </c>
      <c r="DM186" s="16">
        <f t="shared" si="245"/>
        <v>0.97091312378187877</v>
      </c>
      <c r="DN186" s="16">
        <f t="shared" si="245"/>
        <v>1.4466832757510605E-2</v>
      </c>
      <c r="DO186" s="16">
        <f t="shared" si="245"/>
        <v>0</v>
      </c>
      <c r="DP186" s="16">
        <f t="shared" si="245"/>
        <v>0</v>
      </c>
      <c r="DQ186" s="16">
        <f t="shared" si="245"/>
        <v>0</v>
      </c>
      <c r="DR186" s="16">
        <f t="shared" si="245"/>
        <v>0</v>
      </c>
      <c r="DS186" s="16">
        <f t="shared" si="245"/>
        <v>0</v>
      </c>
      <c r="DT186" s="16">
        <f t="shared" si="245"/>
        <v>0</v>
      </c>
      <c r="DU186" s="16">
        <f t="shared" si="245"/>
        <v>0</v>
      </c>
      <c r="DV186" s="16">
        <f t="shared" si="245"/>
        <v>0</v>
      </c>
      <c r="DY186" s="9">
        <f t="shared" si="223"/>
        <v>9</v>
      </c>
      <c r="DZ186" s="16">
        <f t="shared" si="246"/>
        <v>0</v>
      </c>
      <c r="EA186" s="16">
        <f t="shared" si="246"/>
        <v>0</v>
      </c>
      <c r="EB186" s="16">
        <f t="shared" si="246"/>
        <v>0</v>
      </c>
      <c r="EC186" s="16">
        <f t="shared" si="246"/>
        <v>0</v>
      </c>
      <c r="ED186" s="16">
        <f t="shared" si="246"/>
        <v>0</v>
      </c>
      <c r="EE186" s="16">
        <f t="shared" si="246"/>
        <v>0</v>
      </c>
      <c r="EF186" s="16">
        <f t="shared" si="246"/>
        <v>0</v>
      </c>
      <c r="EG186" s="16">
        <f t="shared" si="246"/>
        <v>0</v>
      </c>
      <c r="EH186" s="16">
        <f t="shared" si="246"/>
        <v>0</v>
      </c>
      <c r="EI186" s="16">
        <f t="shared" si="246"/>
        <v>0</v>
      </c>
      <c r="EJ186" s="16">
        <f t="shared" si="247"/>
        <v>4.2298792578117625E-2</v>
      </c>
      <c r="EK186" s="16">
        <f t="shared" si="247"/>
        <v>0.91555675191181474</v>
      </c>
      <c r="EL186" s="16">
        <f t="shared" si="247"/>
        <v>4.1915242578117635E-2</v>
      </c>
      <c r="EM186" s="16">
        <f t="shared" si="247"/>
        <v>0</v>
      </c>
      <c r="EN186" s="16">
        <f t="shared" si="247"/>
        <v>0</v>
      </c>
      <c r="EO186" s="16">
        <f t="shared" si="247"/>
        <v>0</v>
      </c>
      <c r="EP186" s="16">
        <f t="shared" si="247"/>
        <v>0</v>
      </c>
      <c r="EQ186" s="16">
        <f t="shared" si="247"/>
        <v>0</v>
      </c>
      <c r="ER186" s="16">
        <f t="shared" si="247"/>
        <v>0</v>
      </c>
      <c r="ES186" s="16">
        <f t="shared" si="247"/>
        <v>0</v>
      </c>
      <c r="ET186" s="16">
        <f t="shared" si="247"/>
        <v>0</v>
      </c>
      <c r="EW186" s="9">
        <f t="shared" si="224"/>
        <v>9</v>
      </c>
      <c r="EX186" s="16">
        <f t="shared" si="248"/>
        <v>0</v>
      </c>
      <c r="EY186" s="16">
        <f t="shared" si="248"/>
        <v>0</v>
      </c>
      <c r="EZ186" s="16">
        <f t="shared" si="248"/>
        <v>0</v>
      </c>
      <c r="FA186" s="16">
        <f t="shared" si="248"/>
        <v>0</v>
      </c>
      <c r="FB186" s="16">
        <f t="shared" si="248"/>
        <v>0</v>
      </c>
      <c r="FC186" s="16">
        <f t="shared" si="248"/>
        <v>0</v>
      </c>
      <c r="FD186" s="16">
        <f t="shared" si="248"/>
        <v>0</v>
      </c>
      <c r="FE186" s="16">
        <f t="shared" si="248"/>
        <v>0</v>
      </c>
      <c r="FF186" s="16">
        <f t="shared" si="248"/>
        <v>0</v>
      </c>
      <c r="FG186" s="16">
        <f t="shared" si="248"/>
        <v>0</v>
      </c>
      <c r="FH186" s="16">
        <f t="shared" si="249"/>
        <v>4.229879257811775E-2</v>
      </c>
      <c r="FI186" s="16">
        <f t="shared" si="249"/>
        <v>0.91555675191181451</v>
      </c>
      <c r="FJ186" s="16">
        <f t="shared" si="249"/>
        <v>4.191524257811776E-2</v>
      </c>
      <c r="FK186" s="16">
        <f t="shared" si="249"/>
        <v>0</v>
      </c>
      <c r="FL186" s="16">
        <f t="shared" si="249"/>
        <v>0</v>
      </c>
      <c r="FM186" s="16">
        <f t="shared" si="249"/>
        <v>0</v>
      </c>
      <c r="FN186" s="16">
        <f t="shared" si="249"/>
        <v>0</v>
      </c>
      <c r="FO186" s="16">
        <f t="shared" si="249"/>
        <v>0</v>
      </c>
      <c r="FP186" s="16">
        <f t="shared" si="249"/>
        <v>0</v>
      </c>
      <c r="FQ186" s="16">
        <f t="shared" si="249"/>
        <v>0</v>
      </c>
      <c r="FR186" s="16">
        <f t="shared" si="249"/>
        <v>0</v>
      </c>
      <c r="FU186" s="9">
        <f t="shared" si="225"/>
        <v>9</v>
      </c>
      <c r="FV186" s="16">
        <f t="shared" si="250"/>
        <v>0</v>
      </c>
      <c r="FW186" s="16">
        <f t="shared" si="250"/>
        <v>0</v>
      </c>
      <c r="FX186" s="16">
        <f t="shared" si="250"/>
        <v>0</v>
      </c>
      <c r="FY186" s="16">
        <f t="shared" si="250"/>
        <v>0</v>
      </c>
      <c r="FZ186" s="16">
        <f t="shared" si="250"/>
        <v>0</v>
      </c>
      <c r="GA186" s="16">
        <f t="shared" si="250"/>
        <v>0</v>
      </c>
      <c r="GB186" s="16">
        <f t="shared" si="250"/>
        <v>0</v>
      </c>
      <c r="GC186" s="16">
        <f t="shared" si="250"/>
        <v>0</v>
      </c>
      <c r="GD186" s="16">
        <f t="shared" si="250"/>
        <v>0</v>
      </c>
      <c r="GE186" s="16">
        <f t="shared" si="250"/>
        <v>0</v>
      </c>
      <c r="GF186" s="16">
        <f t="shared" si="251"/>
        <v>4.2304306695257296E-2</v>
      </c>
      <c r="GG186" s="16">
        <f t="shared" si="251"/>
        <v>0.91554574379708542</v>
      </c>
      <c r="GH186" s="16">
        <f t="shared" si="251"/>
        <v>4.1920706695257305E-2</v>
      </c>
      <c r="GI186" s="16">
        <f t="shared" si="251"/>
        <v>0</v>
      </c>
      <c r="GJ186" s="16">
        <f t="shared" si="251"/>
        <v>0</v>
      </c>
      <c r="GK186" s="16">
        <f t="shared" si="251"/>
        <v>0</v>
      </c>
      <c r="GL186" s="16">
        <f t="shared" si="251"/>
        <v>0</v>
      </c>
      <c r="GM186" s="16">
        <f t="shared" si="251"/>
        <v>0</v>
      </c>
      <c r="GN186" s="16">
        <f t="shared" si="251"/>
        <v>0</v>
      </c>
      <c r="GO186" s="16">
        <f t="shared" si="251"/>
        <v>0</v>
      </c>
      <c r="GP186" s="16">
        <f t="shared" si="251"/>
        <v>0</v>
      </c>
      <c r="GS186" s="9">
        <f t="shared" si="226"/>
        <v>9</v>
      </c>
      <c r="GT186" s="16">
        <f t="shared" si="252"/>
        <v>0</v>
      </c>
      <c r="GU186" s="16">
        <f t="shared" si="252"/>
        <v>0</v>
      </c>
      <c r="GV186" s="16">
        <f t="shared" si="252"/>
        <v>0</v>
      </c>
      <c r="GW186" s="16">
        <f t="shared" si="252"/>
        <v>0</v>
      </c>
      <c r="GX186" s="16">
        <f t="shared" si="252"/>
        <v>0</v>
      </c>
      <c r="GY186" s="16">
        <f t="shared" si="252"/>
        <v>0</v>
      </c>
      <c r="GZ186" s="16">
        <f t="shared" si="252"/>
        <v>0</v>
      </c>
      <c r="HA186" s="16">
        <f t="shared" si="252"/>
        <v>0</v>
      </c>
      <c r="HB186" s="16">
        <f t="shared" si="252"/>
        <v>0</v>
      </c>
      <c r="HC186" s="16">
        <f t="shared" si="252"/>
        <v>0</v>
      </c>
      <c r="HD186" s="16">
        <f t="shared" si="253"/>
        <v>1.8312383020718252E-2</v>
      </c>
      <c r="HE186" s="16">
        <f t="shared" si="253"/>
        <v>0.96344205098411351</v>
      </c>
      <c r="HF186" s="16">
        <f t="shared" si="253"/>
        <v>1.8146333020718258E-2</v>
      </c>
      <c r="HG186" s="16">
        <f t="shared" si="253"/>
        <v>0</v>
      </c>
      <c r="HH186" s="16">
        <f t="shared" si="253"/>
        <v>0</v>
      </c>
      <c r="HI186" s="16">
        <f t="shared" si="253"/>
        <v>0</v>
      </c>
      <c r="HJ186" s="16">
        <f t="shared" si="253"/>
        <v>0</v>
      </c>
      <c r="HK186" s="16">
        <f t="shared" si="253"/>
        <v>0</v>
      </c>
      <c r="HL186" s="16">
        <f t="shared" si="253"/>
        <v>0</v>
      </c>
      <c r="HM186" s="16">
        <f t="shared" si="253"/>
        <v>0</v>
      </c>
      <c r="HN186" s="16">
        <f t="shared" si="253"/>
        <v>0</v>
      </c>
      <c r="HQ186" s="9">
        <f t="shared" si="227"/>
        <v>9</v>
      </c>
      <c r="HR186" s="16">
        <f t="shared" si="254"/>
        <v>0</v>
      </c>
      <c r="HS186" s="16">
        <f t="shared" si="254"/>
        <v>0</v>
      </c>
      <c r="HT186" s="16">
        <f t="shared" si="254"/>
        <v>0</v>
      </c>
      <c r="HU186" s="16">
        <f t="shared" si="254"/>
        <v>0</v>
      </c>
      <c r="HV186" s="16">
        <f t="shared" si="254"/>
        <v>0</v>
      </c>
      <c r="HW186" s="16">
        <f t="shared" si="254"/>
        <v>0</v>
      </c>
      <c r="HX186" s="16">
        <f t="shared" si="254"/>
        <v>0</v>
      </c>
      <c r="HY186" s="16">
        <f t="shared" si="254"/>
        <v>0</v>
      </c>
      <c r="HZ186" s="16">
        <f t="shared" si="254"/>
        <v>0</v>
      </c>
      <c r="IA186" s="16">
        <f t="shared" si="254"/>
        <v>0</v>
      </c>
      <c r="IB186" s="16">
        <f t="shared" si="255"/>
        <v>0.12067093948370849</v>
      </c>
      <c r="IC186" s="16">
        <f t="shared" si="255"/>
        <v>0.759098417264783</v>
      </c>
      <c r="ID186" s="16">
        <f t="shared" si="255"/>
        <v>0.11957673948370852</v>
      </c>
      <c r="IE186" s="16">
        <f t="shared" si="255"/>
        <v>0</v>
      </c>
      <c r="IF186" s="16">
        <f t="shared" si="255"/>
        <v>0</v>
      </c>
      <c r="IG186" s="16">
        <f t="shared" si="255"/>
        <v>0</v>
      </c>
      <c r="IH186" s="16">
        <f t="shared" si="255"/>
        <v>0</v>
      </c>
      <c r="II186" s="16">
        <f t="shared" si="255"/>
        <v>0</v>
      </c>
      <c r="IJ186" s="16">
        <f t="shared" si="255"/>
        <v>0</v>
      </c>
      <c r="IK186" s="16">
        <f t="shared" si="255"/>
        <v>0</v>
      </c>
      <c r="IL186" s="16">
        <f t="shared" si="255"/>
        <v>0</v>
      </c>
      <c r="IO186" s="9">
        <f t="shared" si="228"/>
        <v>9</v>
      </c>
      <c r="IP186" s="16">
        <f t="shared" si="256"/>
        <v>0</v>
      </c>
      <c r="IQ186" s="16">
        <f t="shared" si="256"/>
        <v>0</v>
      </c>
      <c r="IR186" s="16">
        <f t="shared" si="256"/>
        <v>0</v>
      </c>
      <c r="IS186" s="16">
        <f t="shared" si="256"/>
        <v>0</v>
      </c>
      <c r="IT186" s="16">
        <f t="shared" si="256"/>
        <v>0</v>
      </c>
      <c r="IU186" s="16">
        <f t="shared" si="256"/>
        <v>0</v>
      </c>
      <c r="IV186" s="16">
        <f t="shared" si="256"/>
        <v>0</v>
      </c>
      <c r="IW186" s="16">
        <f t="shared" si="256"/>
        <v>0</v>
      </c>
      <c r="IX186" s="16">
        <f t="shared" si="256"/>
        <v>0</v>
      </c>
      <c r="IY186" s="16">
        <f t="shared" si="256"/>
        <v>0</v>
      </c>
      <c r="IZ186" s="16">
        <f t="shared" si="257"/>
        <v>1.8317345726143821E-2</v>
      </c>
      <c r="JA186" s="16">
        <f t="shared" si="257"/>
        <v>0.96343214368085739</v>
      </c>
      <c r="JB186" s="16">
        <f t="shared" si="257"/>
        <v>1.8151250726143823E-2</v>
      </c>
      <c r="JC186" s="16">
        <f t="shared" si="257"/>
        <v>0</v>
      </c>
      <c r="JD186" s="16">
        <f t="shared" si="257"/>
        <v>0</v>
      </c>
      <c r="JE186" s="16">
        <f t="shared" si="257"/>
        <v>0</v>
      </c>
      <c r="JF186" s="16">
        <f t="shared" si="257"/>
        <v>0</v>
      </c>
      <c r="JG186" s="16">
        <f t="shared" si="257"/>
        <v>0</v>
      </c>
      <c r="JH186" s="16">
        <f t="shared" si="257"/>
        <v>0</v>
      </c>
      <c r="JI186" s="16">
        <f t="shared" si="257"/>
        <v>0</v>
      </c>
      <c r="JJ186" s="16">
        <f t="shared" si="257"/>
        <v>0</v>
      </c>
      <c r="JM186" s="9">
        <f t="shared" si="229"/>
        <v>9</v>
      </c>
      <c r="JN186" s="16">
        <f t="shared" si="258"/>
        <v>0</v>
      </c>
      <c r="JO186" s="16">
        <f t="shared" si="258"/>
        <v>0</v>
      </c>
      <c r="JP186" s="16">
        <f t="shared" si="258"/>
        <v>0</v>
      </c>
      <c r="JQ186" s="16">
        <f t="shared" si="258"/>
        <v>0</v>
      </c>
      <c r="JR186" s="16">
        <f t="shared" si="258"/>
        <v>0</v>
      </c>
      <c r="JS186" s="16">
        <f t="shared" si="258"/>
        <v>0</v>
      </c>
      <c r="JT186" s="16">
        <f t="shared" si="258"/>
        <v>0</v>
      </c>
      <c r="JU186" s="16">
        <f t="shared" si="258"/>
        <v>0</v>
      </c>
      <c r="JV186" s="16">
        <f t="shared" si="258"/>
        <v>0</v>
      </c>
      <c r="JW186" s="16">
        <f t="shared" si="258"/>
        <v>0</v>
      </c>
      <c r="JX186" s="16">
        <f t="shared" si="259"/>
        <v>0.1206687338368527</v>
      </c>
      <c r="JY186" s="16">
        <f t="shared" si="259"/>
        <v>0.75910282051067457</v>
      </c>
      <c r="JZ186" s="16">
        <f t="shared" si="259"/>
        <v>0.11957455383685273</v>
      </c>
      <c r="KA186" s="16">
        <f t="shared" si="259"/>
        <v>0</v>
      </c>
      <c r="KB186" s="16">
        <f t="shared" si="259"/>
        <v>0</v>
      </c>
      <c r="KC186" s="16">
        <f t="shared" si="259"/>
        <v>0</v>
      </c>
      <c r="KD186" s="16">
        <f t="shared" si="259"/>
        <v>0</v>
      </c>
      <c r="KE186" s="16">
        <f t="shared" si="259"/>
        <v>0</v>
      </c>
      <c r="KF186" s="16">
        <f t="shared" si="259"/>
        <v>0</v>
      </c>
      <c r="KG186" s="16">
        <f t="shared" si="259"/>
        <v>0</v>
      </c>
      <c r="KH186" s="16">
        <f t="shared" si="259"/>
        <v>0</v>
      </c>
      <c r="KK186" s="9">
        <f t="shared" si="230"/>
        <v>9</v>
      </c>
      <c r="KL186" s="16">
        <f t="shared" si="260"/>
        <v>0</v>
      </c>
      <c r="KM186" s="16">
        <f t="shared" si="260"/>
        <v>0</v>
      </c>
      <c r="KN186" s="16">
        <f t="shared" si="260"/>
        <v>0</v>
      </c>
      <c r="KO186" s="16">
        <f t="shared" si="260"/>
        <v>0</v>
      </c>
      <c r="KP186" s="16">
        <f t="shared" si="260"/>
        <v>0</v>
      </c>
      <c r="KQ186" s="16">
        <f t="shared" si="260"/>
        <v>0</v>
      </c>
      <c r="KR186" s="16">
        <f t="shared" si="260"/>
        <v>0</v>
      </c>
      <c r="KS186" s="16">
        <f t="shared" si="260"/>
        <v>0</v>
      </c>
      <c r="KT186" s="16">
        <f t="shared" si="260"/>
        <v>0</v>
      </c>
      <c r="KU186" s="16">
        <f t="shared" si="260"/>
        <v>0</v>
      </c>
      <c r="KV186" s="16">
        <f t="shared" si="261"/>
        <v>1.5296160945339395E-2</v>
      </c>
      <c r="KW186" s="16">
        <f t="shared" si="261"/>
        <v>0.96946348974102126</v>
      </c>
      <c r="KX186" s="16">
        <f t="shared" si="261"/>
        <v>1.5157460945339398E-2</v>
      </c>
      <c r="KY186" s="16">
        <f t="shared" si="261"/>
        <v>0</v>
      </c>
      <c r="KZ186" s="16">
        <f t="shared" si="261"/>
        <v>0</v>
      </c>
      <c r="LA186" s="16">
        <f t="shared" si="261"/>
        <v>0</v>
      </c>
      <c r="LB186" s="16">
        <f t="shared" si="261"/>
        <v>0</v>
      </c>
      <c r="LC186" s="16">
        <f t="shared" si="261"/>
        <v>0</v>
      </c>
      <c r="LD186" s="16">
        <f t="shared" si="261"/>
        <v>0</v>
      </c>
      <c r="LE186" s="16">
        <f t="shared" si="261"/>
        <v>0</v>
      </c>
      <c r="LF186" s="16">
        <f t="shared" si="261"/>
        <v>0</v>
      </c>
      <c r="LI186" s="9">
        <f t="shared" si="231"/>
        <v>9</v>
      </c>
      <c r="LJ186" s="16">
        <f t="shared" si="262"/>
        <v>0</v>
      </c>
      <c r="LK186" s="16">
        <f t="shared" si="262"/>
        <v>0</v>
      </c>
      <c r="LL186" s="16">
        <f t="shared" si="262"/>
        <v>0</v>
      </c>
      <c r="LM186" s="16">
        <f t="shared" si="262"/>
        <v>0</v>
      </c>
      <c r="LN186" s="16">
        <f t="shared" si="262"/>
        <v>0</v>
      </c>
      <c r="LO186" s="16">
        <f t="shared" si="262"/>
        <v>0</v>
      </c>
      <c r="LP186" s="16">
        <f t="shared" si="262"/>
        <v>0</v>
      </c>
      <c r="LQ186" s="16">
        <f t="shared" si="262"/>
        <v>0</v>
      </c>
      <c r="LR186" s="16">
        <f t="shared" si="262"/>
        <v>0</v>
      </c>
      <c r="LS186" s="16">
        <f t="shared" si="262"/>
        <v>0</v>
      </c>
      <c r="LT186" s="16">
        <f t="shared" si="263"/>
        <v>0.12066818242513871</v>
      </c>
      <c r="LU186" s="16">
        <f t="shared" si="263"/>
        <v>0.75910392132214755</v>
      </c>
      <c r="LV186" s="16">
        <f t="shared" si="263"/>
        <v>0.11957400742513874</v>
      </c>
      <c r="LW186" s="16">
        <f t="shared" si="263"/>
        <v>0</v>
      </c>
      <c r="LX186" s="16">
        <f t="shared" si="263"/>
        <v>0</v>
      </c>
      <c r="LY186" s="16">
        <f t="shared" si="263"/>
        <v>0</v>
      </c>
      <c r="LZ186" s="16">
        <f t="shared" si="263"/>
        <v>0</v>
      </c>
      <c r="MA186" s="16">
        <f t="shared" si="263"/>
        <v>0</v>
      </c>
      <c r="MB186" s="16">
        <f t="shared" si="263"/>
        <v>0</v>
      </c>
      <c r="MC186" s="16">
        <f t="shared" si="263"/>
        <v>0</v>
      </c>
      <c r="MD186" s="16">
        <f t="shared" si="263"/>
        <v>0</v>
      </c>
      <c r="MG186" s="9">
        <f t="shared" si="232"/>
        <v>9</v>
      </c>
      <c r="MH186" s="16">
        <f t="shared" si="264"/>
        <v>0</v>
      </c>
      <c r="MI186" s="16">
        <f t="shared" si="264"/>
        <v>0</v>
      </c>
      <c r="MJ186" s="16">
        <f t="shared" si="264"/>
        <v>0</v>
      </c>
      <c r="MK186" s="16">
        <f t="shared" si="264"/>
        <v>0</v>
      </c>
      <c r="ML186" s="16">
        <f t="shared" si="264"/>
        <v>0</v>
      </c>
      <c r="MM186" s="16">
        <f t="shared" si="264"/>
        <v>0</v>
      </c>
      <c r="MN186" s="16">
        <f t="shared" si="264"/>
        <v>0</v>
      </c>
      <c r="MO186" s="16">
        <f t="shared" si="264"/>
        <v>0</v>
      </c>
      <c r="MP186" s="16">
        <f t="shared" si="264"/>
        <v>0</v>
      </c>
      <c r="MQ186" s="16">
        <f t="shared" si="264"/>
        <v>0</v>
      </c>
      <c r="MR186" s="16">
        <f t="shared" si="265"/>
        <v>1.6807029041598597E-2</v>
      </c>
      <c r="MS186" s="16">
        <f t="shared" si="265"/>
        <v>0.96644726630520283</v>
      </c>
      <c r="MT186" s="16">
        <f t="shared" si="265"/>
        <v>1.66546290415986E-2</v>
      </c>
      <c r="MU186" s="16">
        <f t="shared" si="265"/>
        <v>0</v>
      </c>
      <c r="MV186" s="16">
        <f t="shared" si="265"/>
        <v>0</v>
      </c>
      <c r="MW186" s="16">
        <f t="shared" si="265"/>
        <v>0</v>
      </c>
      <c r="MX186" s="16">
        <f t="shared" si="265"/>
        <v>0</v>
      </c>
      <c r="MY186" s="16">
        <f t="shared" si="265"/>
        <v>0</v>
      </c>
      <c r="MZ186" s="16">
        <f t="shared" si="265"/>
        <v>0</v>
      </c>
      <c r="NA186" s="16">
        <f t="shared" si="265"/>
        <v>0</v>
      </c>
      <c r="NB186" s="16">
        <f t="shared" si="265"/>
        <v>0</v>
      </c>
      <c r="NE186" s="9">
        <f t="shared" si="233"/>
        <v>9</v>
      </c>
      <c r="NF186" s="16">
        <f t="shared" si="266"/>
        <v>0</v>
      </c>
      <c r="NG186" s="16">
        <f t="shared" si="266"/>
        <v>0</v>
      </c>
      <c r="NH186" s="16">
        <f t="shared" si="266"/>
        <v>0</v>
      </c>
      <c r="NI186" s="16">
        <f t="shared" si="266"/>
        <v>0</v>
      </c>
      <c r="NJ186" s="16">
        <f t="shared" si="266"/>
        <v>0</v>
      </c>
      <c r="NK186" s="16">
        <f t="shared" si="266"/>
        <v>0</v>
      </c>
      <c r="NL186" s="16">
        <f t="shared" si="266"/>
        <v>0</v>
      </c>
      <c r="NM186" s="16">
        <f t="shared" si="266"/>
        <v>0</v>
      </c>
      <c r="NN186" s="16">
        <f t="shared" si="266"/>
        <v>0</v>
      </c>
      <c r="NO186" s="16">
        <f t="shared" si="266"/>
        <v>0</v>
      </c>
      <c r="NP186" s="16">
        <f t="shared" si="267"/>
        <v>0.12066818242513871</v>
      </c>
      <c r="NQ186" s="16">
        <f t="shared" si="267"/>
        <v>0.75910392132214755</v>
      </c>
      <c r="NR186" s="16">
        <f t="shared" si="267"/>
        <v>0.11957400742513874</v>
      </c>
      <c r="NS186" s="16">
        <f t="shared" si="267"/>
        <v>0</v>
      </c>
      <c r="NT186" s="16">
        <f t="shared" si="267"/>
        <v>0</v>
      </c>
      <c r="NU186" s="16">
        <f t="shared" si="267"/>
        <v>0</v>
      </c>
      <c r="NV186" s="16">
        <f t="shared" si="267"/>
        <v>0</v>
      </c>
      <c r="NW186" s="16">
        <f t="shared" si="267"/>
        <v>0</v>
      </c>
      <c r="NX186" s="16">
        <f t="shared" si="267"/>
        <v>0</v>
      </c>
      <c r="NY186" s="16">
        <f t="shared" si="267"/>
        <v>0</v>
      </c>
      <c r="NZ186" s="16">
        <f t="shared" si="267"/>
        <v>0</v>
      </c>
      <c r="OC186" s="9">
        <f t="shared" si="234"/>
        <v>9</v>
      </c>
      <c r="OD186" s="16">
        <f t="shared" si="268"/>
        <v>0</v>
      </c>
      <c r="OE186" s="16">
        <f t="shared" si="268"/>
        <v>0</v>
      </c>
      <c r="OF186" s="16">
        <f t="shared" si="268"/>
        <v>0</v>
      </c>
      <c r="OG186" s="16">
        <f t="shared" si="268"/>
        <v>0</v>
      </c>
      <c r="OH186" s="16">
        <f t="shared" si="268"/>
        <v>0</v>
      </c>
      <c r="OI186" s="16">
        <f t="shared" si="268"/>
        <v>0</v>
      </c>
      <c r="OJ186" s="16">
        <f t="shared" si="268"/>
        <v>0</v>
      </c>
      <c r="OK186" s="16">
        <f t="shared" si="268"/>
        <v>0</v>
      </c>
      <c r="OL186" s="16">
        <f t="shared" si="268"/>
        <v>0</v>
      </c>
      <c r="OM186" s="16">
        <f t="shared" si="268"/>
        <v>0</v>
      </c>
      <c r="ON186" s="16">
        <f t="shared" si="269"/>
        <v>1.8317345726143804E-2</v>
      </c>
      <c r="OO186" s="16">
        <f t="shared" si="269"/>
        <v>0.96343214368085739</v>
      </c>
      <c r="OP186" s="16">
        <f t="shared" si="269"/>
        <v>1.8151250726143809E-2</v>
      </c>
      <c r="OQ186" s="16">
        <f t="shared" si="269"/>
        <v>0</v>
      </c>
      <c r="OR186" s="16">
        <f t="shared" si="269"/>
        <v>0</v>
      </c>
      <c r="OS186" s="16">
        <f t="shared" si="269"/>
        <v>0</v>
      </c>
      <c r="OT186" s="16">
        <f t="shared" si="269"/>
        <v>0</v>
      </c>
      <c r="OU186" s="16">
        <f t="shared" si="269"/>
        <v>0</v>
      </c>
      <c r="OV186" s="16">
        <f t="shared" si="269"/>
        <v>0</v>
      </c>
      <c r="OW186" s="16">
        <f t="shared" si="269"/>
        <v>0</v>
      </c>
      <c r="OX186" s="16">
        <f t="shared" si="269"/>
        <v>0</v>
      </c>
      <c r="PA186" s="9">
        <f t="shared" si="235"/>
        <v>9</v>
      </c>
      <c r="PB186" s="16">
        <f t="shared" si="270"/>
        <v>0</v>
      </c>
      <c r="PC186" s="16">
        <f t="shared" si="270"/>
        <v>0</v>
      </c>
      <c r="PD186" s="16">
        <f t="shared" si="270"/>
        <v>0</v>
      </c>
      <c r="PE186" s="16">
        <f t="shared" si="270"/>
        <v>0</v>
      </c>
      <c r="PF186" s="16">
        <f t="shared" si="270"/>
        <v>0</v>
      </c>
      <c r="PG186" s="16">
        <f t="shared" si="270"/>
        <v>0</v>
      </c>
      <c r="PH186" s="16">
        <f t="shared" si="270"/>
        <v>0</v>
      </c>
      <c r="PI186" s="16">
        <f t="shared" si="270"/>
        <v>0</v>
      </c>
      <c r="PJ186" s="16">
        <f t="shared" si="270"/>
        <v>0</v>
      </c>
      <c r="PK186" s="16">
        <f t="shared" si="270"/>
        <v>0</v>
      </c>
      <c r="PL186" s="16">
        <f t="shared" si="271"/>
        <v>0.12066321971971304</v>
      </c>
      <c r="PM186" s="16">
        <f t="shared" si="271"/>
        <v>0.75911382862540389</v>
      </c>
      <c r="PN186" s="16">
        <f t="shared" si="271"/>
        <v>0.11956908971971307</v>
      </c>
      <c r="PO186" s="16">
        <f t="shared" si="271"/>
        <v>0</v>
      </c>
      <c r="PP186" s="16">
        <f t="shared" si="271"/>
        <v>0</v>
      </c>
      <c r="PQ186" s="16">
        <f t="shared" si="271"/>
        <v>0</v>
      </c>
      <c r="PR186" s="16">
        <f t="shared" si="271"/>
        <v>0</v>
      </c>
      <c r="PS186" s="16">
        <f t="shared" si="271"/>
        <v>0</v>
      </c>
      <c r="PT186" s="16">
        <f t="shared" si="271"/>
        <v>0</v>
      </c>
      <c r="PU186" s="16">
        <f t="shared" si="271"/>
        <v>0</v>
      </c>
      <c r="PV186" s="16">
        <f t="shared" si="271"/>
        <v>0</v>
      </c>
    </row>
    <row r="187" spans="3:438" x14ac:dyDescent="0.25">
      <c r="C187" s="1"/>
      <c r="D187" s="1"/>
      <c r="I187" s="9">
        <f t="shared" si="218"/>
        <v>8</v>
      </c>
      <c r="J187" s="16">
        <f t="shared" si="236"/>
        <v>0</v>
      </c>
      <c r="K187" s="16">
        <f t="shared" si="236"/>
        <v>0</v>
      </c>
      <c r="L187" s="16">
        <f t="shared" si="236"/>
        <v>0</v>
      </c>
      <c r="M187" s="16">
        <f t="shared" si="236"/>
        <v>0</v>
      </c>
      <c r="N187" s="16">
        <f t="shared" si="236"/>
        <v>0</v>
      </c>
      <c r="O187" s="16">
        <f t="shared" si="236"/>
        <v>0</v>
      </c>
      <c r="P187" s="16">
        <f t="shared" si="236"/>
        <v>0</v>
      </c>
      <c r="Q187" s="16">
        <f t="shared" si="236"/>
        <v>0</v>
      </c>
      <c r="R187" s="16">
        <f t="shared" si="236"/>
        <v>0</v>
      </c>
      <c r="S187" s="16">
        <f t="shared" si="236"/>
        <v>0</v>
      </c>
      <c r="T187" s="16">
        <f t="shared" si="237"/>
        <v>0</v>
      </c>
      <c r="U187" s="16">
        <f t="shared" si="237"/>
        <v>1.4603065252228261E-2</v>
      </c>
      <c r="V187" s="16">
        <f t="shared" si="237"/>
        <v>0.9708710079793218</v>
      </c>
      <c r="W187" s="16">
        <f t="shared" si="237"/>
        <v>1.4411364931449958E-2</v>
      </c>
      <c r="X187" s="16">
        <f t="shared" si="237"/>
        <v>0</v>
      </c>
      <c r="Y187" s="16">
        <f t="shared" si="237"/>
        <v>0</v>
      </c>
      <c r="Z187" s="16">
        <f t="shared" si="237"/>
        <v>0</v>
      </c>
      <c r="AA187" s="16">
        <f t="shared" si="237"/>
        <v>0</v>
      </c>
      <c r="AB187" s="16">
        <f t="shared" si="237"/>
        <v>0</v>
      </c>
      <c r="AC187" s="16">
        <f t="shared" si="237"/>
        <v>0</v>
      </c>
      <c r="AD187" s="16">
        <f t="shared" si="237"/>
        <v>0</v>
      </c>
      <c r="AG187" s="9">
        <f t="shared" si="219"/>
        <v>8</v>
      </c>
      <c r="AH187" s="16">
        <f t="shared" si="238"/>
        <v>0</v>
      </c>
      <c r="AI187" s="16">
        <f t="shared" si="238"/>
        <v>0</v>
      </c>
      <c r="AJ187" s="16">
        <f t="shared" si="238"/>
        <v>0</v>
      </c>
      <c r="AK187" s="16">
        <f t="shared" si="238"/>
        <v>0</v>
      </c>
      <c r="AL187" s="16">
        <f t="shared" si="238"/>
        <v>0</v>
      </c>
      <c r="AM187" s="16">
        <f t="shared" si="238"/>
        <v>0</v>
      </c>
      <c r="AN187" s="16">
        <f t="shared" si="238"/>
        <v>0</v>
      </c>
      <c r="AO187" s="16">
        <f t="shared" si="238"/>
        <v>0</v>
      </c>
      <c r="AP187" s="16">
        <f t="shared" si="238"/>
        <v>0</v>
      </c>
      <c r="AQ187" s="16">
        <f t="shared" si="238"/>
        <v>0</v>
      </c>
      <c r="AR187" s="16">
        <f t="shared" si="239"/>
        <v>0</v>
      </c>
      <c r="AS187" s="16">
        <f t="shared" si="239"/>
        <v>5.8442731671933194E-2</v>
      </c>
      <c r="AT187" s="16">
        <f t="shared" si="239"/>
        <v>0.88342325154791612</v>
      </c>
      <c r="AU187" s="16">
        <f t="shared" si="239"/>
        <v>5.7675530388150646E-2</v>
      </c>
      <c r="AV187" s="16">
        <f t="shared" si="239"/>
        <v>0</v>
      </c>
      <c r="AW187" s="16">
        <f t="shared" si="239"/>
        <v>0</v>
      </c>
      <c r="AX187" s="16">
        <f t="shared" si="239"/>
        <v>0</v>
      </c>
      <c r="AY187" s="16">
        <f t="shared" si="239"/>
        <v>0</v>
      </c>
      <c r="AZ187" s="16">
        <f t="shared" si="239"/>
        <v>0</v>
      </c>
      <c r="BA187" s="16">
        <f t="shared" si="239"/>
        <v>0</v>
      </c>
      <c r="BB187" s="16">
        <f t="shared" si="239"/>
        <v>0</v>
      </c>
      <c r="BE187" s="9">
        <f t="shared" si="220"/>
        <v>8</v>
      </c>
      <c r="BF187" s="16">
        <f t="shared" si="240"/>
        <v>0</v>
      </c>
      <c r="BG187" s="16">
        <f t="shared" si="240"/>
        <v>0</v>
      </c>
      <c r="BH187" s="16">
        <f t="shared" si="240"/>
        <v>0</v>
      </c>
      <c r="BI187" s="16">
        <f t="shared" si="240"/>
        <v>0</v>
      </c>
      <c r="BJ187" s="16">
        <f t="shared" si="240"/>
        <v>0</v>
      </c>
      <c r="BK187" s="16">
        <f t="shared" si="240"/>
        <v>0</v>
      </c>
      <c r="BL187" s="16">
        <f t="shared" si="240"/>
        <v>0</v>
      </c>
      <c r="BM187" s="16">
        <f t="shared" si="240"/>
        <v>0</v>
      </c>
      <c r="BN187" s="16">
        <f t="shared" si="240"/>
        <v>0</v>
      </c>
      <c r="BO187" s="16">
        <f t="shared" si="240"/>
        <v>0</v>
      </c>
      <c r="BP187" s="16">
        <f t="shared" si="241"/>
        <v>0</v>
      </c>
      <c r="BQ187" s="16">
        <f t="shared" si="241"/>
        <v>5.84351140061782E-2</v>
      </c>
      <c r="BR187" s="16">
        <f t="shared" si="241"/>
        <v>0.88343844664025883</v>
      </c>
      <c r="BS187" s="16">
        <f t="shared" si="241"/>
        <v>5.7668012722562986E-2</v>
      </c>
      <c r="BT187" s="16">
        <f t="shared" si="241"/>
        <v>0</v>
      </c>
      <c r="BU187" s="16">
        <f t="shared" si="241"/>
        <v>0</v>
      </c>
      <c r="BV187" s="16">
        <f t="shared" si="241"/>
        <v>0</v>
      </c>
      <c r="BW187" s="16">
        <f t="shared" si="241"/>
        <v>0</v>
      </c>
      <c r="BX187" s="16">
        <f t="shared" si="241"/>
        <v>0</v>
      </c>
      <c r="BY187" s="16">
        <f t="shared" si="241"/>
        <v>0</v>
      </c>
      <c r="BZ187" s="16">
        <f t="shared" si="241"/>
        <v>0</v>
      </c>
      <c r="CC187" s="9">
        <f t="shared" si="221"/>
        <v>8</v>
      </c>
      <c r="CD187" s="16">
        <f t="shared" si="242"/>
        <v>0</v>
      </c>
      <c r="CE187" s="16">
        <f t="shared" si="242"/>
        <v>0</v>
      </c>
      <c r="CF187" s="16">
        <f t="shared" si="242"/>
        <v>0</v>
      </c>
      <c r="CG187" s="16">
        <f t="shared" si="242"/>
        <v>0</v>
      </c>
      <c r="CH187" s="16">
        <f t="shared" si="242"/>
        <v>0</v>
      </c>
      <c r="CI187" s="16">
        <f t="shared" si="242"/>
        <v>0</v>
      </c>
      <c r="CJ187" s="16">
        <f t="shared" si="242"/>
        <v>0</v>
      </c>
      <c r="CK187" s="16">
        <f t="shared" si="242"/>
        <v>0</v>
      </c>
      <c r="CL187" s="16">
        <f t="shared" si="242"/>
        <v>0</v>
      </c>
      <c r="CM187" s="16">
        <f t="shared" si="242"/>
        <v>0</v>
      </c>
      <c r="CN187" s="16">
        <f t="shared" si="243"/>
        <v>0</v>
      </c>
      <c r="CO187" s="16">
        <f t="shared" si="243"/>
        <v>5.8435114006178027E-2</v>
      </c>
      <c r="CP187" s="16">
        <f t="shared" si="243"/>
        <v>0.88343844664025917</v>
      </c>
      <c r="CQ187" s="16">
        <f t="shared" si="243"/>
        <v>5.766801272256282E-2</v>
      </c>
      <c r="CR187" s="16">
        <f t="shared" si="243"/>
        <v>0</v>
      </c>
      <c r="CS187" s="16">
        <f t="shared" si="243"/>
        <v>0</v>
      </c>
      <c r="CT187" s="16">
        <f t="shared" si="243"/>
        <v>0</v>
      </c>
      <c r="CU187" s="16">
        <f t="shared" si="243"/>
        <v>0</v>
      </c>
      <c r="CV187" s="16">
        <f t="shared" si="243"/>
        <v>0</v>
      </c>
      <c r="CW187" s="16">
        <f t="shared" si="243"/>
        <v>0</v>
      </c>
      <c r="CX187" s="16">
        <f t="shared" si="243"/>
        <v>0</v>
      </c>
      <c r="DA187" s="9">
        <f t="shared" si="222"/>
        <v>8</v>
      </c>
      <c r="DB187" s="16">
        <f t="shared" si="244"/>
        <v>0</v>
      </c>
      <c r="DC187" s="16">
        <f t="shared" si="244"/>
        <v>0</v>
      </c>
      <c r="DD187" s="16">
        <f t="shared" si="244"/>
        <v>0</v>
      </c>
      <c r="DE187" s="16">
        <f t="shared" si="244"/>
        <v>0</v>
      </c>
      <c r="DF187" s="16">
        <f t="shared" si="244"/>
        <v>0</v>
      </c>
      <c r="DG187" s="16">
        <f t="shared" si="244"/>
        <v>0</v>
      </c>
      <c r="DH187" s="16">
        <f t="shared" si="244"/>
        <v>0</v>
      </c>
      <c r="DI187" s="16">
        <f t="shared" si="244"/>
        <v>0</v>
      </c>
      <c r="DJ187" s="16">
        <f t="shared" si="244"/>
        <v>0</v>
      </c>
      <c r="DK187" s="16">
        <f t="shared" si="244"/>
        <v>0</v>
      </c>
      <c r="DL187" s="16">
        <f t="shared" si="245"/>
        <v>0</v>
      </c>
      <c r="DM187" s="16">
        <f t="shared" si="245"/>
        <v>1.4610682917983425E-2</v>
      </c>
      <c r="DN187" s="16">
        <f t="shared" si="245"/>
        <v>0.97085581288697875</v>
      </c>
      <c r="DO187" s="16">
        <f t="shared" si="245"/>
        <v>1.4418882597037786E-2</v>
      </c>
      <c r="DP187" s="16">
        <f t="shared" si="245"/>
        <v>0</v>
      </c>
      <c r="DQ187" s="16">
        <f t="shared" si="245"/>
        <v>0</v>
      </c>
      <c r="DR187" s="16">
        <f t="shared" si="245"/>
        <v>0</v>
      </c>
      <c r="DS187" s="16">
        <f t="shared" si="245"/>
        <v>0</v>
      </c>
      <c r="DT187" s="16">
        <f t="shared" si="245"/>
        <v>0</v>
      </c>
      <c r="DU187" s="16">
        <f t="shared" si="245"/>
        <v>0</v>
      </c>
      <c r="DV187" s="16">
        <f t="shared" si="245"/>
        <v>0</v>
      </c>
      <c r="DY187" s="9">
        <f t="shared" si="223"/>
        <v>8</v>
      </c>
      <c r="DZ187" s="16">
        <f t="shared" si="246"/>
        <v>0</v>
      </c>
      <c r="EA187" s="16">
        <f t="shared" si="246"/>
        <v>0</v>
      </c>
      <c r="EB187" s="16">
        <f t="shared" si="246"/>
        <v>0</v>
      </c>
      <c r="EC187" s="16">
        <f t="shared" si="246"/>
        <v>0</v>
      </c>
      <c r="ED187" s="16">
        <f t="shared" si="246"/>
        <v>0</v>
      </c>
      <c r="EE187" s="16">
        <f t="shared" si="246"/>
        <v>0</v>
      </c>
      <c r="EF187" s="16">
        <f t="shared" si="246"/>
        <v>0</v>
      </c>
      <c r="EG187" s="16">
        <f t="shared" si="246"/>
        <v>0</v>
      </c>
      <c r="EH187" s="16">
        <f t="shared" si="246"/>
        <v>0</v>
      </c>
      <c r="EI187" s="16">
        <f t="shared" si="246"/>
        <v>0</v>
      </c>
      <c r="EJ187" s="16">
        <f t="shared" si="247"/>
        <v>0</v>
      </c>
      <c r="EK187" s="16">
        <f t="shared" si="247"/>
        <v>4.2490568219925237E-2</v>
      </c>
      <c r="EL187" s="16">
        <f t="shared" si="247"/>
        <v>0.91532753821276469</v>
      </c>
      <c r="EM187" s="16">
        <f t="shared" si="247"/>
        <v>4.1723466936310023E-2</v>
      </c>
      <c r="EN187" s="16">
        <f t="shared" si="247"/>
        <v>0</v>
      </c>
      <c r="EO187" s="16">
        <f t="shared" si="247"/>
        <v>0</v>
      </c>
      <c r="EP187" s="16">
        <f t="shared" si="247"/>
        <v>0</v>
      </c>
      <c r="EQ187" s="16">
        <f t="shared" si="247"/>
        <v>0</v>
      </c>
      <c r="ER187" s="16">
        <f t="shared" si="247"/>
        <v>0</v>
      </c>
      <c r="ES187" s="16">
        <f t="shared" si="247"/>
        <v>0</v>
      </c>
      <c r="ET187" s="16">
        <f t="shared" si="247"/>
        <v>0</v>
      </c>
      <c r="EW187" s="9">
        <f t="shared" si="224"/>
        <v>8</v>
      </c>
      <c r="EX187" s="16">
        <f t="shared" si="248"/>
        <v>0</v>
      </c>
      <c r="EY187" s="16">
        <f t="shared" si="248"/>
        <v>0</v>
      </c>
      <c r="EZ187" s="16">
        <f t="shared" si="248"/>
        <v>0</v>
      </c>
      <c r="FA187" s="16">
        <f t="shared" si="248"/>
        <v>0</v>
      </c>
      <c r="FB187" s="16">
        <f t="shared" si="248"/>
        <v>0</v>
      </c>
      <c r="FC187" s="16">
        <f t="shared" si="248"/>
        <v>0</v>
      </c>
      <c r="FD187" s="16">
        <f t="shared" si="248"/>
        <v>0</v>
      </c>
      <c r="FE187" s="16">
        <f t="shared" si="248"/>
        <v>0</v>
      </c>
      <c r="FF187" s="16">
        <f t="shared" si="248"/>
        <v>0</v>
      </c>
      <c r="FG187" s="16">
        <f t="shared" si="248"/>
        <v>0</v>
      </c>
      <c r="FH187" s="16">
        <f t="shared" si="249"/>
        <v>0</v>
      </c>
      <c r="FI187" s="16">
        <f t="shared" si="249"/>
        <v>4.2490568219925362E-2</v>
      </c>
      <c r="FJ187" s="16">
        <f t="shared" si="249"/>
        <v>0.91532753821276447</v>
      </c>
      <c r="FK187" s="16">
        <f t="shared" si="249"/>
        <v>4.1723466936310148E-2</v>
      </c>
      <c r="FL187" s="16">
        <f t="shared" si="249"/>
        <v>0</v>
      </c>
      <c r="FM187" s="16">
        <f t="shared" si="249"/>
        <v>0</v>
      </c>
      <c r="FN187" s="16">
        <f t="shared" si="249"/>
        <v>0</v>
      </c>
      <c r="FO187" s="16">
        <f t="shared" si="249"/>
        <v>0</v>
      </c>
      <c r="FP187" s="16">
        <f t="shared" si="249"/>
        <v>0</v>
      </c>
      <c r="FQ187" s="16">
        <f t="shared" si="249"/>
        <v>0</v>
      </c>
      <c r="FR187" s="16">
        <f t="shared" si="249"/>
        <v>0</v>
      </c>
      <c r="FU187" s="9">
        <f t="shared" si="225"/>
        <v>8</v>
      </c>
      <c r="FV187" s="16">
        <f t="shared" si="250"/>
        <v>0</v>
      </c>
      <c r="FW187" s="16">
        <f t="shared" si="250"/>
        <v>0</v>
      </c>
      <c r="FX187" s="16">
        <f t="shared" si="250"/>
        <v>0</v>
      </c>
      <c r="FY187" s="16">
        <f t="shared" si="250"/>
        <v>0</v>
      </c>
      <c r="FZ187" s="16">
        <f t="shared" si="250"/>
        <v>0</v>
      </c>
      <c r="GA187" s="16">
        <f t="shared" si="250"/>
        <v>0</v>
      </c>
      <c r="GB187" s="16">
        <f t="shared" si="250"/>
        <v>0</v>
      </c>
      <c r="GC187" s="16">
        <f t="shared" si="250"/>
        <v>0</v>
      </c>
      <c r="GD187" s="16">
        <f t="shared" si="250"/>
        <v>0</v>
      </c>
      <c r="GE187" s="16">
        <f t="shared" si="250"/>
        <v>0</v>
      </c>
      <c r="GF187" s="16">
        <f t="shared" si="251"/>
        <v>0</v>
      </c>
      <c r="GG187" s="16">
        <f t="shared" si="251"/>
        <v>4.2496107337148571E-2</v>
      </c>
      <c r="GH187" s="16">
        <f t="shared" si="251"/>
        <v>0.91531650021748545</v>
      </c>
      <c r="GI187" s="16">
        <f t="shared" si="251"/>
        <v>4.1728906053366023E-2</v>
      </c>
      <c r="GJ187" s="16">
        <f t="shared" si="251"/>
        <v>0</v>
      </c>
      <c r="GK187" s="16">
        <f t="shared" si="251"/>
        <v>0</v>
      </c>
      <c r="GL187" s="16">
        <f t="shared" si="251"/>
        <v>0</v>
      </c>
      <c r="GM187" s="16">
        <f t="shared" si="251"/>
        <v>0</v>
      </c>
      <c r="GN187" s="16">
        <f t="shared" si="251"/>
        <v>0</v>
      </c>
      <c r="GO187" s="16">
        <f t="shared" si="251"/>
        <v>0</v>
      </c>
      <c r="GP187" s="16">
        <f t="shared" si="251"/>
        <v>0</v>
      </c>
      <c r="GS187" s="9">
        <f t="shared" si="226"/>
        <v>8</v>
      </c>
      <c r="GT187" s="16">
        <f t="shared" si="252"/>
        <v>0</v>
      </c>
      <c r="GU187" s="16">
        <f t="shared" si="252"/>
        <v>0</v>
      </c>
      <c r="GV187" s="16">
        <f t="shared" si="252"/>
        <v>0</v>
      </c>
      <c r="GW187" s="16">
        <f t="shared" si="252"/>
        <v>0</v>
      </c>
      <c r="GX187" s="16">
        <f t="shared" si="252"/>
        <v>0</v>
      </c>
      <c r="GY187" s="16">
        <f t="shared" si="252"/>
        <v>0</v>
      </c>
      <c r="GZ187" s="16">
        <f t="shared" si="252"/>
        <v>0</v>
      </c>
      <c r="HA187" s="16">
        <f t="shared" si="252"/>
        <v>0</v>
      </c>
      <c r="HB187" s="16">
        <f t="shared" si="252"/>
        <v>0</v>
      </c>
      <c r="HC187" s="16">
        <f t="shared" si="252"/>
        <v>0</v>
      </c>
      <c r="HD187" s="16">
        <f t="shared" si="253"/>
        <v>0</v>
      </c>
      <c r="HE187" s="16">
        <f t="shared" si="253"/>
        <v>1.8395408298575517E-2</v>
      </c>
      <c r="HF187" s="16">
        <f t="shared" si="253"/>
        <v>0.96334281767756347</v>
      </c>
      <c r="HG187" s="16">
        <f t="shared" si="253"/>
        <v>1.8063307742860992E-2</v>
      </c>
      <c r="HH187" s="16">
        <f t="shared" si="253"/>
        <v>0</v>
      </c>
      <c r="HI187" s="16">
        <f t="shared" si="253"/>
        <v>0</v>
      </c>
      <c r="HJ187" s="16">
        <f t="shared" si="253"/>
        <v>0</v>
      </c>
      <c r="HK187" s="16">
        <f t="shared" si="253"/>
        <v>0</v>
      </c>
      <c r="HL187" s="16">
        <f t="shared" si="253"/>
        <v>0</v>
      </c>
      <c r="HM187" s="16">
        <f t="shared" si="253"/>
        <v>0</v>
      </c>
      <c r="HN187" s="16">
        <f t="shared" si="253"/>
        <v>0</v>
      </c>
      <c r="HQ187" s="9">
        <f t="shared" si="227"/>
        <v>8</v>
      </c>
      <c r="HR187" s="16">
        <f t="shared" si="254"/>
        <v>0</v>
      </c>
      <c r="HS187" s="16">
        <f t="shared" si="254"/>
        <v>0</v>
      </c>
      <c r="HT187" s="16">
        <f t="shared" si="254"/>
        <v>0</v>
      </c>
      <c r="HU187" s="16">
        <f t="shared" si="254"/>
        <v>0</v>
      </c>
      <c r="HV187" s="16">
        <f t="shared" si="254"/>
        <v>0</v>
      </c>
      <c r="HW187" s="16">
        <f t="shared" si="254"/>
        <v>0</v>
      </c>
      <c r="HX187" s="16">
        <f t="shared" si="254"/>
        <v>0</v>
      </c>
      <c r="HY187" s="16">
        <f t="shared" si="254"/>
        <v>0</v>
      </c>
      <c r="HZ187" s="16">
        <f t="shared" si="254"/>
        <v>0</v>
      </c>
      <c r="IA187" s="16">
        <f t="shared" si="254"/>
        <v>0</v>
      </c>
      <c r="IB187" s="16">
        <f t="shared" si="255"/>
        <v>0</v>
      </c>
      <c r="IC187" s="16">
        <f t="shared" si="255"/>
        <v>0.12121804131467157</v>
      </c>
      <c r="ID187" s="16">
        <f t="shared" si="255"/>
        <v>0.75844451130858292</v>
      </c>
      <c r="IE187" s="16">
        <f t="shared" si="255"/>
        <v>0.11902963765274543</v>
      </c>
      <c r="IF187" s="16">
        <f t="shared" si="255"/>
        <v>0</v>
      </c>
      <c r="IG187" s="16">
        <f t="shared" si="255"/>
        <v>0</v>
      </c>
      <c r="IH187" s="16">
        <f t="shared" si="255"/>
        <v>0</v>
      </c>
      <c r="II187" s="16">
        <f t="shared" si="255"/>
        <v>0</v>
      </c>
      <c r="IJ187" s="16">
        <f t="shared" si="255"/>
        <v>0</v>
      </c>
      <c r="IK187" s="16">
        <f t="shared" si="255"/>
        <v>0</v>
      </c>
      <c r="IL187" s="16">
        <f t="shared" si="255"/>
        <v>0</v>
      </c>
      <c r="IO187" s="9">
        <f t="shared" si="228"/>
        <v>8</v>
      </c>
      <c r="IP187" s="16">
        <f t="shared" si="256"/>
        <v>0</v>
      </c>
      <c r="IQ187" s="16">
        <f t="shared" si="256"/>
        <v>0</v>
      </c>
      <c r="IR187" s="16">
        <f t="shared" si="256"/>
        <v>0</v>
      </c>
      <c r="IS187" s="16">
        <f t="shared" si="256"/>
        <v>0</v>
      </c>
      <c r="IT187" s="16">
        <f t="shared" si="256"/>
        <v>0</v>
      </c>
      <c r="IU187" s="16">
        <f t="shared" si="256"/>
        <v>0</v>
      </c>
      <c r="IV187" s="16">
        <f t="shared" si="256"/>
        <v>0</v>
      </c>
      <c r="IW187" s="16">
        <f t="shared" si="256"/>
        <v>0</v>
      </c>
      <c r="IX187" s="16">
        <f t="shared" si="256"/>
        <v>0</v>
      </c>
      <c r="IY187" s="16">
        <f t="shared" si="256"/>
        <v>0</v>
      </c>
      <c r="IZ187" s="16">
        <f t="shared" si="257"/>
        <v>0</v>
      </c>
      <c r="JA187" s="16">
        <f t="shared" si="257"/>
        <v>1.8400393504076386E-2</v>
      </c>
      <c r="JB187" s="16">
        <f t="shared" si="257"/>
        <v>0.96333288348181234</v>
      </c>
      <c r="JC187" s="16">
        <f t="shared" si="257"/>
        <v>1.8068202948211258E-2</v>
      </c>
      <c r="JD187" s="16">
        <f t="shared" si="257"/>
        <v>0</v>
      </c>
      <c r="JE187" s="16">
        <f t="shared" si="257"/>
        <v>0</v>
      </c>
      <c r="JF187" s="16">
        <f t="shared" si="257"/>
        <v>0</v>
      </c>
      <c r="JG187" s="16">
        <f t="shared" si="257"/>
        <v>0</v>
      </c>
      <c r="JH187" s="16">
        <f t="shared" si="257"/>
        <v>0</v>
      </c>
      <c r="JI187" s="16">
        <f t="shared" si="257"/>
        <v>0</v>
      </c>
      <c r="JJ187" s="16">
        <f t="shared" si="257"/>
        <v>0</v>
      </c>
      <c r="JM187" s="9">
        <f t="shared" si="229"/>
        <v>8</v>
      </c>
      <c r="JN187" s="16">
        <f t="shared" si="258"/>
        <v>0</v>
      </c>
      <c r="JO187" s="16">
        <f t="shared" si="258"/>
        <v>0</v>
      </c>
      <c r="JP187" s="16">
        <f t="shared" si="258"/>
        <v>0</v>
      </c>
      <c r="JQ187" s="16">
        <f t="shared" si="258"/>
        <v>0</v>
      </c>
      <c r="JR187" s="16">
        <f t="shared" si="258"/>
        <v>0</v>
      </c>
      <c r="JS187" s="16">
        <f t="shared" si="258"/>
        <v>0</v>
      </c>
      <c r="JT187" s="16">
        <f t="shared" si="258"/>
        <v>0</v>
      </c>
      <c r="JU187" s="16">
        <f t="shared" si="258"/>
        <v>0</v>
      </c>
      <c r="JV187" s="16">
        <f t="shared" si="258"/>
        <v>0</v>
      </c>
      <c r="JW187" s="16">
        <f t="shared" si="258"/>
        <v>0</v>
      </c>
      <c r="JX187" s="16">
        <f t="shared" si="259"/>
        <v>0</v>
      </c>
      <c r="JY187" s="16">
        <f t="shared" si="259"/>
        <v>0.1212158256677823</v>
      </c>
      <c r="JZ187" s="16">
        <f t="shared" si="259"/>
        <v>0.7584489265066946</v>
      </c>
      <c r="KA187" s="16">
        <f t="shared" si="259"/>
        <v>0.11902746200592311</v>
      </c>
      <c r="KB187" s="16">
        <f t="shared" si="259"/>
        <v>0</v>
      </c>
      <c r="KC187" s="16">
        <f t="shared" si="259"/>
        <v>0</v>
      </c>
      <c r="KD187" s="16">
        <f t="shared" si="259"/>
        <v>0</v>
      </c>
      <c r="KE187" s="16">
        <f t="shared" si="259"/>
        <v>0</v>
      </c>
      <c r="KF187" s="16">
        <f t="shared" si="259"/>
        <v>0</v>
      </c>
      <c r="KG187" s="16">
        <f t="shared" si="259"/>
        <v>0</v>
      </c>
      <c r="KH187" s="16">
        <f t="shared" si="259"/>
        <v>0</v>
      </c>
      <c r="KK187" s="9">
        <f t="shared" si="230"/>
        <v>8</v>
      </c>
      <c r="KL187" s="16">
        <f t="shared" si="260"/>
        <v>0</v>
      </c>
      <c r="KM187" s="16">
        <f t="shared" si="260"/>
        <v>0</v>
      </c>
      <c r="KN187" s="16">
        <f t="shared" si="260"/>
        <v>0</v>
      </c>
      <c r="KO187" s="16">
        <f t="shared" si="260"/>
        <v>0</v>
      </c>
      <c r="KP187" s="16">
        <f t="shared" si="260"/>
        <v>0</v>
      </c>
      <c r="KQ187" s="16">
        <f t="shared" si="260"/>
        <v>0</v>
      </c>
      <c r="KR187" s="16">
        <f t="shared" si="260"/>
        <v>0</v>
      </c>
      <c r="KS187" s="16">
        <f t="shared" si="260"/>
        <v>0</v>
      </c>
      <c r="KT187" s="16">
        <f t="shared" si="260"/>
        <v>0</v>
      </c>
      <c r="KU187" s="16">
        <f t="shared" si="260"/>
        <v>0</v>
      </c>
      <c r="KV187" s="16">
        <f t="shared" si="261"/>
        <v>0</v>
      </c>
      <c r="KW187" s="16">
        <f t="shared" si="261"/>
        <v>1.5365511177430949E-2</v>
      </c>
      <c r="KX187" s="16">
        <f t="shared" si="261"/>
        <v>0.9693806010953212</v>
      </c>
      <c r="KY187" s="16">
        <f t="shared" si="261"/>
        <v>1.5088110713247843E-2</v>
      </c>
      <c r="KZ187" s="16">
        <f t="shared" si="261"/>
        <v>0</v>
      </c>
      <c r="LA187" s="16">
        <f t="shared" si="261"/>
        <v>0</v>
      </c>
      <c r="LB187" s="16">
        <f t="shared" si="261"/>
        <v>0</v>
      </c>
      <c r="LC187" s="16">
        <f t="shared" si="261"/>
        <v>0</v>
      </c>
      <c r="LD187" s="16">
        <f t="shared" si="261"/>
        <v>0</v>
      </c>
      <c r="LE187" s="16">
        <f t="shared" si="261"/>
        <v>0</v>
      </c>
      <c r="LF187" s="16">
        <f t="shared" si="261"/>
        <v>0</v>
      </c>
      <c r="LI187" s="9">
        <f t="shared" si="231"/>
        <v>8</v>
      </c>
      <c r="LJ187" s="16">
        <f t="shared" si="262"/>
        <v>0</v>
      </c>
      <c r="LK187" s="16">
        <f t="shared" si="262"/>
        <v>0</v>
      </c>
      <c r="LL187" s="16">
        <f t="shared" si="262"/>
        <v>0</v>
      </c>
      <c r="LM187" s="16">
        <f t="shared" si="262"/>
        <v>0</v>
      </c>
      <c r="LN187" s="16">
        <f t="shared" si="262"/>
        <v>0</v>
      </c>
      <c r="LO187" s="16">
        <f t="shared" si="262"/>
        <v>0</v>
      </c>
      <c r="LP187" s="16">
        <f t="shared" si="262"/>
        <v>0</v>
      </c>
      <c r="LQ187" s="16">
        <f t="shared" si="262"/>
        <v>0</v>
      </c>
      <c r="LR187" s="16">
        <f t="shared" si="262"/>
        <v>0</v>
      </c>
      <c r="LS187" s="16">
        <f t="shared" si="262"/>
        <v>0</v>
      </c>
      <c r="LT187" s="16">
        <f t="shared" si="263"/>
        <v>0</v>
      </c>
      <c r="LU187" s="16">
        <f t="shared" si="263"/>
        <v>0.12121527175605996</v>
      </c>
      <c r="LV187" s="16">
        <f t="shared" si="263"/>
        <v>0.75845003030622249</v>
      </c>
      <c r="LW187" s="16">
        <f t="shared" si="263"/>
        <v>0.11902691809421749</v>
      </c>
      <c r="LX187" s="16">
        <f t="shared" si="263"/>
        <v>0</v>
      </c>
      <c r="LY187" s="16">
        <f t="shared" si="263"/>
        <v>0</v>
      </c>
      <c r="LZ187" s="16">
        <f t="shared" si="263"/>
        <v>0</v>
      </c>
      <c r="MA187" s="16">
        <f t="shared" si="263"/>
        <v>0</v>
      </c>
      <c r="MB187" s="16">
        <f t="shared" si="263"/>
        <v>0</v>
      </c>
      <c r="MC187" s="16">
        <f t="shared" si="263"/>
        <v>0</v>
      </c>
      <c r="MD187" s="16">
        <f t="shared" si="263"/>
        <v>0</v>
      </c>
      <c r="MG187" s="9">
        <f t="shared" si="232"/>
        <v>8</v>
      </c>
      <c r="MH187" s="16">
        <f t="shared" si="264"/>
        <v>0</v>
      </c>
      <c r="MI187" s="16">
        <f t="shared" si="264"/>
        <v>0</v>
      </c>
      <c r="MJ187" s="16">
        <f t="shared" si="264"/>
        <v>0</v>
      </c>
      <c r="MK187" s="16">
        <f t="shared" si="264"/>
        <v>0</v>
      </c>
      <c r="ML187" s="16">
        <f t="shared" si="264"/>
        <v>0</v>
      </c>
      <c r="MM187" s="16">
        <f t="shared" si="264"/>
        <v>0</v>
      </c>
      <c r="MN187" s="16">
        <f t="shared" si="264"/>
        <v>0</v>
      </c>
      <c r="MO187" s="16">
        <f t="shared" si="264"/>
        <v>0</v>
      </c>
      <c r="MP187" s="16">
        <f t="shared" si="264"/>
        <v>0</v>
      </c>
      <c r="MQ187" s="16">
        <f t="shared" si="264"/>
        <v>0</v>
      </c>
      <c r="MR187" s="16">
        <f t="shared" si="265"/>
        <v>0</v>
      </c>
      <c r="MS187" s="16">
        <f t="shared" si="265"/>
        <v>1.688322929661484E-2</v>
      </c>
      <c r="MT187" s="16">
        <f t="shared" si="265"/>
        <v>0.96635619038880283</v>
      </c>
      <c r="MU187" s="16">
        <f t="shared" si="265"/>
        <v>1.6578428786582357E-2</v>
      </c>
      <c r="MV187" s="16">
        <f t="shared" si="265"/>
        <v>0</v>
      </c>
      <c r="MW187" s="16">
        <f t="shared" si="265"/>
        <v>0</v>
      </c>
      <c r="MX187" s="16">
        <f t="shared" si="265"/>
        <v>0</v>
      </c>
      <c r="MY187" s="16">
        <f t="shared" si="265"/>
        <v>0</v>
      </c>
      <c r="MZ187" s="16">
        <f t="shared" si="265"/>
        <v>0</v>
      </c>
      <c r="NA187" s="16">
        <f t="shared" si="265"/>
        <v>0</v>
      </c>
      <c r="NB187" s="16">
        <f t="shared" si="265"/>
        <v>0</v>
      </c>
      <c r="NE187" s="9">
        <f t="shared" si="233"/>
        <v>8</v>
      </c>
      <c r="NF187" s="16">
        <f t="shared" si="266"/>
        <v>0</v>
      </c>
      <c r="NG187" s="16">
        <f t="shared" si="266"/>
        <v>0</v>
      </c>
      <c r="NH187" s="16">
        <f t="shared" si="266"/>
        <v>0</v>
      </c>
      <c r="NI187" s="16">
        <f t="shared" si="266"/>
        <v>0</v>
      </c>
      <c r="NJ187" s="16">
        <f t="shared" si="266"/>
        <v>0</v>
      </c>
      <c r="NK187" s="16">
        <f t="shared" si="266"/>
        <v>0</v>
      </c>
      <c r="NL187" s="16">
        <f t="shared" si="266"/>
        <v>0</v>
      </c>
      <c r="NM187" s="16">
        <f t="shared" si="266"/>
        <v>0</v>
      </c>
      <c r="NN187" s="16">
        <f t="shared" si="266"/>
        <v>0</v>
      </c>
      <c r="NO187" s="16">
        <f t="shared" si="266"/>
        <v>0</v>
      </c>
      <c r="NP187" s="16">
        <f t="shared" si="267"/>
        <v>0</v>
      </c>
      <c r="NQ187" s="16">
        <f t="shared" si="267"/>
        <v>0.12121527175605996</v>
      </c>
      <c r="NR187" s="16">
        <f t="shared" si="267"/>
        <v>0.75845003030622249</v>
      </c>
      <c r="NS187" s="16">
        <f t="shared" si="267"/>
        <v>0.11902691809421749</v>
      </c>
      <c r="NT187" s="16">
        <f t="shared" si="267"/>
        <v>0</v>
      </c>
      <c r="NU187" s="16">
        <f t="shared" si="267"/>
        <v>0</v>
      </c>
      <c r="NV187" s="16">
        <f t="shared" si="267"/>
        <v>0</v>
      </c>
      <c r="NW187" s="16">
        <f t="shared" si="267"/>
        <v>0</v>
      </c>
      <c r="NX187" s="16">
        <f t="shared" si="267"/>
        <v>0</v>
      </c>
      <c r="NY187" s="16">
        <f t="shared" si="267"/>
        <v>0</v>
      </c>
      <c r="NZ187" s="16">
        <f t="shared" si="267"/>
        <v>0</v>
      </c>
      <c r="OC187" s="9">
        <f t="shared" si="234"/>
        <v>8</v>
      </c>
      <c r="OD187" s="16">
        <f t="shared" si="268"/>
        <v>0</v>
      </c>
      <c r="OE187" s="16">
        <f t="shared" si="268"/>
        <v>0</v>
      </c>
      <c r="OF187" s="16">
        <f t="shared" si="268"/>
        <v>0</v>
      </c>
      <c r="OG187" s="16">
        <f t="shared" si="268"/>
        <v>0</v>
      </c>
      <c r="OH187" s="16">
        <f t="shared" si="268"/>
        <v>0</v>
      </c>
      <c r="OI187" s="16">
        <f t="shared" si="268"/>
        <v>0</v>
      </c>
      <c r="OJ187" s="16">
        <f t="shared" si="268"/>
        <v>0</v>
      </c>
      <c r="OK187" s="16">
        <f t="shared" si="268"/>
        <v>0</v>
      </c>
      <c r="OL187" s="16">
        <f t="shared" si="268"/>
        <v>0</v>
      </c>
      <c r="OM187" s="16">
        <f t="shared" si="268"/>
        <v>0</v>
      </c>
      <c r="ON187" s="16">
        <f t="shared" si="269"/>
        <v>0</v>
      </c>
      <c r="OO187" s="16">
        <f t="shared" si="269"/>
        <v>1.8400393504076368E-2</v>
      </c>
      <c r="OP187" s="16">
        <f t="shared" si="269"/>
        <v>0.96333288348181234</v>
      </c>
      <c r="OQ187" s="16">
        <f t="shared" si="269"/>
        <v>1.8068202948211244E-2</v>
      </c>
      <c r="OR187" s="16">
        <f t="shared" si="269"/>
        <v>0</v>
      </c>
      <c r="OS187" s="16">
        <f t="shared" si="269"/>
        <v>0</v>
      </c>
      <c r="OT187" s="16">
        <f t="shared" si="269"/>
        <v>0</v>
      </c>
      <c r="OU187" s="16">
        <f t="shared" si="269"/>
        <v>0</v>
      </c>
      <c r="OV187" s="16">
        <f t="shared" si="269"/>
        <v>0</v>
      </c>
      <c r="OW187" s="16">
        <f t="shared" si="269"/>
        <v>0</v>
      </c>
      <c r="OX187" s="16">
        <f t="shared" si="269"/>
        <v>0</v>
      </c>
      <c r="PA187" s="9">
        <f t="shared" si="235"/>
        <v>8</v>
      </c>
      <c r="PB187" s="16">
        <f t="shared" si="270"/>
        <v>0</v>
      </c>
      <c r="PC187" s="16">
        <f t="shared" si="270"/>
        <v>0</v>
      </c>
      <c r="PD187" s="16">
        <f t="shared" si="270"/>
        <v>0</v>
      </c>
      <c r="PE187" s="16">
        <f t="shared" si="270"/>
        <v>0</v>
      </c>
      <c r="PF187" s="16">
        <f t="shared" si="270"/>
        <v>0</v>
      </c>
      <c r="PG187" s="16">
        <f t="shared" si="270"/>
        <v>0</v>
      </c>
      <c r="PH187" s="16">
        <f t="shared" si="270"/>
        <v>0</v>
      </c>
      <c r="PI187" s="16">
        <f t="shared" si="270"/>
        <v>0</v>
      </c>
      <c r="PJ187" s="16">
        <f t="shared" si="270"/>
        <v>0</v>
      </c>
      <c r="PK187" s="16">
        <f t="shared" si="270"/>
        <v>0</v>
      </c>
      <c r="PL187" s="16">
        <f t="shared" si="271"/>
        <v>0</v>
      </c>
      <c r="PM187" s="16">
        <f t="shared" si="271"/>
        <v>0.12121028655055899</v>
      </c>
      <c r="PN187" s="16">
        <f t="shared" si="271"/>
        <v>0.75845996450197384</v>
      </c>
      <c r="PO187" s="16">
        <f t="shared" si="271"/>
        <v>0.11902202288886712</v>
      </c>
      <c r="PP187" s="16">
        <f t="shared" si="271"/>
        <v>0</v>
      </c>
      <c r="PQ187" s="16">
        <f t="shared" si="271"/>
        <v>0</v>
      </c>
      <c r="PR187" s="16">
        <f t="shared" si="271"/>
        <v>0</v>
      </c>
      <c r="PS187" s="16">
        <f t="shared" si="271"/>
        <v>0</v>
      </c>
      <c r="PT187" s="16">
        <f t="shared" si="271"/>
        <v>0</v>
      </c>
      <c r="PU187" s="16">
        <f t="shared" si="271"/>
        <v>0</v>
      </c>
      <c r="PV187" s="16">
        <f t="shared" si="271"/>
        <v>0</v>
      </c>
    </row>
    <row r="188" spans="3:438" x14ac:dyDescent="0.25">
      <c r="C188" s="1"/>
      <c r="D188" s="1"/>
      <c r="I188" s="9">
        <f t="shared" si="218"/>
        <v>7</v>
      </c>
      <c r="J188" s="16">
        <f t="shared" si="236"/>
        <v>0</v>
      </c>
      <c r="K188" s="16">
        <f t="shared" si="236"/>
        <v>0</v>
      </c>
      <c r="L188" s="16">
        <f t="shared" si="236"/>
        <v>0</v>
      </c>
      <c r="M188" s="16">
        <f t="shared" si="236"/>
        <v>0</v>
      </c>
      <c r="N188" s="16">
        <f t="shared" si="236"/>
        <v>0</v>
      </c>
      <c r="O188" s="16">
        <f t="shared" si="236"/>
        <v>0</v>
      </c>
      <c r="P188" s="16">
        <f t="shared" si="236"/>
        <v>0</v>
      </c>
      <c r="Q188" s="16">
        <f t="shared" si="236"/>
        <v>0</v>
      </c>
      <c r="R188" s="16">
        <f t="shared" si="236"/>
        <v>0</v>
      </c>
      <c r="S188" s="16">
        <f t="shared" si="236"/>
        <v>0</v>
      </c>
      <c r="T188" s="16">
        <f t="shared" si="237"/>
        <v>0</v>
      </c>
      <c r="U188" s="16">
        <f t="shared" si="237"/>
        <v>0</v>
      </c>
      <c r="V188" s="16">
        <f t="shared" si="237"/>
        <v>1.4650990332422835E-2</v>
      </c>
      <c r="W188" s="16">
        <f t="shared" si="237"/>
        <v>0.97081372706082181</v>
      </c>
      <c r="X188" s="16">
        <f t="shared" si="237"/>
        <v>1.4363439851255386E-2</v>
      </c>
      <c r="Y188" s="16">
        <f t="shared" si="237"/>
        <v>0</v>
      </c>
      <c r="Z188" s="16">
        <f t="shared" si="237"/>
        <v>0</v>
      </c>
      <c r="AA188" s="16">
        <f t="shared" si="237"/>
        <v>0</v>
      </c>
      <c r="AB188" s="16">
        <f t="shared" si="237"/>
        <v>0</v>
      </c>
      <c r="AC188" s="16">
        <f t="shared" si="237"/>
        <v>0</v>
      </c>
      <c r="AD188" s="16">
        <f t="shared" si="237"/>
        <v>0</v>
      </c>
      <c r="AG188" s="9">
        <f t="shared" si="219"/>
        <v>7</v>
      </c>
      <c r="AH188" s="16">
        <f t="shared" si="238"/>
        <v>0</v>
      </c>
      <c r="AI188" s="16">
        <f t="shared" si="238"/>
        <v>0</v>
      </c>
      <c r="AJ188" s="16">
        <f t="shared" si="238"/>
        <v>0</v>
      </c>
      <c r="AK188" s="16">
        <f t="shared" si="238"/>
        <v>0</v>
      </c>
      <c r="AL188" s="16">
        <f t="shared" si="238"/>
        <v>0</v>
      </c>
      <c r="AM188" s="16">
        <f t="shared" si="238"/>
        <v>0</v>
      </c>
      <c r="AN188" s="16">
        <f t="shared" si="238"/>
        <v>0</v>
      </c>
      <c r="AO188" s="16">
        <f t="shared" si="238"/>
        <v>0</v>
      </c>
      <c r="AP188" s="16">
        <f t="shared" si="238"/>
        <v>0</v>
      </c>
      <c r="AQ188" s="16">
        <f t="shared" si="238"/>
        <v>0</v>
      </c>
      <c r="AR188" s="16">
        <f t="shared" si="239"/>
        <v>0</v>
      </c>
      <c r="AS188" s="16">
        <f t="shared" si="239"/>
        <v>0</v>
      </c>
      <c r="AT188" s="16">
        <f t="shared" si="239"/>
        <v>5.8634531992878818E-2</v>
      </c>
      <c r="AU188" s="16">
        <f t="shared" si="239"/>
        <v>0.88319400835191619</v>
      </c>
      <c r="AV188" s="16">
        <f t="shared" si="239"/>
        <v>5.7483730067205016E-2</v>
      </c>
      <c r="AW188" s="16">
        <f t="shared" si="239"/>
        <v>0</v>
      </c>
      <c r="AX188" s="16">
        <f t="shared" si="239"/>
        <v>0</v>
      </c>
      <c r="AY188" s="16">
        <f t="shared" si="239"/>
        <v>0</v>
      </c>
      <c r="AZ188" s="16">
        <f t="shared" si="239"/>
        <v>0</v>
      </c>
      <c r="BA188" s="16">
        <f t="shared" si="239"/>
        <v>0</v>
      </c>
      <c r="BB188" s="16">
        <f t="shared" si="239"/>
        <v>0</v>
      </c>
      <c r="BE188" s="9">
        <f t="shared" si="220"/>
        <v>7</v>
      </c>
      <c r="BF188" s="16">
        <f t="shared" si="240"/>
        <v>0</v>
      </c>
      <c r="BG188" s="16">
        <f t="shared" si="240"/>
        <v>0</v>
      </c>
      <c r="BH188" s="16">
        <f t="shared" si="240"/>
        <v>0</v>
      </c>
      <c r="BI188" s="16">
        <f t="shared" si="240"/>
        <v>0</v>
      </c>
      <c r="BJ188" s="16">
        <f t="shared" si="240"/>
        <v>0</v>
      </c>
      <c r="BK188" s="16">
        <f t="shared" si="240"/>
        <v>0</v>
      </c>
      <c r="BL188" s="16">
        <f t="shared" si="240"/>
        <v>0</v>
      </c>
      <c r="BM188" s="16">
        <f t="shared" si="240"/>
        <v>0</v>
      </c>
      <c r="BN188" s="16">
        <f t="shared" si="240"/>
        <v>0</v>
      </c>
      <c r="BO188" s="16">
        <f t="shared" si="240"/>
        <v>0</v>
      </c>
      <c r="BP188" s="16">
        <f t="shared" si="241"/>
        <v>0</v>
      </c>
      <c r="BQ188" s="16">
        <f t="shared" si="241"/>
        <v>0</v>
      </c>
      <c r="BR188" s="16">
        <f t="shared" si="241"/>
        <v>5.8626889327081995E-2</v>
      </c>
      <c r="BS188" s="16">
        <f t="shared" si="241"/>
        <v>0.88320923332475887</v>
      </c>
      <c r="BT188" s="16">
        <f t="shared" si="241"/>
        <v>5.7476237401659191E-2</v>
      </c>
      <c r="BU188" s="16">
        <f t="shared" si="241"/>
        <v>0</v>
      </c>
      <c r="BV188" s="16">
        <f t="shared" si="241"/>
        <v>0</v>
      </c>
      <c r="BW188" s="16">
        <f t="shared" si="241"/>
        <v>0</v>
      </c>
      <c r="BX188" s="16">
        <f t="shared" si="241"/>
        <v>0</v>
      </c>
      <c r="BY188" s="16">
        <f t="shared" si="241"/>
        <v>0</v>
      </c>
      <c r="BZ188" s="16">
        <f t="shared" si="241"/>
        <v>0</v>
      </c>
      <c r="CC188" s="9">
        <f t="shared" si="221"/>
        <v>7</v>
      </c>
      <c r="CD188" s="16">
        <f t="shared" si="242"/>
        <v>0</v>
      </c>
      <c r="CE188" s="16">
        <f t="shared" si="242"/>
        <v>0</v>
      </c>
      <c r="CF188" s="16">
        <f t="shared" si="242"/>
        <v>0</v>
      </c>
      <c r="CG188" s="16">
        <f t="shared" si="242"/>
        <v>0</v>
      </c>
      <c r="CH188" s="16">
        <f t="shared" si="242"/>
        <v>0</v>
      </c>
      <c r="CI188" s="16">
        <f t="shared" si="242"/>
        <v>0</v>
      </c>
      <c r="CJ188" s="16">
        <f t="shared" si="242"/>
        <v>0</v>
      </c>
      <c r="CK188" s="16">
        <f t="shared" si="242"/>
        <v>0</v>
      </c>
      <c r="CL188" s="16">
        <f t="shared" si="242"/>
        <v>0</v>
      </c>
      <c r="CM188" s="16">
        <f t="shared" si="242"/>
        <v>0</v>
      </c>
      <c r="CN188" s="16">
        <f t="shared" si="243"/>
        <v>0</v>
      </c>
      <c r="CO188" s="16">
        <f t="shared" si="243"/>
        <v>0</v>
      </c>
      <c r="CP188" s="16">
        <f t="shared" si="243"/>
        <v>5.8626889327081821E-2</v>
      </c>
      <c r="CQ188" s="16">
        <f t="shared" si="243"/>
        <v>0.8832092333247592</v>
      </c>
      <c r="CR188" s="16">
        <f t="shared" si="243"/>
        <v>5.7476237401659025E-2</v>
      </c>
      <c r="CS188" s="16">
        <f t="shared" si="243"/>
        <v>0</v>
      </c>
      <c r="CT188" s="16">
        <f t="shared" si="243"/>
        <v>0</v>
      </c>
      <c r="CU188" s="16">
        <f t="shared" si="243"/>
        <v>0</v>
      </c>
      <c r="CV188" s="16">
        <f t="shared" si="243"/>
        <v>0</v>
      </c>
      <c r="CW188" s="16">
        <f t="shared" si="243"/>
        <v>0</v>
      </c>
      <c r="CX188" s="16">
        <f t="shared" si="243"/>
        <v>0</v>
      </c>
      <c r="DA188" s="9">
        <f t="shared" si="222"/>
        <v>7</v>
      </c>
      <c r="DB188" s="16">
        <f t="shared" si="244"/>
        <v>0</v>
      </c>
      <c r="DC188" s="16">
        <f t="shared" si="244"/>
        <v>0</v>
      </c>
      <c r="DD188" s="16">
        <f t="shared" si="244"/>
        <v>0</v>
      </c>
      <c r="DE188" s="16">
        <f t="shared" si="244"/>
        <v>0</v>
      </c>
      <c r="DF188" s="16">
        <f t="shared" si="244"/>
        <v>0</v>
      </c>
      <c r="DG188" s="16">
        <f t="shared" si="244"/>
        <v>0</v>
      </c>
      <c r="DH188" s="16">
        <f t="shared" si="244"/>
        <v>0</v>
      </c>
      <c r="DI188" s="16">
        <f t="shared" si="244"/>
        <v>0</v>
      </c>
      <c r="DJ188" s="16">
        <f t="shared" si="244"/>
        <v>0</v>
      </c>
      <c r="DK188" s="16">
        <f t="shared" si="244"/>
        <v>0</v>
      </c>
      <c r="DL188" s="16">
        <f t="shared" si="245"/>
        <v>0</v>
      </c>
      <c r="DM188" s="16">
        <f t="shared" si="245"/>
        <v>0</v>
      </c>
      <c r="DN188" s="16">
        <f t="shared" si="245"/>
        <v>1.4658632998219833E-2</v>
      </c>
      <c r="DO188" s="16">
        <f t="shared" si="245"/>
        <v>0.9707985020879788</v>
      </c>
      <c r="DP188" s="16">
        <f t="shared" si="245"/>
        <v>1.4370932516801379E-2</v>
      </c>
      <c r="DQ188" s="16">
        <f t="shared" si="245"/>
        <v>0</v>
      </c>
      <c r="DR188" s="16">
        <f t="shared" si="245"/>
        <v>0</v>
      </c>
      <c r="DS188" s="16">
        <f t="shared" si="245"/>
        <v>0</v>
      </c>
      <c r="DT188" s="16">
        <f t="shared" si="245"/>
        <v>0</v>
      </c>
      <c r="DU188" s="16">
        <f t="shared" si="245"/>
        <v>0</v>
      </c>
      <c r="DV188" s="16">
        <f t="shared" si="245"/>
        <v>0</v>
      </c>
      <c r="DY188" s="9">
        <f t="shared" si="223"/>
        <v>7</v>
      </c>
      <c r="DZ188" s="16">
        <f t="shared" si="246"/>
        <v>0</v>
      </c>
      <c r="EA188" s="16">
        <f t="shared" si="246"/>
        <v>0</v>
      </c>
      <c r="EB188" s="16">
        <f t="shared" si="246"/>
        <v>0</v>
      </c>
      <c r="EC188" s="16">
        <f t="shared" si="246"/>
        <v>0</v>
      </c>
      <c r="ED188" s="16">
        <f t="shared" si="246"/>
        <v>0</v>
      </c>
      <c r="EE188" s="16">
        <f t="shared" si="246"/>
        <v>0</v>
      </c>
      <c r="EF188" s="16">
        <f t="shared" si="246"/>
        <v>0</v>
      </c>
      <c r="EG188" s="16">
        <f t="shared" si="246"/>
        <v>0</v>
      </c>
      <c r="EH188" s="16">
        <f t="shared" si="246"/>
        <v>0</v>
      </c>
      <c r="EI188" s="16">
        <f t="shared" si="246"/>
        <v>0</v>
      </c>
      <c r="EJ188" s="16">
        <f t="shared" si="247"/>
        <v>0</v>
      </c>
      <c r="EK188" s="16">
        <f t="shared" si="247"/>
        <v>0</v>
      </c>
      <c r="EL188" s="16">
        <f t="shared" si="247"/>
        <v>4.2682343540829032E-2</v>
      </c>
      <c r="EM188" s="16">
        <f t="shared" si="247"/>
        <v>0.91509832489726473</v>
      </c>
      <c r="EN188" s="16">
        <f t="shared" si="247"/>
        <v>4.1531691615406229E-2</v>
      </c>
      <c r="EO188" s="16">
        <f t="shared" si="247"/>
        <v>0</v>
      </c>
      <c r="EP188" s="16">
        <f t="shared" si="247"/>
        <v>0</v>
      </c>
      <c r="EQ188" s="16">
        <f t="shared" si="247"/>
        <v>0</v>
      </c>
      <c r="ER188" s="16">
        <f t="shared" si="247"/>
        <v>0</v>
      </c>
      <c r="ES188" s="16">
        <f t="shared" si="247"/>
        <v>0</v>
      </c>
      <c r="ET188" s="16">
        <f t="shared" si="247"/>
        <v>0</v>
      </c>
      <c r="EW188" s="9">
        <f t="shared" si="224"/>
        <v>7</v>
      </c>
      <c r="EX188" s="16">
        <f t="shared" si="248"/>
        <v>0</v>
      </c>
      <c r="EY188" s="16">
        <f t="shared" si="248"/>
        <v>0</v>
      </c>
      <c r="EZ188" s="16">
        <f t="shared" si="248"/>
        <v>0</v>
      </c>
      <c r="FA188" s="16">
        <f t="shared" si="248"/>
        <v>0</v>
      </c>
      <c r="FB188" s="16">
        <f t="shared" si="248"/>
        <v>0</v>
      </c>
      <c r="FC188" s="16">
        <f t="shared" si="248"/>
        <v>0</v>
      </c>
      <c r="FD188" s="16">
        <f t="shared" si="248"/>
        <v>0</v>
      </c>
      <c r="FE188" s="16">
        <f t="shared" si="248"/>
        <v>0</v>
      </c>
      <c r="FF188" s="16">
        <f t="shared" si="248"/>
        <v>0</v>
      </c>
      <c r="FG188" s="16">
        <f t="shared" si="248"/>
        <v>0</v>
      </c>
      <c r="FH188" s="16">
        <f t="shared" si="249"/>
        <v>0</v>
      </c>
      <c r="FI188" s="16">
        <f t="shared" si="249"/>
        <v>0</v>
      </c>
      <c r="FJ188" s="16">
        <f t="shared" si="249"/>
        <v>4.2682343540829157E-2</v>
      </c>
      <c r="FK188" s="16">
        <f t="shared" si="249"/>
        <v>0.9150983248972645</v>
      </c>
      <c r="FL188" s="16">
        <f t="shared" si="249"/>
        <v>4.1531691615406353E-2</v>
      </c>
      <c r="FM188" s="16">
        <f t="shared" si="249"/>
        <v>0</v>
      </c>
      <c r="FN188" s="16">
        <f t="shared" si="249"/>
        <v>0</v>
      </c>
      <c r="FO188" s="16">
        <f t="shared" si="249"/>
        <v>0</v>
      </c>
      <c r="FP188" s="16">
        <f t="shared" si="249"/>
        <v>0</v>
      </c>
      <c r="FQ188" s="16">
        <f t="shared" si="249"/>
        <v>0</v>
      </c>
      <c r="FR188" s="16">
        <f t="shared" si="249"/>
        <v>0</v>
      </c>
      <c r="FU188" s="9">
        <f t="shared" si="225"/>
        <v>7</v>
      </c>
      <c r="FV188" s="16">
        <f t="shared" si="250"/>
        <v>0</v>
      </c>
      <c r="FW188" s="16">
        <f t="shared" si="250"/>
        <v>0</v>
      </c>
      <c r="FX188" s="16">
        <f t="shared" si="250"/>
        <v>0</v>
      </c>
      <c r="FY188" s="16">
        <f t="shared" si="250"/>
        <v>0</v>
      </c>
      <c r="FZ188" s="16">
        <f t="shared" si="250"/>
        <v>0</v>
      </c>
      <c r="GA188" s="16">
        <f t="shared" si="250"/>
        <v>0</v>
      </c>
      <c r="GB188" s="16">
        <f t="shared" si="250"/>
        <v>0</v>
      </c>
      <c r="GC188" s="16">
        <f t="shared" si="250"/>
        <v>0</v>
      </c>
      <c r="GD188" s="16">
        <f t="shared" si="250"/>
        <v>0</v>
      </c>
      <c r="GE188" s="16">
        <f t="shared" si="250"/>
        <v>0</v>
      </c>
      <c r="GF188" s="16">
        <f t="shared" si="251"/>
        <v>0</v>
      </c>
      <c r="GG188" s="16">
        <f t="shared" si="251"/>
        <v>0</v>
      </c>
      <c r="GH188" s="16">
        <f t="shared" si="251"/>
        <v>4.2687907658094201E-2</v>
      </c>
      <c r="GI188" s="16">
        <f t="shared" si="251"/>
        <v>0.91508725702148541</v>
      </c>
      <c r="GJ188" s="16">
        <f t="shared" si="251"/>
        <v>4.15371057324204E-2</v>
      </c>
      <c r="GK188" s="16">
        <f t="shared" si="251"/>
        <v>0</v>
      </c>
      <c r="GL188" s="16">
        <f t="shared" si="251"/>
        <v>0</v>
      </c>
      <c r="GM188" s="16">
        <f t="shared" si="251"/>
        <v>0</v>
      </c>
      <c r="GN188" s="16">
        <f t="shared" si="251"/>
        <v>0</v>
      </c>
      <c r="GO188" s="16">
        <f t="shared" si="251"/>
        <v>0</v>
      </c>
      <c r="GP188" s="16">
        <f t="shared" si="251"/>
        <v>0</v>
      </c>
      <c r="GS188" s="9">
        <f t="shared" si="226"/>
        <v>7</v>
      </c>
      <c r="GT188" s="16">
        <f t="shared" si="252"/>
        <v>0</v>
      </c>
      <c r="GU188" s="16">
        <f t="shared" si="252"/>
        <v>0</v>
      </c>
      <c r="GV188" s="16">
        <f t="shared" si="252"/>
        <v>0</v>
      </c>
      <c r="GW188" s="16">
        <f t="shared" si="252"/>
        <v>0</v>
      </c>
      <c r="GX188" s="16">
        <f t="shared" si="252"/>
        <v>0</v>
      </c>
      <c r="GY188" s="16">
        <f t="shared" si="252"/>
        <v>0</v>
      </c>
      <c r="GZ188" s="16">
        <f t="shared" si="252"/>
        <v>0</v>
      </c>
      <c r="HA188" s="16">
        <f t="shared" si="252"/>
        <v>0</v>
      </c>
      <c r="HB188" s="16">
        <f t="shared" si="252"/>
        <v>0</v>
      </c>
      <c r="HC188" s="16">
        <f t="shared" si="252"/>
        <v>0</v>
      </c>
      <c r="HD188" s="16">
        <f t="shared" si="253"/>
        <v>0</v>
      </c>
      <c r="HE188" s="16">
        <f t="shared" si="253"/>
        <v>0</v>
      </c>
      <c r="HF188" s="16">
        <f t="shared" si="253"/>
        <v>1.8478433437504146E-2</v>
      </c>
      <c r="HG188" s="16">
        <f t="shared" si="253"/>
        <v>0.96324358453706349</v>
      </c>
      <c r="HH188" s="16">
        <f t="shared" si="253"/>
        <v>1.7980282603932363E-2</v>
      </c>
      <c r="HI188" s="16">
        <f t="shared" si="253"/>
        <v>0</v>
      </c>
      <c r="HJ188" s="16">
        <f t="shared" si="253"/>
        <v>0</v>
      </c>
      <c r="HK188" s="16">
        <f t="shared" si="253"/>
        <v>0</v>
      </c>
      <c r="HL188" s="16">
        <f t="shared" si="253"/>
        <v>0</v>
      </c>
      <c r="HM188" s="16">
        <f t="shared" si="253"/>
        <v>0</v>
      </c>
      <c r="HN188" s="16">
        <f t="shared" si="253"/>
        <v>0</v>
      </c>
      <c r="HQ188" s="9">
        <f t="shared" si="227"/>
        <v>7</v>
      </c>
      <c r="HR188" s="16">
        <f t="shared" si="254"/>
        <v>0</v>
      </c>
      <c r="HS188" s="16">
        <f t="shared" si="254"/>
        <v>0</v>
      </c>
      <c r="HT188" s="16">
        <f t="shared" si="254"/>
        <v>0</v>
      </c>
      <c r="HU188" s="16">
        <f t="shared" si="254"/>
        <v>0</v>
      </c>
      <c r="HV188" s="16">
        <f t="shared" si="254"/>
        <v>0</v>
      </c>
      <c r="HW188" s="16">
        <f t="shared" si="254"/>
        <v>0</v>
      </c>
      <c r="HX188" s="16">
        <f t="shared" si="254"/>
        <v>0</v>
      </c>
      <c r="HY188" s="16">
        <f t="shared" si="254"/>
        <v>0</v>
      </c>
      <c r="HZ188" s="16">
        <f t="shared" si="254"/>
        <v>0</v>
      </c>
      <c r="IA188" s="16">
        <f t="shared" si="254"/>
        <v>0</v>
      </c>
      <c r="IB188" s="16">
        <f t="shared" si="255"/>
        <v>0</v>
      </c>
      <c r="IC188" s="16">
        <f t="shared" si="255"/>
        <v>0</v>
      </c>
      <c r="ID188" s="16">
        <f t="shared" si="255"/>
        <v>0.12176514223015307</v>
      </c>
      <c r="IE188" s="16">
        <f t="shared" si="255"/>
        <v>0.75779060644658303</v>
      </c>
      <c r="IF188" s="16">
        <f t="shared" si="255"/>
        <v>0.11848253673726393</v>
      </c>
      <c r="IG188" s="16">
        <f t="shared" si="255"/>
        <v>0</v>
      </c>
      <c r="IH188" s="16">
        <f t="shared" si="255"/>
        <v>0</v>
      </c>
      <c r="II188" s="16">
        <f t="shared" si="255"/>
        <v>0</v>
      </c>
      <c r="IJ188" s="16">
        <f t="shared" si="255"/>
        <v>0</v>
      </c>
      <c r="IK188" s="16">
        <f t="shared" si="255"/>
        <v>0</v>
      </c>
      <c r="IL188" s="16">
        <f t="shared" si="255"/>
        <v>0</v>
      </c>
      <c r="IO188" s="9">
        <f t="shared" si="228"/>
        <v>7</v>
      </c>
      <c r="IP188" s="16">
        <f t="shared" si="256"/>
        <v>0</v>
      </c>
      <c r="IQ188" s="16">
        <f t="shared" si="256"/>
        <v>0</v>
      </c>
      <c r="IR188" s="16">
        <f t="shared" si="256"/>
        <v>0</v>
      </c>
      <c r="IS188" s="16">
        <f t="shared" si="256"/>
        <v>0</v>
      </c>
      <c r="IT188" s="16">
        <f t="shared" si="256"/>
        <v>0</v>
      </c>
      <c r="IU188" s="16">
        <f t="shared" si="256"/>
        <v>0</v>
      </c>
      <c r="IV188" s="16">
        <f t="shared" si="256"/>
        <v>0</v>
      </c>
      <c r="IW188" s="16">
        <f t="shared" si="256"/>
        <v>0</v>
      </c>
      <c r="IX188" s="16">
        <f t="shared" si="256"/>
        <v>0</v>
      </c>
      <c r="IY188" s="16">
        <f t="shared" si="256"/>
        <v>0</v>
      </c>
      <c r="IZ188" s="16">
        <f t="shared" si="257"/>
        <v>0</v>
      </c>
      <c r="JA188" s="16">
        <f t="shared" si="257"/>
        <v>0</v>
      </c>
      <c r="JB188" s="16">
        <f t="shared" si="257"/>
        <v>1.8483441143042661E-2</v>
      </c>
      <c r="JC188" s="16">
        <f t="shared" si="257"/>
        <v>0.96323362344886232</v>
      </c>
      <c r="JD188" s="16">
        <f t="shared" si="257"/>
        <v>1.798515530924498E-2</v>
      </c>
      <c r="JE188" s="16">
        <f t="shared" si="257"/>
        <v>0</v>
      </c>
      <c r="JF188" s="16">
        <f t="shared" si="257"/>
        <v>0</v>
      </c>
      <c r="JG188" s="16">
        <f t="shared" si="257"/>
        <v>0</v>
      </c>
      <c r="JH188" s="16">
        <f t="shared" si="257"/>
        <v>0</v>
      </c>
      <c r="JI188" s="16">
        <f t="shared" si="257"/>
        <v>0</v>
      </c>
      <c r="JJ188" s="16">
        <f t="shared" si="257"/>
        <v>0</v>
      </c>
      <c r="JM188" s="9">
        <f t="shared" si="229"/>
        <v>7</v>
      </c>
      <c r="JN188" s="16">
        <f t="shared" si="258"/>
        <v>0</v>
      </c>
      <c r="JO188" s="16">
        <f t="shared" si="258"/>
        <v>0</v>
      </c>
      <c r="JP188" s="16">
        <f t="shared" si="258"/>
        <v>0</v>
      </c>
      <c r="JQ188" s="16">
        <f t="shared" si="258"/>
        <v>0</v>
      </c>
      <c r="JR188" s="16">
        <f t="shared" si="258"/>
        <v>0</v>
      </c>
      <c r="JS188" s="16">
        <f t="shared" si="258"/>
        <v>0</v>
      </c>
      <c r="JT188" s="16">
        <f t="shared" si="258"/>
        <v>0</v>
      </c>
      <c r="JU188" s="16">
        <f t="shared" si="258"/>
        <v>0</v>
      </c>
      <c r="JV188" s="16">
        <f t="shared" si="258"/>
        <v>0</v>
      </c>
      <c r="JW188" s="16">
        <f t="shared" si="258"/>
        <v>0</v>
      </c>
      <c r="JX188" s="16">
        <f t="shared" si="259"/>
        <v>0</v>
      </c>
      <c r="JY188" s="16">
        <f t="shared" si="259"/>
        <v>0</v>
      </c>
      <c r="JZ188" s="16">
        <f t="shared" si="259"/>
        <v>0.12176291658324707</v>
      </c>
      <c r="KA188" s="16">
        <f t="shared" si="259"/>
        <v>0.7577950335968946</v>
      </c>
      <c r="KB188" s="16">
        <f t="shared" si="259"/>
        <v>0.11848037109045834</v>
      </c>
      <c r="KC188" s="16">
        <f t="shared" si="259"/>
        <v>0</v>
      </c>
      <c r="KD188" s="16">
        <f t="shared" si="259"/>
        <v>0</v>
      </c>
      <c r="KE188" s="16">
        <f t="shared" si="259"/>
        <v>0</v>
      </c>
      <c r="KF188" s="16">
        <f t="shared" si="259"/>
        <v>0</v>
      </c>
      <c r="KG188" s="16">
        <f t="shared" si="259"/>
        <v>0</v>
      </c>
      <c r="KH188" s="16">
        <f t="shared" si="259"/>
        <v>0</v>
      </c>
      <c r="KK188" s="9">
        <f t="shared" si="230"/>
        <v>7</v>
      </c>
      <c r="KL188" s="16">
        <f t="shared" si="260"/>
        <v>0</v>
      </c>
      <c r="KM188" s="16">
        <f t="shared" si="260"/>
        <v>0</v>
      </c>
      <c r="KN188" s="16">
        <f t="shared" si="260"/>
        <v>0</v>
      </c>
      <c r="KO188" s="16">
        <f t="shared" si="260"/>
        <v>0</v>
      </c>
      <c r="KP188" s="16">
        <f t="shared" si="260"/>
        <v>0</v>
      </c>
      <c r="KQ188" s="16">
        <f t="shared" si="260"/>
        <v>0</v>
      </c>
      <c r="KR188" s="16">
        <f t="shared" si="260"/>
        <v>0</v>
      </c>
      <c r="KS188" s="16">
        <f t="shared" si="260"/>
        <v>0</v>
      </c>
      <c r="KT188" s="16">
        <f t="shared" si="260"/>
        <v>0</v>
      </c>
      <c r="KU188" s="16">
        <f t="shared" si="260"/>
        <v>0</v>
      </c>
      <c r="KV188" s="16">
        <f t="shared" si="261"/>
        <v>0</v>
      </c>
      <c r="KW188" s="16">
        <f t="shared" si="261"/>
        <v>0</v>
      </c>
      <c r="KX188" s="16">
        <f t="shared" si="261"/>
        <v>1.5434861293476721E-2</v>
      </c>
      <c r="KY188" s="16">
        <f t="shared" si="261"/>
        <v>0.9692977125883212</v>
      </c>
      <c r="KZ188" s="16">
        <f t="shared" si="261"/>
        <v>1.501876059720207E-2</v>
      </c>
      <c r="LA188" s="16">
        <f t="shared" si="261"/>
        <v>0</v>
      </c>
      <c r="LB188" s="16">
        <f t="shared" si="261"/>
        <v>0</v>
      </c>
      <c r="LC188" s="16">
        <f t="shared" si="261"/>
        <v>0</v>
      </c>
      <c r="LD188" s="16">
        <f t="shared" si="261"/>
        <v>0</v>
      </c>
      <c r="LE188" s="16">
        <f t="shared" si="261"/>
        <v>0</v>
      </c>
      <c r="LF188" s="16">
        <f t="shared" si="261"/>
        <v>0</v>
      </c>
      <c r="LI188" s="9">
        <f t="shared" si="231"/>
        <v>7</v>
      </c>
      <c r="LJ188" s="16">
        <f t="shared" si="262"/>
        <v>0</v>
      </c>
      <c r="LK188" s="16">
        <f t="shared" si="262"/>
        <v>0</v>
      </c>
      <c r="LL188" s="16">
        <f t="shared" si="262"/>
        <v>0</v>
      </c>
      <c r="LM188" s="16">
        <f t="shared" si="262"/>
        <v>0</v>
      </c>
      <c r="LN188" s="16">
        <f t="shared" si="262"/>
        <v>0</v>
      </c>
      <c r="LO188" s="16">
        <f t="shared" si="262"/>
        <v>0</v>
      </c>
      <c r="LP188" s="16">
        <f t="shared" si="262"/>
        <v>0</v>
      </c>
      <c r="LQ188" s="16">
        <f t="shared" si="262"/>
        <v>0</v>
      </c>
      <c r="LR188" s="16">
        <f t="shared" si="262"/>
        <v>0</v>
      </c>
      <c r="LS188" s="16">
        <f t="shared" si="262"/>
        <v>0</v>
      </c>
      <c r="LT188" s="16">
        <f t="shared" si="263"/>
        <v>0</v>
      </c>
      <c r="LU188" s="16">
        <f t="shared" si="263"/>
        <v>0</v>
      </c>
      <c r="LV188" s="16">
        <f t="shared" si="263"/>
        <v>0.12176236017152055</v>
      </c>
      <c r="LW188" s="16">
        <f t="shared" si="263"/>
        <v>0.75779614038447252</v>
      </c>
      <c r="LX188" s="16">
        <f t="shared" si="263"/>
        <v>0.11847982967875691</v>
      </c>
      <c r="LY188" s="16">
        <f t="shared" si="263"/>
        <v>0</v>
      </c>
      <c r="LZ188" s="16">
        <f t="shared" si="263"/>
        <v>0</v>
      </c>
      <c r="MA188" s="16">
        <f t="shared" si="263"/>
        <v>0</v>
      </c>
      <c r="MB188" s="16">
        <f t="shared" si="263"/>
        <v>0</v>
      </c>
      <c r="MC188" s="16">
        <f t="shared" si="263"/>
        <v>0</v>
      </c>
      <c r="MD188" s="16">
        <f t="shared" si="263"/>
        <v>0</v>
      </c>
      <c r="MG188" s="9">
        <f t="shared" si="232"/>
        <v>7</v>
      </c>
      <c r="MH188" s="16">
        <f t="shared" si="264"/>
        <v>0</v>
      </c>
      <c r="MI188" s="16">
        <f t="shared" si="264"/>
        <v>0</v>
      </c>
      <c r="MJ188" s="16">
        <f t="shared" si="264"/>
        <v>0</v>
      </c>
      <c r="MK188" s="16">
        <f t="shared" si="264"/>
        <v>0</v>
      </c>
      <c r="ML188" s="16">
        <f t="shared" si="264"/>
        <v>0</v>
      </c>
      <c r="MM188" s="16">
        <f t="shared" si="264"/>
        <v>0</v>
      </c>
      <c r="MN188" s="16">
        <f t="shared" si="264"/>
        <v>0</v>
      </c>
      <c r="MO188" s="16">
        <f t="shared" si="264"/>
        <v>0</v>
      </c>
      <c r="MP188" s="16">
        <f t="shared" si="264"/>
        <v>0</v>
      </c>
      <c r="MQ188" s="16">
        <f t="shared" si="264"/>
        <v>0</v>
      </c>
      <c r="MR188" s="16">
        <f t="shared" si="265"/>
        <v>0</v>
      </c>
      <c r="MS188" s="16">
        <f t="shared" si="265"/>
        <v>0</v>
      </c>
      <c r="MT188" s="16">
        <f t="shared" si="265"/>
        <v>1.6959429424122957E-2</v>
      </c>
      <c r="MU188" s="16">
        <f t="shared" si="265"/>
        <v>0.9662651146248028</v>
      </c>
      <c r="MV188" s="16">
        <f t="shared" si="265"/>
        <v>1.650222865907424E-2</v>
      </c>
      <c r="MW188" s="16">
        <f t="shared" si="265"/>
        <v>0</v>
      </c>
      <c r="MX188" s="16">
        <f t="shared" si="265"/>
        <v>0</v>
      </c>
      <c r="MY188" s="16">
        <f t="shared" si="265"/>
        <v>0</v>
      </c>
      <c r="MZ188" s="16">
        <f t="shared" si="265"/>
        <v>0</v>
      </c>
      <c r="NA188" s="16">
        <f t="shared" si="265"/>
        <v>0</v>
      </c>
      <c r="NB188" s="16">
        <f t="shared" si="265"/>
        <v>0</v>
      </c>
      <c r="NE188" s="9">
        <f t="shared" si="233"/>
        <v>7</v>
      </c>
      <c r="NF188" s="16">
        <f t="shared" si="266"/>
        <v>0</v>
      </c>
      <c r="NG188" s="16">
        <f t="shared" si="266"/>
        <v>0</v>
      </c>
      <c r="NH188" s="16">
        <f t="shared" si="266"/>
        <v>0</v>
      </c>
      <c r="NI188" s="16">
        <f t="shared" si="266"/>
        <v>0</v>
      </c>
      <c r="NJ188" s="16">
        <f t="shared" si="266"/>
        <v>0</v>
      </c>
      <c r="NK188" s="16">
        <f t="shared" si="266"/>
        <v>0</v>
      </c>
      <c r="NL188" s="16">
        <f t="shared" si="266"/>
        <v>0</v>
      </c>
      <c r="NM188" s="16">
        <f t="shared" si="266"/>
        <v>0</v>
      </c>
      <c r="NN188" s="16">
        <f t="shared" si="266"/>
        <v>0</v>
      </c>
      <c r="NO188" s="16">
        <f t="shared" si="266"/>
        <v>0</v>
      </c>
      <c r="NP188" s="16">
        <f t="shared" si="267"/>
        <v>0</v>
      </c>
      <c r="NQ188" s="16">
        <f t="shared" si="267"/>
        <v>0</v>
      </c>
      <c r="NR188" s="16">
        <f t="shared" si="267"/>
        <v>0.12176236017152055</v>
      </c>
      <c r="NS188" s="16">
        <f t="shared" si="267"/>
        <v>0.75779614038447252</v>
      </c>
      <c r="NT188" s="16">
        <f t="shared" si="267"/>
        <v>0.11847982967875691</v>
      </c>
      <c r="NU188" s="16">
        <f t="shared" si="267"/>
        <v>0</v>
      </c>
      <c r="NV188" s="16">
        <f t="shared" si="267"/>
        <v>0</v>
      </c>
      <c r="NW188" s="16">
        <f t="shared" si="267"/>
        <v>0</v>
      </c>
      <c r="NX188" s="16">
        <f t="shared" si="267"/>
        <v>0</v>
      </c>
      <c r="NY188" s="16">
        <f t="shared" si="267"/>
        <v>0</v>
      </c>
      <c r="NZ188" s="16">
        <f t="shared" si="267"/>
        <v>0</v>
      </c>
      <c r="OC188" s="9">
        <f t="shared" si="234"/>
        <v>7</v>
      </c>
      <c r="OD188" s="16">
        <f t="shared" si="268"/>
        <v>0</v>
      </c>
      <c r="OE188" s="16">
        <f t="shared" si="268"/>
        <v>0</v>
      </c>
      <c r="OF188" s="16">
        <f t="shared" si="268"/>
        <v>0</v>
      </c>
      <c r="OG188" s="16">
        <f t="shared" si="268"/>
        <v>0</v>
      </c>
      <c r="OH188" s="16">
        <f t="shared" si="268"/>
        <v>0</v>
      </c>
      <c r="OI188" s="16">
        <f t="shared" si="268"/>
        <v>0</v>
      </c>
      <c r="OJ188" s="16">
        <f t="shared" si="268"/>
        <v>0</v>
      </c>
      <c r="OK188" s="16">
        <f t="shared" si="268"/>
        <v>0</v>
      </c>
      <c r="OL188" s="16">
        <f t="shared" si="268"/>
        <v>0</v>
      </c>
      <c r="OM188" s="16">
        <f t="shared" si="268"/>
        <v>0</v>
      </c>
      <c r="ON188" s="16">
        <f t="shared" si="269"/>
        <v>0</v>
      </c>
      <c r="OO188" s="16">
        <f t="shared" si="269"/>
        <v>0</v>
      </c>
      <c r="OP188" s="16">
        <f t="shared" si="269"/>
        <v>1.8483441143042647E-2</v>
      </c>
      <c r="OQ188" s="16">
        <f t="shared" si="269"/>
        <v>0.96323362344886243</v>
      </c>
      <c r="OR188" s="16">
        <f t="shared" si="269"/>
        <v>1.7985155309244966E-2</v>
      </c>
      <c r="OS188" s="16">
        <f t="shared" si="269"/>
        <v>0</v>
      </c>
      <c r="OT188" s="16">
        <f t="shared" si="269"/>
        <v>0</v>
      </c>
      <c r="OU188" s="16">
        <f t="shared" si="269"/>
        <v>0</v>
      </c>
      <c r="OV188" s="16">
        <f t="shared" si="269"/>
        <v>0</v>
      </c>
      <c r="OW188" s="16">
        <f t="shared" si="269"/>
        <v>0</v>
      </c>
      <c r="OX188" s="16">
        <f t="shared" si="269"/>
        <v>0</v>
      </c>
      <c r="PA188" s="9">
        <f t="shared" si="235"/>
        <v>7</v>
      </c>
      <c r="PB188" s="16">
        <f t="shared" si="270"/>
        <v>0</v>
      </c>
      <c r="PC188" s="16">
        <f t="shared" si="270"/>
        <v>0</v>
      </c>
      <c r="PD188" s="16">
        <f t="shared" si="270"/>
        <v>0</v>
      </c>
      <c r="PE188" s="16">
        <f t="shared" si="270"/>
        <v>0</v>
      </c>
      <c r="PF188" s="16">
        <f t="shared" si="270"/>
        <v>0</v>
      </c>
      <c r="PG188" s="16">
        <f t="shared" si="270"/>
        <v>0</v>
      </c>
      <c r="PH188" s="16">
        <f t="shared" si="270"/>
        <v>0</v>
      </c>
      <c r="PI188" s="16">
        <f t="shared" si="270"/>
        <v>0</v>
      </c>
      <c r="PJ188" s="16">
        <f t="shared" si="270"/>
        <v>0</v>
      </c>
      <c r="PK188" s="16">
        <f t="shared" si="270"/>
        <v>0</v>
      </c>
      <c r="PL188" s="16">
        <f t="shared" si="271"/>
        <v>0</v>
      </c>
      <c r="PM188" s="16">
        <f t="shared" si="271"/>
        <v>0</v>
      </c>
      <c r="PN188" s="16">
        <f t="shared" si="271"/>
        <v>0.12175735246598193</v>
      </c>
      <c r="PO188" s="16">
        <f t="shared" si="271"/>
        <v>0.75780610147267391</v>
      </c>
      <c r="PP188" s="16">
        <f t="shared" si="271"/>
        <v>0.11847495697344418</v>
      </c>
      <c r="PQ188" s="16">
        <f t="shared" si="271"/>
        <v>0</v>
      </c>
      <c r="PR188" s="16">
        <f t="shared" si="271"/>
        <v>0</v>
      </c>
      <c r="PS188" s="16">
        <f t="shared" si="271"/>
        <v>0</v>
      </c>
      <c r="PT188" s="16">
        <f t="shared" si="271"/>
        <v>0</v>
      </c>
      <c r="PU188" s="16">
        <f t="shared" si="271"/>
        <v>0</v>
      </c>
      <c r="PV188" s="16">
        <f t="shared" si="271"/>
        <v>0</v>
      </c>
    </row>
    <row r="189" spans="3:438" x14ac:dyDescent="0.25">
      <c r="C189" s="1"/>
      <c r="D189" s="1"/>
      <c r="I189" s="9">
        <f t="shared" si="218"/>
        <v>6</v>
      </c>
      <c r="J189" s="16">
        <f t="shared" si="236"/>
        <v>0</v>
      </c>
      <c r="K189" s="16">
        <f t="shared" si="236"/>
        <v>0</v>
      </c>
      <c r="L189" s="16">
        <f t="shared" si="236"/>
        <v>0</v>
      </c>
      <c r="M189" s="16">
        <f t="shared" si="236"/>
        <v>0</v>
      </c>
      <c r="N189" s="16">
        <f t="shared" si="236"/>
        <v>0</v>
      </c>
      <c r="O189" s="16">
        <f t="shared" si="236"/>
        <v>0</v>
      </c>
      <c r="P189" s="16">
        <f t="shared" si="236"/>
        <v>0</v>
      </c>
      <c r="Q189" s="16">
        <f t="shared" si="236"/>
        <v>0</v>
      </c>
      <c r="R189" s="16">
        <f t="shared" si="236"/>
        <v>0</v>
      </c>
      <c r="S189" s="16">
        <f t="shared" si="236"/>
        <v>0</v>
      </c>
      <c r="T189" s="16">
        <f t="shared" si="237"/>
        <v>0</v>
      </c>
      <c r="U189" s="16">
        <f t="shared" si="237"/>
        <v>0</v>
      </c>
      <c r="V189" s="16">
        <f t="shared" si="237"/>
        <v>0</v>
      </c>
      <c r="W189" s="16">
        <f t="shared" si="237"/>
        <v>1.4698915412617411E-2</v>
      </c>
      <c r="X189" s="16">
        <f t="shared" si="237"/>
        <v>0.97075644614232182</v>
      </c>
      <c r="Y189" s="16">
        <f t="shared" si="237"/>
        <v>1.431551477106081E-2</v>
      </c>
      <c r="Z189" s="16">
        <f t="shared" si="237"/>
        <v>0</v>
      </c>
      <c r="AA189" s="16">
        <f t="shared" si="237"/>
        <v>0</v>
      </c>
      <c r="AB189" s="16">
        <f t="shared" si="237"/>
        <v>0</v>
      </c>
      <c r="AC189" s="16">
        <f t="shared" si="237"/>
        <v>0</v>
      </c>
      <c r="AD189" s="16">
        <f t="shared" si="237"/>
        <v>0</v>
      </c>
      <c r="AG189" s="9">
        <f t="shared" si="219"/>
        <v>6</v>
      </c>
      <c r="AH189" s="16">
        <f t="shared" si="238"/>
        <v>0</v>
      </c>
      <c r="AI189" s="16">
        <f t="shared" si="238"/>
        <v>0</v>
      </c>
      <c r="AJ189" s="16">
        <f t="shared" si="238"/>
        <v>0</v>
      </c>
      <c r="AK189" s="16">
        <f t="shared" si="238"/>
        <v>0</v>
      </c>
      <c r="AL189" s="16">
        <f t="shared" si="238"/>
        <v>0</v>
      </c>
      <c r="AM189" s="16">
        <f t="shared" si="238"/>
        <v>0</v>
      </c>
      <c r="AN189" s="16">
        <f t="shared" si="238"/>
        <v>0</v>
      </c>
      <c r="AO189" s="16">
        <f t="shared" si="238"/>
        <v>0</v>
      </c>
      <c r="AP189" s="16">
        <f t="shared" si="238"/>
        <v>0</v>
      </c>
      <c r="AQ189" s="16">
        <f t="shared" si="238"/>
        <v>0</v>
      </c>
      <c r="AR189" s="16">
        <f t="shared" si="239"/>
        <v>0</v>
      </c>
      <c r="AS189" s="16">
        <f t="shared" si="239"/>
        <v>0</v>
      </c>
      <c r="AT189" s="16">
        <f t="shared" si="239"/>
        <v>0</v>
      </c>
      <c r="AU189" s="16">
        <f t="shared" si="239"/>
        <v>5.8826332313824455E-2</v>
      </c>
      <c r="AV189" s="16">
        <f t="shared" si="239"/>
        <v>0.88296476515591615</v>
      </c>
      <c r="AW189" s="16">
        <f t="shared" si="239"/>
        <v>5.7291929746259379E-2</v>
      </c>
      <c r="AX189" s="16">
        <f t="shared" si="239"/>
        <v>0</v>
      </c>
      <c r="AY189" s="16">
        <f t="shared" si="239"/>
        <v>0</v>
      </c>
      <c r="AZ189" s="16">
        <f t="shared" si="239"/>
        <v>0</v>
      </c>
      <c r="BA189" s="16">
        <f t="shared" si="239"/>
        <v>0</v>
      </c>
      <c r="BB189" s="16">
        <f t="shared" si="239"/>
        <v>0</v>
      </c>
      <c r="BE189" s="9">
        <f t="shared" si="220"/>
        <v>6</v>
      </c>
      <c r="BF189" s="16">
        <f t="shared" si="240"/>
        <v>0</v>
      </c>
      <c r="BG189" s="16">
        <f t="shared" si="240"/>
        <v>0</v>
      </c>
      <c r="BH189" s="16">
        <f t="shared" si="240"/>
        <v>0</v>
      </c>
      <c r="BI189" s="16">
        <f t="shared" si="240"/>
        <v>0</v>
      </c>
      <c r="BJ189" s="16">
        <f t="shared" si="240"/>
        <v>0</v>
      </c>
      <c r="BK189" s="16">
        <f t="shared" si="240"/>
        <v>0</v>
      </c>
      <c r="BL189" s="16">
        <f t="shared" si="240"/>
        <v>0</v>
      </c>
      <c r="BM189" s="16">
        <f t="shared" si="240"/>
        <v>0</v>
      </c>
      <c r="BN189" s="16">
        <f t="shared" si="240"/>
        <v>0</v>
      </c>
      <c r="BO189" s="16">
        <f t="shared" si="240"/>
        <v>0</v>
      </c>
      <c r="BP189" s="16">
        <f t="shared" si="241"/>
        <v>0</v>
      </c>
      <c r="BQ189" s="16">
        <f t="shared" si="241"/>
        <v>0</v>
      </c>
      <c r="BR189" s="16">
        <f t="shared" si="241"/>
        <v>0</v>
      </c>
      <c r="BS189" s="16">
        <f t="shared" si="241"/>
        <v>5.8818664647985797E-2</v>
      </c>
      <c r="BT189" s="16">
        <f t="shared" si="241"/>
        <v>0.88298002000925879</v>
      </c>
      <c r="BU189" s="16">
        <f t="shared" si="241"/>
        <v>5.7284462080755383E-2</v>
      </c>
      <c r="BV189" s="16">
        <f t="shared" si="241"/>
        <v>0</v>
      </c>
      <c r="BW189" s="16">
        <f t="shared" si="241"/>
        <v>0</v>
      </c>
      <c r="BX189" s="16">
        <f t="shared" si="241"/>
        <v>0</v>
      </c>
      <c r="BY189" s="16">
        <f t="shared" si="241"/>
        <v>0</v>
      </c>
      <c r="BZ189" s="16">
        <f t="shared" si="241"/>
        <v>0</v>
      </c>
      <c r="CC189" s="9">
        <f t="shared" si="221"/>
        <v>6</v>
      </c>
      <c r="CD189" s="16">
        <f t="shared" si="242"/>
        <v>0</v>
      </c>
      <c r="CE189" s="16">
        <f t="shared" si="242"/>
        <v>0</v>
      </c>
      <c r="CF189" s="16">
        <f t="shared" si="242"/>
        <v>0</v>
      </c>
      <c r="CG189" s="16">
        <f t="shared" si="242"/>
        <v>0</v>
      </c>
      <c r="CH189" s="16">
        <f t="shared" si="242"/>
        <v>0</v>
      </c>
      <c r="CI189" s="16">
        <f t="shared" si="242"/>
        <v>0</v>
      </c>
      <c r="CJ189" s="16">
        <f t="shared" si="242"/>
        <v>0</v>
      </c>
      <c r="CK189" s="16">
        <f t="shared" si="242"/>
        <v>0</v>
      </c>
      <c r="CL189" s="16">
        <f t="shared" si="242"/>
        <v>0</v>
      </c>
      <c r="CM189" s="16">
        <f t="shared" si="242"/>
        <v>0</v>
      </c>
      <c r="CN189" s="16">
        <f t="shared" si="243"/>
        <v>0</v>
      </c>
      <c r="CO189" s="16">
        <f t="shared" si="243"/>
        <v>0</v>
      </c>
      <c r="CP189" s="16">
        <f t="shared" si="243"/>
        <v>0</v>
      </c>
      <c r="CQ189" s="16">
        <f t="shared" si="243"/>
        <v>5.8818664647985623E-2</v>
      </c>
      <c r="CR189" s="16">
        <f t="shared" si="243"/>
        <v>0.88298002000925913</v>
      </c>
      <c r="CS189" s="16">
        <f t="shared" si="243"/>
        <v>5.7284462080755216E-2</v>
      </c>
      <c r="CT189" s="16">
        <f t="shared" si="243"/>
        <v>0</v>
      </c>
      <c r="CU189" s="16">
        <f t="shared" si="243"/>
        <v>0</v>
      </c>
      <c r="CV189" s="16">
        <f t="shared" si="243"/>
        <v>0</v>
      </c>
      <c r="CW189" s="16">
        <f t="shared" si="243"/>
        <v>0</v>
      </c>
      <c r="CX189" s="16">
        <f t="shared" si="243"/>
        <v>0</v>
      </c>
      <c r="DA189" s="9">
        <f t="shared" si="222"/>
        <v>6</v>
      </c>
      <c r="DB189" s="16">
        <f t="shared" si="244"/>
        <v>0</v>
      </c>
      <c r="DC189" s="16">
        <f t="shared" si="244"/>
        <v>0</v>
      </c>
      <c r="DD189" s="16">
        <f t="shared" si="244"/>
        <v>0</v>
      </c>
      <c r="DE189" s="16">
        <f t="shared" si="244"/>
        <v>0</v>
      </c>
      <c r="DF189" s="16">
        <f t="shared" si="244"/>
        <v>0</v>
      </c>
      <c r="DG189" s="16">
        <f t="shared" si="244"/>
        <v>0</v>
      </c>
      <c r="DH189" s="16">
        <f t="shared" si="244"/>
        <v>0</v>
      </c>
      <c r="DI189" s="16">
        <f t="shared" si="244"/>
        <v>0</v>
      </c>
      <c r="DJ189" s="16">
        <f t="shared" si="244"/>
        <v>0</v>
      </c>
      <c r="DK189" s="16">
        <f t="shared" si="244"/>
        <v>0</v>
      </c>
      <c r="DL189" s="16">
        <f t="shared" si="245"/>
        <v>0</v>
      </c>
      <c r="DM189" s="16">
        <f t="shared" si="245"/>
        <v>0</v>
      </c>
      <c r="DN189" s="16">
        <f t="shared" si="245"/>
        <v>0</v>
      </c>
      <c r="DO189" s="16">
        <f t="shared" si="245"/>
        <v>1.4706583078456242E-2</v>
      </c>
      <c r="DP189" s="16">
        <f t="shared" si="245"/>
        <v>0.97074119128897873</v>
      </c>
      <c r="DQ189" s="16">
        <f t="shared" si="245"/>
        <v>1.4322982436564968E-2</v>
      </c>
      <c r="DR189" s="16">
        <f t="shared" si="245"/>
        <v>0</v>
      </c>
      <c r="DS189" s="16">
        <f t="shared" si="245"/>
        <v>0</v>
      </c>
      <c r="DT189" s="16">
        <f t="shared" si="245"/>
        <v>0</v>
      </c>
      <c r="DU189" s="16">
        <f t="shared" si="245"/>
        <v>0</v>
      </c>
      <c r="DV189" s="16">
        <f t="shared" si="245"/>
        <v>0</v>
      </c>
      <c r="DY189" s="9">
        <f t="shared" si="223"/>
        <v>6</v>
      </c>
      <c r="DZ189" s="16">
        <f t="shared" si="246"/>
        <v>0</v>
      </c>
      <c r="EA189" s="16">
        <f t="shared" si="246"/>
        <v>0</v>
      </c>
      <c r="EB189" s="16">
        <f t="shared" si="246"/>
        <v>0</v>
      </c>
      <c r="EC189" s="16">
        <f t="shared" si="246"/>
        <v>0</v>
      </c>
      <c r="ED189" s="16">
        <f t="shared" si="246"/>
        <v>0</v>
      </c>
      <c r="EE189" s="16">
        <f t="shared" si="246"/>
        <v>0</v>
      </c>
      <c r="EF189" s="16">
        <f t="shared" si="246"/>
        <v>0</v>
      </c>
      <c r="EG189" s="16">
        <f t="shared" si="246"/>
        <v>0</v>
      </c>
      <c r="EH189" s="16">
        <f t="shared" si="246"/>
        <v>0</v>
      </c>
      <c r="EI189" s="16">
        <f t="shared" si="246"/>
        <v>0</v>
      </c>
      <c r="EJ189" s="16">
        <f t="shared" si="247"/>
        <v>0</v>
      </c>
      <c r="EK189" s="16">
        <f t="shared" si="247"/>
        <v>0</v>
      </c>
      <c r="EL189" s="16">
        <f t="shared" si="247"/>
        <v>0</v>
      </c>
      <c r="EM189" s="16">
        <f t="shared" si="247"/>
        <v>4.2874118861732834E-2</v>
      </c>
      <c r="EN189" s="16">
        <f t="shared" si="247"/>
        <v>0.91486911158176476</v>
      </c>
      <c r="EO189" s="16">
        <f t="shared" si="247"/>
        <v>4.1339916294502427E-2</v>
      </c>
      <c r="EP189" s="16">
        <f t="shared" si="247"/>
        <v>0</v>
      </c>
      <c r="EQ189" s="16">
        <f t="shared" si="247"/>
        <v>0</v>
      </c>
      <c r="ER189" s="16">
        <f t="shared" si="247"/>
        <v>0</v>
      </c>
      <c r="ES189" s="16">
        <f t="shared" si="247"/>
        <v>0</v>
      </c>
      <c r="ET189" s="16">
        <f t="shared" si="247"/>
        <v>0</v>
      </c>
      <c r="EW189" s="9">
        <f t="shared" si="224"/>
        <v>6</v>
      </c>
      <c r="EX189" s="16">
        <f t="shared" si="248"/>
        <v>0</v>
      </c>
      <c r="EY189" s="16">
        <f t="shared" si="248"/>
        <v>0</v>
      </c>
      <c r="EZ189" s="16">
        <f t="shared" si="248"/>
        <v>0</v>
      </c>
      <c r="FA189" s="16">
        <f t="shared" si="248"/>
        <v>0</v>
      </c>
      <c r="FB189" s="16">
        <f t="shared" si="248"/>
        <v>0</v>
      </c>
      <c r="FC189" s="16">
        <f t="shared" si="248"/>
        <v>0</v>
      </c>
      <c r="FD189" s="16">
        <f t="shared" si="248"/>
        <v>0</v>
      </c>
      <c r="FE189" s="16">
        <f t="shared" si="248"/>
        <v>0</v>
      </c>
      <c r="FF189" s="16">
        <f t="shared" si="248"/>
        <v>0</v>
      </c>
      <c r="FG189" s="16">
        <f t="shared" si="248"/>
        <v>0</v>
      </c>
      <c r="FH189" s="16">
        <f t="shared" si="249"/>
        <v>0</v>
      </c>
      <c r="FI189" s="16">
        <f t="shared" si="249"/>
        <v>0</v>
      </c>
      <c r="FJ189" s="16">
        <f t="shared" si="249"/>
        <v>0</v>
      </c>
      <c r="FK189" s="16">
        <f t="shared" si="249"/>
        <v>4.2874118861732959E-2</v>
      </c>
      <c r="FL189" s="16">
        <f t="shared" si="249"/>
        <v>0.91486911158176443</v>
      </c>
      <c r="FM189" s="16">
        <f t="shared" si="249"/>
        <v>4.1339916294502545E-2</v>
      </c>
      <c r="FN189" s="16">
        <f t="shared" si="249"/>
        <v>0</v>
      </c>
      <c r="FO189" s="16">
        <f t="shared" si="249"/>
        <v>0</v>
      </c>
      <c r="FP189" s="16">
        <f t="shared" si="249"/>
        <v>0</v>
      </c>
      <c r="FQ189" s="16">
        <f t="shared" si="249"/>
        <v>0</v>
      </c>
      <c r="FR189" s="16">
        <f t="shared" si="249"/>
        <v>0</v>
      </c>
      <c r="FU189" s="9">
        <f t="shared" si="225"/>
        <v>6</v>
      </c>
      <c r="FV189" s="16">
        <f t="shared" si="250"/>
        <v>0</v>
      </c>
      <c r="FW189" s="16">
        <f t="shared" si="250"/>
        <v>0</v>
      </c>
      <c r="FX189" s="16">
        <f t="shared" si="250"/>
        <v>0</v>
      </c>
      <c r="FY189" s="16">
        <f t="shared" si="250"/>
        <v>0</v>
      </c>
      <c r="FZ189" s="16">
        <f t="shared" si="250"/>
        <v>0</v>
      </c>
      <c r="GA189" s="16">
        <f t="shared" si="250"/>
        <v>0</v>
      </c>
      <c r="GB189" s="16">
        <f t="shared" si="250"/>
        <v>0</v>
      </c>
      <c r="GC189" s="16">
        <f t="shared" si="250"/>
        <v>0</v>
      </c>
      <c r="GD189" s="16">
        <f t="shared" si="250"/>
        <v>0</v>
      </c>
      <c r="GE189" s="16">
        <f t="shared" si="250"/>
        <v>0</v>
      </c>
      <c r="GF189" s="16">
        <f t="shared" si="251"/>
        <v>0</v>
      </c>
      <c r="GG189" s="16">
        <f t="shared" si="251"/>
        <v>0</v>
      </c>
      <c r="GH189" s="16">
        <f t="shared" si="251"/>
        <v>0</v>
      </c>
      <c r="GI189" s="16">
        <f t="shared" si="251"/>
        <v>4.2879707979039838E-2</v>
      </c>
      <c r="GJ189" s="16">
        <f t="shared" si="251"/>
        <v>0.91485801382548537</v>
      </c>
      <c r="GK189" s="16">
        <f t="shared" si="251"/>
        <v>4.1345305411474763E-2</v>
      </c>
      <c r="GL189" s="16">
        <f t="shared" si="251"/>
        <v>0</v>
      </c>
      <c r="GM189" s="16">
        <f t="shared" si="251"/>
        <v>0</v>
      </c>
      <c r="GN189" s="16">
        <f t="shared" si="251"/>
        <v>0</v>
      </c>
      <c r="GO189" s="16">
        <f t="shared" si="251"/>
        <v>0</v>
      </c>
      <c r="GP189" s="16">
        <f t="shared" si="251"/>
        <v>0</v>
      </c>
      <c r="GS189" s="9">
        <f t="shared" si="226"/>
        <v>6</v>
      </c>
      <c r="GT189" s="16">
        <f t="shared" si="252"/>
        <v>0</v>
      </c>
      <c r="GU189" s="16">
        <f t="shared" si="252"/>
        <v>0</v>
      </c>
      <c r="GV189" s="16">
        <f t="shared" si="252"/>
        <v>0</v>
      </c>
      <c r="GW189" s="16">
        <f t="shared" si="252"/>
        <v>0</v>
      </c>
      <c r="GX189" s="16">
        <f t="shared" si="252"/>
        <v>0</v>
      </c>
      <c r="GY189" s="16">
        <f t="shared" si="252"/>
        <v>0</v>
      </c>
      <c r="GZ189" s="16">
        <f t="shared" si="252"/>
        <v>0</v>
      </c>
      <c r="HA189" s="16">
        <f t="shared" si="252"/>
        <v>0</v>
      </c>
      <c r="HB189" s="16">
        <f t="shared" si="252"/>
        <v>0</v>
      </c>
      <c r="HC189" s="16">
        <f t="shared" si="252"/>
        <v>0</v>
      </c>
      <c r="HD189" s="16">
        <f t="shared" si="253"/>
        <v>0</v>
      </c>
      <c r="HE189" s="16">
        <f t="shared" si="253"/>
        <v>0</v>
      </c>
      <c r="HF189" s="16">
        <f t="shared" si="253"/>
        <v>0</v>
      </c>
      <c r="HG189" s="16">
        <f t="shared" si="253"/>
        <v>1.8561458576432779E-2</v>
      </c>
      <c r="HH189" s="16">
        <f t="shared" si="253"/>
        <v>0.96314435139656351</v>
      </c>
      <c r="HI189" s="16">
        <f t="shared" si="253"/>
        <v>1.789725746500373E-2</v>
      </c>
      <c r="HJ189" s="16">
        <f t="shared" si="253"/>
        <v>0</v>
      </c>
      <c r="HK189" s="16">
        <f t="shared" si="253"/>
        <v>0</v>
      </c>
      <c r="HL189" s="16">
        <f t="shared" si="253"/>
        <v>0</v>
      </c>
      <c r="HM189" s="16">
        <f t="shared" si="253"/>
        <v>0</v>
      </c>
      <c r="HN189" s="16">
        <f t="shared" si="253"/>
        <v>0</v>
      </c>
      <c r="HQ189" s="9">
        <f t="shared" si="227"/>
        <v>6</v>
      </c>
      <c r="HR189" s="16">
        <f t="shared" si="254"/>
        <v>0</v>
      </c>
      <c r="HS189" s="16">
        <f t="shared" si="254"/>
        <v>0</v>
      </c>
      <c r="HT189" s="16">
        <f t="shared" si="254"/>
        <v>0</v>
      </c>
      <c r="HU189" s="16">
        <f t="shared" si="254"/>
        <v>0</v>
      </c>
      <c r="HV189" s="16">
        <f t="shared" si="254"/>
        <v>0</v>
      </c>
      <c r="HW189" s="16">
        <f t="shared" si="254"/>
        <v>0</v>
      </c>
      <c r="HX189" s="16">
        <f t="shared" si="254"/>
        <v>0</v>
      </c>
      <c r="HY189" s="16">
        <f t="shared" si="254"/>
        <v>0</v>
      </c>
      <c r="HZ189" s="16">
        <f t="shared" si="254"/>
        <v>0</v>
      </c>
      <c r="IA189" s="16">
        <f t="shared" si="254"/>
        <v>0</v>
      </c>
      <c r="IB189" s="16">
        <f t="shared" si="255"/>
        <v>0</v>
      </c>
      <c r="IC189" s="16">
        <f t="shared" si="255"/>
        <v>0</v>
      </c>
      <c r="ID189" s="16">
        <f t="shared" si="255"/>
        <v>0</v>
      </c>
      <c r="IE189" s="16">
        <f t="shared" si="255"/>
        <v>0.1223122431456346</v>
      </c>
      <c r="IF189" s="16">
        <f t="shared" si="255"/>
        <v>0.75713670158458302</v>
      </c>
      <c r="IG189" s="16">
        <f t="shared" si="255"/>
        <v>0.1179354358217824</v>
      </c>
      <c r="IH189" s="16">
        <f t="shared" si="255"/>
        <v>0</v>
      </c>
      <c r="II189" s="16">
        <f t="shared" si="255"/>
        <v>0</v>
      </c>
      <c r="IJ189" s="16">
        <f t="shared" si="255"/>
        <v>0</v>
      </c>
      <c r="IK189" s="16">
        <f t="shared" si="255"/>
        <v>0</v>
      </c>
      <c r="IL189" s="16">
        <f t="shared" si="255"/>
        <v>0</v>
      </c>
      <c r="IO189" s="9">
        <f t="shared" si="228"/>
        <v>6</v>
      </c>
      <c r="IP189" s="16">
        <f t="shared" si="256"/>
        <v>0</v>
      </c>
      <c r="IQ189" s="16">
        <f t="shared" si="256"/>
        <v>0</v>
      </c>
      <c r="IR189" s="16">
        <f t="shared" si="256"/>
        <v>0</v>
      </c>
      <c r="IS189" s="16">
        <f t="shared" si="256"/>
        <v>0</v>
      </c>
      <c r="IT189" s="16">
        <f t="shared" si="256"/>
        <v>0</v>
      </c>
      <c r="IU189" s="16">
        <f t="shared" si="256"/>
        <v>0</v>
      </c>
      <c r="IV189" s="16">
        <f t="shared" si="256"/>
        <v>0</v>
      </c>
      <c r="IW189" s="16">
        <f t="shared" si="256"/>
        <v>0</v>
      </c>
      <c r="IX189" s="16">
        <f t="shared" si="256"/>
        <v>0</v>
      </c>
      <c r="IY189" s="16">
        <f t="shared" si="256"/>
        <v>0</v>
      </c>
      <c r="IZ189" s="16">
        <f t="shared" si="257"/>
        <v>0</v>
      </c>
      <c r="JA189" s="16">
        <f t="shared" si="257"/>
        <v>0</v>
      </c>
      <c r="JB189" s="16">
        <f t="shared" si="257"/>
        <v>0</v>
      </c>
      <c r="JC189" s="16">
        <f t="shared" si="257"/>
        <v>1.8566488782008943E-2</v>
      </c>
      <c r="JD189" s="16">
        <f t="shared" si="257"/>
        <v>0.96313436341591241</v>
      </c>
      <c r="JE189" s="16">
        <f t="shared" si="257"/>
        <v>1.7902107670278701E-2</v>
      </c>
      <c r="JF189" s="16">
        <f t="shared" si="257"/>
        <v>0</v>
      </c>
      <c r="JG189" s="16">
        <f t="shared" si="257"/>
        <v>0</v>
      </c>
      <c r="JH189" s="16">
        <f t="shared" si="257"/>
        <v>0</v>
      </c>
      <c r="JI189" s="16">
        <f t="shared" si="257"/>
        <v>0</v>
      </c>
      <c r="JJ189" s="16">
        <f t="shared" si="257"/>
        <v>0</v>
      </c>
      <c r="JM189" s="9">
        <f t="shared" si="229"/>
        <v>6</v>
      </c>
      <c r="JN189" s="16">
        <f t="shared" si="258"/>
        <v>0</v>
      </c>
      <c r="JO189" s="16">
        <f t="shared" si="258"/>
        <v>0</v>
      </c>
      <c r="JP189" s="16">
        <f t="shared" si="258"/>
        <v>0</v>
      </c>
      <c r="JQ189" s="16">
        <f t="shared" si="258"/>
        <v>0</v>
      </c>
      <c r="JR189" s="16">
        <f t="shared" si="258"/>
        <v>0</v>
      </c>
      <c r="JS189" s="16">
        <f t="shared" si="258"/>
        <v>0</v>
      </c>
      <c r="JT189" s="16">
        <f t="shared" si="258"/>
        <v>0</v>
      </c>
      <c r="JU189" s="16">
        <f t="shared" si="258"/>
        <v>0</v>
      </c>
      <c r="JV189" s="16">
        <f t="shared" si="258"/>
        <v>0</v>
      </c>
      <c r="JW189" s="16">
        <f t="shared" si="258"/>
        <v>0</v>
      </c>
      <c r="JX189" s="16">
        <f t="shared" si="259"/>
        <v>0</v>
      </c>
      <c r="JY189" s="16">
        <f t="shared" si="259"/>
        <v>0</v>
      </c>
      <c r="JZ189" s="16">
        <f t="shared" si="259"/>
        <v>0</v>
      </c>
      <c r="KA189" s="16">
        <f t="shared" si="259"/>
        <v>0.12231000749871188</v>
      </c>
      <c r="KB189" s="16">
        <f t="shared" si="259"/>
        <v>0.75714114068709459</v>
      </c>
      <c r="KC189" s="16">
        <f t="shared" si="259"/>
        <v>0.11793328017499353</v>
      </c>
      <c r="KD189" s="16">
        <f t="shared" si="259"/>
        <v>0</v>
      </c>
      <c r="KE189" s="16">
        <f t="shared" si="259"/>
        <v>0</v>
      </c>
      <c r="KF189" s="16">
        <f t="shared" si="259"/>
        <v>0</v>
      </c>
      <c r="KG189" s="16">
        <f t="shared" si="259"/>
        <v>0</v>
      </c>
      <c r="KH189" s="16">
        <f t="shared" si="259"/>
        <v>0</v>
      </c>
      <c r="KK189" s="9">
        <f t="shared" si="230"/>
        <v>6</v>
      </c>
      <c r="KL189" s="16">
        <f t="shared" si="260"/>
        <v>0</v>
      </c>
      <c r="KM189" s="16">
        <f t="shared" si="260"/>
        <v>0</v>
      </c>
      <c r="KN189" s="16">
        <f t="shared" si="260"/>
        <v>0</v>
      </c>
      <c r="KO189" s="16">
        <f t="shared" si="260"/>
        <v>0</v>
      </c>
      <c r="KP189" s="16">
        <f t="shared" si="260"/>
        <v>0</v>
      </c>
      <c r="KQ189" s="16">
        <f t="shared" si="260"/>
        <v>0</v>
      </c>
      <c r="KR189" s="16">
        <f t="shared" si="260"/>
        <v>0</v>
      </c>
      <c r="KS189" s="16">
        <f t="shared" si="260"/>
        <v>0</v>
      </c>
      <c r="KT189" s="16">
        <f t="shared" si="260"/>
        <v>0</v>
      </c>
      <c r="KU189" s="16">
        <f t="shared" si="260"/>
        <v>0</v>
      </c>
      <c r="KV189" s="16">
        <f t="shared" si="261"/>
        <v>0</v>
      </c>
      <c r="KW189" s="16">
        <f t="shared" si="261"/>
        <v>0</v>
      </c>
      <c r="KX189" s="16">
        <f t="shared" si="261"/>
        <v>0</v>
      </c>
      <c r="KY189" s="16">
        <f t="shared" si="261"/>
        <v>1.5504211409522498E-2</v>
      </c>
      <c r="KZ189" s="16">
        <f t="shared" si="261"/>
        <v>0.9692148240813212</v>
      </c>
      <c r="LA189" s="16">
        <f t="shared" si="261"/>
        <v>1.4949410481156293E-2</v>
      </c>
      <c r="LB189" s="16">
        <f t="shared" si="261"/>
        <v>0</v>
      </c>
      <c r="LC189" s="16">
        <f t="shared" si="261"/>
        <v>0</v>
      </c>
      <c r="LD189" s="16">
        <f t="shared" si="261"/>
        <v>0</v>
      </c>
      <c r="LE189" s="16">
        <f t="shared" si="261"/>
        <v>0</v>
      </c>
      <c r="LF189" s="16">
        <f t="shared" si="261"/>
        <v>0</v>
      </c>
      <c r="LI189" s="9">
        <f t="shared" si="231"/>
        <v>6</v>
      </c>
      <c r="LJ189" s="16">
        <f t="shared" si="262"/>
        <v>0</v>
      </c>
      <c r="LK189" s="16">
        <f t="shared" si="262"/>
        <v>0</v>
      </c>
      <c r="LL189" s="16">
        <f t="shared" si="262"/>
        <v>0</v>
      </c>
      <c r="LM189" s="16">
        <f t="shared" si="262"/>
        <v>0</v>
      </c>
      <c r="LN189" s="16">
        <f t="shared" si="262"/>
        <v>0</v>
      </c>
      <c r="LO189" s="16">
        <f t="shared" si="262"/>
        <v>0</v>
      </c>
      <c r="LP189" s="16">
        <f t="shared" si="262"/>
        <v>0</v>
      </c>
      <c r="LQ189" s="16">
        <f t="shared" si="262"/>
        <v>0</v>
      </c>
      <c r="LR189" s="16">
        <f t="shared" si="262"/>
        <v>0</v>
      </c>
      <c r="LS189" s="16">
        <f t="shared" si="262"/>
        <v>0</v>
      </c>
      <c r="LT189" s="16">
        <f t="shared" si="263"/>
        <v>0</v>
      </c>
      <c r="LU189" s="16">
        <f t="shared" si="263"/>
        <v>0</v>
      </c>
      <c r="LV189" s="16">
        <f t="shared" si="263"/>
        <v>0</v>
      </c>
      <c r="LW189" s="16">
        <f t="shared" si="263"/>
        <v>0.12230944858698117</v>
      </c>
      <c r="LX189" s="16">
        <f t="shared" si="263"/>
        <v>0.75714225046272254</v>
      </c>
      <c r="LY189" s="16">
        <f t="shared" si="263"/>
        <v>0.1179327412632963</v>
      </c>
      <c r="LZ189" s="16">
        <f t="shared" si="263"/>
        <v>0</v>
      </c>
      <c r="MA189" s="16">
        <f t="shared" si="263"/>
        <v>0</v>
      </c>
      <c r="MB189" s="16">
        <f t="shared" si="263"/>
        <v>0</v>
      </c>
      <c r="MC189" s="16">
        <f t="shared" si="263"/>
        <v>0</v>
      </c>
      <c r="MD189" s="16">
        <f t="shared" si="263"/>
        <v>0</v>
      </c>
      <c r="MG189" s="9">
        <f t="shared" si="232"/>
        <v>6</v>
      </c>
      <c r="MH189" s="16">
        <f t="shared" si="264"/>
        <v>0</v>
      </c>
      <c r="MI189" s="16">
        <f t="shared" si="264"/>
        <v>0</v>
      </c>
      <c r="MJ189" s="16">
        <f t="shared" si="264"/>
        <v>0</v>
      </c>
      <c r="MK189" s="16">
        <f t="shared" si="264"/>
        <v>0</v>
      </c>
      <c r="ML189" s="16">
        <f t="shared" si="264"/>
        <v>0</v>
      </c>
      <c r="MM189" s="16">
        <f t="shared" si="264"/>
        <v>0</v>
      </c>
      <c r="MN189" s="16">
        <f t="shared" si="264"/>
        <v>0</v>
      </c>
      <c r="MO189" s="16">
        <f t="shared" si="264"/>
        <v>0</v>
      </c>
      <c r="MP189" s="16">
        <f t="shared" si="264"/>
        <v>0</v>
      </c>
      <c r="MQ189" s="16">
        <f t="shared" si="264"/>
        <v>0</v>
      </c>
      <c r="MR189" s="16">
        <f t="shared" si="265"/>
        <v>0</v>
      </c>
      <c r="MS189" s="16">
        <f t="shared" si="265"/>
        <v>0</v>
      </c>
      <c r="MT189" s="16">
        <f t="shared" si="265"/>
        <v>0</v>
      </c>
      <c r="MU189" s="16">
        <f t="shared" si="265"/>
        <v>1.7035629551631078E-2</v>
      </c>
      <c r="MV189" s="16">
        <f t="shared" si="265"/>
        <v>0.96617403886080278</v>
      </c>
      <c r="MW189" s="16">
        <f t="shared" si="265"/>
        <v>1.642602853156612E-2</v>
      </c>
      <c r="MX189" s="16">
        <f t="shared" si="265"/>
        <v>0</v>
      </c>
      <c r="MY189" s="16">
        <f t="shared" si="265"/>
        <v>0</v>
      </c>
      <c r="MZ189" s="16">
        <f t="shared" si="265"/>
        <v>0</v>
      </c>
      <c r="NA189" s="16">
        <f t="shared" si="265"/>
        <v>0</v>
      </c>
      <c r="NB189" s="16">
        <f t="shared" si="265"/>
        <v>0</v>
      </c>
      <c r="NE189" s="9">
        <f t="shared" si="233"/>
        <v>6</v>
      </c>
      <c r="NF189" s="16">
        <f t="shared" si="266"/>
        <v>0</v>
      </c>
      <c r="NG189" s="16">
        <f t="shared" si="266"/>
        <v>0</v>
      </c>
      <c r="NH189" s="16">
        <f t="shared" si="266"/>
        <v>0</v>
      </c>
      <c r="NI189" s="16">
        <f t="shared" si="266"/>
        <v>0</v>
      </c>
      <c r="NJ189" s="16">
        <f t="shared" si="266"/>
        <v>0</v>
      </c>
      <c r="NK189" s="16">
        <f t="shared" si="266"/>
        <v>0</v>
      </c>
      <c r="NL189" s="16">
        <f t="shared" si="266"/>
        <v>0</v>
      </c>
      <c r="NM189" s="16">
        <f t="shared" si="266"/>
        <v>0</v>
      </c>
      <c r="NN189" s="16">
        <f t="shared" si="266"/>
        <v>0</v>
      </c>
      <c r="NO189" s="16">
        <f t="shared" si="266"/>
        <v>0</v>
      </c>
      <c r="NP189" s="16">
        <f t="shared" si="267"/>
        <v>0</v>
      </c>
      <c r="NQ189" s="16">
        <f t="shared" si="267"/>
        <v>0</v>
      </c>
      <c r="NR189" s="16">
        <f t="shared" si="267"/>
        <v>0</v>
      </c>
      <c r="NS189" s="16">
        <f t="shared" si="267"/>
        <v>0.12230944858698117</v>
      </c>
      <c r="NT189" s="16">
        <f t="shared" si="267"/>
        <v>0.75714225046272254</v>
      </c>
      <c r="NU189" s="16">
        <f t="shared" si="267"/>
        <v>0.1179327412632963</v>
      </c>
      <c r="NV189" s="16">
        <f t="shared" si="267"/>
        <v>0</v>
      </c>
      <c r="NW189" s="16">
        <f t="shared" si="267"/>
        <v>0</v>
      </c>
      <c r="NX189" s="16">
        <f t="shared" si="267"/>
        <v>0</v>
      </c>
      <c r="NY189" s="16">
        <f t="shared" si="267"/>
        <v>0</v>
      </c>
      <c r="NZ189" s="16">
        <f t="shared" si="267"/>
        <v>0</v>
      </c>
      <c r="OC189" s="9">
        <f t="shared" si="234"/>
        <v>6</v>
      </c>
      <c r="OD189" s="16">
        <f t="shared" si="268"/>
        <v>0</v>
      </c>
      <c r="OE189" s="16">
        <f t="shared" si="268"/>
        <v>0</v>
      </c>
      <c r="OF189" s="16">
        <f t="shared" si="268"/>
        <v>0</v>
      </c>
      <c r="OG189" s="16">
        <f t="shared" si="268"/>
        <v>0</v>
      </c>
      <c r="OH189" s="16">
        <f t="shared" si="268"/>
        <v>0</v>
      </c>
      <c r="OI189" s="16">
        <f t="shared" si="268"/>
        <v>0</v>
      </c>
      <c r="OJ189" s="16">
        <f t="shared" si="268"/>
        <v>0</v>
      </c>
      <c r="OK189" s="16">
        <f t="shared" si="268"/>
        <v>0</v>
      </c>
      <c r="OL189" s="16">
        <f t="shared" si="268"/>
        <v>0</v>
      </c>
      <c r="OM189" s="16">
        <f t="shared" si="268"/>
        <v>0</v>
      </c>
      <c r="ON189" s="16">
        <f t="shared" si="269"/>
        <v>0</v>
      </c>
      <c r="OO189" s="16">
        <f t="shared" si="269"/>
        <v>0</v>
      </c>
      <c r="OP189" s="16">
        <f t="shared" si="269"/>
        <v>0</v>
      </c>
      <c r="OQ189" s="16">
        <f t="shared" si="269"/>
        <v>1.8566488782008929E-2</v>
      </c>
      <c r="OR189" s="16">
        <f t="shared" si="269"/>
        <v>0.96313436341591241</v>
      </c>
      <c r="OS189" s="16">
        <f t="shared" si="269"/>
        <v>1.7902107670278684E-2</v>
      </c>
      <c r="OT189" s="16">
        <f t="shared" si="269"/>
        <v>0</v>
      </c>
      <c r="OU189" s="16">
        <f t="shared" si="269"/>
        <v>0</v>
      </c>
      <c r="OV189" s="16">
        <f t="shared" si="269"/>
        <v>0</v>
      </c>
      <c r="OW189" s="16">
        <f t="shared" si="269"/>
        <v>0</v>
      </c>
      <c r="OX189" s="16">
        <f t="shared" si="269"/>
        <v>0</v>
      </c>
      <c r="PA189" s="9">
        <f t="shared" si="235"/>
        <v>6</v>
      </c>
      <c r="PB189" s="16">
        <f t="shared" si="270"/>
        <v>0</v>
      </c>
      <c r="PC189" s="16">
        <f t="shared" si="270"/>
        <v>0</v>
      </c>
      <c r="PD189" s="16">
        <f t="shared" si="270"/>
        <v>0</v>
      </c>
      <c r="PE189" s="16">
        <f t="shared" si="270"/>
        <v>0</v>
      </c>
      <c r="PF189" s="16">
        <f t="shared" si="270"/>
        <v>0</v>
      </c>
      <c r="PG189" s="16">
        <f t="shared" si="270"/>
        <v>0</v>
      </c>
      <c r="PH189" s="16">
        <f t="shared" si="270"/>
        <v>0</v>
      </c>
      <c r="PI189" s="16">
        <f t="shared" si="270"/>
        <v>0</v>
      </c>
      <c r="PJ189" s="16">
        <f t="shared" si="270"/>
        <v>0</v>
      </c>
      <c r="PK189" s="16">
        <f t="shared" si="270"/>
        <v>0</v>
      </c>
      <c r="PL189" s="16">
        <f t="shared" si="271"/>
        <v>0</v>
      </c>
      <c r="PM189" s="16">
        <f t="shared" si="271"/>
        <v>0</v>
      </c>
      <c r="PN189" s="16">
        <f t="shared" si="271"/>
        <v>0</v>
      </c>
      <c r="PO189" s="16">
        <f t="shared" si="271"/>
        <v>0.12230441838140489</v>
      </c>
      <c r="PP189" s="16">
        <f t="shared" si="271"/>
        <v>0.75715223844337387</v>
      </c>
      <c r="PQ189" s="16">
        <f t="shared" si="271"/>
        <v>0.11792789105802122</v>
      </c>
      <c r="PR189" s="16">
        <f t="shared" si="271"/>
        <v>0</v>
      </c>
      <c r="PS189" s="16">
        <f t="shared" si="271"/>
        <v>0</v>
      </c>
      <c r="PT189" s="16">
        <f t="shared" si="271"/>
        <v>0</v>
      </c>
      <c r="PU189" s="16">
        <f t="shared" si="271"/>
        <v>0</v>
      </c>
      <c r="PV189" s="16">
        <f t="shared" si="271"/>
        <v>0</v>
      </c>
    </row>
    <row r="190" spans="3:438" x14ac:dyDescent="0.25">
      <c r="C190" s="1"/>
      <c r="D190" s="1"/>
      <c r="I190" s="9">
        <f t="shared" si="218"/>
        <v>5</v>
      </c>
      <c r="J190" s="16">
        <f t="shared" si="236"/>
        <v>0</v>
      </c>
      <c r="K190" s="16">
        <f t="shared" si="236"/>
        <v>0</v>
      </c>
      <c r="L190" s="16">
        <f t="shared" si="236"/>
        <v>0</v>
      </c>
      <c r="M190" s="16">
        <f t="shared" si="236"/>
        <v>0</v>
      </c>
      <c r="N190" s="16">
        <f t="shared" si="236"/>
        <v>0</v>
      </c>
      <c r="O190" s="16">
        <f t="shared" si="236"/>
        <v>0</v>
      </c>
      <c r="P190" s="16">
        <f t="shared" si="236"/>
        <v>0</v>
      </c>
      <c r="Q190" s="16">
        <f t="shared" si="236"/>
        <v>0</v>
      </c>
      <c r="R190" s="16">
        <f t="shared" si="236"/>
        <v>0</v>
      </c>
      <c r="S190" s="16">
        <f t="shared" si="236"/>
        <v>0</v>
      </c>
      <c r="T190" s="16">
        <f t="shared" si="237"/>
        <v>0</v>
      </c>
      <c r="U190" s="16">
        <f t="shared" si="237"/>
        <v>0</v>
      </c>
      <c r="V190" s="16">
        <f t="shared" si="237"/>
        <v>0</v>
      </c>
      <c r="W190" s="16">
        <f t="shared" si="237"/>
        <v>0</v>
      </c>
      <c r="X190" s="16">
        <f t="shared" si="237"/>
        <v>1.4746840492811986E-2</v>
      </c>
      <c r="Y190" s="16">
        <f t="shared" si="237"/>
        <v>0.97069916522382182</v>
      </c>
      <c r="Z190" s="16">
        <f t="shared" si="237"/>
        <v>1.4267589690866235E-2</v>
      </c>
      <c r="AA190" s="16">
        <f t="shared" si="237"/>
        <v>0</v>
      </c>
      <c r="AB190" s="16">
        <f t="shared" si="237"/>
        <v>0</v>
      </c>
      <c r="AC190" s="16">
        <f t="shared" si="237"/>
        <v>0</v>
      </c>
      <c r="AD190" s="16">
        <f t="shared" si="237"/>
        <v>0</v>
      </c>
      <c r="AG190" s="9">
        <f t="shared" si="219"/>
        <v>5</v>
      </c>
      <c r="AH190" s="16">
        <f t="shared" si="238"/>
        <v>0</v>
      </c>
      <c r="AI190" s="16">
        <f t="shared" si="238"/>
        <v>0</v>
      </c>
      <c r="AJ190" s="16">
        <f t="shared" si="238"/>
        <v>0</v>
      </c>
      <c r="AK190" s="16">
        <f t="shared" si="238"/>
        <v>0</v>
      </c>
      <c r="AL190" s="16">
        <f t="shared" si="238"/>
        <v>0</v>
      </c>
      <c r="AM190" s="16">
        <f t="shared" si="238"/>
        <v>0</v>
      </c>
      <c r="AN190" s="16">
        <f t="shared" si="238"/>
        <v>0</v>
      </c>
      <c r="AO190" s="16">
        <f t="shared" si="238"/>
        <v>0</v>
      </c>
      <c r="AP190" s="16">
        <f t="shared" si="238"/>
        <v>0</v>
      </c>
      <c r="AQ190" s="16">
        <f t="shared" si="238"/>
        <v>0</v>
      </c>
      <c r="AR190" s="16">
        <f t="shared" si="239"/>
        <v>0</v>
      </c>
      <c r="AS190" s="16">
        <f t="shared" si="239"/>
        <v>0</v>
      </c>
      <c r="AT190" s="16">
        <f t="shared" si="239"/>
        <v>0</v>
      </c>
      <c r="AU190" s="16">
        <f t="shared" si="239"/>
        <v>0</v>
      </c>
      <c r="AV190" s="16">
        <f t="shared" si="239"/>
        <v>5.9018132634770099E-2</v>
      </c>
      <c r="AW190" s="16">
        <f t="shared" si="239"/>
        <v>0.88273552195991623</v>
      </c>
      <c r="AX190" s="16">
        <f t="shared" si="239"/>
        <v>5.7100129425313742E-2</v>
      </c>
      <c r="AY190" s="16">
        <f t="shared" si="239"/>
        <v>0</v>
      </c>
      <c r="AZ190" s="16">
        <f t="shared" si="239"/>
        <v>0</v>
      </c>
      <c r="BA190" s="16">
        <f t="shared" si="239"/>
        <v>0</v>
      </c>
      <c r="BB190" s="16">
        <f t="shared" si="239"/>
        <v>0</v>
      </c>
      <c r="BE190" s="9">
        <f t="shared" si="220"/>
        <v>5</v>
      </c>
      <c r="BF190" s="16">
        <f t="shared" si="240"/>
        <v>0</v>
      </c>
      <c r="BG190" s="16">
        <f t="shared" si="240"/>
        <v>0</v>
      </c>
      <c r="BH190" s="16">
        <f t="shared" si="240"/>
        <v>0</v>
      </c>
      <c r="BI190" s="16">
        <f t="shared" si="240"/>
        <v>0</v>
      </c>
      <c r="BJ190" s="16">
        <f t="shared" si="240"/>
        <v>0</v>
      </c>
      <c r="BK190" s="16">
        <f t="shared" si="240"/>
        <v>0</v>
      </c>
      <c r="BL190" s="16">
        <f t="shared" si="240"/>
        <v>0</v>
      </c>
      <c r="BM190" s="16">
        <f t="shared" si="240"/>
        <v>0</v>
      </c>
      <c r="BN190" s="16">
        <f t="shared" si="240"/>
        <v>0</v>
      </c>
      <c r="BO190" s="16">
        <f t="shared" si="240"/>
        <v>0</v>
      </c>
      <c r="BP190" s="16">
        <f t="shared" si="241"/>
        <v>0</v>
      </c>
      <c r="BQ190" s="16">
        <f t="shared" si="241"/>
        <v>0</v>
      </c>
      <c r="BR190" s="16">
        <f t="shared" si="241"/>
        <v>0</v>
      </c>
      <c r="BS190" s="16">
        <f t="shared" si="241"/>
        <v>0</v>
      </c>
      <c r="BT190" s="16">
        <f t="shared" si="241"/>
        <v>5.9010439968889598E-2</v>
      </c>
      <c r="BU190" s="16">
        <f t="shared" si="241"/>
        <v>0.88275080669375883</v>
      </c>
      <c r="BV190" s="16">
        <f t="shared" si="241"/>
        <v>5.7092686759851581E-2</v>
      </c>
      <c r="BW190" s="16">
        <f t="shared" si="241"/>
        <v>0</v>
      </c>
      <c r="BX190" s="16">
        <f t="shared" si="241"/>
        <v>0</v>
      </c>
      <c r="BY190" s="16">
        <f t="shared" si="241"/>
        <v>0</v>
      </c>
      <c r="BZ190" s="16">
        <f t="shared" si="241"/>
        <v>0</v>
      </c>
      <c r="CC190" s="9">
        <f t="shared" si="221"/>
        <v>5</v>
      </c>
      <c r="CD190" s="16">
        <f t="shared" si="242"/>
        <v>0</v>
      </c>
      <c r="CE190" s="16">
        <f t="shared" si="242"/>
        <v>0</v>
      </c>
      <c r="CF190" s="16">
        <f t="shared" si="242"/>
        <v>0</v>
      </c>
      <c r="CG190" s="16">
        <f t="shared" si="242"/>
        <v>0</v>
      </c>
      <c r="CH190" s="16">
        <f t="shared" si="242"/>
        <v>0</v>
      </c>
      <c r="CI190" s="16">
        <f t="shared" si="242"/>
        <v>0</v>
      </c>
      <c r="CJ190" s="16">
        <f t="shared" si="242"/>
        <v>0</v>
      </c>
      <c r="CK190" s="16">
        <f t="shared" si="242"/>
        <v>0</v>
      </c>
      <c r="CL190" s="16">
        <f t="shared" si="242"/>
        <v>0</v>
      </c>
      <c r="CM190" s="16">
        <f t="shared" si="242"/>
        <v>0</v>
      </c>
      <c r="CN190" s="16">
        <f t="shared" si="243"/>
        <v>0</v>
      </c>
      <c r="CO190" s="16">
        <f t="shared" si="243"/>
        <v>0</v>
      </c>
      <c r="CP190" s="16">
        <f t="shared" si="243"/>
        <v>0</v>
      </c>
      <c r="CQ190" s="16">
        <f t="shared" si="243"/>
        <v>0</v>
      </c>
      <c r="CR190" s="16">
        <f t="shared" si="243"/>
        <v>5.9010439968889432E-2</v>
      </c>
      <c r="CS190" s="16">
        <f t="shared" si="243"/>
        <v>0.88275080669375916</v>
      </c>
      <c r="CT190" s="16">
        <f t="shared" si="243"/>
        <v>5.7092686759851415E-2</v>
      </c>
      <c r="CU190" s="16">
        <f t="shared" si="243"/>
        <v>0</v>
      </c>
      <c r="CV190" s="16">
        <f t="shared" si="243"/>
        <v>0</v>
      </c>
      <c r="CW190" s="16">
        <f t="shared" si="243"/>
        <v>0</v>
      </c>
      <c r="CX190" s="16">
        <f t="shared" si="243"/>
        <v>0</v>
      </c>
      <c r="DA190" s="9">
        <f t="shared" si="222"/>
        <v>5</v>
      </c>
      <c r="DB190" s="16">
        <f t="shared" si="244"/>
        <v>0</v>
      </c>
      <c r="DC190" s="16">
        <f t="shared" si="244"/>
        <v>0</v>
      </c>
      <c r="DD190" s="16">
        <f t="shared" si="244"/>
        <v>0</v>
      </c>
      <c r="DE190" s="16">
        <f t="shared" si="244"/>
        <v>0</v>
      </c>
      <c r="DF190" s="16">
        <f t="shared" si="244"/>
        <v>0</v>
      </c>
      <c r="DG190" s="16">
        <f t="shared" si="244"/>
        <v>0</v>
      </c>
      <c r="DH190" s="16">
        <f t="shared" si="244"/>
        <v>0</v>
      </c>
      <c r="DI190" s="16">
        <f t="shared" si="244"/>
        <v>0</v>
      </c>
      <c r="DJ190" s="16">
        <f t="shared" si="244"/>
        <v>0</v>
      </c>
      <c r="DK190" s="16">
        <f t="shared" si="244"/>
        <v>0</v>
      </c>
      <c r="DL190" s="16">
        <f t="shared" si="245"/>
        <v>0</v>
      </c>
      <c r="DM190" s="16">
        <f t="shared" si="245"/>
        <v>0</v>
      </c>
      <c r="DN190" s="16">
        <f t="shared" si="245"/>
        <v>0</v>
      </c>
      <c r="DO190" s="16">
        <f t="shared" si="245"/>
        <v>0</v>
      </c>
      <c r="DP190" s="16">
        <f t="shared" si="245"/>
        <v>1.4754533158692651E-2</v>
      </c>
      <c r="DQ190" s="16">
        <f t="shared" si="245"/>
        <v>0.97068388048997878</v>
      </c>
      <c r="DR190" s="16">
        <f t="shared" si="245"/>
        <v>1.4275032356328559E-2</v>
      </c>
      <c r="DS190" s="16">
        <f t="shared" si="245"/>
        <v>0</v>
      </c>
      <c r="DT190" s="16">
        <f t="shared" si="245"/>
        <v>0</v>
      </c>
      <c r="DU190" s="16">
        <f t="shared" si="245"/>
        <v>0</v>
      </c>
      <c r="DV190" s="16">
        <f t="shared" si="245"/>
        <v>0</v>
      </c>
      <c r="DY190" s="9">
        <f t="shared" si="223"/>
        <v>5</v>
      </c>
      <c r="DZ190" s="16">
        <f t="shared" si="246"/>
        <v>0</v>
      </c>
      <c r="EA190" s="16">
        <f t="shared" si="246"/>
        <v>0</v>
      </c>
      <c r="EB190" s="16">
        <f t="shared" si="246"/>
        <v>0</v>
      </c>
      <c r="EC190" s="16">
        <f t="shared" si="246"/>
        <v>0</v>
      </c>
      <c r="ED190" s="16">
        <f t="shared" si="246"/>
        <v>0</v>
      </c>
      <c r="EE190" s="16">
        <f t="shared" si="246"/>
        <v>0</v>
      </c>
      <c r="EF190" s="16">
        <f t="shared" si="246"/>
        <v>0</v>
      </c>
      <c r="EG190" s="16">
        <f t="shared" si="246"/>
        <v>0</v>
      </c>
      <c r="EH190" s="16">
        <f t="shared" si="246"/>
        <v>0</v>
      </c>
      <c r="EI190" s="16">
        <f t="shared" si="246"/>
        <v>0</v>
      </c>
      <c r="EJ190" s="16">
        <f t="shared" si="247"/>
        <v>0</v>
      </c>
      <c r="EK190" s="16">
        <f t="shared" si="247"/>
        <v>0</v>
      </c>
      <c r="EL190" s="16">
        <f t="shared" si="247"/>
        <v>0</v>
      </c>
      <c r="EM190" s="16">
        <f t="shared" si="247"/>
        <v>0</v>
      </c>
      <c r="EN190" s="16">
        <f t="shared" si="247"/>
        <v>4.3065894182636635E-2</v>
      </c>
      <c r="EO190" s="16">
        <f t="shared" si="247"/>
        <v>0.91463989826626468</v>
      </c>
      <c r="EP190" s="16">
        <f t="shared" si="247"/>
        <v>4.1148140973598625E-2</v>
      </c>
      <c r="EQ190" s="16">
        <f t="shared" si="247"/>
        <v>0</v>
      </c>
      <c r="ER190" s="16">
        <f t="shared" si="247"/>
        <v>0</v>
      </c>
      <c r="ES190" s="16">
        <f t="shared" si="247"/>
        <v>0</v>
      </c>
      <c r="ET190" s="16">
        <f t="shared" si="247"/>
        <v>0</v>
      </c>
      <c r="EW190" s="9">
        <f t="shared" si="224"/>
        <v>5</v>
      </c>
      <c r="EX190" s="16">
        <f t="shared" si="248"/>
        <v>0</v>
      </c>
      <c r="EY190" s="16">
        <f t="shared" si="248"/>
        <v>0</v>
      </c>
      <c r="EZ190" s="16">
        <f t="shared" si="248"/>
        <v>0</v>
      </c>
      <c r="FA190" s="16">
        <f t="shared" si="248"/>
        <v>0</v>
      </c>
      <c r="FB190" s="16">
        <f t="shared" si="248"/>
        <v>0</v>
      </c>
      <c r="FC190" s="16">
        <f t="shared" si="248"/>
        <v>0</v>
      </c>
      <c r="FD190" s="16">
        <f t="shared" si="248"/>
        <v>0</v>
      </c>
      <c r="FE190" s="16">
        <f t="shared" si="248"/>
        <v>0</v>
      </c>
      <c r="FF190" s="16">
        <f t="shared" si="248"/>
        <v>0</v>
      </c>
      <c r="FG190" s="16">
        <f t="shared" si="248"/>
        <v>0</v>
      </c>
      <c r="FH190" s="16">
        <f t="shared" si="249"/>
        <v>0</v>
      </c>
      <c r="FI190" s="16">
        <f t="shared" si="249"/>
        <v>0</v>
      </c>
      <c r="FJ190" s="16">
        <f t="shared" si="249"/>
        <v>0</v>
      </c>
      <c r="FK190" s="16">
        <f t="shared" si="249"/>
        <v>0</v>
      </c>
      <c r="FL190" s="16">
        <f t="shared" si="249"/>
        <v>4.306589418263676E-2</v>
      </c>
      <c r="FM190" s="16">
        <f t="shared" si="249"/>
        <v>0.91463989826626446</v>
      </c>
      <c r="FN190" s="16">
        <f t="shared" si="249"/>
        <v>4.1148140973598743E-2</v>
      </c>
      <c r="FO190" s="16">
        <f t="shared" si="249"/>
        <v>0</v>
      </c>
      <c r="FP190" s="16">
        <f t="shared" si="249"/>
        <v>0</v>
      </c>
      <c r="FQ190" s="16">
        <f t="shared" si="249"/>
        <v>0</v>
      </c>
      <c r="FR190" s="16">
        <f t="shared" si="249"/>
        <v>0</v>
      </c>
      <c r="FU190" s="9">
        <f t="shared" si="225"/>
        <v>5</v>
      </c>
      <c r="FV190" s="16">
        <f t="shared" si="250"/>
        <v>0</v>
      </c>
      <c r="FW190" s="16">
        <f t="shared" si="250"/>
        <v>0</v>
      </c>
      <c r="FX190" s="16">
        <f t="shared" si="250"/>
        <v>0</v>
      </c>
      <c r="FY190" s="16">
        <f t="shared" si="250"/>
        <v>0</v>
      </c>
      <c r="FZ190" s="16">
        <f t="shared" si="250"/>
        <v>0</v>
      </c>
      <c r="GA190" s="16">
        <f t="shared" si="250"/>
        <v>0</v>
      </c>
      <c r="GB190" s="16">
        <f t="shared" si="250"/>
        <v>0</v>
      </c>
      <c r="GC190" s="16">
        <f t="shared" si="250"/>
        <v>0</v>
      </c>
      <c r="GD190" s="16">
        <f t="shared" si="250"/>
        <v>0</v>
      </c>
      <c r="GE190" s="16">
        <f t="shared" si="250"/>
        <v>0</v>
      </c>
      <c r="GF190" s="16">
        <f t="shared" si="251"/>
        <v>0</v>
      </c>
      <c r="GG190" s="16">
        <f t="shared" si="251"/>
        <v>0</v>
      </c>
      <c r="GH190" s="16">
        <f t="shared" si="251"/>
        <v>0</v>
      </c>
      <c r="GI190" s="16">
        <f t="shared" si="251"/>
        <v>0</v>
      </c>
      <c r="GJ190" s="16">
        <f t="shared" si="251"/>
        <v>4.3071508299985475E-2</v>
      </c>
      <c r="GK190" s="16">
        <f t="shared" si="251"/>
        <v>0.91462877062948544</v>
      </c>
      <c r="GL190" s="16">
        <f t="shared" si="251"/>
        <v>4.1153505090529126E-2</v>
      </c>
      <c r="GM190" s="16">
        <f t="shared" si="251"/>
        <v>0</v>
      </c>
      <c r="GN190" s="16">
        <f t="shared" si="251"/>
        <v>0</v>
      </c>
      <c r="GO190" s="16">
        <f t="shared" si="251"/>
        <v>0</v>
      </c>
      <c r="GP190" s="16">
        <f t="shared" si="251"/>
        <v>0</v>
      </c>
      <c r="GS190" s="9">
        <f t="shared" si="226"/>
        <v>5</v>
      </c>
      <c r="GT190" s="16">
        <f t="shared" si="252"/>
        <v>0</v>
      </c>
      <c r="GU190" s="16">
        <f t="shared" si="252"/>
        <v>0</v>
      </c>
      <c r="GV190" s="16">
        <f t="shared" si="252"/>
        <v>0</v>
      </c>
      <c r="GW190" s="16">
        <f t="shared" si="252"/>
        <v>0</v>
      </c>
      <c r="GX190" s="16">
        <f t="shared" si="252"/>
        <v>0</v>
      </c>
      <c r="GY190" s="16">
        <f t="shared" si="252"/>
        <v>0</v>
      </c>
      <c r="GZ190" s="16">
        <f t="shared" si="252"/>
        <v>0</v>
      </c>
      <c r="HA190" s="16">
        <f t="shared" si="252"/>
        <v>0</v>
      </c>
      <c r="HB190" s="16">
        <f t="shared" si="252"/>
        <v>0</v>
      </c>
      <c r="HC190" s="16">
        <f t="shared" si="252"/>
        <v>0</v>
      </c>
      <c r="HD190" s="16">
        <f t="shared" si="253"/>
        <v>0</v>
      </c>
      <c r="HE190" s="16">
        <f t="shared" si="253"/>
        <v>0</v>
      </c>
      <c r="HF190" s="16">
        <f t="shared" si="253"/>
        <v>0</v>
      </c>
      <c r="HG190" s="16">
        <f t="shared" si="253"/>
        <v>0</v>
      </c>
      <c r="HH190" s="16">
        <f t="shared" si="253"/>
        <v>1.8644483715361409E-2</v>
      </c>
      <c r="HI190" s="16">
        <f t="shared" si="253"/>
        <v>0.96304511825606354</v>
      </c>
      <c r="HJ190" s="16">
        <f t="shared" si="253"/>
        <v>1.78142323260751E-2</v>
      </c>
      <c r="HK190" s="16">
        <f t="shared" si="253"/>
        <v>0</v>
      </c>
      <c r="HL190" s="16">
        <f t="shared" si="253"/>
        <v>0</v>
      </c>
      <c r="HM190" s="16">
        <f t="shared" si="253"/>
        <v>0</v>
      </c>
      <c r="HN190" s="16">
        <f t="shared" si="253"/>
        <v>0</v>
      </c>
      <c r="HQ190" s="9">
        <f t="shared" si="227"/>
        <v>5</v>
      </c>
      <c r="HR190" s="16">
        <f t="shared" si="254"/>
        <v>0</v>
      </c>
      <c r="HS190" s="16">
        <f t="shared" si="254"/>
        <v>0</v>
      </c>
      <c r="HT190" s="16">
        <f t="shared" si="254"/>
        <v>0</v>
      </c>
      <c r="HU190" s="16">
        <f t="shared" si="254"/>
        <v>0</v>
      </c>
      <c r="HV190" s="16">
        <f t="shared" si="254"/>
        <v>0</v>
      </c>
      <c r="HW190" s="16">
        <f t="shared" si="254"/>
        <v>0</v>
      </c>
      <c r="HX190" s="16">
        <f t="shared" si="254"/>
        <v>0</v>
      </c>
      <c r="HY190" s="16">
        <f t="shared" si="254"/>
        <v>0</v>
      </c>
      <c r="HZ190" s="16">
        <f t="shared" si="254"/>
        <v>0</v>
      </c>
      <c r="IA190" s="16">
        <f t="shared" si="254"/>
        <v>0</v>
      </c>
      <c r="IB190" s="16">
        <f t="shared" si="255"/>
        <v>0</v>
      </c>
      <c r="IC190" s="16">
        <f t="shared" si="255"/>
        <v>0</v>
      </c>
      <c r="ID190" s="16">
        <f t="shared" si="255"/>
        <v>0</v>
      </c>
      <c r="IE190" s="16">
        <f t="shared" si="255"/>
        <v>0</v>
      </c>
      <c r="IF190" s="16">
        <f t="shared" si="255"/>
        <v>0.12285934406111614</v>
      </c>
      <c r="IG190" s="16">
        <f t="shared" si="255"/>
        <v>0.75648279672258301</v>
      </c>
      <c r="IH190" s="16">
        <f t="shared" si="255"/>
        <v>0.11738833490630086</v>
      </c>
      <c r="II190" s="16">
        <f t="shared" si="255"/>
        <v>0</v>
      </c>
      <c r="IJ190" s="16">
        <f t="shared" si="255"/>
        <v>0</v>
      </c>
      <c r="IK190" s="16">
        <f t="shared" si="255"/>
        <v>0</v>
      </c>
      <c r="IL190" s="16">
        <f t="shared" si="255"/>
        <v>0</v>
      </c>
      <c r="IO190" s="9">
        <f t="shared" si="228"/>
        <v>5</v>
      </c>
      <c r="IP190" s="16">
        <f t="shared" si="256"/>
        <v>0</v>
      </c>
      <c r="IQ190" s="16">
        <f t="shared" si="256"/>
        <v>0</v>
      </c>
      <c r="IR190" s="16">
        <f t="shared" si="256"/>
        <v>0</v>
      </c>
      <c r="IS190" s="16">
        <f t="shared" si="256"/>
        <v>0</v>
      </c>
      <c r="IT190" s="16">
        <f t="shared" si="256"/>
        <v>0</v>
      </c>
      <c r="IU190" s="16">
        <f t="shared" si="256"/>
        <v>0</v>
      </c>
      <c r="IV190" s="16">
        <f t="shared" si="256"/>
        <v>0</v>
      </c>
      <c r="IW190" s="16">
        <f t="shared" si="256"/>
        <v>0</v>
      </c>
      <c r="IX190" s="16">
        <f t="shared" si="256"/>
        <v>0</v>
      </c>
      <c r="IY190" s="16">
        <f t="shared" si="256"/>
        <v>0</v>
      </c>
      <c r="IZ190" s="16">
        <f t="shared" si="257"/>
        <v>0</v>
      </c>
      <c r="JA190" s="16">
        <f t="shared" si="257"/>
        <v>0</v>
      </c>
      <c r="JB190" s="16">
        <f t="shared" si="257"/>
        <v>0</v>
      </c>
      <c r="JC190" s="16">
        <f t="shared" si="257"/>
        <v>0</v>
      </c>
      <c r="JD190" s="16">
        <f t="shared" si="257"/>
        <v>1.8649536420975225E-2</v>
      </c>
      <c r="JE190" s="16">
        <f t="shared" si="257"/>
        <v>0.96303510338296239</v>
      </c>
      <c r="JF190" s="16">
        <f t="shared" si="257"/>
        <v>1.7819060031312419E-2</v>
      </c>
      <c r="JG190" s="16">
        <f t="shared" si="257"/>
        <v>0</v>
      </c>
      <c r="JH190" s="16">
        <f t="shared" si="257"/>
        <v>0</v>
      </c>
      <c r="JI190" s="16">
        <f t="shared" si="257"/>
        <v>0</v>
      </c>
      <c r="JJ190" s="16">
        <f t="shared" si="257"/>
        <v>0</v>
      </c>
      <c r="JM190" s="9">
        <f t="shared" si="229"/>
        <v>5</v>
      </c>
      <c r="JN190" s="16">
        <f t="shared" si="258"/>
        <v>0</v>
      </c>
      <c r="JO190" s="16">
        <f t="shared" si="258"/>
        <v>0</v>
      </c>
      <c r="JP190" s="16">
        <f t="shared" si="258"/>
        <v>0</v>
      </c>
      <c r="JQ190" s="16">
        <f t="shared" si="258"/>
        <v>0</v>
      </c>
      <c r="JR190" s="16">
        <f t="shared" si="258"/>
        <v>0</v>
      </c>
      <c r="JS190" s="16">
        <f t="shared" si="258"/>
        <v>0</v>
      </c>
      <c r="JT190" s="16">
        <f t="shared" si="258"/>
        <v>0</v>
      </c>
      <c r="JU190" s="16">
        <f t="shared" si="258"/>
        <v>0</v>
      </c>
      <c r="JV190" s="16">
        <f t="shared" si="258"/>
        <v>0</v>
      </c>
      <c r="JW190" s="16">
        <f t="shared" si="258"/>
        <v>0</v>
      </c>
      <c r="JX190" s="16">
        <f t="shared" si="259"/>
        <v>0</v>
      </c>
      <c r="JY190" s="16">
        <f t="shared" si="259"/>
        <v>0</v>
      </c>
      <c r="JZ190" s="16">
        <f t="shared" si="259"/>
        <v>0</v>
      </c>
      <c r="KA190" s="16">
        <f t="shared" si="259"/>
        <v>0</v>
      </c>
      <c r="KB190" s="16">
        <f t="shared" si="259"/>
        <v>0.12285709841417668</v>
      </c>
      <c r="KC190" s="16">
        <f t="shared" si="259"/>
        <v>0.75648724777729459</v>
      </c>
      <c r="KD190" s="16">
        <f t="shared" si="259"/>
        <v>0.11738618925952873</v>
      </c>
      <c r="KE190" s="16">
        <f t="shared" si="259"/>
        <v>0</v>
      </c>
      <c r="KF190" s="16">
        <f t="shared" si="259"/>
        <v>0</v>
      </c>
      <c r="KG190" s="16">
        <f t="shared" si="259"/>
        <v>0</v>
      </c>
      <c r="KH190" s="16">
        <f t="shared" si="259"/>
        <v>0</v>
      </c>
      <c r="KK190" s="9">
        <f t="shared" si="230"/>
        <v>5</v>
      </c>
      <c r="KL190" s="16">
        <f t="shared" si="260"/>
        <v>0</v>
      </c>
      <c r="KM190" s="16">
        <f t="shared" si="260"/>
        <v>0</v>
      </c>
      <c r="KN190" s="16">
        <f t="shared" si="260"/>
        <v>0</v>
      </c>
      <c r="KO190" s="16">
        <f t="shared" si="260"/>
        <v>0</v>
      </c>
      <c r="KP190" s="16">
        <f t="shared" si="260"/>
        <v>0</v>
      </c>
      <c r="KQ190" s="16">
        <f t="shared" si="260"/>
        <v>0</v>
      </c>
      <c r="KR190" s="16">
        <f t="shared" si="260"/>
        <v>0</v>
      </c>
      <c r="KS190" s="16">
        <f t="shared" si="260"/>
        <v>0</v>
      </c>
      <c r="KT190" s="16">
        <f t="shared" si="260"/>
        <v>0</v>
      </c>
      <c r="KU190" s="16">
        <f t="shared" si="260"/>
        <v>0</v>
      </c>
      <c r="KV190" s="16">
        <f t="shared" si="261"/>
        <v>0</v>
      </c>
      <c r="KW190" s="16">
        <f t="shared" si="261"/>
        <v>0</v>
      </c>
      <c r="KX190" s="16">
        <f t="shared" si="261"/>
        <v>0</v>
      </c>
      <c r="KY190" s="16">
        <f t="shared" si="261"/>
        <v>0</v>
      </c>
      <c r="KZ190" s="16">
        <f t="shared" si="261"/>
        <v>1.5573561525568274E-2</v>
      </c>
      <c r="LA190" s="16">
        <f t="shared" si="261"/>
        <v>0.9691319355743212</v>
      </c>
      <c r="LB190" s="16">
        <f t="shared" si="261"/>
        <v>1.4880060365110517E-2</v>
      </c>
      <c r="LC190" s="16">
        <f t="shared" si="261"/>
        <v>0</v>
      </c>
      <c r="LD190" s="16">
        <f t="shared" si="261"/>
        <v>0</v>
      </c>
      <c r="LE190" s="16">
        <f t="shared" si="261"/>
        <v>0</v>
      </c>
      <c r="LF190" s="16">
        <f t="shared" si="261"/>
        <v>0</v>
      </c>
      <c r="LI190" s="9">
        <f t="shared" si="231"/>
        <v>5</v>
      </c>
      <c r="LJ190" s="16">
        <f t="shared" si="262"/>
        <v>0</v>
      </c>
      <c r="LK190" s="16">
        <f t="shared" si="262"/>
        <v>0</v>
      </c>
      <c r="LL190" s="16">
        <f t="shared" si="262"/>
        <v>0</v>
      </c>
      <c r="LM190" s="16">
        <f t="shared" si="262"/>
        <v>0</v>
      </c>
      <c r="LN190" s="16">
        <f t="shared" si="262"/>
        <v>0</v>
      </c>
      <c r="LO190" s="16">
        <f t="shared" si="262"/>
        <v>0</v>
      </c>
      <c r="LP190" s="16">
        <f t="shared" si="262"/>
        <v>0</v>
      </c>
      <c r="LQ190" s="16">
        <f t="shared" si="262"/>
        <v>0</v>
      </c>
      <c r="LR190" s="16">
        <f t="shared" si="262"/>
        <v>0</v>
      </c>
      <c r="LS190" s="16">
        <f t="shared" si="262"/>
        <v>0</v>
      </c>
      <c r="LT190" s="16">
        <f t="shared" si="263"/>
        <v>0</v>
      </c>
      <c r="LU190" s="16">
        <f t="shared" si="263"/>
        <v>0</v>
      </c>
      <c r="LV190" s="16">
        <f t="shared" si="263"/>
        <v>0</v>
      </c>
      <c r="LW190" s="16">
        <f t="shared" si="263"/>
        <v>0</v>
      </c>
      <c r="LX190" s="16">
        <f t="shared" si="263"/>
        <v>0.12285653700244178</v>
      </c>
      <c r="LY190" s="16">
        <f t="shared" si="263"/>
        <v>0.75648836054097257</v>
      </c>
      <c r="LZ190" s="16">
        <f t="shared" si="263"/>
        <v>0.11738565284783567</v>
      </c>
      <c r="MA190" s="16">
        <f t="shared" si="263"/>
        <v>0</v>
      </c>
      <c r="MB190" s="16">
        <f t="shared" si="263"/>
        <v>0</v>
      </c>
      <c r="MC190" s="16">
        <f t="shared" si="263"/>
        <v>0</v>
      </c>
      <c r="MD190" s="16">
        <f t="shared" si="263"/>
        <v>0</v>
      </c>
      <c r="MG190" s="9">
        <f t="shared" si="232"/>
        <v>5</v>
      </c>
      <c r="MH190" s="16">
        <f t="shared" si="264"/>
        <v>0</v>
      </c>
      <c r="MI190" s="16">
        <f t="shared" si="264"/>
        <v>0</v>
      </c>
      <c r="MJ190" s="16">
        <f t="shared" si="264"/>
        <v>0</v>
      </c>
      <c r="MK190" s="16">
        <f t="shared" si="264"/>
        <v>0</v>
      </c>
      <c r="ML190" s="16">
        <f t="shared" si="264"/>
        <v>0</v>
      </c>
      <c r="MM190" s="16">
        <f t="shared" si="264"/>
        <v>0</v>
      </c>
      <c r="MN190" s="16">
        <f t="shared" si="264"/>
        <v>0</v>
      </c>
      <c r="MO190" s="16">
        <f t="shared" si="264"/>
        <v>0</v>
      </c>
      <c r="MP190" s="16">
        <f t="shared" si="264"/>
        <v>0</v>
      </c>
      <c r="MQ190" s="16">
        <f t="shared" si="264"/>
        <v>0</v>
      </c>
      <c r="MR190" s="16">
        <f t="shared" si="265"/>
        <v>0</v>
      </c>
      <c r="MS190" s="16">
        <f t="shared" si="265"/>
        <v>0</v>
      </c>
      <c r="MT190" s="16">
        <f t="shared" si="265"/>
        <v>0</v>
      </c>
      <c r="MU190" s="16">
        <f t="shared" si="265"/>
        <v>0</v>
      </c>
      <c r="MV190" s="16">
        <f t="shared" si="265"/>
        <v>1.7111829679139198E-2</v>
      </c>
      <c r="MW190" s="16">
        <f t="shared" si="265"/>
        <v>0.96608296309680286</v>
      </c>
      <c r="MX190" s="16">
        <f t="shared" si="265"/>
        <v>1.6349828404057999E-2</v>
      </c>
      <c r="MY190" s="16">
        <f t="shared" si="265"/>
        <v>0</v>
      </c>
      <c r="MZ190" s="16">
        <f t="shared" si="265"/>
        <v>0</v>
      </c>
      <c r="NA190" s="16">
        <f t="shared" si="265"/>
        <v>0</v>
      </c>
      <c r="NB190" s="16">
        <f t="shared" si="265"/>
        <v>0</v>
      </c>
      <c r="NE190" s="9">
        <f t="shared" si="233"/>
        <v>5</v>
      </c>
      <c r="NF190" s="16">
        <f t="shared" si="266"/>
        <v>0</v>
      </c>
      <c r="NG190" s="16">
        <f t="shared" si="266"/>
        <v>0</v>
      </c>
      <c r="NH190" s="16">
        <f t="shared" si="266"/>
        <v>0</v>
      </c>
      <c r="NI190" s="16">
        <f t="shared" si="266"/>
        <v>0</v>
      </c>
      <c r="NJ190" s="16">
        <f t="shared" si="266"/>
        <v>0</v>
      </c>
      <c r="NK190" s="16">
        <f t="shared" si="266"/>
        <v>0</v>
      </c>
      <c r="NL190" s="16">
        <f t="shared" si="266"/>
        <v>0</v>
      </c>
      <c r="NM190" s="16">
        <f t="shared" si="266"/>
        <v>0</v>
      </c>
      <c r="NN190" s="16">
        <f t="shared" si="266"/>
        <v>0</v>
      </c>
      <c r="NO190" s="16">
        <f t="shared" si="266"/>
        <v>0</v>
      </c>
      <c r="NP190" s="16">
        <f t="shared" si="267"/>
        <v>0</v>
      </c>
      <c r="NQ190" s="16">
        <f t="shared" si="267"/>
        <v>0</v>
      </c>
      <c r="NR190" s="16">
        <f t="shared" si="267"/>
        <v>0</v>
      </c>
      <c r="NS190" s="16">
        <f t="shared" si="267"/>
        <v>0</v>
      </c>
      <c r="NT190" s="16">
        <f t="shared" si="267"/>
        <v>0.12285653700244178</v>
      </c>
      <c r="NU190" s="16">
        <f t="shared" si="267"/>
        <v>0.75648836054097257</v>
      </c>
      <c r="NV190" s="16">
        <f t="shared" si="267"/>
        <v>0.11738565284783567</v>
      </c>
      <c r="NW190" s="16">
        <f t="shared" si="267"/>
        <v>0</v>
      </c>
      <c r="NX190" s="16">
        <f t="shared" si="267"/>
        <v>0</v>
      </c>
      <c r="NY190" s="16">
        <f t="shared" si="267"/>
        <v>0</v>
      </c>
      <c r="NZ190" s="16">
        <f t="shared" si="267"/>
        <v>0</v>
      </c>
      <c r="OC190" s="9">
        <f t="shared" si="234"/>
        <v>5</v>
      </c>
      <c r="OD190" s="16">
        <f t="shared" si="268"/>
        <v>0</v>
      </c>
      <c r="OE190" s="16">
        <f t="shared" si="268"/>
        <v>0</v>
      </c>
      <c r="OF190" s="16">
        <f t="shared" si="268"/>
        <v>0</v>
      </c>
      <c r="OG190" s="16">
        <f t="shared" si="268"/>
        <v>0</v>
      </c>
      <c r="OH190" s="16">
        <f t="shared" si="268"/>
        <v>0</v>
      </c>
      <c r="OI190" s="16">
        <f t="shared" si="268"/>
        <v>0</v>
      </c>
      <c r="OJ190" s="16">
        <f t="shared" si="268"/>
        <v>0</v>
      </c>
      <c r="OK190" s="16">
        <f t="shared" si="268"/>
        <v>0</v>
      </c>
      <c r="OL190" s="16">
        <f t="shared" si="268"/>
        <v>0</v>
      </c>
      <c r="OM190" s="16">
        <f t="shared" si="268"/>
        <v>0</v>
      </c>
      <c r="ON190" s="16">
        <f t="shared" si="269"/>
        <v>0</v>
      </c>
      <c r="OO190" s="16">
        <f t="shared" si="269"/>
        <v>0</v>
      </c>
      <c r="OP190" s="16">
        <f t="shared" si="269"/>
        <v>0</v>
      </c>
      <c r="OQ190" s="16">
        <f t="shared" si="269"/>
        <v>0</v>
      </c>
      <c r="OR190" s="16">
        <f t="shared" si="269"/>
        <v>1.8649536420975211E-2</v>
      </c>
      <c r="OS190" s="16">
        <f t="shared" si="269"/>
        <v>0.96303510338296239</v>
      </c>
      <c r="OT190" s="16">
        <f t="shared" si="269"/>
        <v>1.7819060031312402E-2</v>
      </c>
      <c r="OU190" s="16">
        <f t="shared" si="269"/>
        <v>0</v>
      </c>
      <c r="OV190" s="16">
        <f t="shared" si="269"/>
        <v>0</v>
      </c>
      <c r="OW190" s="16">
        <f t="shared" si="269"/>
        <v>0</v>
      </c>
      <c r="OX190" s="16">
        <f t="shared" si="269"/>
        <v>0</v>
      </c>
      <c r="PA190" s="9">
        <f t="shared" si="235"/>
        <v>5</v>
      </c>
      <c r="PB190" s="16">
        <f t="shared" si="270"/>
        <v>0</v>
      </c>
      <c r="PC190" s="16">
        <f t="shared" si="270"/>
        <v>0</v>
      </c>
      <c r="PD190" s="16">
        <f t="shared" si="270"/>
        <v>0</v>
      </c>
      <c r="PE190" s="16">
        <f t="shared" si="270"/>
        <v>0</v>
      </c>
      <c r="PF190" s="16">
        <f t="shared" si="270"/>
        <v>0</v>
      </c>
      <c r="PG190" s="16">
        <f t="shared" si="270"/>
        <v>0</v>
      </c>
      <c r="PH190" s="16">
        <f t="shared" si="270"/>
        <v>0</v>
      </c>
      <c r="PI190" s="16">
        <f t="shared" si="270"/>
        <v>0</v>
      </c>
      <c r="PJ190" s="16">
        <f t="shared" si="270"/>
        <v>0</v>
      </c>
      <c r="PK190" s="16">
        <f t="shared" si="270"/>
        <v>0</v>
      </c>
      <c r="PL190" s="16">
        <f t="shared" si="271"/>
        <v>0</v>
      </c>
      <c r="PM190" s="16">
        <f t="shared" si="271"/>
        <v>0</v>
      </c>
      <c r="PN190" s="16">
        <f t="shared" si="271"/>
        <v>0</v>
      </c>
      <c r="PO190" s="16">
        <f t="shared" si="271"/>
        <v>0</v>
      </c>
      <c r="PP190" s="16">
        <f t="shared" si="271"/>
        <v>0.12285148429682786</v>
      </c>
      <c r="PQ190" s="16">
        <f t="shared" si="271"/>
        <v>0.75649837541407394</v>
      </c>
      <c r="PR190" s="16">
        <f t="shared" si="271"/>
        <v>0.11738082514259825</v>
      </c>
      <c r="PS190" s="16">
        <f t="shared" si="271"/>
        <v>0</v>
      </c>
      <c r="PT190" s="16">
        <f t="shared" si="271"/>
        <v>0</v>
      </c>
      <c r="PU190" s="16">
        <f t="shared" si="271"/>
        <v>0</v>
      </c>
      <c r="PV190" s="16">
        <f t="shared" si="271"/>
        <v>0</v>
      </c>
    </row>
    <row r="191" spans="3:438" x14ac:dyDescent="0.25">
      <c r="C191" s="1"/>
      <c r="D191" s="1"/>
      <c r="I191" s="9">
        <f t="shared" si="218"/>
        <v>4</v>
      </c>
      <c r="J191" s="16">
        <f t="shared" si="236"/>
        <v>0</v>
      </c>
      <c r="K191" s="16">
        <f t="shared" si="236"/>
        <v>0</v>
      </c>
      <c r="L191" s="16">
        <f t="shared" si="236"/>
        <v>0</v>
      </c>
      <c r="M191" s="16">
        <f t="shared" si="236"/>
        <v>0</v>
      </c>
      <c r="N191" s="16">
        <f t="shared" si="236"/>
        <v>0</v>
      </c>
      <c r="O191" s="16">
        <f t="shared" si="236"/>
        <v>0</v>
      </c>
      <c r="P191" s="16">
        <f t="shared" si="236"/>
        <v>0</v>
      </c>
      <c r="Q191" s="16">
        <f t="shared" si="236"/>
        <v>0</v>
      </c>
      <c r="R191" s="16">
        <f t="shared" si="236"/>
        <v>0</v>
      </c>
      <c r="S191" s="16">
        <f t="shared" si="236"/>
        <v>0</v>
      </c>
      <c r="T191" s="16">
        <f t="shared" si="237"/>
        <v>0</v>
      </c>
      <c r="U191" s="16">
        <f t="shared" si="237"/>
        <v>0</v>
      </c>
      <c r="V191" s="16">
        <f t="shared" si="237"/>
        <v>0</v>
      </c>
      <c r="W191" s="16">
        <f t="shared" si="237"/>
        <v>0</v>
      </c>
      <c r="X191" s="16">
        <f t="shared" si="237"/>
        <v>0</v>
      </c>
      <c r="Y191" s="16">
        <f t="shared" si="237"/>
        <v>1.4794765573006562E-2</v>
      </c>
      <c r="Z191" s="16">
        <f t="shared" si="237"/>
        <v>0.97064188430532183</v>
      </c>
      <c r="AA191" s="16">
        <f t="shared" si="237"/>
        <v>1.4219664610671659E-2</v>
      </c>
      <c r="AB191" s="16">
        <f t="shared" si="237"/>
        <v>0</v>
      </c>
      <c r="AC191" s="16">
        <f t="shared" si="237"/>
        <v>0</v>
      </c>
      <c r="AD191" s="16">
        <f t="shared" si="237"/>
        <v>0</v>
      </c>
      <c r="AG191" s="9">
        <f t="shared" si="219"/>
        <v>4</v>
      </c>
      <c r="AH191" s="16">
        <f t="shared" si="238"/>
        <v>0</v>
      </c>
      <c r="AI191" s="16">
        <f t="shared" si="238"/>
        <v>0</v>
      </c>
      <c r="AJ191" s="16">
        <f t="shared" si="238"/>
        <v>0</v>
      </c>
      <c r="AK191" s="16">
        <f t="shared" si="238"/>
        <v>0</v>
      </c>
      <c r="AL191" s="16">
        <f t="shared" si="238"/>
        <v>0</v>
      </c>
      <c r="AM191" s="16">
        <f t="shared" si="238"/>
        <v>0</v>
      </c>
      <c r="AN191" s="16">
        <f t="shared" si="238"/>
        <v>0</v>
      </c>
      <c r="AO191" s="16">
        <f t="shared" si="238"/>
        <v>0</v>
      </c>
      <c r="AP191" s="16">
        <f t="shared" si="238"/>
        <v>0</v>
      </c>
      <c r="AQ191" s="16">
        <f t="shared" si="238"/>
        <v>0</v>
      </c>
      <c r="AR191" s="16">
        <f t="shared" si="239"/>
        <v>0</v>
      </c>
      <c r="AS191" s="16">
        <f t="shared" si="239"/>
        <v>0</v>
      </c>
      <c r="AT191" s="16">
        <f t="shared" si="239"/>
        <v>0</v>
      </c>
      <c r="AU191" s="16">
        <f t="shared" si="239"/>
        <v>0</v>
      </c>
      <c r="AV191" s="16">
        <f t="shared" si="239"/>
        <v>0</v>
      </c>
      <c r="AW191" s="16">
        <f t="shared" si="239"/>
        <v>5.9209932955715736E-2</v>
      </c>
      <c r="AX191" s="16">
        <f t="shared" si="239"/>
        <v>0.88250627876391619</v>
      </c>
      <c r="AY191" s="16">
        <f t="shared" si="239"/>
        <v>5.6908329104368105E-2</v>
      </c>
      <c r="AZ191" s="16">
        <f t="shared" si="239"/>
        <v>0</v>
      </c>
      <c r="BA191" s="16">
        <f t="shared" si="239"/>
        <v>0</v>
      </c>
      <c r="BB191" s="16">
        <f t="shared" si="239"/>
        <v>0</v>
      </c>
      <c r="BE191" s="9">
        <f t="shared" si="220"/>
        <v>4</v>
      </c>
      <c r="BF191" s="16">
        <f t="shared" si="240"/>
        <v>0</v>
      </c>
      <c r="BG191" s="16">
        <f t="shared" si="240"/>
        <v>0</v>
      </c>
      <c r="BH191" s="16">
        <f t="shared" si="240"/>
        <v>0</v>
      </c>
      <c r="BI191" s="16">
        <f t="shared" si="240"/>
        <v>0</v>
      </c>
      <c r="BJ191" s="16">
        <f t="shared" si="240"/>
        <v>0</v>
      </c>
      <c r="BK191" s="16">
        <f t="shared" si="240"/>
        <v>0</v>
      </c>
      <c r="BL191" s="16">
        <f t="shared" si="240"/>
        <v>0</v>
      </c>
      <c r="BM191" s="16">
        <f t="shared" si="240"/>
        <v>0</v>
      </c>
      <c r="BN191" s="16">
        <f t="shared" si="240"/>
        <v>0</v>
      </c>
      <c r="BO191" s="16">
        <f t="shared" si="240"/>
        <v>0</v>
      </c>
      <c r="BP191" s="16">
        <f t="shared" si="241"/>
        <v>0</v>
      </c>
      <c r="BQ191" s="16">
        <f t="shared" si="241"/>
        <v>0</v>
      </c>
      <c r="BR191" s="16">
        <f t="shared" si="241"/>
        <v>0</v>
      </c>
      <c r="BS191" s="16">
        <f t="shared" si="241"/>
        <v>0</v>
      </c>
      <c r="BT191" s="16">
        <f t="shared" si="241"/>
        <v>0</v>
      </c>
      <c r="BU191" s="16">
        <f t="shared" si="241"/>
        <v>5.9202215289793407E-2</v>
      </c>
      <c r="BV191" s="16">
        <f t="shared" si="241"/>
        <v>0.88252159337825886</v>
      </c>
      <c r="BW191" s="16">
        <f t="shared" si="241"/>
        <v>5.6900911438947779E-2</v>
      </c>
      <c r="BX191" s="16">
        <f t="shared" si="241"/>
        <v>0</v>
      </c>
      <c r="BY191" s="16">
        <f t="shared" si="241"/>
        <v>0</v>
      </c>
      <c r="BZ191" s="16">
        <f t="shared" si="241"/>
        <v>0</v>
      </c>
      <c r="CC191" s="9">
        <f t="shared" si="221"/>
        <v>4</v>
      </c>
      <c r="CD191" s="16">
        <f t="shared" si="242"/>
        <v>0</v>
      </c>
      <c r="CE191" s="16">
        <f t="shared" si="242"/>
        <v>0</v>
      </c>
      <c r="CF191" s="16">
        <f t="shared" si="242"/>
        <v>0</v>
      </c>
      <c r="CG191" s="16">
        <f t="shared" si="242"/>
        <v>0</v>
      </c>
      <c r="CH191" s="16">
        <f t="shared" si="242"/>
        <v>0</v>
      </c>
      <c r="CI191" s="16">
        <f t="shared" si="242"/>
        <v>0</v>
      </c>
      <c r="CJ191" s="16">
        <f t="shared" si="242"/>
        <v>0</v>
      </c>
      <c r="CK191" s="16">
        <f t="shared" si="242"/>
        <v>0</v>
      </c>
      <c r="CL191" s="16">
        <f t="shared" si="242"/>
        <v>0</v>
      </c>
      <c r="CM191" s="16">
        <f t="shared" si="242"/>
        <v>0</v>
      </c>
      <c r="CN191" s="16">
        <f t="shared" si="243"/>
        <v>0</v>
      </c>
      <c r="CO191" s="16">
        <f t="shared" si="243"/>
        <v>0</v>
      </c>
      <c r="CP191" s="16">
        <f t="shared" si="243"/>
        <v>0</v>
      </c>
      <c r="CQ191" s="16">
        <f t="shared" si="243"/>
        <v>0</v>
      </c>
      <c r="CR191" s="16">
        <f t="shared" si="243"/>
        <v>0</v>
      </c>
      <c r="CS191" s="16">
        <f t="shared" si="243"/>
        <v>5.9202215289793234E-2</v>
      </c>
      <c r="CT191" s="16">
        <f t="shared" si="243"/>
        <v>0.88252159337825919</v>
      </c>
      <c r="CU191" s="16">
        <f t="shared" si="243"/>
        <v>5.6900911438947613E-2</v>
      </c>
      <c r="CV191" s="16">
        <f t="shared" si="243"/>
        <v>0</v>
      </c>
      <c r="CW191" s="16">
        <f t="shared" si="243"/>
        <v>0</v>
      </c>
      <c r="CX191" s="16">
        <f t="shared" si="243"/>
        <v>0</v>
      </c>
      <c r="DA191" s="9">
        <f t="shared" si="222"/>
        <v>4</v>
      </c>
      <c r="DB191" s="16">
        <f t="shared" si="244"/>
        <v>0</v>
      </c>
      <c r="DC191" s="16">
        <f t="shared" si="244"/>
        <v>0</v>
      </c>
      <c r="DD191" s="16">
        <f t="shared" si="244"/>
        <v>0</v>
      </c>
      <c r="DE191" s="16">
        <f t="shared" si="244"/>
        <v>0</v>
      </c>
      <c r="DF191" s="16">
        <f t="shared" si="244"/>
        <v>0</v>
      </c>
      <c r="DG191" s="16">
        <f t="shared" si="244"/>
        <v>0</v>
      </c>
      <c r="DH191" s="16">
        <f t="shared" si="244"/>
        <v>0</v>
      </c>
      <c r="DI191" s="16">
        <f t="shared" si="244"/>
        <v>0</v>
      </c>
      <c r="DJ191" s="16">
        <f t="shared" si="244"/>
        <v>0</v>
      </c>
      <c r="DK191" s="16">
        <f t="shared" si="244"/>
        <v>0</v>
      </c>
      <c r="DL191" s="16">
        <f t="shared" si="245"/>
        <v>0</v>
      </c>
      <c r="DM191" s="16">
        <f t="shared" si="245"/>
        <v>0</v>
      </c>
      <c r="DN191" s="16">
        <f t="shared" si="245"/>
        <v>0</v>
      </c>
      <c r="DO191" s="16">
        <f t="shared" si="245"/>
        <v>0</v>
      </c>
      <c r="DP191" s="16">
        <f t="shared" si="245"/>
        <v>0</v>
      </c>
      <c r="DQ191" s="16">
        <f t="shared" si="245"/>
        <v>1.4802483238929062E-2</v>
      </c>
      <c r="DR191" s="16">
        <f t="shared" si="245"/>
        <v>0.97062656969097882</v>
      </c>
      <c r="DS191" s="16">
        <f t="shared" si="245"/>
        <v>1.4227082276092149E-2</v>
      </c>
      <c r="DT191" s="16">
        <f t="shared" si="245"/>
        <v>0</v>
      </c>
      <c r="DU191" s="16">
        <f t="shared" si="245"/>
        <v>0</v>
      </c>
      <c r="DV191" s="16">
        <f t="shared" si="245"/>
        <v>0</v>
      </c>
      <c r="DY191" s="9">
        <f t="shared" si="223"/>
        <v>4</v>
      </c>
      <c r="DZ191" s="16">
        <f t="shared" si="246"/>
        <v>0</v>
      </c>
      <c r="EA191" s="16">
        <f t="shared" si="246"/>
        <v>0</v>
      </c>
      <c r="EB191" s="16">
        <f t="shared" si="246"/>
        <v>0</v>
      </c>
      <c r="EC191" s="16">
        <f t="shared" si="246"/>
        <v>0</v>
      </c>
      <c r="ED191" s="16">
        <f t="shared" si="246"/>
        <v>0</v>
      </c>
      <c r="EE191" s="16">
        <f t="shared" si="246"/>
        <v>0</v>
      </c>
      <c r="EF191" s="16">
        <f t="shared" si="246"/>
        <v>0</v>
      </c>
      <c r="EG191" s="16">
        <f t="shared" si="246"/>
        <v>0</v>
      </c>
      <c r="EH191" s="16">
        <f t="shared" si="246"/>
        <v>0</v>
      </c>
      <c r="EI191" s="16">
        <f t="shared" si="246"/>
        <v>0</v>
      </c>
      <c r="EJ191" s="16">
        <f t="shared" si="247"/>
        <v>0</v>
      </c>
      <c r="EK191" s="16">
        <f t="shared" si="247"/>
        <v>0</v>
      </c>
      <c r="EL191" s="16">
        <f t="shared" si="247"/>
        <v>0</v>
      </c>
      <c r="EM191" s="16">
        <f t="shared" si="247"/>
        <v>0</v>
      </c>
      <c r="EN191" s="16">
        <f t="shared" si="247"/>
        <v>0</v>
      </c>
      <c r="EO191" s="16">
        <f t="shared" si="247"/>
        <v>4.3257669503540444E-2</v>
      </c>
      <c r="EP191" s="16">
        <f t="shared" si="247"/>
        <v>0.91441068495076472</v>
      </c>
      <c r="EQ191" s="16">
        <f t="shared" si="247"/>
        <v>4.0956365652694823E-2</v>
      </c>
      <c r="ER191" s="16">
        <f t="shared" si="247"/>
        <v>0</v>
      </c>
      <c r="ES191" s="16">
        <f t="shared" si="247"/>
        <v>0</v>
      </c>
      <c r="ET191" s="16">
        <f t="shared" si="247"/>
        <v>0</v>
      </c>
      <c r="EW191" s="9">
        <f t="shared" si="224"/>
        <v>4</v>
      </c>
      <c r="EX191" s="16">
        <f t="shared" si="248"/>
        <v>0</v>
      </c>
      <c r="EY191" s="16">
        <f t="shared" si="248"/>
        <v>0</v>
      </c>
      <c r="EZ191" s="16">
        <f t="shared" si="248"/>
        <v>0</v>
      </c>
      <c r="FA191" s="16">
        <f t="shared" si="248"/>
        <v>0</v>
      </c>
      <c r="FB191" s="16">
        <f t="shared" si="248"/>
        <v>0</v>
      </c>
      <c r="FC191" s="16">
        <f t="shared" si="248"/>
        <v>0</v>
      </c>
      <c r="FD191" s="16">
        <f t="shared" si="248"/>
        <v>0</v>
      </c>
      <c r="FE191" s="16">
        <f t="shared" si="248"/>
        <v>0</v>
      </c>
      <c r="FF191" s="16">
        <f t="shared" si="248"/>
        <v>0</v>
      </c>
      <c r="FG191" s="16">
        <f t="shared" si="248"/>
        <v>0</v>
      </c>
      <c r="FH191" s="16">
        <f t="shared" si="249"/>
        <v>0</v>
      </c>
      <c r="FI191" s="16">
        <f t="shared" si="249"/>
        <v>0</v>
      </c>
      <c r="FJ191" s="16">
        <f t="shared" si="249"/>
        <v>0</v>
      </c>
      <c r="FK191" s="16">
        <f t="shared" si="249"/>
        <v>0</v>
      </c>
      <c r="FL191" s="16">
        <f t="shared" si="249"/>
        <v>0</v>
      </c>
      <c r="FM191" s="16">
        <f t="shared" si="249"/>
        <v>4.3257669503540569E-2</v>
      </c>
      <c r="FN191" s="16">
        <f t="shared" si="249"/>
        <v>0.9144106849507645</v>
      </c>
      <c r="FO191" s="16">
        <f t="shared" si="249"/>
        <v>4.0956365652694941E-2</v>
      </c>
      <c r="FP191" s="16">
        <f t="shared" si="249"/>
        <v>0</v>
      </c>
      <c r="FQ191" s="16">
        <f t="shared" si="249"/>
        <v>0</v>
      </c>
      <c r="FR191" s="16">
        <f t="shared" si="249"/>
        <v>0</v>
      </c>
      <c r="FU191" s="9">
        <f t="shared" si="225"/>
        <v>4</v>
      </c>
      <c r="FV191" s="16">
        <f t="shared" si="250"/>
        <v>0</v>
      </c>
      <c r="FW191" s="16">
        <f t="shared" si="250"/>
        <v>0</v>
      </c>
      <c r="FX191" s="16">
        <f t="shared" si="250"/>
        <v>0</v>
      </c>
      <c r="FY191" s="16">
        <f t="shared" si="250"/>
        <v>0</v>
      </c>
      <c r="FZ191" s="16">
        <f t="shared" si="250"/>
        <v>0</v>
      </c>
      <c r="GA191" s="16">
        <f t="shared" si="250"/>
        <v>0</v>
      </c>
      <c r="GB191" s="16">
        <f t="shared" si="250"/>
        <v>0</v>
      </c>
      <c r="GC191" s="16">
        <f t="shared" si="250"/>
        <v>0</v>
      </c>
      <c r="GD191" s="16">
        <f t="shared" si="250"/>
        <v>0</v>
      </c>
      <c r="GE191" s="16">
        <f t="shared" si="250"/>
        <v>0</v>
      </c>
      <c r="GF191" s="16">
        <f t="shared" si="251"/>
        <v>0</v>
      </c>
      <c r="GG191" s="16">
        <f t="shared" si="251"/>
        <v>0</v>
      </c>
      <c r="GH191" s="16">
        <f t="shared" si="251"/>
        <v>0</v>
      </c>
      <c r="GI191" s="16">
        <f t="shared" si="251"/>
        <v>0</v>
      </c>
      <c r="GJ191" s="16">
        <f t="shared" si="251"/>
        <v>0</v>
      </c>
      <c r="GK191" s="16">
        <f t="shared" si="251"/>
        <v>4.3263308620931112E-2</v>
      </c>
      <c r="GL191" s="16">
        <f t="shared" si="251"/>
        <v>0.9143995274334854</v>
      </c>
      <c r="GM191" s="16">
        <f t="shared" si="251"/>
        <v>4.0961704769583489E-2</v>
      </c>
      <c r="GN191" s="16">
        <f t="shared" si="251"/>
        <v>0</v>
      </c>
      <c r="GO191" s="16">
        <f t="shared" si="251"/>
        <v>0</v>
      </c>
      <c r="GP191" s="16">
        <f t="shared" si="251"/>
        <v>0</v>
      </c>
      <c r="GS191" s="9">
        <f t="shared" si="226"/>
        <v>4</v>
      </c>
      <c r="GT191" s="16">
        <f t="shared" si="252"/>
        <v>0</v>
      </c>
      <c r="GU191" s="16">
        <f t="shared" si="252"/>
        <v>0</v>
      </c>
      <c r="GV191" s="16">
        <f t="shared" si="252"/>
        <v>0</v>
      </c>
      <c r="GW191" s="16">
        <f t="shared" si="252"/>
        <v>0</v>
      </c>
      <c r="GX191" s="16">
        <f t="shared" si="252"/>
        <v>0</v>
      </c>
      <c r="GY191" s="16">
        <f t="shared" si="252"/>
        <v>0</v>
      </c>
      <c r="GZ191" s="16">
        <f t="shared" si="252"/>
        <v>0</v>
      </c>
      <c r="HA191" s="16">
        <f t="shared" si="252"/>
        <v>0</v>
      </c>
      <c r="HB191" s="16">
        <f t="shared" si="252"/>
        <v>0</v>
      </c>
      <c r="HC191" s="16">
        <f t="shared" si="252"/>
        <v>0</v>
      </c>
      <c r="HD191" s="16">
        <f t="shared" si="253"/>
        <v>0</v>
      </c>
      <c r="HE191" s="16">
        <f t="shared" si="253"/>
        <v>0</v>
      </c>
      <c r="HF191" s="16">
        <f t="shared" si="253"/>
        <v>0</v>
      </c>
      <c r="HG191" s="16">
        <f t="shared" si="253"/>
        <v>0</v>
      </c>
      <c r="HH191" s="16">
        <f t="shared" si="253"/>
        <v>0</v>
      </c>
      <c r="HI191" s="16">
        <f t="shared" si="253"/>
        <v>1.8727508854290042E-2</v>
      </c>
      <c r="HJ191" s="16">
        <f t="shared" si="253"/>
        <v>0.96294588511556345</v>
      </c>
      <c r="HK191" s="16">
        <f t="shared" si="253"/>
        <v>1.7731207187146467E-2</v>
      </c>
      <c r="HL191" s="16">
        <f t="shared" si="253"/>
        <v>0</v>
      </c>
      <c r="HM191" s="16">
        <f t="shared" si="253"/>
        <v>0</v>
      </c>
      <c r="HN191" s="16">
        <f t="shared" si="253"/>
        <v>0</v>
      </c>
      <c r="HQ191" s="9">
        <f t="shared" si="227"/>
        <v>4</v>
      </c>
      <c r="HR191" s="16">
        <f t="shared" si="254"/>
        <v>0</v>
      </c>
      <c r="HS191" s="16">
        <f t="shared" si="254"/>
        <v>0</v>
      </c>
      <c r="HT191" s="16">
        <f t="shared" si="254"/>
        <v>0</v>
      </c>
      <c r="HU191" s="16">
        <f t="shared" si="254"/>
        <v>0</v>
      </c>
      <c r="HV191" s="16">
        <f t="shared" si="254"/>
        <v>0</v>
      </c>
      <c r="HW191" s="16">
        <f t="shared" si="254"/>
        <v>0</v>
      </c>
      <c r="HX191" s="16">
        <f t="shared" si="254"/>
        <v>0</v>
      </c>
      <c r="HY191" s="16">
        <f t="shared" si="254"/>
        <v>0</v>
      </c>
      <c r="HZ191" s="16">
        <f t="shared" si="254"/>
        <v>0</v>
      </c>
      <c r="IA191" s="16">
        <f t="shared" si="254"/>
        <v>0</v>
      </c>
      <c r="IB191" s="16">
        <f t="shared" si="255"/>
        <v>0</v>
      </c>
      <c r="IC191" s="16">
        <f t="shared" si="255"/>
        <v>0</v>
      </c>
      <c r="ID191" s="16">
        <f t="shared" si="255"/>
        <v>0</v>
      </c>
      <c r="IE191" s="16">
        <f t="shared" si="255"/>
        <v>0</v>
      </c>
      <c r="IF191" s="16">
        <f t="shared" si="255"/>
        <v>0</v>
      </c>
      <c r="IG191" s="16">
        <f t="shared" si="255"/>
        <v>0.12340644497659767</v>
      </c>
      <c r="IH191" s="16">
        <f t="shared" si="255"/>
        <v>0.755828891860583</v>
      </c>
      <c r="II191" s="16">
        <f t="shared" si="255"/>
        <v>0.11684123399081933</v>
      </c>
      <c r="IJ191" s="16">
        <f t="shared" si="255"/>
        <v>0</v>
      </c>
      <c r="IK191" s="16">
        <f t="shared" si="255"/>
        <v>0</v>
      </c>
      <c r="IL191" s="16">
        <f t="shared" si="255"/>
        <v>0</v>
      </c>
      <c r="IO191" s="9">
        <f t="shared" si="228"/>
        <v>4</v>
      </c>
      <c r="IP191" s="16">
        <f t="shared" si="256"/>
        <v>0</v>
      </c>
      <c r="IQ191" s="16">
        <f t="shared" si="256"/>
        <v>0</v>
      </c>
      <c r="IR191" s="16">
        <f t="shared" si="256"/>
        <v>0</v>
      </c>
      <c r="IS191" s="16">
        <f t="shared" si="256"/>
        <v>0</v>
      </c>
      <c r="IT191" s="16">
        <f t="shared" si="256"/>
        <v>0</v>
      </c>
      <c r="IU191" s="16">
        <f t="shared" si="256"/>
        <v>0</v>
      </c>
      <c r="IV191" s="16">
        <f t="shared" si="256"/>
        <v>0</v>
      </c>
      <c r="IW191" s="16">
        <f t="shared" si="256"/>
        <v>0</v>
      </c>
      <c r="IX191" s="16">
        <f t="shared" si="256"/>
        <v>0</v>
      </c>
      <c r="IY191" s="16">
        <f t="shared" si="256"/>
        <v>0</v>
      </c>
      <c r="IZ191" s="16">
        <f t="shared" si="257"/>
        <v>0</v>
      </c>
      <c r="JA191" s="16">
        <f t="shared" si="257"/>
        <v>0</v>
      </c>
      <c r="JB191" s="16">
        <f t="shared" si="257"/>
        <v>0</v>
      </c>
      <c r="JC191" s="16">
        <f t="shared" si="257"/>
        <v>0</v>
      </c>
      <c r="JD191" s="16">
        <f t="shared" si="257"/>
        <v>0</v>
      </c>
      <c r="JE191" s="16">
        <f t="shared" si="257"/>
        <v>1.8732584059941507E-2</v>
      </c>
      <c r="JF191" s="16">
        <f t="shared" si="257"/>
        <v>0.96293584335001237</v>
      </c>
      <c r="JG191" s="16">
        <f t="shared" si="257"/>
        <v>1.7736012392346137E-2</v>
      </c>
      <c r="JH191" s="16">
        <f t="shared" si="257"/>
        <v>0</v>
      </c>
      <c r="JI191" s="16">
        <f t="shared" si="257"/>
        <v>0</v>
      </c>
      <c r="JJ191" s="16">
        <f t="shared" si="257"/>
        <v>0</v>
      </c>
      <c r="JM191" s="9">
        <f t="shared" si="229"/>
        <v>4</v>
      </c>
      <c r="JN191" s="16">
        <f t="shared" si="258"/>
        <v>0</v>
      </c>
      <c r="JO191" s="16">
        <f t="shared" si="258"/>
        <v>0</v>
      </c>
      <c r="JP191" s="16">
        <f t="shared" si="258"/>
        <v>0</v>
      </c>
      <c r="JQ191" s="16">
        <f t="shared" si="258"/>
        <v>0</v>
      </c>
      <c r="JR191" s="16">
        <f t="shared" si="258"/>
        <v>0</v>
      </c>
      <c r="JS191" s="16">
        <f t="shared" si="258"/>
        <v>0</v>
      </c>
      <c r="JT191" s="16">
        <f t="shared" si="258"/>
        <v>0</v>
      </c>
      <c r="JU191" s="16">
        <f t="shared" si="258"/>
        <v>0</v>
      </c>
      <c r="JV191" s="16">
        <f t="shared" si="258"/>
        <v>0</v>
      </c>
      <c r="JW191" s="16">
        <f t="shared" si="258"/>
        <v>0</v>
      </c>
      <c r="JX191" s="16">
        <f t="shared" si="259"/>
        <v>0</v>
      </c>
      <c r="JY191" s="16">
        <f t="shared" si="259"/>
        <v>0</v>
      </c>
      <c r="JZ191" s="16">
        <f t="shared" si="259"/>
        <v>0</v>
      </c>
      <c r="KA191" s="16">
        <f t="shared" si="259"/>
        <v>0</v>
      </c>
      <c r="KB191" s="16">
        <f t="shared" si="259"/>
        <v>0</v>
      </c>
      <c r="KC191" s="16">
        <f t="shared" si="259"/>
        <v>0.12340418932964148</v>
      </c>
      <c r="KD191" s="16">
        <f t="shared" si="259"/>
        <v>0.75583335486749459</v>
      </c>
      <c r="KE191" s="16">
        <f t="shared" si="259"/>
        <v>0.11683909834406393</v>
      </c>
      <c r="KF191" s="16">
        <f t="shared" si="259"/>
        <v>0</v>
      </c>
      <c r="KG191" s="16">
        <f t="shared" si="259"/>
        <v>0</v>
      </c>
      <c r="KH191" s="16">
        <f t="shared" si="259"/>
        <v>0</v>
      </c>
      <c r="KK191" s="9">
        <f t="shared" si="230"/>
        <v>4</v>
      </c>
      <c r="KL191" s="16">
        <f t="shared" si="260"/>
        <v>0</v>
      </c>
      <c r="KM191" s="16">
        <f t="shared" si="260"/>
        <v>0</v>
      </c>
      <c r="KN191" s="16">
        <f t="shared" si="260"/>
        <v>0</v>
      </c>
      <c r="KO191" s="16">
        <f t="shared" si="260"/>
        <v>0</v>
      </c>
      <c r="KP191" s="16">
        <f t="shared" si="260"/>
        <v>0</v>
      </c>
      <c r="KQ191" s="16">
        <f t="shared" si="260"/>
        <v>0</v>
      </c>
      <c r="KR191" s="16">
        <f t="shared" si="260"/>
        <v>0</v>
      </c>
      <c r="KS191" s="16">
        <f t="shared" si="260"/>
        <v>0</v>
      </c>
      <c r="KT191" s="16">
        <f t="shared" si="260"/>
        <v>0</v>
      </c>
      <c r="KU191" s="16">
        <f t="shared" si="260"/>
        <v>0</v>
      </c>
      <c r="KV191" s="16">
        <f t="shared" si="261"/>
        <v>0</v>
      </c>
      <c r="KW191" s="16">
        <f t="shared" si="261"/>
        <v>0</v>
      </c>
      <c r="KX191" s="16">
        <f t="shared" si="261"/>
        <v>0</v>
      </c>
      <c r="KY191" s="16">
        <f t="shared" si="261"/>
        <v>0</v>
      </c>
      <c r="KZ191" s="16">
        <f t="shared" si="261"/>
        <v>0</v>
      </c>
      <c r="LA191" s="16">
        <f t="shared" si="261"/>
        <v>1.5642911641614052E-2</v>
      </c>
      <c r="LB191" s="16">
        <f t="shared" si="261"/>
        <v>0.9690490470673212</v>
      </c>
      <c r="LC191" s="16">
        <f t="shared" si="261"/>
        <v>1.4810710249064741E-2</v>
      </c>
      <c r="LD191" s="16">
        <f t="shared" si="261"/>
        <v>0</v>
      </c>
      <c r="LE191" s="16">
        <f t="shared" si="261"/>
        <v>0</v>
      </c>
      <c r="LF191" s="16">
        <f t="shared" si="261"/>
        <v>0</v>
      </c>
      <c r="LI191" s="9">
        <f t="shared" si="231"/>
        <v>4</v>
      </c>
      <c r="LJ191" s="16">
        <f t="shared" si="262"/>
        <v>0</v>
      </c>
      <c r="LK191" s="16">
        <f t="shared" si="262"/>
        <v>0</v>
      </c>
      <c r="LL191" s="16">
        <f t="shared" si="262"/>
        <v>0</v>
      </c>
      <c r="LM191" s="16">
        <f t="shared" si="262"/>
        <v>0</v>
      </c>
      <c r="LN191" s="16">
        <f t="shared" si="262"/>
        <v>0</v>
      </c>
      <c r="LO191" s="16">
        <f t="shared" si="262"/>
        <v>0</v>
      </c>
      <c r="LP191" s="16">
        <f t="shared" si="262"/>
        <v>0</v>
      </c>
      <c r="LQ191" s="16">
        <f t="shared" si="262"/>
        <v>0</v>
      </c>
      <c r="LR191" s="16">
        <f t="shared" si="262"/>
        <v>0</v>
      </c>
      <c r="LS191" s="16">
        <f t="shared" si="262"/>
        <v>0</v>
      </c>
      <c r="LT191" s="16">
        <f t="shared" si="263"/>
        <v>0</v>
      </c>
      <c r="LU191" s="16">
        <f t="shared" si="263"/>
        <v>0</v>
      </c>
      <c r="LV191" s="16">
        <f t="shared" si="263"/>
        <v>0</v>
      </c>
      <c r="LW191" s="16">
        <f t="shared" si="263"/>
        <v>0</v>
      </c>
      <c r="LX191" s="16">
        <f t="shared" si="263"/>
        <v>0</v>
      </c>
      <c r="LY191" s="16">
        <f t="shared" si="263"/>
        <v>0.1234036254179024</v>
      </c>
      <c r="LZ191" s="16">
        <f t="shared" si="263"/>
        <v>0.7558344706192226</v>
      </c>
      <c r="MA191" s="16">
        <f t="shared" si="263"/>
        <v>0.11683856443237506</v>
      </c>
      <c r="MB191" s="16">
        <f t="shared" si="263"/>
        <v>0</v>
      </c>
      <c r="MC191" s="16">
        <f t="shared" si="263"/>
        <v>0</v>
      </c>
      <c r="MD191" s="16">
        <f t="shared" si="263"/>
        <v>0</v>
      </c>
      <c r="MG191" s="9">
        <f t="shared" si="232"/>
        <v>4</v>
      </c>
      <c r="MH191" s="16">
        <f t="shared" si="264"/>
        <v>0</v>
      </c>
      <c r="MI191" s="16">
        <f t="shared" si="264"/>
        <v>0</v>
      </c>
      <c r="MJ191" s="16">
        <f t="shared" si="264"/>
        <v>0</v>
      </c>
      <c r="MK191" s="16">
        <f t="shared" si="264"/>
        <v>0</v>
      </c>
      <c r="ML191" s="16">
        <f t="shared" si="264"/>
        <v>0</v>
      </c>
      <c r="MM191" s="16">
        <f t="shared" si="264"/>
        <v>0</v>
      </c>
      <c r="MN191" s="16">
        <f t="shared" si="264"/>
        <v>0</v>
      </c>
      <c r="MO191" s="16">
        <f t="shared" si="264"/>
        <v>0</v>
      </c>
      <c r="MP191" s="16">
        <f t="shared" si="264"/>
        <v>0</v>
      </c>
      <c r="MQ191" s="16">
        <f t="shared" si="264"/>
        <v>0</v>
      </c>
      <c r="MR191" s="16">
        <f t="shared" si="265"/>
        <v>0</v>
      </c>
      <c r="MS191" s="16">
        <f t="shared" si="265"/>
        <v>0</v>
      </c>
      <c r="MT191" s="16">
        <f t="shared" si="265"/>
        <v>0</v>
      </c>
      <c r="MU191" s="16">
        <f t="shared" si="265"/>
        <v>0</v>
      </c>
      <c r="MV191" s="16">
        <f t="shared" si="265"/>
        <v>0</v>
      </c>
      <c r="MW191" s="16">
        <f t="shared" si="265"/>
        <v>1.7188029806647319E-2</v>
      </c>
      <c r="MX191" s="16">
        <f t="shared" si="265"/>
        <v>0.96599188733280283</v>
      </c>
      <c r="MY191" s="16">
        <f t="shared" si="265"/>
        <v>1.6273628276549879E-2</v>
      </c>
      <c r="MZ191" s="16">
        <f t="shared" si="265"/>
        <v>0</v>
      </c>
      <c r="NA191" s="16">
        <f t="shared" si="265"/>
        <v>0</v>
      </c>
      <c r="NB191" s="16">
        <f t="shared" si="265"/>
        <v>0</v>
      </c>
      <c r="NE191" s="9">
        <f t="shared" si="233"/>
        <v>4</v>
      </c>
      <c r="NF191" s="16">
        <f t="shared" si="266"/>
        <v>0</v>
      </c>
      <c r="NG191" s="16">
        <f t="shared" si="266"/>
        <v>0</v>
      </c>
      <c r="NH191" s="16">
        <f t="shared" si="266"/>
        <v>0</v>
      </c>
      <c r="NI191" s="16">
        <f t="shared" si="266"/>
        <v>0</v>
      </c>
      <c r="NJ191" s="16">
        <f t="shared" si="266"/>
        <v>0</v>
      </c>
      <c r="NK191" s="16">
        <f t="shared" si="266"/>
        <v>0</v>
      </c>
      <c r="NL191" s="16">
        <f t="shared" si="266"/>
        <v>0</v>
      </c>
      <c r="NM191" s="16">
        <f t="shared" si="266"/>
        <v>0</v>
      </c>
      <c r="NN191" s="16">
        <f t="shared" si="266"/>
        <v>0</v>
      </c>
      <c r="NO191" s="16">
        <f t="shared" si="266"/>
        <v>0</v>
      </c>
      <c r="NP191" s="16">
        <f t="shared" si="267"/>
        <v>0</v>
      </c>
      <c r="NQ191" s="16">
        <f t="shared" si="267"/>
        <v>0</v>
      </c>
      <c r="NR191" s="16">
        <f t="shared" si="267"/>
        <v>0</v>
      </c>
      <c r="NS191" s="16">
        <f t="shared" si="267"/>
        <v>0</v>
      </c>
      <c r="NT191" s="16">
        <f t="shared" si="267"/>
        <v>0</v>
      </c>
      <c r="NU191" s="16">
        <f t="shared" si="267"/>
        <v>0.1234036254179024</v>
      </c>
      <c r="NV191" s="16">
        <f t="shared" si="267"/>
        <v>0.7558344706192226</v>
      </c>
      <c r="NW191" s="16">
        <f t="shared" si="267"/>
        <v>0.11683856443237506</v>
      </c>
      <c r="NX191" s="16">
        <f t="shared" si="267"/>
        <v>0</v>
      </c>
      <c r="NY191" s="16">
        <f t="shared" si="267"/>
        <v>0</v>
      </c>
      <c r="NZ191" s="16">
        <f t="shared" si="267"/>
        <v>0</v>
      </c>
      <c r="OC191" s="9">
        <f t="shared" si="234"/>
        <v>4</v>
      </c>
      <c r="OD191" s="16">
        <f t="shared" si="268"/>
        <v>0</v>
      </c>
      <c r="OE191" s="16">
        <f t="shared" si="268"/>
        <v>0</v>
      </c>
      <c r="OF191" s="16">
        <f t="shared" si="268"/>
        <v>0</v>
      </c>
      <c r="OG191" s="16">
        <f t="shared" si="268"/>
        <v>0</v>
      </c>
      <c r="OH191" s="16">
        <f t="shared" si="268"/>
        <v>0</v>
      </c>
      <c r="OI191" s="16">
        <f t="shared" si="268"/>
        <v>0</v>
      </c>
      <c r="OJ191" s="16">
        <f t="shared" si="268"/>
        <v>0</v>
      </c>
      <c r="OK191" s="16">
        <f t="shared" si="268"/>
        <v>0</v>
      </c>
      <c r="OL191" s="16">
        <f t="shared" si="268"/>
        <v>0</v>
      </c>
      <c r="OM191" s="16">
        <f t="shared" si="268"/>
        <v>0</v>
      </c>
      <c r="ON191" s="16">
        <f t="shared" si="269"/>
        <v>0</v>
      </c>
      <c r="OO191" s="16">
        <f t="shared" si="269"/>
        <v>0</v>
      </c>
      <c r="OP191" s="16">
        <f t="shared" si="269"/>
        <v>0</v>
      </c>
      <c r="OQ191" s="16">
        <f t="shared" si="269"/>
        <v>0</v>
      </c>
      <c r="OR191" s="16">
        <f t="shared" si="269"/>
        <v>0</v>
      </c>
      <c r="OS191" s="16">
        <f t="shared" si="269"/>
        <v>1.8732584059941489E-2</v>
      </c>
      <c r="OT191" s="16">
        <f t="shared" si="269"/>
        <v>0.96293584335001237</v>
      </c>
      <c r="OU191" s="16">
        <f t="shared" si="269"/>
        <v>1.7736012392346123E-2</v>
      </c>
      <c r="OV191" s="16">
        <f t="shared" si="269"/>
        <v>0</v>
      </c>
      <c r="OW191" s="16">
        <f t="shared" si="269"/>
        <v>0</v>
      </c>
      <c r="OX191" s="16">
        <f t="shared" si="269"/>
        <v>0</v>
      </c>
      <c r="PA191" s="9">
        <f t="shared" si="235"/>
        <v>4</v>
      </c>
      <c r="PB191" s="16">
        <f t="shared" si="270"/>
        <v>0</v>
      </c>
      <c r="PC191" s="16">
        <f t="shared" si="270"/>
        <v>0</v>
      </c>
      <c r="PD191" s="16">
        <f t="shared" si="270"/>
        <v>0</v>
      </c>
      <c r="PE191" s="16">
        <f t="shared" si="270"/>
        <v>0</v>
      </c>
      <c r="PF191" s="16">
        <f t="shared" si="270"/>
        <v>0</v>
      </c>
      <c r="PG191" s="16">
        <f t="shared" si="270"/>
        <v>0</v>
      </c>
      <c r="PH191" s="16">
        <f t="shared" si="270"/>
        <v>0</v>
      </c>
      <c r="PI191" s="16">
        <f t="shared" si="270"/>
        <v>0</v>
      </c>
      <c r="PJ191" s="16">
        <f t="shared" si="270"/>
        <v>0</v>
      </c>
      <c r="PK191" s="16">
        <f t="shared" si="270"/>
        <v>0</v>
      </c>
      <c r="PL191" s="16">
        <f t="shared" si="271"/>
        <v>0</v>
      </c>
      <c r="PM191" s="16">
        <f t="shared" si="271"/>
        <v>0</v>
      </c>
      <c r="PN191" s="16">
        <f t="shared" si="271"/>
        <v>0</v>
      </c>
      <c r="PO191" s="16">
        <f t="shared" si="271"/>
        <v>0</v>
      </c>
      <c r="PP191" s="16">
        <f t="shared" si="271"/>
        <v>0</v>
      </c>
      <c r="PQ191" s="16">
        <f t="shared" si="271"/>
        <v>0.12339855021225082</v>
      </c>
      <c r="PR191" s="16">
        <f t="shared" si="271"/>
        <v>0.7558445123847739</v>
      </c>
      <c r="PS191" s="16">
        <f t="shared" si="271"/>
        <v>0.11683375922717529</v>
      </c>
      <c r="PT191" s="16">
        <f t="shared" si="271"/>
        <v>0</v>
      </c>
      <c r="PU191" s="16">
        <f t="shared" si="271"/>
        <v>0</v>
      </c>
      <c r="PV191" s="16">
        <f t="shared" si="271"/>
        <v>0</v>
      </c>
    </row>
    <row r="192" spans="3:438" x14ac:dyDescent="0.25">
      <c r="C192" s="1"/>
      <c r="D192" s="1"/>
      <c r="I192" s="9">
        <f t="shared" si="218"/>
        <v>3</v>
      </c>
      <c r="J192" s="16">
        <f t="shared" si="236"/>
        <v>0</v>
      </c>
      <c r="K192" s="16">
        <f t="shared" si="236"/>
        <v>0</v>
      </c>
      <c r="L192" s="16">
        <f t="shared" si="236"/>
        <v>0</v>
      </c>
      <c r="M192" s="16">
        <f t="shared" si="236"/>
        <v>0</v>
      </c>
      <c r="N192" s="16">
        <f t="shared" si="236"/>
        <v>0</v>
      </c>
      <c r="O192" s="16">
        <f t="shared" si="236"/>
        <v>0</v>
      </c>
      <c r="P192" s="16">
        <f t="shared" si="236"/>
        <v>0</v>
      </c>
      <c r="Q192" s="16">
        <f t="shared" si="236"/>
        <v>0</v>
      </c>
      <c r="R192" s="16">
        <f t="shared" si="236"/>
        <v>0</v>
      </c>
      <c r="S192" s="16">
        <f t="shared" si="236"/>
        <v>0</v>
      </c>
      <c r="T192" s="16">
        <f t="shared" si="237"/>
        <v>0</v>
      </c>
      <c r="U192" s="16">
        <f t="shared" si="237"/>
        <v>0</v>
      </c>
      <c r="V192" s="16">
        <f t="shared" si="237"/>
        <v>0</v>
      </c>
      <c r="W192" s="16">
        <f t="shared" si="237"/>
        <v>0</v>
      </c>
      <c r="X192" s="16">
        <f t="shared" si="237"/>
        <v>0</v>
      </c>
      <c r="Y192" s="16">
        <f t="shared" si="237"/>
        <v>0</v>
      </c>
      <c r="Z192" s="16">
        <f t="shared" si="237"/>
        <v>1.4842689851255381E-2</v>
      </c>
      <c r="AA192" s="16">
        <f t="shared" si="237"/>
        <v>0.97058460434532179</v>
      </c>
      <c r="AB192" s="16">
        <f t="shared" si="237"/>
        <v>1.417174033242284E-2</v>
      </c>
      <c r="AC192" s="16">
        <f t="shared" si="237"/>
        <v>0</v>
      </c>
      <c r="AD192" s="16">
        <f t="shared" si="237"/>
        <v>0</v>
      </c>
      <c r="AG192" s="9">
        <f t="shared" si="219"/>
        <v>3</v>
      </c>
      <c r="AH192" s="16">
        <f t="shared" si="238"/>
        <v>0</v>
      </c>
      <c r="AI192" s="16">
        <f t="shared" si="238"/>
        <v>0</v>
      </c>
      <c r="AJ192" s="16">
        <f t="shared" si="238"/>
        <v>0</v>
      </c>
      <c r="AK192" s="16">
        <f t="shared" si="238"/>
        <v>0</v>
      </c>
      <c r="AL192" s="16">
        <f t="shared" si="238"/>
        <v>0</v>
      </c>
      <c r="AM192" s="16">
        <f t="shared" si="238"/>
        <v>0</v>
      </c>
      <c r="AN192" s="16">
        <f t="shared" si="238"/>
        <v>0</v>
      </c>
      <c r="AO192" s="16">
        <f t="shared" si="238"/>
        <v>0</v>
      </c>
      <c r="AP192" s="16">
        <f t="shared" si="238"/>
        <v>0</v>
      </c>
      <c r="AQ192" s="16">
        <f t="shared" si="238"/>
        <v>0</v>
      </c>
      <c r="AR192" s="16">
        <f t="shared" si="239"/>
        <v>0</v>
      </c>
      <c r="AS192" s="16">
        <f t="shared" si="239"/>
        <v>0</v>
      </c>
      <c r="AT192" s="16">
        <f t="shared" si="239"/>
        <v>0</v>
      </c>
      <c r="AU192" s="16">
        <f t="shared" si="239"/>
        <v>0</v>
      </c>
      <c r="AV192" s="16">
        <f t="shared" si="239"/>
        <v>0</v>
      </c>
      <c r="AW192" s="16">
        <f t="shared" si="239"/>
        <v>0</v>
      </c>
      <c r="AX192" s="16">
        <f t="shared" si="239"/>
        <v>5.9401730067205012E-2</v>
      </c>
      <c r="AY192" s="16">
        <f t="shared" si="239"/>
        <v>0.88227703940391611</v>
      </c>
      <c r="AZ192" s="16">
        <f t="shared" si="239"/>
        <v>5.6716531992878821E-2</v>
      </c>
      <c r="BA192" s="16">
        <f t="shared" si="239"/>
        <v>0</v>
      </c>
      <c r="BB192" s="16">
        <f t="shared" si="239"/>
        <v>0</v>
      </c>
      <c r="BE192" s="9">
        <f t="shared" si="220"/>
        <v>3</v>
      </c>
      <c r="BF192" s="16">
        <f t="shared" si="240"/>
        <v>0</v>
      </c>
      <c r="BG192" s="16">
        <f t="shared" si="240"/>
        <v>0</v>
      </c>
      <c r="BH192" s="16">
        <f t="shared" si="240"/>
        <v>0</v>
      </c>
      <c r="BI192" s="16">
        <f t="shared" si="240"/>
        <v>0</v>
      </c>
      <c r="BJ192" s="16">
        <f t="shared" si="240"/>
        <v>0</v>
      </c>
      <c r="BK192" s="16">
        <f t="shared" si="240"/>
        <v>0</v>
      </c>
      <c r="BL192" s="16">
        <f t="shared" si="240"/>
        <v>0</v>
      </c>
      <c r="BM192" s="16">
        <f t="shared" si="240"/>
        <v>0</v>
      </c>
      <c r="BN192" s="16">
        <f t="shared" si="240"/>
        <v>0</v>
      </c>
      <c r="BO192" s="16">
        <f t="shared" si="240"/>
        <v>0</v>
      </c>
      <c r="BP192" s="16">
        <f t="shared" si="241"/>
        <v>0</v>
      </c>
      <c r="BQ192" s="16">
        <f t="shared" si="241"/>
        <v>0</v>
      </c>
      <c r="BR192" s="16">
        <f t="shared" si="241"/>
        <v>0</v>
      </c>
      <c r="BS192" s="16">
        <f t="shared" si="241"/>
        <v>0</v>
      </c>
      <c r="BT192" s="16">
        <f t="shared" si="241"/>
        <v>0</v>
      </c>
      <c r="BU192" s="16">
        <f t="shared" si="241"/>
        <v>0</v>
      </c>
      <c r="BV192" s="16">
        <f t="shared" si="241"/>
        <v>5.939398740165918E-2</v>
      </c>
      <c r="BW192" s="16">
        <f t="shared" si="241"/>
        <v>0.88229238389825881</v>
      </c>
      <c r="BX192" s="16">
        <f t="shared" si="241"/>
        <v>5.6709139327081999E-2</v>
      </c>
      <c r="BY192" s="16">
        <f t="shared" si="241"/>
        <v>0</v>
      </c>
      <c r="BZ192" s="16">
        <f t="shared" si="241"/>
        <v>0</v>
      </c>
      <c r="CC192" s="9">
        <f t="shared" si="221"/>
        <v>3</v>
      </c>
      <c r="CD192" s="16">
        <f t="shared" si="242"/>
        <v>0</v>
      </c>
      <c r="CE192" s="16">
        <f t="shared" si="242"/>
        <v>0</v>
      </c>
      <c r="CF192" s="16">
        <f t="shared" si="242"/>
        <v>0</v>
      </c>
      <c r="CG192" s="16">
        <f t="shared" si="242"/>
        <v>0</v>
      </c>
      <c r="CH192" s="16">
        <f t="shared" si="242"/>
        <v>0</v>
      </c>
      <c r="CI192" s="16">
        <f t="shared" si="242"/>
        <v>0</v>
      </c>
      <c r="CJ192" s="16">
        <f t="shared" si="242"/>
        <v>0</v>
      </c>
      <c r="CK192" s="16">
        <f t="shared" si="242"/>
        <v>0</v>
      </c>
      <c r="CL192" s="16">
        <f t="shared" si="242"/>
        <v>0</v>
      </c>
      <c r="CM192" s="16">
        <f t="shared" si="242"/>
        <v>0</v>
      </c>
      <c r="CN192" s="16">
        <f t="shared" si="243"/>
        <v>0</v>
      </c>
      <c r="CO192" s="16">
        <f t="shared" si="243"/>
        <v>0</v>
      </c>
      <c r="CP192" s="16">
        <f t="shared" si="243"/>
        <v>0</v>
      </c>
      <c r="CQ192" s="16">
        <f t="shared" si="243"/>
        <v>0</v>
      </c>
      <c r="CR192" s="16">
        <f t="shared" si="243"/>
        <v>0</v>
      </c>
      <c r="CS192" s="16">
        <f t="shared" si="243"/>
        <v>0</v>
      </c>
      <c r="CT192" s="16">
        <f t="shared" si="243"/>
        <v>5.9393987401659014E-2</v>
      </c>
      <c r="CU192" s="16">
        <f t="shared" si="243"/>
        <v>0.88229238389825915</v>
      </c>
      <c r="CV192" s="16">
        <f t="shared" si="243"/>
        <v>5.6709139327081833E-2</v>
      </c>
      <c r="CW192" s="16">
        <f t="shared" si="243"/>
        <v>0</v>
      </c>
      <c r="CX192" s="16">
        <f t="shared" si="243"/>
        <v>0</v>
      </c>
      <c r="DA192" s="9">
        <f t="shared" si="222"/>
        <v>3</v>
      </c>
      <c r="DB192" s="16">
        <f t="shared" si="244"/>
        <v>0</v>
      </c>
      <c r="DC192" s="16">
        <f t="shared" si="244"/>
        <v>0</v>
      </c>
      <c r="DD192" s="16">
        <f t="shared" si="244"/>
        <v>0</v>
      </c>
      <c r="DE192" s="16">
        <f t="shared" si="244"/>
        <v>0</v>
      </c>
      <c r="DF192" s="16">
        <f t="shared" si="244"/>
        <v>0</v>
      </c>
      <c r="DG192" s="16">
        <f t="shared" si="244"/>
        <v>0</v>
      </c>
      <c r="DH192" s="16">
        <f t="shared" si="244"/>
        <v>0</v>
      </c>
      <c r="DI192" s="16">
        <f t="shared" si="244"/>
        <v>0</v>
      </c>
      <c r="DJ192" s="16">
        <f t="shared" si="244"/>
        <v>0</v>
      </c>
      <c r="DK192" s="16">
        <f t="shared" si="244"/>
        <v>0</v>
      </c>
      <c r="DL192" s="16">
        <f t="shared" si="245"/>
        <v>0</v>
      </c>
      <c r="DM192" s="16">
        <f t="shared" si="245"/>
        <v>0</v>
      </c>
      <c r="DN192" s="16">
        <f t="shared" si="245"/>
        <v>0</v>
      </c>
      <c r="DO192" s="16">
        <f t="shared" si="245"/>
        <v>0</v>
      </c>
      <c r="DP192" s="16">
        <f t="shared" si="245"/>
        <v>0</v>
      </c>
      <c r="DQ192" s="16">
        <f t="shared" si="245"/>
        <v>0</v>
      </c>
      <c r="DR192" s="16">
        <f t="shared" si="245"/>
        <v>1.4850432516801381E-2</v>
      </c>
      <c r="DS192" s="16">
        <f t="shared" si="245"/>
        <v>0.97056925985097875</v>
      </c>
      <c r="DT192" s="16">
        <f t="shared" si="245"/>
        <v>1.4179132998219829E-2</v>
      </c>
      <c r="DU192" s="16">
        <f t="shared" si="245"/>
        <v>0</v>
      </c>
      <c r="DV192" s="16">
        <f t="shared" si="245"/>
        <v>0</v>
      </c>
      <c r="DY192" s="9">
        <f t="shared" si="223"/>
        <v>3</v>
      </c>
      <c r="DZ192" s="16">
        <f t="shared" si="246"/>
        <v>0</v>
      </c>
      <c r="EA192" s="16">
        <f t="shared" si="246"/>
        <v>0</v>
      </c>
      <c r="EB192" s="16">
        <f t="shared" si="246"/>
        <v>0</v>
      </c>
      <c r="EC192" s="16">
        <f t="shared" si="246"/>
        <v>0</v>
      </c>
      <c r="ED192" s="16">
        <f t="shared" si="246"/>
        <v>0</v>
      </c>
      <c r="EE192" s="16">
        <f t="shared" si="246"/>
        <v>0</v>
      </c>
      <c r="EF192" s="16">
        <f t="shared" si="246"/>
        <v>0</v>
      </c>
      <c r="EG192" s="16">
        <f t="shared" si="246"/>
        <v>0</v>
      </c>
      <c r="EH192" s="16">
        <f t="shared" si="246"/>
        <v>0</v>
      </c>
      <c r="EI192" s="16">
        <f t="shared" si="246"/>
        <v>0</v>
      </c>
      <c r="EJ192" s="16">
        <f t="shared" si="247"/>
        <v>0</v>
      </c>
      <c r="EK192" s="16">
        <f t="shared" si="247"/>
        <v>0</v>
      </c>
      <c r="EL192" s="16">
        <f t="shared" si="247"/>
        <v>0</v>
      </c>
      <c r="EM192" s="16">
        <f t="shared" si="247"/>
        <v>0</v>
      </c>
      <c r="EN192" s="16">
        <f t="shared" si="247"/>
        <v>0</v>
      </c>
      <c r="EO192" s="16">
        <f t="shared" si="247"/>
        <v>0</v>
      </c>
      <c r="EP192" s="16">
        <f t="shared" si="247"/>
        <v>4.3449441615406217E-2</v>
      </c>
      <c r="EQ192" s="16">
        <f t="shared" si="247"/>
        <v>0.91418147547076467</v>
      </c>
      <c r="ER192" s="16">
        <f t="shared" si="247"/>
        <v>4.0764593540829043E-2</v>
      </c>
      <c r="ES192" s="16">
        <f t="shared" si="247"/>
        <v>0</v>
      </c>
      <c r="ET192" s="16">
        <f t="shared" si="247"/>
        <v>0</v>
      </c>
      <c r="EW192" s="9">
        <f t="shared" si="224"/>
        <v>3</v>
      </c>
      <c r="EX192" s="16">
        <f t="shared" si="248"/>
        <v>0</v>
      </c>
      <c r="EY192" s="16">
        <f t="shared" si="248"/>
        <v>0</v>
      </c>
      <c r="EZ192" s="16">
        <f t="shared" si="248"/>
        <v>0</v>
      </c>
      <c r="FA192" s="16">
        <f t="shared" si="248"/>
        <v>0</v>
      </c>
      <c r="FB192" s="16">
        <f t="shared" si="248"/>
        <v>0</v>
      </c>
      <c r="FC192" s="16">
        <f t="shared" si="248"/>
        <v>0</v>
      </c>
      <c r="FD192" s="16">
        <f t="shared" si="248"/>
        <v>0</v>
      </c>
      <c r="FE192" s="16">
        <f t="shared" si="248"/>
        <v>0</v>
      </c>
      <c r="FF192" s="16">
        <f t="shared" si="248"/>
        <v>0</v>
      </c>
      <c r="FG192" s="16">
        <f t="shared" si="248"/>
        <v>0</v>
      </c>
      <c r="FH192" s="16">
        <f t="shared" si="249"/>
        <v>0</v>
      </c>
      <c r="FI192" s="16">
        <f t="shared" si="249"/>
        <v>0</v>
      </c>
      <c r="FJ192" s="16">
        <f t="shared" si="249"/>
        <v>0</v>
      </c>
      <c r="FK192" s="16">
        <f t="shared" si="249"/>
        <v>0</v>
      </c>
      <c r="FL192" s="16">
        <f t="shared" si="249"/>
        <v>0</v>
      </c>
      <c r="FM192" s="16">
        <f t="shared" si="249"/>
        <v>0</v>
      </c>
      <c r="FN192" s="16">
        <f t="shared" si="249"/>
        <v>4.3449441615406342E-2</v>
      </c>
      <c r="FO192" s="16">
        <f t="shared" si="249"/>
        <v>0.91418147547076445</v>
      </c>
      <c r="FP192" s="16">
        <f t="shared" si="249"/>
        <v>4.0764593540829161E-2</v>
      </c>
      <c r="FQ192" s="16">
        <f t="shared" si="249"/>
        <v>0</v>
      </c>
      <c r="FR192" s="16">
        <f t="shared" si="249"/>
        <v>0</v>
      </c>
      <c r="FU192" s="9">
        <f t="shared" si="225"/>
        <v>3</v>
      </c>
      <c r="FV192" s="16">
        <f t="shared" si="250"/>
        <v>0</v>
      </c>
      <c r="FW192" s="16">
        <f t="shared" si="250"/>
        <v>0</v>
      </c>
      <c r="FX192" s="16">
        <f t="shared" si="250"/>
        <v>0</v>
      </c>
      <c r="FY192" s="16">
        <f t="shared" si="250"/>
        <v>0</v>
      </c>
      <c r="FZ192" s="16">
        <f t="shared" si="250"/>
        <v>0</v>
      </c>
      <c r="GA192" s="16">
        <f t="shared" si="250"/>
        <v>0</v>
      </c>
      <c r="GB192" s="16">
        <f t="shared" si="250"/>
        <v>0</v>
      </c>
      <c r="GC192" s="16">
        <f t="shared" si="250"/>
        <v>0</v>
      </c>
      <c r="GD192" s="16">
        <f t="shared" si="250"/>
        <v>0</v>
      </c>
      <c r="GE192" s="16">
        <f t="shared" si="250"/>
        <v>0</v>
      </c>
      <c r="GF192" s="16">
        <f t="shared" si="251"/>
        <v>0</v>
      </c>
      <c r="GG192" s="16">
        <f t="shared" si="251"/>
        <v>0</v>
      </c>
      <c r="GH192" s="16">
        <f t="shared" si="251"/>
        <v>0</v>
      </c>
      <c r="GI192" s="16">
        <f t="shared" si="251"/>
        <v>0</v>
      </c>
      <c r="GJ192" s="16">
        <f t="shared" si="251"/>
        <v>0</v>
      </c>
      <c r="GK192" s="16">
        <f t="shared" si="251"/>
        <v>0</v>
      </c>
      <c r="GL192" s="16">
        <f t="shared" si="251"/>
        <v>4.3455105732420389E-2</v>
      </c>
      <c r="GM192" s="16">
        <f t="shared" si="251"/>
        <v>0.91417028807348544</v>
      </c>
      <c r="GN192" s="16">
        <f t="shared" si="251"/>
        <v>4.0769907658094212E-2</v>
      </c>
      <c r="GO192" s="16">
        <f t="shared" si="251"/>
        <v>0</v>
      </c>
      <c r="GP192" s="16">
        <f t="shared" si="251"/>
        <v>0</v>
      </c>
      <c r="GS192" s="9">
        <f t="shared" si="226"/>
        <v>3</v>
      </c>
      <c r="GT192" s="16">
        <f t="shared" si="252"/>
        <v>0</v>
      </c>
      <c r="GU192" s="16">
        <f t="shared" si="252"/>
        <v>0</v>
      </c>
      <c r="GV192" s="16">
        <f t="shared" si="252"/>
        <v>0</v>
      </c>
      <c r="GW192" s="16">
        <f t="shared" si="252"/>
        <v>0</v>
      </c>
      <c r="GX192" s="16">
        <f t="shared" si="252"/>
        <v>0</v>
      </c>
      <c r="GY192" s="16">
        <f t="shared" si="252"/>
        <v>0</v>
      </c>
      <c r="GZ192" s="16">
        <f t="shared" si="252"/>
        <v>0</v>
      </c>
      <c r="HA192" s="16">
        <f t="shared" si="252"/>
        <v>0</v>
      </c>
      <c r="HB192" s="16">
        <f t="shared" si="252"/>
        <v>0</v>
      </c>
      <c r="HC192" s="16">
        <f t="shared" si="252"/>
        <v>0</v>
      </c>
      <c r="HD192" s="16">
        <f t="shared" si="253"/>
        <v>0</v>
      </c>
      <c r="HE192" s="16">
        <f t="shared" si="253"/>
        <v>0</v>
      </c>
      <c r="HF192" s="16">
        <f t="shared" si="253"/>
        <v>0</v>
      </c>
      <c r="HG192" s="16">
        <f t="shared" si="253"/>
        <v>0</v>
      </c>
      <c r="HH192" s="16">
        <f t="shared" si="253"/>
        <v>0</v>
      </c>
      <c r="HI192" s="16">
        <f t="shared" si="253"/>
        <v>0</v>
      </c>
      <c r="HJ192" s="16">
        <f t="shared" si="253"/>
        <v>1.8810532603932364E-2</v>
      </c>
      <c r="HK192" s="16">
        <f t="shared" si="253"/>
        <v>0.96284665363556343</v>
      </c>
      <c r="HL192" s="16">
        <f t="shared" si="253"/>
        <v>1.7648183437504145E-2</v>
      </c>
      <c r="HM192" s="16">
        <f t="shared" si="253"/>
        <v>0</v>
      </c>
      <c r="HN192" s="16">
        <f t="shared" si="253"/>
        <v>0</v>
      </c>
      <c r="HQ192" s="9">
        <f t="shared" si="227"/>
        <v>3</v>
      </c>
      <c r="HR192" s="16">
        <f t="shared" si="254"/>
        <v>0</v>
      </c>
      <c r="HS192" s="16">
        <f t="shared" si="254"/>
        <v>0</v>
      </c>
      <c r="HT192" s="16">
        <f t="shared" si="254"/>
        <v>0</v>
      </c>
      <c r="HU192" s="16">
        <f t="shared" si="254"/>
        <v>0</v>
      </c>
      <c r="HV192" s="16">
        <f t="shared" si="254"/>
        <v>0</v>
      </c>
      <c r="HW192" s="16">
        <f t="shared" si="254"/>
        <v>0</v>
      </c>
      <c r="HX192" s="16">
        <f t="shared" si="254"/>
        <v>0</v>
      </c>
      <c r="HY192" s="16">
        <f t="shared" si="254"/>
        <v>0</v>
      </c>
      <c r="HZ192" s="16">
        <f t="shared" si="254"/>
        <v>0</v>
      </c>
      <c r="IA192" s="16">
        <f t="shared" si="254"/>
        <v>0</v>
      </c>
      <c r="IB192" s="16">
        <f t="shared" si="255"/>
        <v>0</v>
      </c>
      <c r="IC192" s="16">
        <f t="shared" si="255"/>
        <v>0</v>
      </c>
      <c r="ID192" s="16">
        <f t="shared" si="255"/>
        <v>0</v>
      </c>
      <c r="IE192" s="16">
        <f t="shared" si="255"/>
        <v>0</v>
      </c>
      <c r="IF192" s="16">
        <f t="shared" si="255"/>
        <v>0</v>
      </c>
      <c r="IG192" s="16">
        <f t="shared" si="255"/>
        <v>0</v>
      </c>
      <c r="IH192" s="16">
        <f t="shared" si="255"/>
        <v>0.12395353673726391</v>
      </c>
      <c r="II192" s="16">
        <f t="shared" si="255"/>
        <v>0.75517499794058296</v>
      </c>
      <c r="IJ192" s="16">
        <f t="shared" si="255"/>
        <v>0.11629414223015309</v>
      </c>
      <c r="IK192" s="16">
        <f t="shared" si="255"/>
        <v>0</v>
      </c>
      <c r="IL192" s="16">
        <f t="shared" si="255"/>
        <v>0</v>
      </c>
      <c r="IO192" s="9">
        <f t="shared" si="228"/>
        <v>3</v>
      </c>
      <c r="IP192" s="16">
        <f t="shared" si="256"/>
        <v>0</v>
      </c>
      <c r="IQ192" s="16">
        <f t="shared" si="256"/>
        <v>0</v>
      </c>
      <c r="IR192" s="16">
        <f t="shared" si="256"/>
        <v>0</v>
      </c>
      <c r="IS192" s="16">
        <f t="shared" si="256"/>
        <v>0</v>
      </c>
      <c r="IT192" s="16">
        <f t="shared" si="256"/>
        <v>0</v>
      </c>
      <c r="IU192" s="16">
        <f t="shared" si="256"/>
        <v>0</v>
      </c>
      <c r="IV192" s="16">
        <f t="shared" si="256"/>
        <v>0</v>
      </c>
      <c r="IW192" s="16">
        <f t="shared" si="256"/>
        <v>0</v>
      </c>
      <c r="IX192" s="16">
        <f t="shared" si="256"/>
        <v>0</v>
      </c>
      <c r="IY192" s="16">
        <f t="shared" si="256"/>
        <v>0</v>
      </c>
      <c r="IZ192" s="16">
        <f t="shared" si="257"/>
        <v>0</v>
      </c>
      <c r="JA192" s="16">
        <f t="shared" si="257"/>
        <v>0</v>
      </c>
      <c r="JB192" s="16">
        <f t="shared" si="257"/>
        <v>0</v>
      </c>
      <c r="JC192" s="16">
        <f t="shared" si="257"/>
        <v>0</v>
      </c>
      <c r="JD192" s="16">
        <f t="shared" si="257"/>
        <v>0</v>
      </c>
      <c r="JE192" s="16">
        <f t="shared" si="257"/>
        <v>0</v>
      </c>
      <c r="JF192" s="16">
        <f t="shared" si="257"/>
        <v>1.8815630309244977E-2</v>
      </c>
      <c r="JG192" s="16">
        <f t="shared" si="257"/>
        <v>0.96283658497801239</v>
      </c>
      <c r="JH192" s="16">
        <f t="shared" si="257"/>
        <v>1.7652966143042664E-2</v>
      </c>
      <c r="JI192" s="16">
        <f t="shared" si="257"/>
        <v>0</v>
      </c>
      <c r="JJ192" s="16">
        <f t="shared" si="257"/>
        <v>0</v>
      </c>
      <c r="JM192" s="9">
        <f t="shared" si="229"/>
        <v>3</v>
      </c>
      <c r="JN192" s="16">
        <f t="shared" si="258"/>
        <v>0</v>
      </c>
      <c r="JO192" s="16">
        <f t="shared" si="258"/>
        <v>0</v>
      </c>
      <c r="JP192" s="16">
        <f t="shared" si="258"/>
        <v>0</v>
      </c>
      <c r="JQ192" s="16">
        <f t="shared" si="258"/>
        <v>0</v>
      </c>
      <c r="JR192" s="16">
        <f t="shared" si="258"/>
        <v>0</v>
      </c>
      <c r="JS192" s="16">
        <f t="shared" si="258"/>
        <v>0</v>
      </c>
      <c r="JT192" s="16">
        <f t="shared" si="258"/>
        <v>0</v>
      </c>
      <c r="JU192" s="16">
        <f t="shared" si="258"/>
        <v>0</v>
      </c>
      <c r="JV192" s="16">
        <f t="shared" si="258"/>
        <v>0</v>
      </c>
      <c r="JW192" s="16">
        <f t="shared" si="258"/>
        <v>0</v>
      </c>
      <c r="JX192" s="16">
        <f t="shared" si="259"/>
        <v>0</v>
      </c>
      <c r="JY192" s="16">
        <f t="shared" si="259"/>
        <v>0</v>
      </c>
      <c r="JZ192" s="16">
        <f t="shared" si="259"/>
        <v>0</v>
      </c>
      <c r="KA192" s="16">
        <f t="shared" si="259"/>
        <v>0</v>
      </c>
      <c r="KB192" s="16">
        <f t="shared" si="259"/>
        <v>0</v>
      </c>
      <c r="KC192" s="16">
        <f t="shared" si="259"/>
        <v>0</v>
      </c>
      <c r="KD192" s="16">
        <f t="shared" si="259"/>
        <v>0.12395127109045831</v>
      </c>
      <c r="KE192" s="16">
        <f t="shared" si="259"/>
        <v>0.7551794728994945</v>
      </c>
      <c r="KF192" s="16">
        <f t="shared" si="259"/>
        <v>0.1162920165832471</v>
      </c>
      <c r="KG192" s="16">
        <f t="shared" si="259"/>
        <v>0</v>
      </c>
      <c r="KH192" s="16">
        <f t="shared" si="259"/>
        <v>0</v>
      </c>
      <c r="KK192" s="9">
        <f t="shared" si="230"/>
        <v>3</v>
      </c>
      <c r="KL192" s="16">
        <f t="shared" si="260"/>
        <v>0</v>
      </c>
      <c r="KM192" s="16">
        <f t="shared" si="260"/>
        <v>0</v>
      </c>
      <c r="KN192" s="16">
        <f t="shared" si="260"/>
        <v>0</v>
      </c>
      <c r="KO192" s="16">
        <f t="shared" si="260"/>
        <v>0</v>
      </c>
      <c r="KP192" s="16">
        <f t="shared" si="260"/>
        <v>0</v>
      </c>
      <c r="KQ192" s="16">
        <f t="shared" si="260"/>
        <v>0</v>
      </c>
      <c r="KR192" s="16">
        <f t="shared" si="260"/>
        <v>0</v>
      </c>
      <c r="KS192" s="16">
        <f t="shared" si="260"/>
        <v>0</v>
      </c>
      <c r="KT192" s="16">
        <f t="shared" si="260"/>
        <v>0</v>
      </c>
      <c r="KU192" s="16">
        <f t="shared" si="260"/>
        <v>0</v>
      </c>
      <c r="KV192" s="16">
        <f t="shared" si="261"/>
        <v>0</v>
      </c>
      <c r="KW192" s="16">
        <f t="shared" si="261"/>
        <v>0</v>
      </c>
      <c r="KX192" s="16">
        <f t="shared" si="261"/>
        <v>0</v>
      </c>
      <c r="KY192" s="16">
        <f t="shared" si="261"/>
        <v>0</v>
      </c>
      <c r="KZ192" s="16">
        <f t="shared" si="261"/>
        <v>0</v>
      </c>
      <c r="LA192" s="16">
        <f t="shared" si="261"/>
        <v>0</v>
      </c>
      <c r="LB192" s="16">
        <f t="shared" si="261"/>
        <v>1.5712260597202068E-2</v>
      </c>
      <c r="LC192" s="16">
        <f t="shared" si="261"/>
        <v>0.96896615994732116</v>
      </c>
      <c r="LD192" s="16">
        <f t="shared" si="261"/>
        <v>1.4741361293476725E-2</v>
      </c>
      <c r="LE192" s="16">
        <f t="shared" si="261"/>
        <v>0</v>
      </c>
      <c r="LF192" s="16">
        <f t="shared" si="261"/>
        <v>0</v>
      </c>
      <c r="LI192" s="9">
        <f t="shared" si="231"/>
        <v>3</v>
      </c>
      <c r="LJ192" s="16">
        <f t="shared" si="262"/>
        <v>0</v>
      </c>
      <c r="LK192" s="16">
        <f t="shared" si="262"/>
        <v>0</v>
      </c>
      <c r="LL192" s="16">
        <f t="shared" si="262"/>
        <v>0</v>
      </c>
      <c r="LM192" s="16">
        <f t="shared" si="262"/>
        <v>0</v>
      </c>
      <c r="LN192" s="16">
        <f t="shared" si="262"/>
        <v>0</v>
      </c>
      <c r="LO192" s="16">
        <f t="shared" si="262"/>
        <v>0</v>
      </c>
      <c r="LP192" s="16">
        <f t="shared" si="262"/>
        <v>0</v>
      </c>
      <c r="LQ192" s="16">
        <f t="shared" si="262"/>
        <v>0</v>
      </c>
      <c r="LR192" s="16">
        <f t="shared" si="262"/>
        <v>0</v>
      </c>
      <c r="LS192" s="16">
        <f t="shared" si="262"/>
        <v>0</v>
      </c>
      <c r="LT192" s="16">
        <f t="shared" si="263"/>
        <v>0</v>
      </c>
      <c r="LU192" s="16">
        <f t="shared" si="263"/>
        <v>0</v>
      </c>
      <c r="LV192" s="16">
        <f t="shared" si="263"/>
        <v>0</v>
      </c>
      <c r="LW192" s="16">
        <f t="shared" si="263"/>
        <v>0</v>
      </c>
      <c r="LX192" s="16">
        <f t="shared" si="263"/>
        <v>0</v>
      </c>
      <c r="LY192" s="16">
        <f t="shared" si="263"/>
        <v>0</v>
      </c>
      <c r="LZ192" s="16">
        <f t="shared" si="263"/>
        <v>0.12395070467875689</v>
      </c>
      <c r="MA192" s="16">
        <f t="shared" si="263"/>
        <v>0.75518059163922246</v>
      </c>
      <c r="MB192" s="16">
        <f t="shared" si="263"/>
        <v>0.11629148517152058</v>
      </c>
      <c r="MC192" s="16">
        <f t="shared" si="263"/>
        <v>0</v>
      </c>
      <c r="MD192" s="16">
        <f t="shared" si="263"/>
        <v>0</v>
      </c>
      <c r="MG192" s="9">
        <f t="shared" si="232"/>
        <v>3</v>
      </c>
      <c r="MH192" s="16">
        <f t="shared" si="264"/>
        <v>0</v>
      </c>
      <c r="MI192" s="16">
        <f t="shared" si="264"/>
        <v>0</v>
      </c>
      <c r="MJ192" s="16">
        <f t="shared" si="264"/>
        <v>0</v>
      </c>
      <c r="MK192" s="16">
        <f t="shared" si="264"/>
        <v>0</v>
      </c>
      <c r="ML192" s="16">
        <f t="shared" si="264"/>
        <v>0</v>
      </c>
      <c r="MM192" s="16">
        <f t="shared" si="264"/>
        <v>0</v>
      </c>
      <c r="MN192" s="16">
        <f t="shared" si="264"/>
        <v>0</v>
      </c>
      <c r="MO192" s="16">
        <f t="shared" si="264"/>
        <v>0</v>
      </c>
      <c r="MP192" s="16">
        <f t="shared" si="264"/>
        <v>0</v>
      </c>
      <c r="MQ192" s="16">
        <f t="shared" si="264"/>
        <v>0</v>
      </c>
      <c r="MR192" s="16">
        <f t="shared" si="265"/>
        <v>0</v>
      </c>
      <c r="MS192" s="16">
        <f t="shared" si="265"/>
        <v>0</v>
      </c>
      <c r="MT192" s="16">
        <f t="shared" si="265"/>
        <v>0</v>
      </c>
      <c r="MU192" s="16">
        <f t="shared" si="265"/>
        <v>0</v>
      </c>
      <c r="MV192" s="16">
        <f t="shared" si="265"/>
        <v>0</v>
      </c>
      <c r="MW192" s="16">
        <f t="shared" si="265"/>
        <v>0</v>
      </c>
      <c r="MX192" s="16">
        <f t="shared" si="265"/>
        <v>1.7264228659074236E-2</v>
      </c>
      <c r="MY192" s="16">
        <f t="shared" si="265"/>
        <v>0.96590081309280285</v>
      </c>
      <c r="MZ192" s="16">
        <f t="shared" si="265"/>
        <v>1.6197429424122958E-2</v>
      </c>
      <c r="NA192" s="16">
        <f t="shared" si="265"/>
        <v>0</v>
      </c>
      <c r="NB192" s="16">
        <f t="shared" si="265"/>
        <v>0</v>
      </c>
      <c r="NE192" s="9">
        <f t="shared" si="233"/>
        <v>3</v>
      </c>
      <c r="NF192" s="16">
        <f t="shared" si="266"/>
        <v>0</v>
      </c>
      <c r="NG192" s="16">
        <f t="shared" si="266"/>
        <v>0</v>
      </c>
      <c r="NH192" s="16">
        <f t="shared" si="266"/>
        <v>0</v>
      </c>
      <c r="NI192" s="16">
        <f t="shared" si="266"/>
        <v>0</v>
      </c>
      <c r="NJ192" s="16">
        <f t="shared" si="266"/>
        <v>0</v>
      </c>
      <c r="NK192" s="16">
        <f t="shared" si="266"/>
        <v>0</v>
      </c>
      <c r="NL192" s="16">
        <f t="shared" si="266"/>
        <v>0</v>
      </c>
      <c r="NM192" s="16">
        <f t="shared" si="266"/>
        <v>0</v>
      </c>
      <c r="NN192" s="16">
        <f t="shared" si="266"/>
        <v>0</v>
      </c>
      <c r="NO192" s="16">
        <f t="shared" si="266"/>
        <v>0</v>
      </c>
      <c r="NP192" s="16">
        <f t="shared" si="267"/>
        <v>0</v>
      </c>
      <c r="NQ192" s="16">
        <f t="shared" si="267"/>
        <v>0</v>
      </c>
      <c r="NR192" s="16">
        <f t="shared" si="267"/>
        <v>0</v>
      </c>
      <c r="NS192" s="16">
        <f t="shared" si="267"/>
        <v>0</v>
      </c>
      <c r="NT192" s="16">
        <f t="shared" si="267"/>
        <v>0</v>
      </c>
      <c r="NU192" s="16">
        <f t="shared" si="267"/>
        <v>0</v>
      </c>
      <c r="NV192" s="16">
        <f t="shared" si="267"/>
        <v>0.12395070467875689</v>
      </c>
      <c r="NW192" s="16">
        <f t="shared" si="267"/>
        <v>0.75518059163922246</v>
      </c>
      <c r="NX192" s="16">
        <f t="shared" si="267"/>
        <v>0.11629148517152058</v>
      </c>
      <c r="NY192" s="16">
        <f t="shared" si="267"/>
        <v>0</v>
      </c>
      <c r="NZ192" s="16">
        <f t="shared" si="267"/>
        <v>0</v>
      </c>
      <c r="OC192" s="9">
        <f t="shared" si="234"/>
        <v>3</v>
      </c>
      <c r="OD192" s="16">
        <f t="shared" si="268"/>
        <v>0</v>
      </c>
      <c r="OE192" s="16">
        <f t="shared" si="268"/>
        <v>0</v>
      </c>
      <c r="OF192" s="16">
        <f t="shared" si="268"/>
        <v>0</v>
      </c>
      <c r="OG192" s="16">
        <f t="shared" si="268"/>
        <v>0</v>
      </c>
      <c r="OH192" s="16">
        <f t="shared" si="268"/>
        <v>0</v>
      </c>
      <c r="OI192" s="16">
        <f t="shared" si="268"/>
        <v>0</v>
      </c>
      <c r="OJ192" s="16">
        <f t="shared" si="268"/>
        <v>0</v>
      </c>
      <c r="OK192" s="16">
        <f t="shared" si="268"/>
        <v>0</v>
      </c>
      <c r="OL192" s="16">
        <f t="shared" si="268"/>
        <v>0</v>
      </c>
      <c r="OM192" s="16">
        <f t="shared" si="268"/>
        <v>0</v>
      </c>
      <c r="ON192" s="16">
        <f t="shared" si="269"/>
        <v>0</v>
      </c>
      <c r="OO192" s="16">
        <f t="shared" si="269"/>
        <v>0</v>
      </c>
      <c r="OP192" s="16">
        <f t="shared" si="269"/>
        <v>0</v>
      </c>
      <c r="OQ192" s="16">
        <f t="shared" si="269"/>
        <v>0</v>
      </c>
      <c r="OR192" s="16">
        <f t="shared" si="269"/>
        <v>0</v>
      </c>
      <c r="OS192" s="16">
        <f t="shared" si="269"/>
        <v>0</v>
      </c>
      <c r="OT192" s="16">
        <f t="shared" si="269"/>
        <v>1.8815630309244963E-2</v>
      </c>
      <c r="OU192" s="16">
        <f t="shared" si="269"/>
        <v>0.96283658497801239</v>
      </c>
      <c r="OV192" s="16">
        <f t="shared" si="269"/>
        <v>1.765296614304265E-2</v>
      </c>
      <c r="OW192" s="16">
        <f t="shared" si="269"/>
        <v>0</v>
      </c>
      <c r="OX192" s="16">
        <f t="shared" si="269"/>
        <v>0</v>
      </c>
      <c r="PA192" s="9">
        <f t="shared" si="235"/>
        <v>3</v>
      </c>
      <c r="PB192" s="16">
        <f t="shared" si="270"/>
        <v>0</v>
      </c>
      <c r="PC192" s="16">
        <f t="shared" si="270"/>
        <v>0</v>
      </c>
      <c r="PD192" s="16">
        <f t="shared" si="270"/>
        <v>0</v>
      </c>
      <c r="PE192" s="16">
        <f t="shared" si="270"/>
        <v>0</v>
      </c>
      <c r="PF192" s="16">
        <f t="shared" si="270"/>
        <v>0</v>
      </c>
      <c r="PG192" s="16">
        <f t="shared" si="270"/>
        <v>0</v>
      </c>
      <c r="PH192" s="16">
        <f t="shared" si="270"/>
        <v>0</v>
      </c>
      <c r="PI192" s="16">
        <f t="shared" si="270"/>
        <v>0</v>
      </c>
      <c r="PJ192" s="16">
        <f t="shared" si="270"/>
        <v>0</v>
      </c>
      <c r="PK192" s="16">
        <f t="shared" si="270"/>
        <v>0</v>
      </c>
      <c r="PL192" s="16">
        <f t="shared" si="271"/>
        <v>0</v>
      </c>
      <c r="PM192" s="16">
        <f t="shared" si="271"/>
        <v>0</v>
      </c>
      <c r="PN192" s="16">
        <f t="shared" si="271"/>
        <v>0</v>
      </c>
      <c r="PO192" s="16">
        <f t="shared" si="271"/>
        <v>0</v>
      </c>
      <c r="PP192" s="16">
        <f t="shared" si="271"/>
        <v>0</v>
      </c>
      <c r="PQ192" s="16">
        <f t="shared" si="271"/>
        <v>0</v>
      </c>
      <c r="PR192" s="16">
        <f t="shared" si="271"/>
        <v>0.12394560697344416</v>
      </c>
      <c r="PS192" s="16">
        <f t="shared" si="271"/>
        <v>0.75519066029677384</v>
      </c>
      <c r="PT192" s="16">
        <f t="shared" si="271"/>
        <v>0.11628670246598195</v>
      </c>
      <c r="PU192" s="16">
        <f t="shared" si="271"/>
        <v>0</v>
      </c>
      <c r="PV192" s="16">
        <f t="shared" si="271"/>
        <v>0</v>
      </c>
    </row>
    <row r="193" spans="3:438" x14ac:dyDescent="0.25">
      <c r="C193" s="1"/>
      <c r="D193" s="1"/>
      <c r="I193" s="9">
        <f t="shared" si="218"/>
        <v>2</v>
      </c>
      <c r="J193" s="16">
        <f t="shared" si="236"/>
        <v>0</v>
      </c>
      <c r="K193" s="16">
        <f t="shared" si="236"/>
        <v>0</v>
      </c>
      <c r="L193" s="16">
        <f t="shared" si="236"/>
        <v>0</v>
      </c>
      <c r="M193" s="16">
        <f t="shared" si="236"/>
        <v>0</v>
      </c>
      <c r="N193" s="16">
        <f t="shared" si="236"/>
        <v>0</v>
      </c>
      <c r="O193" s="16">
        <f t="shared" si="236"/>
        <v>0</v>
      </c>
      <c r="P193" s="16">
        <f t="shared" si="236"/>
        <v>0</v>
      </c>
      <c r="Q193" s="16">
        <f t="shared" si="236"/>
        <v>0</v>
      </c>
      <c r="R193" s="16">
        <f t="shared" si="236"/>
        <v>0</v>
      </c>
      <c r="S193" s="16">
        <f t="shared" si="236"/>
        <v>0</v>
      </c>
      <c r="T193" s="16">
        <f t="shared" si="237"/>
        <v>0</v>
      </c>
      <c r="U193" s="16">
        <f t="shared" si="237"/>
        <v>0</v>
      </c>
      <c r="V193" s="16">
        <f t="shared" si="237"/>
        <v>0</v>
      </c>
      <c r="W193" s="16">
        <f t="shared" si="237"/>
        <v>0</v>
      </c>
      <c r="X193" s="16">
        <f t="shared" si="237"/>
        <v>0</v>
      </c>
      <c r="Y193" s="16">
        <f t="shared" si="237"/>
        <v>0</v>
      </c>
      <c r="Z193" s="16">
        <f t="shared" si="237"/>
        <v>0</v>
      </c>
      <c r="AA193" s="16">
        <f t="shared" si="237"/>
        <v>1.4890614931449957E-2</v>
      </c>
      <c r="AB193" s="16">
        <f t="shared" si="237"/>
        <v>0.9705273234268218</v>
      </c>
      <c r="AC193" s="16">
        <f t="shared" si="237"/>
        <v>1.4123815252228264E-2</v>
      </c>
      <c r="AD193" s="16">
        <f t="shared" si="237"/>
        <v>0</v>
      </c>
      <c r="AG193" s="9">
        <f t="shared" si="219"/>
        <v>2</v>
      </c>
      <c r="AH193" s="16">
        <f t="shared" si="238"/>
        <v>0</v>
      </c>
      <c r="AI193" s="16">
        <f t="shared" si="238"/>
        <v>0</v>
      </c>
      <c r="AJ193" s="16">
        <f t="shared" si="238"/>
        <v>0</v>
      </c>
      <c r="AK193" s="16">
        <f t="shared" si="238"/>
        <v>0</v>
      </c>
      <c r="AL193" s="16">
        <f t="shared" si="238"/>
        <v>0</v>
      </c>
      <c r="AM193" s="16">
        <f t="shared" si="238"/>
        <v>0</v>
      </c>
      <c r="AN193" s="16">
        <f t="shared" si="238"/>
        <v>0</v>
      </c>
      <c r="AO193" s="16">
        <f t="shared" si="238"/>
        <v>0</v>
      </c>
      <c r="AP193" s="16">
        <f t="shared" si="238"/>
        <v>0</v>
      </c>
      <c r="AQ193" s="16">
        <f t="shared" si="238"/>
        <v>0</v>
      </c>
      <c r="AR193" s="16">
        <f t="shared" si="239"/>
        <v>0</v>
      </c>
      <c r="AS193" s="16">
        <f t="shared" si="239"/>
        <v>0</v>
      </c>
      <c r="AT193" s="16">
        <f t="shared" si="239"/>
        <v>0</v>
      </c>
      <c r="AU193" s="16">
        <f t="shared" si="239"/>
        <v>0</v>
      </c>
      <c r="AV193" s="16">
        <f t="shared" si="239"/>
        <v>0</v>
      </c>
      <c r="AW193" s="16">
        <f t="shared" si="239"/>
        <v>0</v>
      </c>
      <c r="AX193" s="16">
        <f t="shared" si="239"/>
        <v>0</v>
      </c>
      <c r="AY193" s="16">
        <f t="shared" si="239"/>
        <v>5.9593530388150649E-2</v>
      </c>
      <c r="AZ193" s="16">
        <f t="shared" si="239"/>
        <v>0.88204779620791618</v>
      </c>
      <c r="BA193" s="16">
        <f t="shared" si="239"/>
        <v>5.6524731671933184E-2</v>
      </c>
      <c r="BB193" s="16">
        <f t="shared" si="239"/>
        <v>0</v>
      </c>
      <c r="BE193" s="9">
        <f t="shared" si="220"/>
        <v>2</v>
      </c>
      <c r="BF193" s="16">
        <f t="shared" si="240"/>
        <v>0</v>
      </c>
      <c r="BG193" s="16">
        <f t="shared" si="240"/>
        <v>0</v>
      </c>
      <c r="BH193" s="16">
        <f t="shared" si="240"/>
        <v>0</v>
      </c>
      <c r="BI193" s="16">
        <f t="shared" si="240"/>
        <v>0</v>
      </c>
      <c r="BJ193" s="16">
        <f t="shared" si="240"/>
        <v>0</v>
      </c>
      <c r="BK193" s="16">
        <f t="shared" si="240"/>
        <v>0</v>
      </c>
      <c r="BL193" s="16">
        <f t="shared" si="240"/>
        <v>0</v>
      </c>
      <c r="BM193" s="16">
        <f t="shared" si="240"/>
        <v>0</v>
      </c>
      <c r="BN193" s="16">
        <f t="shared" si="240"/>
        <v>0</v>
      </c>
      <c r="BO193" s="16">
        <f t="shared" si="240"/>
        <v>0</v>
      </c>
      <c r="BP193" s="16">
        <f t="shared" si="241"/>
        <v>0</v>
      </c>
      <c r="BQ193" s="16">
        <f t="shared" si="241"/>
        <v>0</v>
      </c>
      <c r="BR193" s="16">
        <f t="shared" si="241"/>
        <v>0</v>
      </c>
      <c r="BS193" s="16">
        <f t="shared" si="241"/>
        <v>0</v>
      </c>
      <c r="BT193" s="16">
        <f t="shared" si="241"/>
        <v>0</v>
      </c>
      <c r="BU193" s="16">
        <f t="shared" si="241"/>
        <v>0</v>
      </c>
      <c r="BV193" s="16">
        <f t="shared" si="241"/>
        <v>0</v>
      </c>
      <c r="BW193" s="16">
        <f t="shared" si="241"/>
        <v>5.9585762722562989E-2</v>
      </c>
      <c r="BX193" s="16">
        <f t="shared" si="241"/>
        <v>0.88206317058275885</v>
      </c>
      <c r="BY193" s="16">
        <f t="shared" si="241"/>
        <v>5.6517364006178197E-2</v>
      </c>
      <c r="BZ193" s="16">
        <f t="shared" si="241"/>
        <v>0</v>
      </c>
      <c r="CC193" s="9">
        <f t="shared" si="221"/>
        <v>2</v>
      </c>
      <c r="CD193" s="16">
        <f t="shared" si="242"/>
        <v>0</v>
      </c>
      <c r="CE193" s="16">
        <f t="shared" si="242"/>
        <v>0</v>
      </c>
      <c r="CF193" s="16">
        <f t="shared" si="242"/>
        <v>0</v>
      </c>
      <c r="CG193" s="16">
        <f t="shared" si="242"/>
        <v>0</v>
      </c>
      <c r="CH193" s="16">
        <f t="shared" si="242"/>
        <v>0</v>
      </c>
      <c r="CI193" s="16">
        <f t="shared" si="242"/>
        <v>0</v>
      </c>
      <c r="CJ193" s="16">
        <f t="shared" si="242"/>
        <v>0</v>
      </c>
      <c r="CK193" s="16">
        <f t="shared" si="242"/>
        <v>0</v>
      </c>
      <c r="CL193" s="16">
        <f t="shared" si="242"/>
        <v>0</v>
      </c>
      <c r="CM193" s="16">
        <f t="shared" si="242"/>
        <v>0</v>
      </c>
      <c r="CN193" s="16">
        <f t="shared" si="243"/>
        <v>0</v>
      </c>
      <c r="CO193" s="16">
        <f t="shared" si="243"/>
        <v>0</v>
      </c>
      <c r="CP193" s="16">
        <f t="shared" si="243"/>
        <v>0</v>
      </c>
      <c r="CQ193" s="16">
        <f t="shared" si="243"/>
        <v>0</v>
      </c>
      <c r="CR193" s="16">
        <f t="shared" si="243"/>
        <v>0</v>
      </c>
      <c r="CS193" s="16">
        <f t="shared" si="243"/>
        <v>0</v>
      </c>
      <c r="CT193" s="16">
        <f t="shared" si="243"/>
        <v>0</v>
      </c>
      <c r="CU193" s="16">
        <f t="shared" si="243"/>
        <v>5.9585762722562816E-2</v>
      </c>
      <c r="CV193" s="16">
        <f t="shared" si="243"/>
        <v>0.88206317058275918</v>
      </c>
      <c r="CW193" s="16">
        <f t="shared" si="243"/>
        <v>5.6517364006178031E-2</v>
      </c>
      <c r="CX193" s="16">
        <f t="shared" si="243"/>
        <v>0</v>
      </c>
      <c r="DA193" s="9">
        <f t="shared" si="222"/>
        <v>2</v>
      </c>
      <c r="DB193" s="16">
        <f t="shared" si="244"/>
        <v>0</v>
      </c>
      <c r="DC193" s="16">
        <f t="shared" si="244"/>
        <v>0</v>
      </c>
      <c r="DD193" s="16">
        <f t="shared" si="244"/>
        <v>0</v>
      </c>
      <c r="DE193" s="16">
        <f t="shared" si="244"/>
        <v>0</v>
      </c>
      <c r="DF193" s="16">
        <f t="shared" si="244"/>
        <v>0</v>
      </c>
      <c r="DG193" s="16">
        <f t="shared" si="244"/>
        <v>0</v>
      </c>
      <c r="DH193" s="16">
        <f t="shared" si="244"/>
        <v>0</v>
      </c>
      <c r="DI193" s="16">
        <f t="shared" si="244"/>
        <v>0</v>
      </c>
      <c r="DJ193" s="16">
        <f t="shared" si="244"/>
        <v>0</v>
      </c>
      <c r="DK193" s="16">
        <f t="shared" si="244"/>
        <v>0</v>
      </c>
      <c r="DL193" s="16">
        <f t="shared" si="245"/>
        <v>0</v>
      </c>
      <c r="DM193" s="16">
        <f t="shared" si="245"/>
        <v>0</v>
      </c>
      <c r="DN193" s="16">
        <f t="shared" si="245"/>
        <v>0</v>
      </c>
      <c r="DO193" s="16">
        <f t="shared" si="245"/>
        <v>0</v>
      </c>
      <c r="DP193" s="16">
        <f t="shared" si="245"/>
        <v>0</v>
      </c>
      <c r="DQ193" s="16">
        <f t="shared" si="245"/>
        <v>0</v>
      </c>
      <c r="DR193" s="16">
        <f t="shared" si="245"/>
        <v>0</v>
      </c>
      <c r="DS193" s="16">
        <f t="shared" si="245"/>
        <v>1.4898382597037791E-2</v>
      </c>
      <c r="DT193" s="16">
        <f t="shared" si="245"/>
        <v>0.9705119490519788</v>
      </c>
      <c r="DU193" s="16">
        <f t="shared" si="245"/>
        <v>1.4131182917983419E-2</v>
      </c>
      <c r="DV193" s="16">
        <f t="shared" si="245"/>
        <v>0</v>
      </c>
      <c r="DY193" s="9">
        <f t="shared" si="223"/>
        <v>2</v>
      </c>
      <c r="DZ193" s="16">
        <f t="shared" si="246"/>
        <v>0</v>
      </c>
      <c r="EA193" s="16">
        <f t="shared" si="246"/>
        <v>0</v>
      </c>
      <c r="EB193" s="16">
        <f t="shared" si="246"/>
        <v>0</v>
      </c>
      <c r="EC193" s="16">
        <f t="shared" si="246"/>
        <v>0</v>
      </c>
      <c r="ED193" s="16">
        <f t="shared" si="246"/>
        <v>0</v>
      </c>
      <c r="EE193" s="16">
        <f t="shared" si="246"/>
        <v>0</v>
      </c>
      <c r="EF193" s="16">
        <f t="shared" si="246"/>
        <v>0</v>
      </c>
      <c r="EG193" s="16">
        <f t="shared" si="246"/>
        <v>0</v>
      </c>
      <c r="EH193" s="16">
        <f t="shared" si="246"/>
        <v>0</v>
      </c>
      <c r="EI193" s="16">
        <f t="shared" si="246"/>
        <v>0</v>
      </c>
      <c r="EJ193" s="16">
        <f t="shared" si="247"/>
        <v>0</v>
      </c>
      <c r="EK193" s="16">
        <f t="shared" si="247"/>
        <v>0</v>
      </c>
      <c r="EL193" s="16">
        <f t="shared" si="247"/>
        <v>0</v>
      </c>
      <c r="EM193" s="16">
        <f t="shared" si="247"/>
        <v>0</v>
      </c>
      <c r="EN193" s="16">
        <f t="shared" si="247"/>
        <v>0</v>
      </c>
      <c r="EO193" s="16">
        <f t="shared" si="247"/>
        <v>0</v>
      </c>
      <c r="EP193" s="16">
        <f t="shared" si="247"/>
        <v>0</v>
      </c>
      <c r="EQ193" s="16">
        <f t="shared" si="247"/>
        <v>4.3641216936310026E-2</v>
      </c>
      <c r="ER193" s="16">
        <f t="shared" si="247"/>
        <v>0.91395226215526471</v>
      </c>
      <c r="ES193" s="16">
        <f t="shared" si="247"/>
        <v>4.0572818219925241E-2</v>
      </c>
      <c r="ET193" s="16">
        <f t="shared" si="247"/>
        <v>0</v>
      </c>
      <c r="EW193" s="9">
        <f t="shared" si="224"/>
        <v>2</v>
      </c>
      <c r="EX193" s="16">
        <f t="shared" si="248"/>
        <v>0</v>
      </c>
      <c r="EY193" s="16">
        <f t="shared" si="248"/>
        <v>0</v>
      </c>
      <c r="EZ193" s="16">
        <f t="shared" si="248"/>
        <v>0</v>
      </c>
      <c r="FA193" s="16">
        <f t="shared" si="248"/>
        <v>0</v>
      </c>
      <c r="FB193" s="16">
        <f t="shared" si="248"/>
        <v>0</v>
      </c>
      <c r="FC193" s="16">
        <f t="shared" si="248"/>
        <v>0</v>
      </c>
      <c r="FD193" s="16">
        <f t="shared" si="248"/>
        <v>0</v>
      </c>
      <c r="FE193" s="16">
        <f t="shared" si="248"/>
        <v>0</v>
      </c>
      <c r="FF193" s="16">
        <f t="shared" si="248"/>
        <v>0</v>
      </c>
      <c r="FG193" s="16">
        <f t="shared" si="248"/>
        <v>0</v>
      </c>
      <c r="FH193" s="16">
        <f t="shared" si="249"/>
        <v>0</v>
      </c>
      <c r="FI193" s="16">
        <f t="shared" si="249"/>
        <v>0</v>
      </c>
      <c r="FJ193" s="16">
        <f t="shared" si="249"/>
        <v>0</v>
      </c>
      <c r="FK193" s="16">
        <f t="shared" si="249"/>
        <v>0</v>
      </c>
      <c r="FL193" s="16">
        <f t="shared" si="249"/>
        <v>0</v>
      </c>
      <c r="FM193" s="16">
        <f t="shared" si="249"/>
        <v>0</v>
      </c>
      <c r="FN193" s="16">
        <f t="shared" si="249"/>
        <v>0</v>
      </c>
      <c r="FO193" s="16">
        <f t="shared" si="249"/>
        <v>4.3641216936310151E-2</v>
      </c>
      <c r="FP193" s="16">
        <f t="shared" si="249"/>
        <v>0.91395226215526448</v>
      </c>
      <c r="FQ193" s="16">
        <f t="shared" si="249"/>
        <v>4.0572818219925359E-2</v>
      </c>
      <c r="FR193" s="16">
        <f t="shared" si="249"/>
        <v>0</v>
      </c>
      <c r="FU193" s="9">
        <f t="shared" si="225"/>
        <v>2</v>
      </c>
      <c r="FV193" s="16">
        <f t="shared" si="250"/>
        <v>0</v>
      </c>
      <c r="FW193" s="16">
        <f t="shared" si="250"/>
        <v>0</v>
      </c>
      <c r="FX193" s="16">
        <f t="shared" si="250"/>
        <v>0</v>
      </c>
      <c r="FY193" s="16">
        <f t="shared" si="250"/>
        <v>0</v>
      </c>
      <c r="FZ193" s="16">
        <f t="shared" si="250"/>
        <v>0</v>
      </c>
      <c r="GA193" s="16">
        <f t="shared" si="250"/>
        <v>0</v>
      </c>
      <c r="GB193" s="16">
        <f t="shared" si="250"/>
        <v>0</v>
      </c>
      <c r="GC193" s="16">
        <f t="shared" si="250"/>
        <v>0</v>
      </c>
      <c r="GD193" s="16">
        <f t="shared" si="250"/>
        <v>0</v>
      </c>
      <c r="GE193" s="16">
        <f t="shared" si="250"/>
        <v>0</v>
      </c>
      <c r="GF193" s="16">
        <f t="shared" si="251"/>
        <v>0</v>
      </c>
      <c r="GG193" s="16">
        <f t="shared" si="251"/>
        <v>0</v>
      </c>
      <c r="GH193" s="16">
        <f t="shared" si="251"/>
        <v>0</v>
      </c>
      <c r="GI193" s="16">
        <f t="shared" si="251"/>
        <v>0</v>
      </c>
      <c r="GJ193" s="16">
        <f t="shared" si="251"/>
        <v>0</v>
      </c>
      <c r="GK193" s="16">
        <f t="shared" si="251"/>
        <v>0</v>
      </c>
      <c r="GL193" s="16">
        <f t="shared" si="251"/>
        <v>0</v>
      </c>
      <c r="GM193" s="16">
        <f t="shared" si="251"/>
        <v>4.3646906053366026E-2</v>
      </c>
      <c r="GN193" s="16">
        <f t="shared" si="251"/>
        <v>0.9139410448774854</v>
      </c>
      <c r="GO193" s="16">
        <f t="shared" si="251"/>
        <v>4.0578107337148575E-2</v>
      </c>
      <c r="GP193" s="16">
        <f t="shared" si="251"/>
        <v>0</v>
      </c>
      <c r="GS193" s="9">
        <f t="shared" si="226"/>
        <v>2</v>
      </c>
      <c r="GT193" s="16">
        <f t="shared" si="252"/>
        <v>0</v>
      </c>
      <c r="GU193" s="16">
        <f t="shared" si="252"/>
        <v>0</v>
      </c>
      <c r="GV193" s="16">
        <f t="shared" si="252"/>
        <v>0</v>
      </c>
      <c r="GW193" s="16">
        <f t="shared" si="252"/>
        <v>0</v>
      </c>
      <c r="GX193" s="16">
        <f t="shared" si="252"/>
        <v>0</v>
      </c>
      <c r="GY193" s="16">
        <f t="shared" si="252"/>
        <v>0</v>
      </c>
      <c r="GZ193" s="16">
        <f t="shared" si="252"/>
        <v>0</v>
      </c>
      <c r="HA193" s="16">
        <f t="shared" si="252"/>
        <v>0</v>
      </c>
      <c r="HB193" s="16">
        <f t="shared" si="252"/>
        <v>0</v>
      </c>
      <c r="HC193" s="16">
        <f t="shared" si="252"/>
        <v>0</v>
      </c>
      <c r="HD193" s="16">
        <f t="shared" si="253"/>
        <v>0</v>
      </c>
      <c r="HE193" s="16">
        <f t="shared" si="253"/>
        <v>0</v>
      </c>
      <c r="HF193" s="16">
        <f t="shared" si="253"/>
        <v>0</v>
      </c>
      <c r="HG193" s="16">
        <f t="shared" si="253"/>
        <v>0</v>
      </c>
      <c r="HH193" s="16">
        <f t="shared" si="253"/>
        <v>0</v>
      </c>
      <c r="HI193" s="16">
        <f t="shared" si="253"/>
        <v>0</v>
      </c>
      <c r="HJ193" s="16">
        <f t="shared" si="253"/>
        <v>0</v>
      </c>
      <c r="HK193" s="16">
        <f t="shared" si="253"/>
        <v>1.8893557742860997E-2</v>
      </c>
      <c r="HL193" s="16">
        <f t="shared" si="253"/>
        <v>0.96274742049506346</v>
      </c>
      <c r="HM193" s="16">
        <f t="shared" si="253"/>
        <v>1.7565158298575512E-2</v>
      </c>
      <c r="HN193" s="16">
        <f t="shared" si="253"/>
        <v>0</v>
      </c>
      <c r="HQ193" s="9">
        <f t="shared" si="227"/>
        <v>2</v>
      </c>
      <c r="HR193" s="16">
        <f t="shared" si="254"/>
        <v>0</v>
      </c>
      <c r="HS193" s="16">
        <f t="shared" si="254"/>
        <v>0</v>
      </c>
      <c r="HT193" s="16">
        <f t="shared" si="254"/>
        <v>0</v>
      </c>
      <c r="HU193" s="16">
        <f t="shared" si="254"/>
        <v>0</v>
      </c>
      <c r="HV193" s="16">
        <f t="shared" si="254"/>
        <v>0</v>
      </c>
      <c r="HW193" s="16">
        <f t="shared" si="254"/>
        <v>0</v>
      </c>
      <c r="HX193" s="16">
        <f t="shared" si="254"/>
        <v>0</v>
      </c>
      <c r="HY193" s="16">
        <f t="shared" si="254"/>
        <v>0</v>
      </c>
      <c r="HZ193" s="16">
        <f t="shared" si="254"/>
        <v>0</v>
      </c>
      <c r="IA193" s="16">
        <f t="shared" si="254"/>
        <v>0</v>
      </c>
      <c r="IB193" s="16">
        <f t="shared" si="255"/>
        <v>0</v>
      </c>
      <c r="IC193" s="16">
        <f t="shared" si="255"/>
        <v>0</v>
      </c>
      <c r="ID193" s="16">
        <f t="shared" si="255"/>
        <v>0</v>
      </c>
      <c r="IE193" s="16">
        <f t="shared" si="255"/>
        <v>0</v>
      </c>
      <c r="IF193" s="16">
        <f t="shared" si="255"/>
        <v>0</v>
      </c>
      <c r="IG193" s="16">
        <f t="shared" si="255"/>
        <v>0</v>
      </c>
      <c r="IH193" s="16">
        <f t="shared" si="255"/>
        <v>0</v>
      </c>
      <c r="II193" s="16">
        <f t="shared" si="255"/>
        <v>0.12450063765274544</v>
      </c>
      <c r="IJ193" s="16">
        <f t="shared" si="255"/>
        <v>0.75452109307858306</v>
      </c>
      <c r="IK193" s="16">
        <f t="shared" si="255"/>
        <v>0.11574704131467156</v>
      </c>
      <c r="IL193" s="16">
        <f t="shared" si="255"/>
        <v>0</v>
      </c>
      <c r="IO193" s="9">
        <f t="shared" si="228"/>
        <v>2</v>
      </c>
      <c r="IP193" s="16">
        <f t="shared" si="256"/>
        <v>0</v>
      </c>
      <c r="IQ193" s="16">
        <f t="shared" si="256"/>
        <v>0</v>
      </c>
      <c r="IR193" s="16">
        <f t="shared" si="256"/>
        <v>0</v>
      </c>
      <c r="IS193" s="16">
        <f t="shared" si="256"/>
        <v>0</v>
      </c>
      <c r="IT193" s="16">
        <f t="shared" si="256"/>
        <v>0</v>
      </c>
      <c r="IU193" s="16">
        <f t="shared" si="256"/>
        <v>0</v>
      </c>
      <c r="IV193" s="16">
        <f t="shared" si="256"/>
        <v>0</v>
      </c>
      <c r="IW193" s="16">
        <f t="shared" si="256"/>
        <v>0</v>
      </c>
      <c r="IX193" s="16">
        <f t="shared" si="256"/>
        <v>0</v>
      </c>
      <c r="IY193" s="16">
        <f t="shared" si="256"/>
        <v>0</v>
      </c>
      <c r="IZ193" s="16">
        <f t="shared" si="257"/>
        <v>0</v>
      </c>
      <c r="JA193" s="16">
        <f t="shared" si="257"/>
        <v>0</v>
      </c>
      <c r="JB193" s="16">
        <f t="shared" si="257"/>
        <v>0</v>
      </c>
      <c r="JC193" s="16">
        <f t="shared" si="257"/>
        <v>0</v>
      </c>
      <c r="JD193" s="16">
        <f t="shared" si="257"/>
        <v>0</v>
      </c>
      <c r="JE193" s="16">
        <f t="shared" si="257"/>
        <v>0</v>
      </c>
      <c r="JF193" s="16">
        <f t="shared" si="257"/>
        <v>0</v>
      </c>
      <c r="JG193" s="16">
        <f t="shared" si="257"/>
        <v>1.8898677948211259E-2</v>
      </c>
      <c r="JH193" s="16">
        <f t="shared" si="257"/>
        <v>0.96273732494506237</v>
      </c>
      <c r="JI193" s="16">
        <f t="shared" si="257"/>
        <v>1.7569918504076385E-2</v>
      </c>
      <c r="JJ193" s="16">
        <f t="shared" si="257"/>
        <v>0</v>
      </c>
      <c r="JM193" s="9">
        <f t="shared" si="229"/>
        <v>2</v>
      </c>
      <c r="JN193" s="16">
        <f t="shared" si="258"/>
        <v>0</v>
      </c>
      <c r="JO193" s="16">
        <f t="shared" si="258"/>
        <v>0</v>
      </c>
      <c r="JP193" s="16">
        <f t="shared" si="258"/>
        <v>0</v>
      </c>
      <c r="JQ193" s="16">
        <f t="shared" si="258"/>
        <v>0</v>
      </c>
      <c r="JR193" s="16">
        <f t="shared" si="258"/>
        <v>0</v>
      </c>
      <c r="JS193" s="16">
        <f t="shared" si="258"/>
        <v>0</v>
      </c>
      <c r="JT193" s="16">
        <f t="shared" si="258"/>
        <v>0</v>
      </c>
      <c r="JU193" s="16">
        <f t="shared" si="258"/>
        <v>0</v>
      </c>
      <c r="JV193" s="16">
        <f t="shared" si="258"/>
        <v>0</v>
      </c>
      <c r="JW193" s="16">
        <f t="shared" si="258"/>
        <v>0</v>
      </c>
      <c r="JX193" s="16">
        <f t="shared" si="259"/>
        <v>0</v>
      </c>
      <c r="JY193" s="16">
        <f t="shared" si="259"/>
        <v>0</v>
      </c>
      <c r="JZ193" s="16">
        <f t="shared" si="259"/>
        <v>0</v>
      </c>
      <c r="KA193" s="16">
        <f t="shared" si="259"/>
        <v>0</v>
      </c>
      <c r="KB193" s="16">
        <f t="shared" si="259"/>
        <v>0</v>
      </c>
      <c r="KC193" s="16">
        <f t="shared" si="259"/>
        <v>0</v>
      </c>
      <c r="KD193" s="16">
        <f t="shared" si="259"/>
        <v>0</v>
      </c>
      <c r="KE193" s="16">
        <f t="shared" si="259"/>
        <v>0.12449836200592311</v>
      </c>
      <c r="KF193" s="16">
        <f t="shared" si="259"/>
        <v>0.75452557998969461</v>
      </c>
      <c r="KG193" s="16">
        <f t="shared" si="259"/>
        <v>0.1157449256677823</v>
      </c>
      <c r="KH193" s="16">
        <f t="shared" si="259"/>
        <v>0</v>
      </c>
      <c r="KK193" s="9">
        <f t="shared" si="230"/>
        <v>2</v>
      </c>
      <c r="KL193" s="16">
        <f t="shared" si="260"/>
        <v>0</v>
      </c>
      <c r="KM193" s="16">
        <f t="shared" si="260"/>
        <v>0</v>
      </c>
      <c r="KN193" s="16">
        <f t="shared" si="260"/>
        <v>0</v>
      </c>
      <c r="KO193" s="16">
        <f t="shared" si="260"/>
        <v>0</v>
      </c>
      <c r="KP193" s="16">
        <f t="shared" si="260"/>
        <v>0</v>
      </c>
      <c r="KQ193" s="16">
        <f t="shared" si="260"/>
        <v>0</v>
      </c>
      <c r="KR193" s="16">
        <f t="shared" si="260"/>
        <v>0</v>
      </c>
      <c r="KS193" s="16">
        <f t="shared" si="260"/>
        <v>0</v>
      </c>
      <c r="KT193" s="16">
        <f t="shared" si="260"/>
        <v>0</v>
      </c>
      <c r="KU193" s="16">
        <f t="shared" si="260"/>
        <v>0</v>
      </c>
      <c r="KV193" s="16">
        <f t="shared" si="261"/>
        <v>0</v>
      </c>
      <c r="KW193" s="16">
        <f t="shared" si="261"/>
        <v>0</v>
      </c>
      <c r="KX193" s="16">
        <f t="shared" si="261"/>
        <v>0</v>
      </c>
      <c r="KY193" s="16">
        <f t="shared" si="261"/>
        <v>0</v>
      </c>
      <c r="KZ193" s="16">
        <f t="shared" si="261"/>
        <v>0</v>
      </c>
      <c r="LA193" s="16">
        <f t="shared" si="261"/>
        <v>0</v>
      </c>
      <c r="LB193" s="16">
        <f t="shared" si="261"/>
        <v>0</v>
      </c>
      <c r="LC193" s="16">
        <f t="shared" si="261"/>
        <v>1.5781610713247844E-2</v>
      </c>
      <c r="LD193" s="16">
        <f t="shared" si="261"/>
        <v>0.96888327144032116</v>
      </c>
      <c r="LE193" s="16">
        <f t="shared" si="261"/>
        <v>1.4672011177430949E-2</v>
      </c>
      <c r="LF193" s="16">
        <f t="shared" si="261"/>
        <v>0</v>
      </c>
      <c r="LI193" s="9">
        <f t="shared" si="231"/>
        <v>2</v>
      </c>
      <c r="LJ193" s="16">
        <f t="shared" si="262"/>
        <v>0</v>
      </c>
      <c r="LK193" s="16">
        <f t="shared" si="262"/>
        <v>0</v>
      </c>
      <c r="LL193" s="16">
        <f t="shared" si="262"/>
        <v>0</v>
      </c>
      <c r="LM193" s="16">
        <f t="shared" si="262"/>
        <v>0</v>
      </c>
      <c r="LN193" s="16">
        <f t="shared" si="262"/>
        <v>0</v>
      </c>
      <c r="LO193" s="16">
        <f t="shared" si="262"/>
        <v>0</v>
      </c>
      <c r="LP193" s="16">
        <f t="shared" si="262"/>
        <v>0</v>
      </c>
      <c r="LQ193" s="16">
        <f t="shared" si="262"/>
        <v>0</v>
      </c>
      <c r="LR193" s="16">
        <f t="shared" si="262"/>
        <v>0</v>
      </c>
      <c r="LS193" s="16">
        <f t="shared" si="262"/>
        <v>0</v>
      </c>
      <c r="LT193" s="16">
        <f t="shared" si="263"/>
        <v>0</v>
      </c>
      <c r="LU193" s="16">
        <f t="shared" si="263"/>
        <v>0</v>
      </c>
      <c r="LV193" s="16">
        <f t="shared" si="263"/>
        <v>0</v>
      </c>
      <c r="LW193" s="16">
        <f t="shared" si="263"/>
        <v>0</v>
      </c>
      <c r="LX193" s="16">
        <f t="shared" si="263"/>
        <v>0</v>
      </c>
      <c r="LY193" s="16">
        <f t="shared" si="263"/>
        <v>0</v>
      </c>
      <c r="LZ193" s="16">
        <f t="shared" si="263"/>
        <v>0</v>
      </c>
      <c r="MA193" s="16">
        <f t="shared" si="263"/>
        <v>0.1244977930942175</v>
      </c>
      <c r="MB193" s="16">
        <f t="shared" si="263"/>
        <v>0.7545267017174726</v>
      </c>
      <c r="MC193" s="16">
        <f t="shared" si="263"/>
        <v>0.11574439675605995</v>
      </c>
      <c r="MD193" s="16">
        <f t="shared" si="263"/>
        <v>0</v>
      </c>
      <c r="MG193" s="9">
        <f t="shared" si="232"/>
        <v>2</v>
      </c>
      <c r="MH193" s="16">
        <f t="shared" si="264"/>
        <v>0</v>
      </c>
      <c r="MI193" s="16">
        <f t="shared" si="264"/>
        <v>0</v>
      </c>
      <c r="MJ193" s="16">
        <f t="shared" si="264"/>
        <v>0</v>
      </c>
      <c r="MK193" s="16">
        <f t="shared" si="264"/>
        <v>0</v>
      </c>
      <c r="ML193" s="16">
        <f t="shared" si="264"/>
        <v>0</v>
      </c>
      <c r="MM193" s="16">
        <f t="shared" si="264"/>
        <v>0</v>
      </c>
      <c r="MN193" s="16">
        <f t="shared" si="264"/>
        <v>0</v>
      </c>
      <c r="MO193" s="16">
        <f t="shared" si="264"/>
        <v>0</v>
      </c>
      <c r="MP193" s="16">
        <f t="shared" si="264"/>
        <v>0</v>
      </c>
      <c r="MQ193" s="16">
        <f t="shared" si="264"/>
        <v>0</v>
      </c>
      <c r="MR193" s="16">
        <f t="shared" si="265"/>
        <v>0</v>
      </c>
      <c r="MS193" s="16">
        <f t="shared" si="265"/>
        <v>0</v>
      </c>
      <c r="MT193" s="16">
        <f t="shared" si="265"/>
        <v>0</v>
      </c>
      <c r="MU193" s="16">
        <f t="shared" si="265"/>
        <v>0</v>
      </c>
      <c r="MV193" s="16">
        <f t="shared" si="265"/>
        <v>0</v>
      </c>
      <c r="MW193" s="16">
        <f t="shared" si="265"/>
        <v>0</v>
      </c>
      <c r="MX193" s="16">
        <f t="shared" si="265"/>
        <v>0</v>
      </c>
      <c r="MY193" s="16">
        <f t="shared" si="265"/>
        <v>1.7340428786582356E-2</v>
      </c>
      <c r="MZ193" s="16">
        <f t="shared" si="265"/>
        <v>0.96580973732880282</v>
      </c>
      <c r="NA193" s="16">
        <f t="shared" si="265"/>
        <v>1.6121229296614838E-2</v>
      </c>
      <c r="NB193" s="16">
        <f t="shared" si="265"/>
        <v>0</v>
      </c>
      <c r="NE193" s="9">
        <f t="shared" si="233"/>
        <v>2</v>
      </c>
      <c r="NF193" s="16">
        <f t="shared" si="266"/>
        <v>0</v>
      </c>
      <c r="NG193" s="16">
        <f t="shared" si="266"/>
        <v>0</v>
      </c>
      <c r="NH193" s="16">
        <f t="shared" si="266"/>
        <v>0</v>
      </c>
      <c r="NI193" s="16">
        <f t="shared" si="266"/>
        <v>0</v>
      </c>
      <c r="NJ193" s="16">
        <f t="shared" si="266"/>
        <v>0</v>
      </c>
      <c r="NK193" s="16">
        <f t="shared" si="266"/>
        <v>0</v>
      </c>
      <c r="NL193" s="16">
        <f t="shared" si="266"/>
        <v>0</v>
      </c>
      <c r="NM193" s="16">
        <f t="shared" si="266"/>
        <v>0</v>
      </c>
      <c r="NN193" s="16">
        <f t="shared" si="266"/>
        <v>0</v>
      </c>
      <c r="NO193" s="16">
        <f t="shared" si="266"/>
        <v>0</v>
      </c>
      <c r="NP193" s="16">
        <f t="shared" si="267"/>
        <v>0</v>
      </c>
      <c r="NQ193" s="16">
        <f t="shared" si="267"/>
        <v>0</v>
      </c>
      <c r="NR193" s="16">
        <f t="shared" si="267"/>
        <v>0</v>
      </c>
      <c r="NS193" s="16">
        <f t="shared" si="267"/>
        <v>0</v>
      </c>
      <c r="NT193" s="16">
        <f t="shared" si="267"/>
        <v>0</v>
      </c>
      <c r="NU193" s="16">
        <f t="shared" si="267"/>
        <v>0</v>
      </c>
      <c r="NV193" s="16">
        <f t="shared" si="267"/>
        <v>0</v>
      </c>
      <c r="NW193" s="16">
        <f t="shared" si="267"/>
        <v>0.1244977930942175</v>
      </c>
      <c r="NX193" s="16">
        <f t="shared" si="267"/>
        <v>0.7545267017174726</v>
      </c>
      <c r="NY193" s="16">
        <f t="shared" si="267"/>
        <v>0.11574439675605995</v>
      </c>
      <c r="NZ193" s="16">
        <f t="shared" si="267"/>
        <v>0</v>
      </c>
      <c r="OC193" s="9">
        <f t="shared" si="234"/>
        <v>2</v>
      </c>
      <c r="OD193" s="16">
        <f t="shared" si="268"/>
        <v>0</v>
      </c>
      <c r="OE193" s="16">
        <f t="shared" si="268"/>
        <v>0</v>
      </c>
      <c r="OF193" s="16">
        <f t="shared" si="268"/>
        <v>0</v>
      </c>
      <c r="OG193" s="16">
        <f t="shared" si="268"/>
        <v>0</v>
      </c>
      <c r="OH193" s="16">
        <f t="shared" si="268"/>
        <v>0</v>
      </c>
      <c r="OI193" s="16">
        <f t="shared" si="268"/>
        <v>0</v>
      </c>
      <c r="OJ193" s="16">
        <f t="shared" si="268"/>
        <v>0</v>
      </c>
      <c r="OK193" s="16">
        <f t="shared" si="268"/>
        <v>0</v>
      </c>
      <c r="OL193" s="16">
        <f t="shared" si="268"/>
        <v>0</v>
      </c>
      <c r="OM193" s="16">
        <f t="shared" si="268"/>
        <v>0</v>
      </c>
      <c r="ON193" s="16">
        <f t="shared" si="269"/>
        <v>0</v>
      </c>
      <c r="OO193" s="16">
        <f t="shared" si="269"/>
        <v>0</v>
      </c>
      <c r="OP193" s="16">
        <f t="shared" si="269"/>
        <v>0</v>
      </c>
      <c r="OQ193" s="16">
        <f t="shared" si="269"/>
        <v>0</v>
      </c>
      <c r="OR193" s="16">
        <f t="shared" si="269"/>
        <v>0</v>
      </c>
      <c r="OS193" s="16">
        <f t="shared" si="269"/>
        <v>0</v>
      </c>
      <c r="OT193" s="16">
        <f t="shared" si="269"/>
        <v>0</v>
      </c>
      <c r="OU193" s="16">
        <f t="shared" si="269"/>
        <v>1.8898677948211245E-2</v>
      </c>
      <c r="OV193" s="16">
        <f t="shared" si="269"/>
        <v>0.96273732494506237</v>
      </c>
      <c r="OW193" s="16">
        <f t="shared" si="269"/>
        <v>1.7569918504076368E-2</v>
      </c>
      <c r="OX193" s="16">
        <f t="shared" si="269"/>
        <v>0</v>
      </c>
      <c r="PA193" s="9">
        <f t="shared" si="235"/>
        <v>2</v>
      </c>
      <c r="PB193" s="16">
        <f t="shared" si="270"/>
        <v>0</v>
      </c>
      <c r="PC193" s="16">
        <f t="shared" si="270"/>
        <v>0</v>
      </c>
      <c r="PD193" s="16">
        <f t="shared" si="270"/>
        <v>0</v>
      </c>
      <c r="PE193" s="16">
        <f t="shared" si="270"/>
        <v>0</v>
      </c>
      <c r="PF193" s="16">
        <f t="shared" si="270"/>
        <v>0</v>
      </c>
      <c r="PG193" s="16">
        <f t="shared" si="270"/>
        <v>0</v>
      </c>
      <c r="PH193" s="16">
        <f t="shared" si="270"/>
        <v>0</v>
      </c>
      <c r="PI193" s="16">
        <f t="shared" si="270"/>
        <v>0</v>
      </c>
      <c r="PJ193" s="16">
        <f t="shared" si="270"/>
        <v>0</v>
      </c>
      <c r="PK193" s="16">
        <f t="shared" si="270"/>
        <v>0</v>
      </c>
      <c r="PL193" s="16">
        <f t="shared" si="271"/>
        <v>0</v>
      </c>
      <c r="PM193" s="16">
        <f t="shared" si="271"/>
        <v>0</v>
      </c>
      <c r="PN193" s="16">
        <f t="shared" si="271"/>
        <v>0</v>
      </c>
      <c r="PO193" s="16">
        <f t="shared" si="271"/>
        <v>0</v>
      </c>
      <c r="PP193" s="16">
        <f t="shared" si="271"/>
        <v>0</v>
      </c>
      <c r="PQ193" s="16">
        <f t="shared" si="271"/>
        <v>0</v>
      </c>
      <c r="PR193" s="16">
        <f t="shared" si="271"/>
        <v>0</v>
      </c>
      <c r="PS193" s="16">
        <f t="shared" si="271"/>
        <v>0.12449267288886713</v>
      </c>
      <c r="PT193" s="16">
        <f t="shared" si="271"/>
        <v>0.75453679726747391</v>
      </c>
      <c r="PU193" s="16">
        <f t="shared" si="271"/>
        <v>0.11573963655055898</v>
      </c>
      <c r="PV193" s="16">
        <f t="shared" si="271"/>
        <v>0</v>
      </c>
    </row>
    <row r="194" spans="3:438" x14ac:dyDescent="0.25">
      <c r="C194" s="1"/>
      <c r="D194" s="1"/>
      <c r="I194" s="9">
        <f t="shared" si="218"/>
        <v>1</v>
      </c>
      <c r="J194" s="16">
        <f t="shared" si="236"/>
        <v>0</v>
      </c>
      <c r="K194" s="16">
        <f t="shared" si="236"/>
        <v>0</v>
      </c>
      <c r="L194" s="16">
        <f t="shared" si="236"/>
        <v>0</v>
      </c>
      <c r="M194" s="16">
        <f t="shared" si="236"/>
        <v>0</v>
      </c>
      <c r="N194" s="16">
        <f t="shared" si="236"/>
        <v>0</v>
      </c>
      <c r="O194" s="16">
        <f t="shared" si="236"/>
        <v>0</v>
      </c>
      <c r="P194" s="16">
        <f t="shared" si="236"/>
        <v>0</v>
      </c>
      <c r="Q194" s="16">
        <f t="shared" si="236"/>
        <v>0</v>
      </c>
      <c r="R194" s="16">
        <f t="shared" si="236"/>
        <v>0</v>
      </c>
      <c r="S194" s="16">
        <f t="shared" si="236"/>
        <v>0</v>
      </c>
      <c r="T194" s="16">
        <f t="shared" si="237"/>
        <v>0</v>
      </c>
      <c r="U194" s="16">
        <f t="shared" si="237"/>
        <v>0</v>
      </c>
      <c r="V194" s="16">
        <f t="shared" si="237"/>
        <v>0</v>
      </c>
      <c r="W194" s="16">
        <f t="shared" si="237"/>
        <v>0</v>
      </c>
      <c r="X194" s="16">
        <f t="shared" si="237"/>
        <v>0</v>
      </c>
      <c r="Y194" s="16">
        <f t="shared" si="237"/>
        <v>0</v>
      </c>
      <c r="Z194" s="16">
        <f t="shared" si="237"/>
        <v>0</v>
      </c>
      <c r="AA194" s="16">
        <f t="shared" si="237"/>
        <v>0</v>
      </c>
      <c r="AB194" s="16">
        <f t="shared" si="237"/>
        <v>1.4938540011644533E-2</v>
      </c>
      <c r="AC194" s="16">
        <f t="shared" si="237"/>
        <v>0.97047004250832181</v>
      </c>
      <c r="AD194" s="16">
        <f t="shared" si="237"/>
        <v>1.4075890172033688E-2</v>
      </c>
      <c r="AG194" s="9">
        <f t="shared" si="219"/>
        <v>1</v>
      </c>
      <c r="AH194" s="16">
        <f t="shared" si="238"/>
        <v>0</v>
      </c>
      <c r="AI194" s="16">
        <f t="shared" si="238"/>
        <v>0</v>
      </c>
      <c r="AJ194" s="16">
        <f t="shared" si="238"/>
        <v>0</v>
      </c>
      <c r="AK194" s="16">
        <f t="shared" si="238"/>
        <v>0</v>
      </c>
      <c r="AL194" s="16">
        <f t="shared" si="238"/>
        <v>0</v>
      </c>
      <c r="AM194" s="16">
        <f t="shared" si="238"/>
        <v>0</v>
      </c>
      <c r="AN194" s="16">
        <f t="shared" si="238"/>
        <v>0</v>
      </c>
      <c r="AO194" s="16">
        <f t="shared" si="238"/>
        <v>0</v>
      </c>
      <c r="AP194" s="16">
        <f t="shared" si="238"/>
        <v>0</v>
      </c>
      <c r="AQ194" s="16">
        <f t="shared" si="238"/>
        <v>0</v>
      </c>
      <c r="AR194" s="16">
        <f t="shared" si="239"/>
        <v>0</v>
      </c>
      <c r="AS194" s="16">
        <f t="shared" si="239"/>
        <v>0</v>
      </c>
      <c r="AT194" s="16">
        <f t="shared" si="239"/>
        <v>0</v>
      </c>
      <c r="AU194" s="16">
        <f t="shared" si="239"/>
        <v>0</v>
      </c>
      <c r="AV194" s="16">
        <f t="shared" si="239"/>
        <v>0</v>
      </c>
      <c r="AW194" s="16">
        <f t="shared" si="239"/>
        <v>0</v>
      </c>
      <c r="AX194" s="16">
        <f t="shared" si="239"/>
        <v>0</v>
      </c>
      <c r="AY194" s="16">
        <f t="shared" si="239"/>
        <v>0</v>
      </c>
      <c r="AZ194" s="16">
        <f t="shared" si="239"/>
        <v>5.9785330709096286E-2</v>
      </c>
      <c r="BA194" s="16">
        <f t="shared" si="239"/>
        <v>0.88181855301191614</v>
      </c>
      <c r="BB194" s="16">
        <f t="shared" si="239"/>
        <v>5.6332931350987547E-2</v>
      </c>
      <c r="BE194" s="9">
        <f t="shared" si="220"/>
        <v>1</v>
      </c>
      <c r="BF194" s="16">
        <f t="shared" si="240"/>
        <v>0</v>
      </c>
      <c r="BG194" s="16">
        <f t="shared" si="240"/>
        <v>0</v>
      </c>
      <c r="BH194" s="16">
        <f t="shared" si="240"/>
        <v>0</v>
      </c>
      <c r="BI194" s="16">
        <f t="shared" si="240"/>
        <v>0</v>
      </c>
      <c r="BJ194" s="16">
        <f t="shared" si="240"/>
        <v>0</v>
      </c>
      <c r="BK194" s="16">
        <f t="shared" si="240"/>
        <v>0</v>
      </c>
      <c r="BL194" s="16">
        <f t="shared" si="240"/>
        <v>0</v>
      </c>
      <c r="BM194" s="16">
        <f t="shared" si="240"/>
        <v>0</v>
      </c>
      <c r="BN194" s="16">
        <f t="shared" si="240"/>
        <v>0</v>
      </c>
      <c r="BO194" s="16">
        <f t="shared" si="240"/>
        <v>0</v>
      </c>
      <c r="BP194" s="16">
        <f t="shared" si="241"/>
        <v>0</v>
      </c>
      <c r="BQ194" s="16">
        <f t="shared" si="241"/>
        <v>0</v>
      </c>
      <c r="BR194" s="16">
        <f t="shared" si="241"/>
        <v>0</v>
      </c>
      <c r="BS194" s="16">
        <f t="shared" si="241"/>
        <v>0</v>
      </c>
      <c r="BT194" s="16">
        <f t="shared" si="241"/>
        <v>0</v>
      </c>
      <c r="BU194" s="16">
        <f t="shared" si="241"/>
        <v>0</v>
      </c>
      <c r="BV194" s="16">
        <f t="shared" si="241"/>
        <v>0</v>
      </c>
      <c r="BW194" s="16">
        <f t="shared" si="241"/>
        <v>0</v>
      </c>
      <c r="BX194" s="16">
        <f t="shared" si="241"/>
        <v>5.9777538043466791E-2</v>
      </c>
      <c r="BY194" s="16">
        <f t="shared" si="241"/>
        <v>0.88183395726725888</v>
      </c>
      <c r="BZ194" s="16">
        <f t="shared" si="241"/>
        <v>5.6325588685274389E-2</v>
      </c>
      <c r="CC194" s="9">
        <f t="shared" si="221"/>
        <v>1</v>
      </c>
      <c r="CD194" s="16">
        <f t="shared" si="242"/>
        <v>0</v>
      </c>
      <c r="CE194" s="16">
        <f t="shared" si="242"/>
        <v>0</v>
      </c>
      <c r="CF194" s="16">
        <f t="shared" si="242"/>
        <v>0</v>
      </c>
      <c r="CG194" s="16">
        <f t="shared" si="242"/>
        <v>0</v>
      </c>
      <c r="CH194" s="16">
        <f t="shared" si="242"/>
        <v>0</v>
      </c>
      <c r="CI194" s="16">
        <f t="shared" si="242"/>
        <v>0</v>
      </c>
      <c r="CJ194" s="16">
        <f t="shared" si="242"/>
        <v>0</v>
      </c>
      <c r="CK194" s="16">
        <f t="shared" si="242"/>
        <v>0</v>
      </c>
      <c r="CL194" s="16">
        <f t="shared" si="242"/>
        <v>0</v>
      </c>
      <c r="CM194" s="16">
        <f t="shared" si="242"/>
        <v>0</v>
      </c>
      <c r="CN194" s="16">
        <f t="shared" si="243"/>
        <v>0</v>
      </c>
      <c r="CO194" s="16">
        <f t="shared" si="243"/>
        <v>0</v>
      </c>
      <c r="CP194" s="16">
        <f t="shared" si="243"/>
        <v>0</v>
      </c>
      <c r="CQ194" s="16">
        <f t="shared" si="243"/>
        <v>0</v>
      </c>
      <c r="CR194" s="16">
        <f t="shared" si="243"/>
        <v>0</v>
      </c>
      <c r="CS194" s="16">
        <f t="shared" si="243"/>
        <v>0</v>
      </c>
      <c r="CT194" s="16">
        <f t="shared" si="243"/>
        <v>0</v>
      </c>
      <c r="CU194" s="16">
        <f t="shared" si="243"/>
        <v>0</v>
      </c>
      <c r="CV194" s="16">
        <f t="shared" si="243"/>
        <v>5.9777538043466617E-2</v>
      </c>
      <c r="CW194" s="16">
        <f t="shared" si="243"/>
        <v>0.88183395726725911</v>
      </c>
      <c r="CX194" s="16">
        <f t="shared" si="243"/>
        <v>5.6325588685274229E-2</v>
      </c>
      <c r="DA194" s="9">
        <f t="shared" si="222"/>
        <v>1</v>
      </c>
      <c r="DB194" s="16">
        <f t="shared" si="244"/>
        <v>0</v>
      </c>
      <c r="DC194" s="16">
        <f t="shared" si="244"/>
        <v>0</v>
      </c>
      <c r="DD194" s="16">
        <f t="shared" si="244"/>
        <v>0</v>
      </c>
      <c r="DE194" s="16">
        <f t="shared" si="244"/>
        <v>0</v>
      </c>
      <c r="DF194" s="16">
        <f t="shared" si="244"/>
        <v>0</v>
      </c>
      <c r="DG194" s="16">
        <f t="shared" si="244"/>
        <v>0</v>
      </c>
      <c r="DH194" s="16">
        <f t="shared" si="244"/>
        <v>0</v>
      </c>
      <c r="DI194" s="16">
        <f t="shared" si="244"/>
        <v>0</v>
      </c>
      <c r="DJ194" s="16">
        <f t="shared" si="244"/>
        <v>0</v>
      </c>
      <c r="DK194" s="16">
        <f t="shared" si="244"/>
        <v>0</v>
      </c>
      <c r="DL194" s="16">
        <f t="shared" si="245"/>
        <v>0</v>
      </c>
      <c r="DM194" s="16">
        <f t="shared" si="245"/>
        <v>0</v>
      </c>
      <c r="DN194" s="16">
        <f t="shared" si="245"/>
        <v>0</v>
      </c>
      <c r="DO194" s="16">
        <f t="shared" si="245"/>
        <v>0</v>
      </c>
      <c r="DP194" s="16">
        <f t="shared" si="245"/>
        <v>0</v>
      </c>
      <c r="DQ194" s="16">
        <f t="shared" si="245"/>
        <v>0</v>
      </c>
      <c r="DR194" s="16">
        <f t="shared" si="245"/>
        <v>0</v>
      </c>
      <c r="DS194" s="16">
        <f t="shared" si="245"/>
        <v>0</v>
      </c>
      <c r="DT194" s="16">
        <f t="shared" si="245"/>
        <v>1.4946332677274202E-2</v>
      </c>
      <c r="DU194" s="16">
        <f t="shared" si="245"/>
        <v>0.97045463825297884</v>
      </c>
      <c r="DV194" s="16">
        <f t="shared" si="245"/>
        <v>1.408323283774701E-2</v>
      </c>
      <c r="DY194" s="9">
        <f t="shared" si="223"/>
        <v>1</v>
      </c>
      <c r="DZ194" s="16">
        <f t="shared" si="246"/>
        <v>0</v>
      </c>
      <c r="EA194" s="16">
        <f t="shared" si="246"/>
        <v>0</v>
      </c>
      <c r="EB194" s="16">
        <f t="shared" si="246"/>
        <v>0</v>
      </c>
      <c r="EC194" s="16">
        <f t="shared" si="246"/>
        <v>0</v>
      </c>
      <c r="ED194" s="16">
        <f t="shared" si="246"/>
        <v>0</v>
      </c>
      <c r="EE194" s="16">
        <f t="shared" si="246"/>
        <v>0</v>
      </c>
      <c r="EF194" s="16">
        <f t="shared" si="246"/>
        <v>0</v>
      </c>
      <c r="EG194" s="16">
        <f t="shared" si="246"/>
        <v>0</v>
      </c>
      <c r="EH194" s="16">
        <f t="shared" si="246"/>
        <v>0</v>
      </c>
      <c r="EI194" s="16">
        <f t="shared" si="246"/>
        <v>0</v>
      </c>
      <c r="EJ194" s="16">
        <f t="shared" si="247"/>
        <v>0</v>
      </c>
      <c r="EK194" s="16">
        <f t="shared" si="247"/>
        <v>0</v>
      </c>
      <c r="EL194" s="16">
        <f t="shared" si="247"/>
        <v>0</v>
      </c>
      <c r="EM194" s="16">
        <f t="shared" si="247"/>
        <v>0</v>
      </c>
      <c r="EN194" s="16">
        <f t="shared" si="247"/>
        <v>0</v>
      </c>
      <c r="EO194" s="16">
        <f t="shared" si="247"/>
        <v>0</v>
      </c>
      <c r="EP194" s="16">
        <f t="shared" si="247"/>
        <v>0</v>
      </c>
      <c r="EQ194" s="16">
        <f t="shared" si="247"/>
        <v>0</v>
      </c>
      <c r="ER194" s="16">
        <f t="shared" si="247"/>
        <v>4.3832992257213828E-2</v>
      </c>
      <c r="ES194" s="16">
        <f t="shared" si="247"/>
        <v>0.91372304883976474</v>
      </c>
      <c r="ET194" s="16">
        <f t="shared" si="247"/>
        <v>4.038104289902144E-2</v>
      </c>
      <c r="EW194" s="9">
        <f t="shared" si="224"/>
        <v>1</v>
      </c>
      <c r="EX194" s="16">
        <f t="shared" si="248"/>
        <v>0</v>
      </c>
      <c r="EY194" s="16">
        <f t="shared" si="248"/>
        <v>0</v>
      </c>
      <c r="EZ194" s="16">
        <f t="shared" si="248"/>
        <v>0</v>
      </c>
      <c r="FA194" s="16">
        <f t="shared" si="248"/>
        <v>0</v>
      </c>
      <c r="FB194" s="16">
        <f t="shared" si="248"/>
        <v>0</v>
      </c>
      <c r="FC194" s="16">
        <f t="shared" si="248"/>
        <v>0</v>
      </c>
      <c r="FD194" s="16">
        <f t="shared" si="248"/>
        <v>0</v>
      </c>
      <c r="FE194" s="16">
        <f t="shared" si="248"/>
        <v>0</v>
      </c>
      <c r="FF194" s="16">
        <f t="shared" si="248"/>
        <v>0</v>
      </c>
      <c r="FG194" s="16">
        <f t="shared" si="248"/>
        <v>0</v>
      </c>
      <c r="FH194" s="16">
        <f t="shared" si="249"/>
        <v>0</v>
      </c>
      <c r="FI194" s="16">
        <f t="shared" si="249"/>
        <v>0</v>
      </c>
      <c r="FJ194" s="16">
        <f t="shared" si="249"/>
        <v>0</v>
      </c>
      <c r="FK194" s="16">
        <f t="shared" si="249"/>
        <v>0</v>
      </c>
      <c r="FL194" s="16">
        <f t="shared" si="249"/>
        <v>0</v>
      </c>
      <c r="FM194" s="16">
        <f t="shared" si="249"/>
        <v>0</v>
      </c>
      <c r="FN194" s="16">
        <f t="shared" si="249"/>
        <v>0</v>
      </c>
      <c r="FO194" s="16">
        <f t="shared" si="249"/>
        <v>0</v>
      </c>
      <c r="FP194" s="16">
        <f t="shared" si="249"/>
        <v>4.3832992257213953E-2</v>
      </c>
      <c r="FQ194" s="16">
        <f t="shared" si="249"/>
        <v>0.91372304883976452</v>
      </c>
      <c r="FR194" s="16">
        <f t="shared" si="249"/>
        <v>4.0381042899021551E-2</v>
      </c>
      <c r="FU194" s="9">
        <f t="shared" si="225"/>
        <v>1</v>
      </c>
      <c r="FV194" s="16">
        <f t="shared" si="250"/>
        <v>0</v>
      </c>
      <c r="FW194" s="16">
        <f t="shared" si="250"/>
        <v>0</v>
      </c>
      <c r="FX194" s="16">
        <f t="shared" si="250"/>
        <v>0</v>
      </c>
      <c r="FY194" s="16">
        <f t="shared" si="250"/>
        <v>0</v>
      </c>
      <c r="FZ194" s="16">
        <f t="shared" si="250"/>
        <v>0</v>
      </c>
      <c r="GA194" s="16">
        <f t="shared" si="250"/>
        <v>0</v>
      </c>
      <c r="GB194" s="16">
        <f t="shared" si="250"/>
        <v>0</v>
      </c>
      <c r="GC194" s="16">
        <f t="shared" si="250"/>
        <v>0</v>
      </c>
      <c r="GD194" s="16">
        <f t="shared" si="250"/>
        <v>0</v>
      </c>
      <c r="GE194" s="16">
        <f t="shared" si="250"/>
        <v>0</v>
      </c>
      <c r="GF194" s="16">
        <f t="shared" si="251"/>
        <v>0</v>
      </c>
      <c r="GG194" s="16">
        <f t="shared" si="251"/>
        <v>0</v>
      </c>
      <c r="GH194" s="16">
        <f t="shared" si="251"/>
        <v>0</v>
      </c>
      <c r="GI194" s="16">
        <f t="shared" si="251"/>
        <v>0</v>
      </c>
      <c r="GJ194" s="16">
        <f t="shared" si="251"/>
        <v>0</v>
      </c>
      <c r="GK194" s="16">
        <f t="shared" si="251"/>
        <v>0</v>
      </c>
      <c r="GL194" s="16">
        <f t="shared" si="251"/>
        <v>0</v>
      </c>
      <c r="GM194" s="16">
        <f t="shared" si="251"/>
        <v>0</v>
      </c>
      <c r="GN194" s="16">
        <f t="shared" si="251"/>
        <v>4.3838706374311663E-2</v>
      </c>
      <c r="GO194" s="16">
        <f t="shared" si="251"/>
        <v>0.91371180168148536</v>
      </c>
      <c r="GP194" s="16">
        <f t="shared" si="251"/>
        <v>4.0386307016202938E-2</v>
      </c>
      <c r="GS194" s="9">
        <f t="shared" si="226"/>
        <v>1</v>
      </c>
      <c r="GT194" s="16">
        <f t="shared" si="252"/>
        <v>0</v>
      </c>
      <c r="GU194" s="16">
        <f t="shared" si="252"/>
        <v>0</v>
      </c>
      <c r="GV194" s="16">
        <f t="shared" si="252"/>
        <v>0</v>
      </c>
      <c r="GW194" s="16">
        <f t="shared" si="252"/>
        <v>0</v>
      </c>
      <c r="GX194" s="16">
        <f t="shared" si="252"/>
        <v>0</v>
      </c>
      <c r="GY194" s="16">
        <f t="shared" si="252"/>
        <v>0</v>
      </c>
      <c r="GZ194" s="16">
        <f t="shared" si="252"/>
        <v>0</v>
      </c>
      <c r="HA194" s="16">
        <f t="shared" si="252"/>
        <v>0</v>
      </c>
      <c r="HB194" s="16">
        <f t="shared" si="252"/>
        <v>0</v>
      </c>
      <c r="HC194" s="16">
        <f t="shared" si="252"/>
        <v>0</v>
      </c>
      <c r="HD194" s="16">
        <f t="shared" si="253"/>
        <v>0</v>
      </c>
      <c r="HE194" s="16">
        <f t="shared" si="253"/>
        <v>0</v>
      </c>
      <c r="HF194" s="16">
        <f t="shared" si="253"/>
        <v>0</v>
      </c>
      <c r="HG194" s="16">
        <f t="shared" si="253"/>
        <v>0</v>
      </c>
      <c r="HH194" s="16">
        <f t="shared" si="253"/>
        <v>0</v>
      </c>
      <c r="HI194" s="16">
        <f t="shared" si="253"/>
        <v>0</v>
      </c>
      <c r="HJ194" s="16">
        <f t="shared" si="253"/>
        <v>0</v>
      </c>
      <c r="HK194" s="16">
        <f t="shared" si="253"/>
        <v>0</v>
      </c>
      <c r="HL194" s="16">
        <f t="shared" si="253"/>
        <v>1.897658288178963E-2</v>
      </c>
      <c r="HM194" s="16">
        <f t="shared" si="253"/>
        <v>0.96264818735456348</v>
      </c>
      <c r="HN194" s="16">
        <f t="shared" si="253"/>
        <v>1.7482133159646879E-2</v>
      </c>
      <c r="HQ194" s="9">
        <f t="shared" si="227"/>
        <v>1</v>
      </c>
      <c r="HR194" s="16">
        <f t="shared" si="254"/>
        <v>0</v>
      </c>
      <c r="HS194" s="16">
        <f t="shared" si="254"/>
        <v>0</v>
      </c>
      <c r="HT194" s="16">
        <f t="shared" si="254"/>
        <v>0</v>
      </c>
      <c r="HU194" s="16">
        <f t="shared" si="254"/>
        <v>0</v>
      </c>
      <c r="HV194" s="16">
        <f t="shared" si="254"/>
        <v>0</v>
      </c>
      <c r="HW194" s="16">
        <f t="shared" si="254"/>
        <v>0</v>
      </c>
      <c r="HX194" s="16">
        <f t="shared" si="254"/>
        <v>0</v>
      </c>
      <c r="HY194" s="16">
        <f t="shared" si="254"/>
        <v>0</v>
      </c>
      <c r="HZ194" s="16">
        <f t="shared" si="254"/>
        <v>0</v>
      </c>
      <c r="IA194" s="16">
        <f t="shared" si="254"/>
        <v>0</v>
      </c>
      <c r="IB194" s="16">
        <f t="shared" si="255"/>
        <v>0</v>
      </c>
      <c r="IC194" s="16">
        <f t="shared" si="255"/>
        <v>0</v>
      </c>
      <c r="ID194" s="16">
        <f t="shared" si="255"/>
        <v>0</v>
      </c>
      <c r="IE194" s="16">
        <f t="shared" si="255"/>
        <v>0</v>
      </c>
      <c r="IF194" s="16">
        <f t="shared" si="255"/>
        <v>0</v>
      </c>
      <c r="IG194" s="16">
        <f t="shared" si="255"/>
        <v>0</v>
      </c>
      <c r="IH194" s="16">
        <f t="shared" si="255"/>
        <v>0</v>
      </c>
      <c r="II194" s="16">
        <f t="shared" si="255"/>
        <v>0</v>
      </c>
      <c r="IJ194" s="16">
        <f t="shared" si="255"/>
        <v>0.12504773856822698</v>
      </c>
      <c r="IK194" s="16">
        <f t="shared" si="255"/>
        <v>0.75386718821658305</v>
      </c>
      <c r="IL194" s="16">
        <f t="shared" si="255"/>
        <v>0.11519994039919003</v>
      </c>
      <c r="IO194" s="9">
        <f t="shared" si="228"/>
        <v>1</v>
      </c>
      <c r="IP194" s="16">
        <f t="shared" si="256"/>
        <v>0</v>
      </c>
      <c r="IQ194" s="16">
        <f t="shared" si="256"/>
        <v>0</v>
      </c>
      <c r="IR194" s="16">
        <f t="shared" si="256"/>
        <v>0</v>
      </c>
      <c r="IS194" s="16">
        <f t="shared" si="256"/>
        <v>0</v>
      </c>
      <c r="IT194" s="16">
        <f t="shared" si="256"/>
        <v>0</v>
      </c>
      <c r="IU194" s="16">
        <f t="shared" si="256"/>
        <v>0</v>
      </c>
      <c r="IV194" s="16">
        <f t="shared" si="256"/>
        <v>0</v>
      </c>
      <c r="IW194" s="16">
        <f t="shared" si="256"/>
        <v>0</v>
      </c>
      <c r="IX194" s="16">
        <f t="shared" si="256"/>
        <v>0</v>
      </c>
      <c r="IY194" s="16">
        <f t="shared" si="256"/>
        <v>0</v>
      </c>
      <c r="IZ194" s="16">
        <f t="shared" si="257"/>
        <v>0</v>
      </c>
      <c r="JA194" s="16">
        <f t="shared" si="257"/>
        <v>0</v>
      </c>
      <c r="JB194" s="16">
        <f t="shared" si="257"/>
        <v>0</v>
      </c>
      <c r="JC194" s="16">
        <f t="shared" si="257"/>
        <v>0</v>
      </c>
      <c r="JD194" s="16">
        <f t="shared" si="257"/>
        <v>0</v>
      </c>
      <c r="JE194" s="16">
        <f t="shared" si="257"/>
        <v>0</v>
      </c>
      <c r="JF194" s="16">
        <f t="shared" si="257"/>
        <v>0</v>
      </c>
      <c r="JG194" s="16">
        <f t="shared" si="257"/>
        <v>0</v>
      </c>
      <c r="JH194" s="16">
        <f t="shared" si="257"/>
        <v>1.8981725587177541E-2</v>
      </c>
      <c r="JI194" s="16">
        <f t="shared" si="257"/>
        <v>0.96263806491211235</v>
      </c>
      <c r="JJ194" s="16">
        <f t="shared" si="257"/>
        <v>1.7486870865110103E-2</v>
      </c>
      <c r="JM194" s="9">
        <f t="shared" si="229"/>
        <v>1</v>
      </c>
      <c r="JN194" s="16">
        <f t="shared" si="258"/>
        <v>0</v>
      </c>
      <c r="JO194" s="16">
        <f t="shared" si="258"/>
        <v>0</v>
      </c>
      <c r="JP194" s="16">
        <f t="shared" si="258"/>
        <v>0</v>
      </c>
      <c r="JQ194" s="16">
        <f t="shared" si="258"/>
        <v>0</v>
      </c>
      <c r="JR194" s="16">
        <f t="shared" si="258"/>
        <v>0</v>
      </c>
      <c r="JS194" s="16">
        <f t="shared" si="258"/>
        <v>0</v>
      </c>
      <c r="JT194" s="16">
        <f t="shared" si="258"/>
        <v>0</v>
      </c>
      <c r="JU194" s="16">
        <f t="shared" si="258"/>
        <v>0</v>
      </c>
      <c r="JV194" s="16">
        <f t="shared" si="258"/>
        <v>0</v>
      </c>
      <c r="JW194" s="16">
        <f t="shared" si="258"/>
        <v>0</v>
      </c>
      <c r="JX194" s="16">
        <f t="shared" si="259"/>
        <v>0</v>
      </c>
      <c r="JY194" s="16">
        <f t="shared" si="259"/>
        <v>0</v>
      </c>
      <c r="JZ194" s="16">
        <f t="shared" si="259"/>
        <v>0</v>
      </c>
      <c r="KA194" s="16">
        <f t="shared" si="259"/>
        <v>0</v>
      </c>
      <c r="KB194" s="16">
        <f t="shared" si="259"/>
        <v>0</v>
      </c>
      <c r="KC194" s="16">
        <f t="shared" si="259"/>
        <v>0</v>
      </c>
      <c r="KD194" s="16">
        <f t="shared" si="259"/>
        <v>0</v>
      </c>
      <c r="KE194" s="16">
        <f t="shared" si="259"/>
        <v>0</v>
      </c>
      <c r="KF194" s="16">
        <f t="shared" si="259"/>
        <v>0.12504545292138791</v>
      </c>
      <c r="KG194" s="16">
        <f t="shared" si="259"/>
        <v>0.7538716870798946</v>
      </c>
      <c r="KH194" s="16">
        <f t="shared" si="259"/>
        <v>0.1151978347523175</v>
      </c>
      <c r="KK194" s="9">
        <f t="shared" si="230"/>
        <v>1</v>
      </c>
      <c r="KL194" s="16">
        <f t="shared" si="260"/>
        <v>0</v>
      </c>
      <c r="KM194" s="16">
        <f t="shared" si="260"/>
        <v>0</v>
      </c>
      <c r="KN194" s="16">
        <f t="shared" si="260"/>
        <v>0</v>
      </c>
      <c r="KO194" s="16">
        <f t="shared" si="260"/>
        <v>0</v>
      </c>
      <c r="KP194" s="16">
        <f t="shared" si="260"/>
        <v>0</v>
      </c>
      <c r="KQ194" s="16">
        <f t="shared" si="260"/>
        <v>0</v>
      </c>
      <c r="KR194" s="16">
        <f t="shared" si="260"/>
        <v>0</v>
      </c>
      <c r="KS194" s="16">
        <f t="shared" si="260"/>
        <v>0</v>
      </c>
      <c r="KT194" s="16">
        <f t="shared" si="260"/>
        <v>0</v>
      </c>
      <c r="KU194" s="16">
        <f t="shared" si="260"/>
        <v>0</v>
      </c>
      <c r="KV194" s="16">
        <f t="shared" si="261"/>
        <v>0</v>
      </c>
      <c r="KW194" s="16">
        <f t="shared" si="261"/>
        <v>0</v>
      </c>
      <c r="KX194" s="16">
        <f t="shared" si="261"/>
        <v>0</v>
      </c>
      <c r="KY194" s="16">
        <f t="shared" si="261"/>
        <v>0</v>
      </c>
      <c r="KZ194" s="16">
        <f t="shared" si="261"/>
        <v>0</v>
      </c>
      <c r="LA194" s="16">
        <f t="shared" si="261"/>
        <v>0</v>
      </c>
      <c r="LB194" s="16">
        <f t="shared" si="261"/>
        <v>0</v>
      </c>
      <c r="LC194" s="16">
        <f t="shared" si="261"/>
        <v>0</v>
      </c>
      <c r="LD194" s="16">
        <f t="shared" si="261"/>
        <v>1.5850960829293621E-2</v>
      </c>
      <c r="LE194" s="16">
        <f t="shared" si="261"/>
        <v>0.96880038293332116</v>
      </c>
      <c r="LF194" s="16">
        <f t="shared" si="261"/>
        <v>1.4602661061385172E-2</v>
      </c>
      <c r="LI194" s="9">
        <f t="shared" si="231"/>
        <v>1</v>
      </c>
      <c r="LJ194" s="16">
        <f t="shared" si="262"/>
        <v>0</v>
      </c>
      <c r="LK194" s="16">
        <f t="shared" si="262"/>
        <v>0</v>
      </c>
      <c r="LL194" s="16">
        <f t="shared" si="262"/>
        <v>0</v>
      </c>
      <c r="LM194" s="16">
        <f t="shared" si="262"/>
        <v>0</v>
      </c>
      <c r="LN194" s="16">
        <f t="shared" si="262"/>
        <v>0</v>
      </c>
      <c r="LO194" s="16">
        <f t="shared" si="262"/>
        <v>0</v>
      </c>
      <c r="LP194" s="16">
        <f t="shared" si="262"/>
        <v>0</v>
      </c>
      <c r="LQ194" s="16">
        <f t="shared" si="262"/>
        <v>0</v>
      </c>
      <c r="LR194" s="16">
        <f t="shared" si="262"/>
        <v>0</v>
      </c>
      <c r="LS194" s="16">
        <f t="shared" si="262"/>
        <v>0</v>
      </c>
      <c r="LT194" s="16">
        <f t="shared" si="263"/>
        <v>0</v>
      </c>
      <c r="LU194" s="16">
        <f t="shared" si="263"/>
        <v>0</v>
      </c>
      <c r="LV194" s="16">
        <f t="shared" si="263"/>
        <v>0</v>
      </c>
      <c r="LW194" s="16">
        <f t="shared" si="263"/>
        <v>0</v>
      </c>
      <c r="LX194" s="16">
        <f t="shared" si="263"/>
        <v>0</v>
      </c>
      <c r="LY194" s="16">
        <f t="shared" si="263"/>
        <v>0</v>
      </c>
      <c r="LZ194" s="16">
        <f t="shared" si="263"/>
        <v>0</v>
      </c>
      <c r="MA194" s="16">
        <f t="shared" si="263"/>
        <v>0</v>
      </c>
      <c r="MB194" s="16">
        <f t="shared" si="263"/>
        <v>0.12504488150967813</v>
      </c>
      <c r="MC194" s="16">
        <f t="shared" si="263"/>
        <v>0.75387281179572252</v>
      </c>
      <c r="MD194" s="16">
        <f t="shared" si="263"/>
        <v>0.11519730834059934</v>
      </c>
      <c r="MG194" s="9">
        <f t="shared" si="232"/>
        <v>1</v>
      </c>
      <c r="MH194" s="16">
        <f t="shared" si="264"/>
        <v>0</v>
      </c>
      <c r="MI194" s="16">
        <f t="shared" si="264"/>
        <v>0</v>
      </c>
      <c r="MJ194" s="16">
        <f t="shared" si="264"/>
        <v>0</v>
      </c>
      <c r="MK194" s="16">
        <f t="shared" si="264"/>
        <v>0</v>
      </c>
      <c r="ML194" s="16">
        <f t="shared" si="264"/>
        <v>0</v>
      </c>
      <c r="MM194" s="16">
        <f t="shared" si="264"/>
        <v>0</v>
      </c>
      <c r="MN194" s="16">
        <f t="shared" si="264"/>
        <v>0</v>
      </c>
      <c r="MO194" s="16">
        <f t="shared" si="264"/>
        <v>0</v>
      </c>
      <c r="MP194" s="16">
        <f t="shared" si="264"/>
        <v>0</v>
      </c>
      <c r="MQ194" s="16">
        <f t="shared" si="264"/>
        <v>0</v>
      </c>
      <c r="MR194" s="16">
        <f t="shared" si="265"/>
        <v>0</v>
      </c>
      <c r="MS194" s="16">
        <f t="shared" si="265"/>
        <v>0</v>
      </c>
      <c r="MT194" s="16">
        <f t="shared" si="265"/>
        <v>0</v>
      </c>
      <c r="MU194" s="16">
        <f t="shared" si="265"/>
        <v>0</v>
      </c>
      <c r="MV194" s="16">
        <f t="shared" si="265"/>
        <v>0</v>
      </c>
      <c r="MW194" s="16">
        <f t="shared" si="265"/>
        <v>0</v>
      </c>
      <c r="MX194" s="16">
        <f t="shared" si="265"/>
        <v>0</v>
      </c>
      <c r="MY194" s="16">
        <f t="shared" si="265"/>
        <v>0</v>
      </c>
      <c r="MZ194" s="16">
        <f t="shared" si="265"/>
        <v>1.7416628914090477E-2</v>
      </c>
      <c r="NA194" s="16">
        <f t="shared" si="265"/>
        <v>0.96571866156480279</v>
      </c>
      <c r="NB194" s="16">
        <f t="shared" si="265"/>
        <v>1.6045029169106717E-2</v>
      </c>
      <c r="NE194" s="9">
        <f t="shared" si="233"/>
        <v>1</v>
      </c>
      <c r="NF194" s="16">
        <f t="shared" si="266"/>
        <v>0</v>
      </c>
      <c r="NG194" s="16">
        <f t="shared" si="266"/>
        <v>0</v>
      </c>
      <c r="NH194" s="16">
        <f t="shared" si="266"/>
        <v>0</v>
      </c>
      <c r="NI194" s="16">
        <f t="shared" si="266"/>
        <v>0</v>
      </c>
      <c r="NJ194" s="16">
        <f t="shared" si="266"/>
        <v>0</v>
      </c>
      <c r="NK194" s="16">
        <f t="shared" si="266"/>
        <v>0</v>
      </c>
      <c r="NL194" s="16">
        <f t="shared" si="266"/>
        <v>0</v>
      </c>
      <c r="NM194" s="16">
        <f t="shared" si="266"/>
        <v>0</v>
      </c>
      <c r="NN194" s="16">
        <f t="shared" si="266"/>
        <v>0</v>
      </c>
      <c r="NO194" s="16">
        <f t="shared" si="266"/>
        <v>0</v>
      </c>
      <c r="NP194" s="16">
        <f t="shared" si="267"/>
        <v>0</v>
      </c>
      <c r="NQ194" s="16">
        <f t="shared" si="267"/>
        <v>0</v>
      </c>
      <c r="NR194" s="16">
        <f t="shared" si="267"/>
        <v>0</v>
      </c>
      <c r="NS194" s="16">
        <f t="shared" si="267"/>
        <v>0</v>
      </c>
      <c r="NT194" s="16">
        <f t="shared" si="267"/>
        <v>0</v>
      </c>
      <c r="NU194" s="16">
        <f t="shared" si="267"/>
        <v>0</v>
      </c>
      <c r="NV194" s="16">
        <f t="shared" si="267"/>
        <v>0</v>
      </c>
      <c r="NW194" s="16">
        <f t="shared" si="267"/>
        <v>0</v>
      </c>
      <c r="NX194" s="16">
        <f t="shared" si="267"/>
        <v>0.12504488150967813</v>
      </c>
      <c r="NY194" s="16">
        <f t="shared" si="267"/>
        <v>0.75387281179572252</v>
      </c>
      <c r="NZ194" s="16">
        <f t="shared" si="267"/>
        <v>0.11519730834059934</v>
      </c>
      <c r="OC194" s="9">
        <f t="shared" si="234"/>
        <v>1</v>
      </c>
      <c r="OD194" s="16">
        <f t="shared" si="268"/>
        <v>0</v>
      </c>
      <c r="OE194" s="16">
        <f t="shared" si="268"/>
        <v>0</v>
      </c>
      <c r="OF194" s="16">
        <f t="shared" si="268"/>
        <v>0</v>
      </c>
      <c r="OG194" s="16">
        <f t="shared" si="268"/>
        <v>0</v>
      </c>
      <c r="OH194" s="16">
        <f t="shared" si="268"/>
        <v>0</v>
      </c>
      <c r="OI194" s="16">
        <f t="shared" si="268"/>
        <v>0</v>
      </c>
      <c r="OJ194" s="16">
        <f t="shared" si="268"/>
        <v>0</v>
      </c>
      <c r="OK194" s="16">
        <f t="shared" si="268"/>
        <v>0</v>
      </c>
      <c r="OL194" s="16">
        <f t="shared" si="268"/>
        <v>0</v>
      </c>
      <c r="OM194" s="16">
        <f t="shared" si="268"/>
        <v>0</v>
      </c>
      <c r="ON194" s="16">
        <f t="shared" si="269"/>
        <v>0</v>
      </c>
      <c r="OO194" s="16">
        <f t="shared" si="269"/>
        <v>0</v>
      </c>
      <c r="OP194" s="16">
        <f t="shared" si="269"/>
        <v>0</v>
      </c>
      <c r="OQ194" s="16">
        <f t="shared" si="269"/>
        <v>0</v>
      </c>
      <c r="OR194" s="16">
        <f t="shared" si="269"/>
        <v>0</v>
      </c>
      <c r="OS194" s="16">
        <f t="shared" si="269"/>
        <v>0</v>
      </c>
      <c r="OT194" s="16">
        <f t="shared" si="269"/>
        <v>0</v>
      </c>
      <c r="OU194" s="16">
        <f t="shared" si="269"/>
        <v>0</v>
      </c>
      <c r="OV194" s="16">
        <f t="shared" si="269"/>
        <v>1.8981725587177527E-2</v>
      </c>
      <c r="OW194" s="16">
        <f t="shared" si="269"/>
        <v>0.96263806491211235</v>
      </c>
      <c r="OX194" s="16">
        <f t="shared" si="269"/>
        <v>1.7486870865110089E-2</v>
      </c>
      <c r="PA194" s="9">
        <f t="shared" si="235"/>
        <v>1</v>
      </c>
      <c r="PB194" s="16">
        <f t="shared" si="270"/>
        <v>0</v>
      </c>
      <c r="PC194" s="16">
        <f t="shared" si="270"/>
        <v>0</v>
      </c>
      <c r="PD194" s="16">
        <f t="shared" si="270"/>
        <v>0</v>
      </c>
      <c r="PE194" s="16">
        <f t="shared" si="270"/>
        <v>0</v>
      </c>
      <c r="PF194" s="16">
        <f t="shared" si="270"/>
        <v>0</v>
      </c>
      <c r="PG194" s="16">
        <f t="shared" si="270"/>
        <v>0</v>
      </c>
      <c r="PH194" s="16">
        <f t="shared" si="270"/>
        <v>0</v>
      </c>
      <c r="PI194" s="16">
        <f t="shared" si="270"/>
        <v>0</v>
      </c>
      <c r="PJ194" s="16">
        <f t="shared" si="270"/>
        <v>0</v>
      </c>
      <c r="PK194" s="16">
        <f t="shared" si="270"/>
        <v>0</v>
      </c>
      <c r="PL194" s="16">
        <f t="shared" si="271"/>
        <v>0</v>
      </c>
      <c r="PM194" s="16">
        <f t="shared" si="271"/>
        <v>0</v>
      </c>
      <c r="PN194" s="16">
        <f t="shared" si="271"/>
        <v>0</v>
      </c>
      <c r="PO194" s="16">
        <f t="shared" si="271"/>
        <v>0</v>
      </c>
      <c r="PP194" s="16">
        <f t="shared" si="271"/>
        <v>0</v>
      </c>
      <c r="PQ194" s="16">
        <f t="shared" si="271"/>
        <v>0</v>
      </c>
      <c r="PR194" s="16">
        <f t="shared" si="271"/>
        <v>0</v>
      </c>
      <c r="PS194" s="16">
        <f t="shared" si="271"/>
        <v>0</v>
      </c>
      <c r="PT194" s="16">
        <f t="shared" si="271"/>
        <v>0.12503973880429009</v>
      </c>
      <c r="PU194" s="16">
        <f t="shared" si="271"/>
        <v>0.75388293423817387</v>
      </c>
      <c r="PV194" s="16">
        <f t="shared" si="271"/>
        <v>0.11519257063513602</v>
      </c>
    </row>
    <row r="195" spans="3:438" x14ac:dyDescent="0.25">
      <c r="C195" s="1"/>
      <c r="D195" s="1"/>
      <c r="I195" s="9">
        <f t="shared" si="218"/>
        <v>0</v>
      </c>
      <c r="J195" s="16">
        <f t="shared" si="236"/>
        <v>0</v>
      </c>
      <c r="K195" s="16">
        <f t="shared" si="236"/>
        <v>0</v>
      </c>
      <c r="L195" s="16">
        <f t="shared" si="236"/>
        <v>0</v>
      </c>
      <c r="M195" s="16">
        <f t="shared" si="236"/>
        <v>0</v>
      </c>
      <c r="N195" s="16">
        <f t="shared" si="236"/>
        <v>0</v>
      </c>
      <c r="O195" s="16">
        <f t="shared" si="236"/>
        <v>0</v>
      </c>
      <c r="P195" s="16">
        <f t="shared" si="236"/>
        <v>0</v>
      </c>
      <c r="Q195" s="16">
        <f t="shared" si="236"/>
        <v>0</v>
      </c>
      <c r="R195" s="16">
        <f t="shared" si="236"/>
        <v>0</v>
      </c>
      <c r="S195" s="16">
        <f t="shared" si="236"/>
        <v>0</v>
      </c>
      <c r="T195" s="16">
        <f t="shared" si="237"/>
        <v>0</v>
      </c>
      <c r="U195" s="16">
        <f t="shared" si="237"/>
        <v>0</v>
      </c>
      <c r="V195" s="16">
        <f t="shared" si="237"/>
        <v>0</v>
      </c>
      <c r="W195" s="16">
        <f t="shared" si="237"/>
        <v>0</v>
      </c>
      <c r="X195" s="16">
        <f t="shared" si="237"/>
        <v>0</v>
      </c>
      <c r="Y195" s="16">
        <f t="shared" si="237"/>
        <v>0</v>
      </c>
      <c r="Z195" s="16">
        <f t="shared" si="237"/>
        <v>0</v>
      </c>
      <c r="AA195" s="16">
        <f t="shared" si="237"/>
        <v>0</v>
      </c>
      <c r="AB195" s="16">
        <f t="shared" si="237"/>
        <v>0</v>
      </c>
      <c r="AC195" s="16">
        <f t="shared" si="237"/>
        <v>9.5849999999999549E-4</v>
      </c>
      <c r="AD195" s="16">
        <f t="shared" si="237"/>
        <v>0.99846869177350006</v>
      </c>
      <c r="AG195" s="9">
        <f t="shared" si="219"/>
        <v>0</v>
      </c>
      <c r="AH195" s="16">
        <f t="shared" si="238"/>
        <v>0</v>
      </c>
      <c r="AI195" s="16">
        <f t="shared" si="238"/>
        <v>0</v>
      </c>
      <c r="AJ195" s="16">
        <f t="shared" si="238"/>
        <v>0</v>
      </c>
      <c r="AK195" s="16">
        <f t="shared" si="238"/>
        <v>0</v>
      </c>
      <c r="AL195" s="16">
        <f t="shared" si="238"/>
        <v>0</v>
      </c>
      <c r="AM195" s="16">
        <f t="shared" si="238"/>
        <v>0</v>
      </c>
      <c r="AN195" s="16">
        <f t="shared" si="238"/>
        <v>0</v>
      </c>
      <c r="AO195" s="16">
        <f t="shared" si="238"/>
        <v>0</v>
      </c>
      <c r="AP195" s="16">
        <f t="shared" si="238"/>
        <v>0</v>
      </c>
      <c r="AQ195" s="16">
        <f t="shared" si="238"/>
        <v>0</v>
      </c>
      <c r="AR195" s="16">
        <f t="shared" si="239"/>
        <v>0</v>
      </c>
      <c r="AS195" s="16">
        <f t="shared" si="239"/>
        <v>0</v>
      </c>
      <c r="AT195" s="16">
        <f t="shared" si="239"/>
        <v>0</v>
      </c>
      <c r="AU195" s="16">
        <f t="shared" si="239"/>
        <v>0</v>
      </c>
      <c r="AV195" s="16">
        <f t="shared" si="239"/>
        <v>0</v>
      </c>
      <c r="AW195" s="16">
        <f t="shared" si="239"/>
        <v>0</v>
      </c>
      <c r="AX195" s="16">
        <f t="shared" si="239"/>
        <v>0</v>
      </c>
      <c r="AY195" s="16">
        <f t="shared" si="239"/>
        <v>0</v>
      </c>
      <c r="AZ195" s="16">
        <f t="shared" si="239"/>
        <v>0</v>
      </c>
      <c r="BA195" s="16">
        <f t="shared" si="239"/>
        <v>3.8360000000000061E-3</v>
      </c>
      <c r="BB195" s="16">
        <f t="shared" si="239"/>
        <v>0.99387157187599995</v>
      </c>
      <c r="BE195" s="9">
        <f t="shared" si="220"/>
        <v>0</v>
      </c>
      <c r="BF195" s="16">
        <f t="shared" si="240"/>
        <v>0</v>
      </c>
      <c r="BG195" s="16">
        <f t="shared" si="240"/>
        <v>0</v>
      </c>
      <c r="BH195" s="16">
        <f t="shared" si="240"/>
        <v>0</v>
      </c>
      <c r="BI195" s="16">
        <f t="shared" si="240"/>
        <v>0</v>
      </c>
      <c r="BJ195" s="16">
        <f t="shared" si="240"/>
        <v>0</v>
      </c>
      <c r="BK195" s="16">
        <f t="shared" si="240"/>
        <v>0</v>
      </c>
      <c r="BL195" s="16">
        <f t="shared" si="240"/>
        <v>0</v>
      </c>
      <c r="BM195" s="16">
        <f t="shared" si="240"/>
        <v>0</v>
      </c>
      <c r="BN195" s="16">
        <f t="shared" si="240"/>
        <v>0</v>
      </c>
      <c r="BO195" s="16">
        <f t="shared" si="240"/>
        <v>0</v>
      </c>
      <c r="BP195" s="16">
        <f t="shared" si="241"/>
        <v>0</v>
      </c>
      <c r="BQ195" s="16">
        <f t="shared" si="241"/>
        <v>0</v>
      </c>
      <c r="BR195" s="16">
        <f t="shared" si="241"/>
        <v>0</v>
      </c>
      <c r="BS195" s="16">
        <f t="shared" si="241"/>
        <v>0</v>
      </c>
      <c r="BT195" s="16">
        <f t="shared" si="241"/>
        <v>0</v>
      </c>
      <c r="BU195" s="16">
        <f t="shared" si="241"/>
        <v>0</v>
      </c>
      <c r="BV195" s="16">
        <f t="shared" si="241"/>
        <v>0</v>
      </c>
      <c r="BW195" s="16">
        <f t="shared" si="241"/>
        <v>0</v>
      </c>
      <c r="BX195" s="16">
        <f t="shared" si="241"/>
        <v>0</v>
      </c>
      <c r="BY195" s="16">
        <f t="shared" si="241"/>
        <v>3.835500000000003E-3</v>
      </c>
      <c r="BZ195" s="16">
        <f t="shared" si="241"/>
        <v>0.99387237068050005</v>
      </c>
      <c r="CC195" s="9">
        <f t="shared" si="221"/>
        <v>0</v>
      </c>
      <c r="CD195" s="16">
        <f t="shared" si="242"/>
        <v>0</v>
      </c>
      <c r="CE195" s="16">
        <f t="shared" si="242"/>
        <v>0</v>
      </c>
      <c r="CF195" s="16">
        <f t="shared" si="242"/>
        <v>0</v>
      </c>
      <c r="CG195" s="16">
        <f t="shared" si="242"/>
        <v>0</v>
      </c>
      <c r="CH195" s="16">
        <f t="shared" si="242"/>
        <v>0</v>
      </c>
      <c r="CI195" s="16">
        <f t="shared" si="242"/>
        <v>0</v>
      </c>
      <c r="CJ195" s="16">
        <f t="shared" si="242"/>
        <v>0</v>
      </c>
      <c r="CK195" s="16">
        <f t="shared" si="242"/>
        <v>0</v>
      </c>
      <c r="CL195" s="16">
        <f t="shared" si="242"/>
        <v>0</v>
      </c>
      <c r="CM195" s="16">
        <f t="shared" si="242"/>
        <v>0</v>
      </c>
      <c r="CN195" s="16">
        <f t="shared" si="243"/>
        <v>0</v>
      </c>
      <c r="CO195" s="16">
        <f t="shared" si="243"/>
        <v>0</v>
      </c>
      <c r="CP195" s="16">
        <f t="shared" si="243"/>
        <v>0</v>
      </c>
      <c r="CQ195" s="16">
        <f t="shared" si="243"/>
        <v>0</v>
      </c>
      <c r="CR195" s="16">
        <f t="shared" si="243"/>
        <v>0</v>
      </c>
      <c r="CS195" s="16">
        <f t="shared" si="243"/>
        <v>0</v>
      </c>
      <c r="CT195" s="16">
        <f t="shared" si="243"/>
        <v>0</v>
      </c>
      <c r="CU195" s="16">
        <f t="shared" si="243"/>
        <v>0</v>
      </c>
      <c r="CV195" s="16">
        <f t="shared" si="243"/>
        <v>0</v>
      </c>
      <c r="CW195" s="16">
        <f t="shared" si="243"/>
        <v>3.8354999999999917E-3</v>
      </c>
      <c r="CX195" s="16">
        <f t="shared" si="243"/>
        <v>0.99387237068050005</v>
      </c>
      <c r="DA195" s="9">
        <f t="shared" si="222"/>
        <v>0</v>
      </c>
      <c r="DB195" s="16">
        <f t="shared" si="244"/>
        <v>0</v>
      </c>
      <c r="DC195" s="16">
        <f t="shared" si="244"/>
        <v>0</v>
      </c>
      <c r="DD195" s="16">
        <f t="shared" si="244"/>
        <v>0</v>
      </c>
      <c r="DE195" s="16">
        <f t="shared" si="244"/>
        <v>0</v>
      </c>
      <c r="DF195" s="16">
        <f t="shared" si="244"/>
        <v>0</v>
      </c>
      <c r="DG195" s="16">
        <f t="shared" si="244"/>
        <v>0</v>
      </c>
      <c r="DH195" s="16">
        <f t="shared" si="244"/>
        <v>0</v>
      </c>
      <c r="DI195" s="16">
        <f t="shared" si="244"/>
        <v>0</v>
      </c>
      <c r="DJ195" s="16">
        <f t="shared" si="244"/>
        <v>0</v>
      </c>
      <c r="DK195" s="16">
        <f t="shared" si="244"/>
        <v>0</v>
      </c>
      <c r="DL195" s="16">
        <f t="shared" si="245"/>
        <v>0</v>
      </c>
      <c r="DM195" s="16">
        <f t="shared" si="245"/>
        <v>0</v>
      </c>
      <c r="DN195" s="16">
        <f t="shared" si="245"/>
        <v>0</v>
      </c>
      <c r="DO195" s="16">
        <f t="shared" si="245"/>
        <v>0</v>
      </c>
      <c r="DP195" s="16">
        <f t="shared" si="245"/>
        <v>0</v>
      </c>
      <c r="DQ195" s="16">
        <f t="shared" si="245"/>
        <v>0</v>
      </c>
      <c r="DR195" s="16">
        <f t="shared" si="245"/>
        <v>0</v>
      </c>
      <c r="DS195" s="16">
        <f t="shared" si="245"/>
        <v>0</v>
      </c>
      <c r="DT195" s="16">
        <f t="shared" si="245"/>
        <v>0</v>
      </c>
      <c r="DU195" s="16">
        <f t="shared" si="245"/>
        <v>9.5900000000000987E-4</v>
      </c>
      <c r="DV195" s="16">
        <f t="shared" si="245"/>
        <v>0.99846789296899996</v>
      </c>
      <c r="DY195" s="9">
        <f t="shared" si="223"/>
        <v>0</v>
      </c>
      <c r="DZ195" s="16">
        <f t="shared" si="246"/>
        <v>0</v>
      </c>
      <c r="EA195" s="16">
        <f t="shared" si="246"/>
        <v>0</v>
      </c>
      <c r="EB195" s="16">
        <f t="shared" si="246"/>
        <v>0</v>
      </c>
      <c r="EC195" s="16">
        <f t="shared" si="246"/>
        <v>0</v>
      </c>
      <c r="ED195" s="16">
        <f t="shared" si="246"/>
        <v>0</v>
      </c>
      <c r="EE195" s="16">
        <f t="shared" si="246"/>
        <v>0</v>
      </c>
      <c r="EF195" s="16">
        <f t="shared" si="246"/>
        <v>0</v>
      </c>
      <c r="EG195" s="16">
        <f t="shared" si="246"/>
        <v>0</v>
      </c>
      <c r="EH195" s="16">
        <f t="shared" si="246"/>
        <v>0</v>
      </c>
      <c r="EI195" s="16">
        <f t="shared" si="246"/>
        <v>0</v>
      </c>
      <c r="EJ195" s="16">
        <f t="shared" si="247"/>
        <v>0</v>
      </c>
      <c r="EK195" s="16">
        <f t="shared" si="247"/>
        <v>0</v>
      </c>
      <c r="EL195" s="16">
        <f t="shared" si="247"/>
        <v>0</v>
      </c>
      <c r="EM195" s="16">
        <f t="shared" si="247"/>
        <v>0</v>
      </c>
      <c r="EN195" s="16">
        <f t="shared" si="247"/>
        <v>0</v>
      </c>
      <c r="EO195" s="16">
        <f t="shared" si="247"/>
        <v>0</v>
      </c>
      <c r="EP195" s="16">
        <f t="shared" si="247"/>
        <v>0</v>
      </c>
      <c r="EQ195" s="16">
        <f t="shared" si="247"/>
        <v>0</v>
      </c>
      <c r="ER195" s="16">
        <f t="shared" si="247"/>
        <v>0</v>
      </c>
      <c r="ES195" s="16">
        <f t="shared" si="247"/>
        <v>3.8354999999999917E-3</v>
      </c>
      <c r="ET195" s="16">
        <f t="shared" si="247"/>
        <v>0.99387237068050005</v>
      </c>
      <c r="EW195" s="9">
        <f t="shared" si="224"/>
        <v>0</v>
      </c>
      <c r="EX195" s="16">
        <f t="shared" si="248"/>
        <v>0</v>
      </c>
      <c r="EY195" s="16">
        <f t="shared" si="248"/>
        <v>0</v>
      </c>
      <c r="EZ195" s="16">
        <f t="shared" si="248"/>
        <v>0</v>
      </c>
      <c r="FA195" s="16">
        <f t="shared" si="248"/>
        <v>0</v>
      </c>
      <c r="FB195" s="16">
        <f t="shared" si="248"/>
        <v>0</v>
      </c>
      <c r="FC195" s="16">
        <f t="shared" si="248"/>
        <v>0</v>
      </c>
      <c r="FD195" s="16">
        <f t="shared" si="248"/>
        <v>0</v>
      </c>
      <c r="FE195" s="16">
        <f t="shared" si="248"/>
        <v>0</v>
      </c>
      <c r="FF195" s="16">
        <f t="shared" si="248"/>
        <v>0</v>
      </c>
      <c r="FG195" s="16">
        <f t="shared" si="248"/>
        <v>0</v>
      </c>
      <c r="FH195" s="16">
        <f t="shared" si="249"/>
        <v>0</v>
      </c>
      <c r="FI195" s="16">
        <f t="shared" si="249"/>
        <v>0</v>
      </c>
      <c r="FJ195" s="16">
        <f t="shared" si="249"/>
        <v>0</v>
      </c>
      <c r="FK195" s="16">
        <f t="shared" si="249"/>
        <v>0</v>
      </c>
      <c r="FL195" s="16">
        <f t="shared" si="249"/>
        <v>0</v>
      </c>
      <c r="FM195" s="16">
        <f t="shared" si="249"/>
        <v>0</v>
      </c>
      <c r="FN195" s="16">
        <f t="shared" si="249"/>
        <v>0</v>
      </c>
      <c r="FO195" s="16">
        <f t="shared" si="249"/>
        <v>0</v>
      </c>
      <c r="FP195" s="16">
        <f t="shared" si="249"/>
        <v>0</v>
      </c>
      <c r="FQ195" s="16">
        <f t="shared" si="249"/>
        <v>3.835500000000003E-3</v>
      </c>
      <c r="FR195" s="16">
        <f t="shared" si="249"/>
        <v>0.99387237068050005</v>
      </c>
      <c r="FU195" s="9">
        <f t="shared" si="225"/>
        <v>0</v>
      </c>
      <c r="FV195" s="16">
        <f t="shared" si="250"/>
        <v>0</v>
      </c>
      <c r="FW195" s="16">
        <f t="shared" si="250"/>
        <v>0</v>
      </c>
      <c r="FX195" s="16">
        <f t="shared" si="250"/>
        <v>0</v>
      </c>
      <c r="FY195" s="16">
        <f t="shared" si="250"/>
        <v>0</v>
      </c>
      <c r="FZ195" s="16">
        <f t="shared" si="250"/>
        <v>0</v>
      </c>
      <c r="GA195" s="16">
        <f t="shared" si="250"/>
        <v>0</v>
      </c>
      <c r="GB195" s="16">
        <f t="shared" si="250"/>
        <v>0</v>
      </c>
      <c r="GC195" s="16">
        <f t="shared" si="250"/>
        <v>0</v>
      </c>
      <c r="GD195" s="16">
        <f t="shared" si="250"/>
        <v>0</v>
      </c>
      <c r="GE195" s="16">
        <f t="shared" si="250"/>
        <v>0</v>
      </c>
      <c r="GF195" s="16">
        <f t="shared" si="251"/>
        <v>0</v>
      </c>
      <c r="GG195" s="16">
        <f t="shared" si="251"/>
        <v>0</v>
      </c>
      <c r="GH195" s="16">
        <f t="shared" si="251"/>
        <v>0</v>
      </c>
      <c r="GI195" s="16">
        <f t="shared" si="251"/>
        <v>0</v>
      </c>
      <c r="GJ195" s="16">
        <f t="shared" si="251"/>
        <v>0</v>
      </c>
      <c r="GK195" s="16">
        <f t="shared" si="251"/>
        <v>0</v>
      </c>
      <c r="GL195" s="16">
        <f t="shared" si="251"/>
        <v>0</v>
      </c>
      <c r="GM195" s="16">
        <f t="shared" si="251"/>
        <v>0</v>
      </c>
      <c r="GN195" s="16">
        <f t="shared" si="251"/>
        <v>0</v>
      </c>
      <c r="GO195" s="16">
        <f t="shared" si="251"/>
        <v>3.8359999999999952E-3</v>
      </c>
      <c r="GP195" s="16">
        <f t="shared" si="251"/>
        <v>0.99387157187600006</v>
      </c>
      <c r="GS195" s="9">
        <f t="shared" si="226"/>
        <v>0</v>
      </c>
      <c r="GT195" s="16">
        <f t="shared" si="252"/>
        <v>0</v>
      </c>
      <c r="GU195" s="16">
        <f t="shared" si="252"/>
        <v>0</v>
      </c>
      <c r="GV195" s="16">
        <f t="shared" si="252"/>
        <v>0</v>
      </c>
      <c r="GW195" s="16">
        <f t="shared" si="252"/>
        <v>0</v>
      </c>
      <c r="GX195" s="16">
        <f t="shared" si="252"/>
        <v>0</v>
      </c>
      <c r="GY195" s="16">
        <f t="shared" si="252"/>
        <v>0</v>
      </c>
      <c r="GZ195" s="16">
        <f t="shared" si="252"/>
        <v>0</v>
      </c>
      <c r="HA195" s="16">
        <f t="shared" si="252"/>
        <v>0</v>
      </c>
      <c r="HB195" s="16">
        <f t="shared" si="252"/>
        <v>0</v>
      </c>
      <c r="HC195" s="16">
        <f t="shared" si="252"/>
        <v>0</v>
      </c>
      <c r="HD195" s="16">
        <f t="shared" si="253"/>
        <v>0</v>
      </c>
      <c r="HE195" s="16">
        <f t="shared" si="253"/>
        <v>0</v>
      </c>
      <c r="HF195" s="16">
        <f t="shared" si="253"/>
        <v>0</v>
      </c>
      <c r="HG195" s="16">
        <f t="shared" si="253"/>
        <v>0</v>
      </c>
      <c r="HH195" s="16">
        <f t="shared" si="253"/>
        <v>0</v>
      </c>
      <c r="HI195" s="16">
        <f t="shared" si="253"/>
        <v>0</v>
      </c>
      <c r="HJ195" s="16">
        <f t="shared" si="253"/>
        <v>0</v>
      </c>
      <c r="HK195" s="16">
        <f t="shared" si="253"/>
        <v>0</v>
      </c>
      <c r="HL195" s="16">
        <f t="shared" si="253"/>
        <v>0</v>
      </c>
      <c r="HM195" s="16">
        <f t="shared" si="253"/>
        <v>1.6605000000000092E-3</v>
      </c>
      <c r="HN195" s="16">
        <f t="shared" si="253"/>
        <v>0.99734717025550002</v>
      </c>
      <c r="HQ195" s="9">
        <f t="shared" si="227"/>
        <v>0</v>
      </c>
      <c r="HR195" s="16">
        <f t="shared" si="254"/>
        <v>0</v>
      </c>
      <c r="HS195" s="16">
        <f t="shared" si="254"/>
        <v>0</v>
      </c>
      <c r="HT195" s="16">
        <f t="shared" si="254"/>
        <v>0</v>
      </c>
      <c r="HU195" s="16">
        <f t="shared" si="254"/>
        <v>0</v>
      </c>
      <c r="HV195" s="16">
        <f t="shared" si="254"/>
        <v>0</v>
      </c>
      <c r="HW195" s="16">
        <f t="shared" si="254"/>
        <v>0</v>
      </c>
      <c r="HX195" s="16">
        <f t="shared" si="254"/>
        <v>0</v>
      </c>
      <c r="HY195" s="16">
        <f t="shared" si="254"/>
        <v>0</v>
      </c>
      <c r="HZ195" s="16">
        <f t="shared" si="254"/>
        <v>0</v>
      </c>
      <c r="IA195" s="16">
        <f t="shared" si="254"/>
        <v>0</v>
      </c>
      <c r="IB195" s="16">
        <f t="shared" si="255"/>
        <v>0</v>
      </c>
      <c r="IC195" s="16">
        <f t="shared" si="255"/>
        <v>0</v>
      </c>
      <c r="ID195" s="16">
        <f t="shared" si="255"/>
        <v>0</v>
      </c>
      <c r="IE195" s="16">
        <f t="shared" si="255"/>
        <v>0</v>
      </c>
      <c r="IF195" s="16">
        <f t="shared" si="255"/>
        <v>0</v>
      </c>
      <c r="IG195" s="16">
        <f t="shared" si="255"/>
        <v>0</v>
      </c>
      <c r="IH195" s="16">
        <f t="shared" si="255"/>
        <v>0</v>
      </c>
      <c r="II195" s="16">
        <f t="shared" si="255"/>
        <v>0</v>
      </c>
      <c r="IJ195" s="16">
        <f t="shared" si="255"/>
        <v>0</v>
      </c>
      <c r="IK195" s="16">
        <f t="shared" si="255"/>
        <v>1.0941999999999997E-2</v>
      </c>
      <c r="IL195" s="16">
        <f t="shared" si="255"/>
        <v>0.98251896232199998</v>
      </c>
      <c r="IO195" s="9">
        <f t="shared" si="228"/>
        <v>0</v>
      </c>
      <c r="IP195" s="16">
        <f t="shared" si="256"/>
        <v>0</v>
      </c>
      <c r="IQ195" s="16">
        <f t="shared" si="256"/>
        <v>0</v>
      </c>
      <c r="IR195" s="16">
        <f t="shared" si="256"/>
        <v>0</v>
      </c>
      <c r="IS195" s="16">
        <f t="shared" si="256"/>
        <v>0</v>
      </c>
      <c r="IT195" s="16">
        <f t="shared" si="256"/>
        <v>0</v>
      </c>
      <c r="IU195" s="16">
        <f t="shared" si="256"/>
        <v>0</v>
      </c>
      <c r="IV195" s="16">
        <f t="shared" si="256"/>
        <v>0</v>
      </c>
      <c r="IW195" s="16">
        <f t="shared" si="256"/>
        <v>0</v>
      </c>
      <c r="IX195" s="16">
        <f t="shared" si="256"/>
        <v>0</v>
      </c>
      <c r="IY195" s="16">
        <f t="shared" si="256"/>
        <v>0</v>
      </c>
      <c r="IZ195" s="16">
        <f t="shared" si="257"/>
        <v>0</v>
      </c>
      <c r="JA195" s="16">
        <f t="shared" si="257"/>
        <v>0</v>
      </c>
      <c r="JB195" s="16">
        <f t="shared" si="257"/>
        <v>0</v>
      </c>
      <c r="JC195" s="16">
        <f t="shared" si="257"/>
        <v>0</v>
      </c>
      <c r="JD195" s="16">
        <f t="shared" si="257"/>
        <v>0</v>
      </c>
      <c r="JE195" s="16">
        <f t="shared" si="257"/>
        <v>0</v>
      </c>
      <c r="JF195" s="16">
        <f t="shared" si="257"/>
        <v>0</v>
      </c>
      <c r="JG195" s="16">
        <f t="shared" si="257"/>
        <v>0</v>
      </c>
      <c r="JH195" s="16">
        <f t="shared" si="257"/>
        <v>0</v>
      </c>
      <c r="JI195" s="16">
        <f t="shared" si="257"/>
        <v>1.66095E-3</v>
      </c>
      <c r="JJ195" s="16">
        <f t="shared" si="257"/>
        <v>0.99734645133144995</v>
      </c>
      <c r="JM195" s="9">
        <f t="shared" si="229"/>
        <v>0</v>
      </c>
      <c r="JN195" s="16">
        <f t="shared" si="258"/>
        <v>0</v>
      </c>
      <c r="JO195" s="16">
        <f t="shared" si="258"/>
        <v>0</v>
      </c>
      <c r="JP195" s="16">
        <f t="shared" si="258"/>
        <v>0</v>
      </c>
      <c r="JQ195" s="16">
        <f t="shared" si="258"/>
        <v>0</v>
      </c>
      <c r="JR195" s="16">
        <f t="shared" si="258"/>
        <v>0</v>
      </c>
      <c r="JS195" s="16">
        <f t="shared" si="258"/>
        <v>0</v>
      </c>
      <c r="JT195" s="16">
        <f t="shared" si="258"/>
        <v>0</v>
      </c>
      <c r="JU195" s="16">
        <f t="shared" si="258"/>
        <v>0</v>
      </c>
      <c r="JV195" s="16">
        <f t="shared" si="258"/>
        <v>0</v>
      </c>
      <c r="JW195" s="16">
        <f t="shared" si="258"/>
        <v>0</v>
      </c>
      <c r="JX195" s="16">
        <f t="shared" si="259"/>
        <v>0</v>
      </c>
      <c r="JY195" s="16">
        <f t="shared" si="259"/>
        <v>0</v>
      </c>
      <c r="JZ195" s="16">
        <f t="shared" si="259"/>
        <v>0</v>
      </c>
      <c r="KA195" s="16">
        <f t="shared" si="259"/>
        <v>0</v>
      </c>
      <c r="KB195" s="16">
        <f t="shared" si="259"/>
        <v>0</v>
      </c>
      <c r="KC195" s="16">
        <f t="shared" si="259"/>
        <v>0</v>
      </c>
      <c r="KD195" s="16">
        <f t="shared" si="259"/>
        <v>0</v>
      </c>
      <c r="KE195" s="16">
        <f t="shared" si="259"/>
        <v>0</v>
      </c>
      <c r="KF195" s="16">
        <f t="shared" si="259"/>
        <v>0</v>
      </c>
      <c r="KG195" s="16">
        <f t="shared" si="259"/>
        <v>1.0941800000000002E-2</v>
      </c>
      <c r="KH195" s="16">
        <f t="shared" si="259"/>
        <v>0.9825192818438</v>
      </c>
      <c r="KK195" s="9">
        <f t="shared" si="230"/>
        <v>0</v>
      </c>
      <c r="KL195" s="16">
        <f t="shared" si="260"/>
        <v>0</v>
      </c>
      <c r="KM195" s="16">
        <f t="shared" si="260"/>
        <v>0</v>
      </c>
      <c r="KN195" s="16">
        <f t="shared" si="260"/>
        <v>0</v>
      </c>
      <c r="KO195" s="16">
        <f t="shared" si="260"/>
        <v>0</v>
      </c>
      <c r="KP195" s="16">
        <f t="shared" si="260"/>
        <v>0</v>
      </c>
      <c r="KQ195" s="16">
        <f t="shared" si="260"/>
        <v>0</v>
      </c>
      <c r="KR195" s="16">
        <f t="shared" si="260"/>
        <v>0</v>
      </c>
      <c r="KS195" s="16">
        <f t="shared" si="260"/>
        <v>0</v>
      </c>
      <c r="KT195" s="16">
        <f t="shared" si="260"/>
        <v>0</v>
      </c>
      <c r="KU195" s="16">
        <f t="shared" si="260"/>
        <v>0</v>
      </c>
      <c r="KV195" s="16">
        <f t="shared" si="261"/>
        <v>0</v>
      </c>
      <c r="KW195" s="16">
        <f t="shared" si="261"/>
        <v>0</v>
      </c>
      <c r="KX195" s="16">
        <f t="shared" si="261"/>
        <v>0</v>
      </c>
      <c r="KY195" s="16">
        <f t="shared" si="261"/>
        <v>0</v>
      </c>
      <c r="KZ195" s="16">
        <f t="shared" si="261"/>
        <v>0</v>
      </c>
      <c r="LA195" s="16">
        <f t="shared" si="261"/>
        <v>0</v>
      </c>
      <c r="LB195" s="16">
        <f t="shared" si="261"/>
        <v>0</v>
      </c>
      <c r="LC195" s="16">
        <f t="shared" si="261"/>
        <v>0</v>
      </c>
      <c r="LD195" s="16">
        <f t="shared" si="261"/>
        <v>0</v>
      </c>
      <c r="LE195" s="16">
        <f t="shared" si="261"/>
        <v>1.3869999999999993E-3</v>
      </c>
      <c r="LF195" s="16">
        <f t="shared" si="261"/>
        <v>0.99778411631700004</v>
      </c>
      <c r="LI195" s="9">
        <f t="shared" si="231"/>
        <v>0</v>
      </c>
      <c r="LJ195" s="16">
        <f t="shared" si="262"/>
        <v>0</v>
      </c>
      <c r="LK195" s="16">
        <f t="shared" si="262"/>
        <v>0</v>
      </c>
      <c r="LL195" s="16">
        <f t="shared" si="262"/>
        <v>0</v>
      </c>
      <c r="LM195" s="16">
        <f t="shared" si="262"/>
        <v>0</v>
      </c>
      <c r="LN195" s="16">
        <f t="shared" si="262"/>
        <v>0</v>
      </c>
      <c r="LO195" s="16">
        <f t="shared" si="262"/>
        <v>0</v>
      </c>
      <c r="LP195" s="16">
        <f t="shared" si="262"/>
        <v>0</v>
      </c>
      <c r="LQ195" s="16">
        <f t="shared" si="262"/>
        <v>0</v>
      </c>
      <c r="LR195" s="16">
        <f t="shared" si="262"/>
        <v>0</v>
      </c>
      <c r="LS195" s="16">
        <f t="shared" si="262"/>
        <v>0</v>
      </c>
      <c r="LT195" s="16">
        <f t="shared" si="263"/>
        <v>0</v>
      </c>
      <c r="LU195" s="16">
        <f t="shared" si="263"/>
        <v>0</v>
      </c>
      <c r="LV195" s="16">
        <f t="shared" si="263"/>
        <v>0</v>
      </c>
      <c r="LW195" s="16">
        <f t="shared" si="263"/>
        <v>0</v>
      </c>
      <c r="LX195" s="16">
        <f t="shared" si="263"/>
        <v>0</v>
      </c>
      <c r="LY195" s="16">
        <f t="shared" si="263"/>
        <v>0</v>
      </c>
      <c r="LZ195" s="16">
        <f t="shared" si="263"/>
        <v>0</v>
      </c>
      <c r="MA195" s="16">
        <f t="shared" si="263"/>
        <v>0</v>
      </c>
      <c r="MB195" s="16">
        <f t="shared" si="263"/>
        <v>0</v>
      </c>
      <c r="MC195" s="16">
        <f t="shared" si="263"/>
        <v>1.094175E-2</v>
      </c>
      <c r="MD195" s="16">
        <f t="shared" si="263"/>
        <v>0.98251936172425003</v>
      </c>
      <c r="MG195" s="9">
        <f t="shared" si="232"/>
        <v>0</v>
      </c>
      <c r="MH195" s="16">
        <f t="shared" si="264"/>
        <v>0</v>
      </c>
      <c r="MI195" s="16">
        <f t="shared" si="264"/>
        <v>0</v>
      </c>
      <c r="MJ195" s="16">
        <f t="shared" si="264"/>
        <v>0</v>
      </c>
      <c r="MK195" s="16">
        <f t="shared" si="264"/>
        <v>0</v>
      </c>
      <c r="ML195" s="16">
        <f t="shared" si="264"/>
        <v>0</v>
      </c>
      <c r="MM195" s="16">
        <f t="shared" si="264"/>
        <v>0</v>
      </c>
      <c r="MN195" s="16">
        <f t="shared" si="264"/>
        <v>0</v>
      </c>
      <c r="MO195" s="16">
        <f t="shared" si="264"/>
        <v>0</v>
      </c>
      <c r="MP195" s="16">
        <f t="shared" si="264"/>
        <v>0</v>
      </c>
      <c r="MQ195" s="16">
        <f t="shared" si="264"/>
        <v>0</v>
      </c>
      <c r="MR195" s="16">
        <f t="shared" si="265"/>
        <v>0</v>
      </c>
      <c r="MS195" s="16">
        <f t="shared" si="265"/>
        <v>0</v>
      </c>
      <c r="MT195" s="16">
        <f t="shared" si="265"/>
        <v>0</v>
      </c>
      <c r="MU195" s="16">
        <f t="shared" si="265"/>
        <v>0</v>
      </c>
      <c r="MV195" s="16">
        <f t="shared" si="265"/>
        <v>0</v>
      </c>
      <c r="MW195" s="16">
        <f t="shared" si="265"/>
        <v>0</v>
      </c>
      <c r="MX195" s="16">
        <f t="shared" si="265"/>
        <v>0</v>
      </c>
      <c r="MY195" s="16">
        <f t="shared" si="265"/>
        <v>0</v>
      </c>
      <c r="MZ195" s="16">
        <f t="shared" si="265"/>
        <v>0</v>
      </c>
      <c r="NA195" s="16">
        <f t="shared" si="265"/>
        <v>1.5240000000000004E-3</v>
      </c>
      <c r="NB195" s="16">
        <f t="shared" si="265"/>
        <v>0.99756524388400003</v>
      </c>
      <c r="NE195" s="9">
        <f t="shared" si="233"/>
        <v>0</v>
      </c>
      <c r="NF195" s="16">
        <f t="shared" si="266"/>
        <v>0</v>
      </c>
      <c r="NG195" s="16">
        <f t="shared" si="266"/>
        <v>0</v>
      </c>
      <c r="NH195" s="16">
        <f t="shared" si="266"/>
        <v>0</v>
      </c>
      <c r="NI195" s="16">
        <f t="shared" si="266"/>
        <v>0</v>
      </c>
      <c r="NJ195" s="16">
        <f t="shared" si="266"/>
        <v>0</v>
      </c>
      <c r="NK195" s="16">
        <f t="shared" si="266"/>
        <v>0</v>
      </c>
      <c r="NL195" s="16">
        <f t="shared" si="266"/>
        <v>0</v>
      </c>
      <c r="NM195" s="16">
        <f t="shared" si="266"/>
        <v>0</v>
      </c>
      <c r="NN195" s="16">
        <f t="shared" si="266"/>
        <v>0</v>
      </c>
      <c r="NO195" s="16">
        <f t="shared" si="266"/>
        <v>0</v>
      </c>
      <c r="NP195" s="16">
        <f t="shared" si="267"/>
        <v>0</v>
      </c>
      <c r="NQ195" s="16">
        <f t="shared" si="267"/>
        <v>0</v>
      </c>
      <c r="NR195" s="16">
        <f t="shared" si="267"/>
        <v>0</v>
      </c>
      <c r="NS195" s="16">
        <f t="shared" si="267"/>
        <v>0</v>
      </c>
      <c r="NT195" s="16">
        <f t="shared" si="267"/>
        <v>0</v>
      </c>
      <c r="NU195" s="16">
        <f t="shared" si="267"/>
        <v>0</v>
      </c>
      <c r="NV195" s="16">
        <f t="shared" si="267"/>
        <v>0</v>
      </c>
      <c r="NW195" s="16">
        <f t="shared" si="267"/>
        <v>0</v>
      </c>
      <c r="NX195" s="16">
        <f t="shared" si="267"/>
        <v>0</v>
      </c>
      <c r="NY195" s="16">
        <f t="shared" si="267"/>
        <v>1.094175E-2</v>
      </c>
      <c r="NZ195" s="16">
        <f t="shared" si="267"/>
        <v>0.98251936172425003</v>
      </c>
      <c r="OC195" s="9">
        <f t="shared" si="234"/>
        <v>0</v>
      </c>
      <c r="OD195" s="16">
        <f t="shared" si="268"/>
        <v>0</v>
      </c>
      <c r="OE195" s="16">
        <f t="shared" si="268"/>
        <v>0</v>
      </c>
      <c r="OF195" s="16">
        <f t="shared" si="268"/>
        <v>0</v>
      </c>
      <c r="OG195" s="16">
        <f t="shared" si="268"/>
        <v>0</v>
      </c>
      <c r="OH195" s="16">
        <f t="shared" si="268"/>
        <v>0</v>
      </c>
      <c r="OI195" s="16">
        <f t="shared" si="268"/>
        <v>0</v>
      </c>
      <c r="OJ195" s="16">
        <f t="shared" si="268"/>
        <v>0</v>
      </c>
      <c r="OK195" s="16">
        <f t="shared" si="268"/>
        <v>0</v>
      </c>
      <c r="OL195" s="16">
        <f t="shared" si="268"/>
        <v>0</v>
      </c>
      <c r="OM195" s="16">
        <f t="shared" si="268"/>
        <v>0</v>
      </c>
      <c r="ON195" s="16">
        <f t="shared" si="269"/>
        <v>0</v>
      </c>
      <c r="OO195" s="16">
        <f t="shared" si="269"/>
        <v>0</v>
      </c>
      <c r="OP195" s="16">
        <f t="shared" si="269"/>
        <v>0</v>
      </c>
      <c r="OQ195" s="16">
        <f t="shared" si="269"/>
        <v>0</v>
      </c>
      <c r="OR195" s="16">
        <f t="shared" si="269"/>
        <v>0</v>
      </c>
      <c r="OS195" s="16">
        <f t="shared" si="269"/>
        <v>0</v>
      </c>
      <c r="OT195" s="16">
        <f t="shared" si="269"/>
        <v>0</v>
      </c>
      <c r="OU195" s="16">
        <f t="shared" si="269"/>
        <v>0</v>
      </c>
      <c r="OV195" s="16">
        <f t="shared" si="269"/>
        <v>0</v>
      </c>
      <c r="OW195" s="16">
        <f t="shared" si="269"/>
        <v>1.6609499999999987E-3</v>
      </c>
      <c r="OX195" s="16">
        <f t="shared" si="269"/>
        <v>0.99734645133145006</v>
      </c>
      <c r="PA195" s="9">
        <f t="shared" si="235"/>
        <v>0</v>
      </c>
      <c r="PB195" s="16">
        <f t="shared" si="270"/>
        <v>0</v>
      </c>
      <c r="PC195" s="16">
        <f t="shared" si="270"/>
        <v>0</v>
      </c>
      <c r="PD195" s="16">
        <f t="shared" si="270"/>
        <v>0</v>
      </c>
      <c r="PE195" s="16">
        <f t="shared" si="270"/>
        <v>0</v>
      </c>
      <c r="PF195" s="16">
        <f t="shared" si="270"/>
        <v>0</v>
      </c>
      <c r="PG195" s="16">
        <f t="shared" si="270"/>
        <v>0</v>
      </c>
      <c r="PH195" s="16">
        <f t="shared" si="270"/>
        <v>0</v>
      </c>
      <c r="PI195" s="16">
        <f t="shared" si="270"/>
        <v>0</v>
      </c>
      <c r="PJ195" s="16">
        <f t="shared" si="270"/>
        <v>0</v>
      </c>
      <c r="PK195" s="16">
        <f t="shared" si="270"/>
        <v>0</v>
      </c>
      <c r="PL195" s="16">
        <f t="shared" si="271"/>
        <v>0</v>
      </c>
      <c r="PM195" s="16">
        <f t="shared" si="271"/>
        <v>0</v>
      </c>
      <c r="PN195" s="16">
        <f t="shared" si="271"/>
        <v>0</v>
      </c>
      <c r="PO195" s="16">
        <f t="shared" si="271"/>
        <v>0</v>
      </c>
      <c r="PP195" s="16">
        <f t="shared" si="271"/>
        <v>0</v>
      </c>
      <c r="PQ195" s="16">
        <f t="shared" si="271"/>
        <v>0</v>
      </c>
      <c r="PR195" s="16">
        <f t="shared" si="271"/>
        <v>0</v>
      </c>
      <c r="PS195" s="16">
        <f t="shared" si="271"/>
        <v>0</v>
      </c>
      <c r="PT195" s="16">
        <f t="shared" si="271"/>
        <v>0</v>
      </c>
      <c r="PU195" s="16">
        <f t="shared" si="271"/>
        <v>1.0941300000000001E-2</v>
      </c>
      <c r="PV195" s="16">
        <f t="shared" si="271"/>
        <v>0.98252008064829999</v>
      </c>
    </row>
    <row r="196" spans="3:438" x14ac:dyDescent="0.25">
      <c r="C196" s="1"/>
      <c r="D196" s="1"/>
      <c r="I196" s="9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G196" s="9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E196" s="9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C196" s="9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DA196" s="9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Y196" s="9"/>
      <c r="DZ196" s="16"/>
      <c r="EA196" s="16"/>
      <c r="EB196" s="16"/>
      <c r="EC196" s="16"/>
      <c r="ED196" s="16"/>
      <c r="EE196" s="16"/>
      <c r="EF196" s="16"/>
      <c r="EG196" s="16"/>
      <c r="EH196" s="16"/>
      <c r="EI196" s="16"/>
      <c r="EJ196" s="16"/>
      <c r="EK196" s="16"/>
      <c r="EL196" s="16"/>
      <c r="EM196" s="16"/>
      <c r="EN196" s="16"/>
      <c r="EO196" s="16"/>
      <c r="EP196" s="16"/>
      <c r="EQ196" s="16"/>
      <c r="ER196" s="16"/>
      <c r="ES196" s="16"/>
      <c r="ET196" s="16"/>
      <c r="EW196" s="9"/>
      <c r="EX196" s="16"/>
      <c r="EY196" s="16"/>
      <c r="EZ196" s="16"/>
      <c r="FA196" s="16"/>
      <c r="FB196" s="16"/>
      <c r="FC196" s="16"/>
      <c r="FD196" s="16"/>
      <c r="FE196" s="16"/>
      <c r="FF196" s="16"/>
      <c r="FG196" s="16"/>
      <c r="FH196" s="16"/>
      <c r="FI196" s="16"/>
      <c r="FJ196" s="16"/>
      <c r="FK196" s="16"/>
      <c r="FL196" s="16"/>
      <c r="FM196" s="16"/>
      <c r="FN196" s="16"/>
      <c r="FO196" s="16"/>
      <c r="FP196" s="16"/>
      <c r="FQ196" s="16"/>
      <c r="FR196" s="16"/>
      <c r="FU196" s="9"/>
      <c r="FV196" s="16"/>
      <c r="FW196" s="16"/>
      <c r="FX196" s="16"/>
      <c r="FY196" s="16"/>
      <c r="FZ196" s="16"/>
      <c r="GA196" s="16"/>
      <c r="GB196" s="16"/>
      <c r="GC196" s="16"/>
      <c r="GD196" s="16"/>
      <c r="GE196" s="16"/>
      <c r="GF196" s="16"/>
      <c r="GG196" s="16"/>
      <c r="GH196" s="16"/>
      <c r="GI196" s="16"/>
      <c r="GJ196" s="16"/>
      <c r="GK196" s="16"/>
      <c r="GL196" s="16"/>
      <c r="GM196" s="16"/>
      <c r="GN196" s="16"/>
      <c r="GO196" s="16"/>
      <c r="GP196" s="16"/>
      <c r="GS196" s="9"/>
      <c r="GT196" s="16"/>
      <c r="GU196" s="16"/>
      <c r="GV196" s="16"/>
      <c r="GW196" s="16"/>
      <c r="GX196" s="16"/>
      <c r="GY196" s="16"/>
      <c r="GZ196" s="16"/>
      <c r="HA196" s="16"/>
      <c r="HB196" s="16"/>
      <c r="HC196" s="16"/>
      <c r="HD196" s="16"/>
      <c r="HE196" s="16"/>
      <c r="HF196" s="16"/>
      <c r="HG196" s="16"/>
      <c r="HH196" s="16"/>
      <c r="HI196" s="16"/>
      <c r="HJ196" s="16"/>
      <c r="HK196" s="16"/>
      <c r="HL196" s="16"/>
      <c r="HM196" s="16"/>
      <c r="HN196" s="16"/>
      <c r="HQ196" s="9"/>
      <c r="HR196" s="16"/>
      <c r="HS196" s="16"/>
      <c r="HT196" s="16"/>
      <c r="HU196" s="16"/>
      <c r="HV196" s="16"/>
      <c r="HW196" s="16"/>
      <c r="HX196" s="16"/>
      <c r="HY196" s="16"/>
      <c r="HZ196" s="16"/>
      <c r="IA196" s="16"/>
      <c r="IB196" s="16"/>
      <c r="IC196" s="16"/>
      <c r="ID196" s="16"/>
      <c r="IE196" s="16"/>
      <c r="IF196" s="16"/>
      <c r="IG196" s="16"/>
      <c r="IH196" s="16"/>
      <c r="II196" s="16"/>
      <c r="IJ196" s="16"/>
      <c r="IK196" s="16"/>
      <c r="IL196" s="16"/>
      <c r="IO196" s="9"/>
      <c r="IP196" s="16"/>
      <c r="IQ196" s="16"/>
      <c r="IR196" s="16"/>
      <c r="IS196" s="16"/>
      <c r="IT196" s="16"/>
      <c r="IU196" s="16"/>
      <c r="IV196" s="16"/>
      <c r="IW196" s="16"/>
      <c r="IX196" s="16"/>
      <c r="IY196" s="16"/>
      <c r="IZ196" s="16"/>
      <c r="JA196" s="16"/>
      <c r="JB196" s="16"/>
      <c r="JC196" s="16"/>
      <c r="JD196" s="16"/>
      <c r="JE196" s="16"/>
      <c r="JF196" s="16"/>
      <c r="JG196" s="16"/>
      <c r="JH196" s="16"/>
      <c r="JI196" s="16"/>
      <c r="JJ196" s="16"/>
      <c r="JM196" s="9"/>
      <c r="JN196" s="16"/>
      <c r="JO196" s="16"/>
      <c r="JP196" s="16"/>
      <c r="JQ196" s="16"/>
      <c r="JR196" s="16"/>
      <c r="JS196" s="16"/>
      <c r="JT196" s="16"/>
      <c r="JU196" s="16"/>
      <c r="JV196" s="16"/>
      <c r="JW196" s="16"/>
      <c r="JX196" s="16"/>
      <c r="JY196" s="16"/>
      <c r="JZ196" s="16"/>
      <c r="KA196" s="16"/>
      <c r="KB196" s="16"/>
      <c r="KC196" s="16"/>
      <c r="KD196" s="16"/>
      <c r="KE196" s="16"/>
      <c r="KF196" s="16"/>
      <c r="KG196" s="16"/>
      <c r="KH196" s="16"/>
      <c r="KK196" s="9"/>
      <c r="KL196" s="16"/>
      <c r="KM196" s="16"/>
      <c r="KN196" s="16"/>
      <c r="KO196" s="16"/>
      <c r="KP196" s="16"/>
      <c r="KQ196" s="16"/>
      <c r="KR196" s="16"/>
      <c r="KS196" s="16"/>
      <c r="KT196" s="16"/>
      <c r="KU196" s="16"/>
      <c r="KV196" s="16"/>
      <c r="KW196" s="16"/>
      <c r="KX196" s="16"/>
      <c r="KY196" s="16"/>
      <c r="KZ196" s="16"/>
      <c r="LA196" s="16"/>
      <c r="LB196" s="16"/>
      <c r="LC196" s="16"/>
      <c r="LD196" s="16"/>
      <c r="LE196" s="16"/>
      <c r="LF196" s="16"/>
      <c r="LI196" s="9"/>
      <c r="LJ196" s="16"/>
      <c r="LK196" s="16"/>
      <c r="LL196" s="16"/>
      <c r="LM196" s="16"/>
      <c r="LN196" s="16"/>
      <c r="LO196" s="16"/>
      <c r="LP196" s="16"/>
      <c r="LQ196" s="16"/>
      <c r="LR196" s="16"/>
      <c r="LS196" s="16"/>
      <c r="LT196" s="16"/>
      <c r="LU196" s="16"/>
      <c r="LV196" s="16"/>
      <c r="LW196" s="16"/>
      <c r="LX196" s="16"/>
      <c r="LY196" s="16"/>
      <c r="LZ196" s="16"/>
      <c r="MA196" s="16"/>
      <c r="MB196" s="16"/>
      <c r="MC196" s="16"/>
      <c r="MD196" s="16"/>
      <c r="MG196" s="9"/>
      <c r="MH196" s="16"/>
      <c r="MI196" s="16"/>
      <c r="MJ196" s="16"/>
      <c r="MK196" s="16"/>
      <c r="ML196" s="16"/>
      <c r="MM196" s="16"/>
      <c r="MN196" s="16"/>
      <c r="MO196" s="16"/>
      <c r="MP196" s="16"/>
      <c r="MQ196" s="16"/>
      <c r="MR196" s="16"/>
      <c r="MS196" s="16"/>
      <c r="MT196" s="16"/>
      <c r="MU196" s="16"/>
      <c r="MV196" s="16"/>
      <c r="MW196" s="16"/>
      <c r="MX196" s="16"/>
      <c r="MY196" s="16"/>
      <c r="MZ196" s="16"/>
      <c r="NA196" s="16"/>
      <c r="NB196" s="16"/>
      <c r="NE196" s="9"/>
      <c r="NF196" s="16"/>
      <c r="NG196" s="16"/>
      <c r="NH196" s="16"/>
      <c r="NI196" s="16"/>
      <c r="NJ196" s="16"/>
      <c r="NK196" s="16"/>
      <c r="NL196" s="16"/>
      <c r="NM196" s="16"/>
      <c r="NN196" s="16"/>
      <c r="NO196" s="16"/>
      <c r="NP196" s="16"/>
      <c r="NQ196" s="16"/>
      <c r="NR196" s="16"/>
      <c r="NS196" s="16"/>
      <c r="NT196" s="16"/>
      <c r="NU196" s="16"/>
      <c r="NV196" s="16"/>
      <c r="NW196" s="16"/>
      <c r="NX196" s="16"/>
      <c r="NY196" s="16"/>
      <c r="NZ196" s="16"/>
      <c r="OC196" s="9"/>
      <c r="OD196" s="16"/>
      <c r="OE196" s="16"/>
      <c r="OF196" s="16"/>
      <c r="OG196" s="16"/>
      <c r="OH196" s="16"/>
      <c r="OI196" s="16"/>
      <c r="OJ196" s="16"/>
      <c r="OK196" s="16"/>
      <c r="OL196" s="16"/>
      <c r="OM196" s="16"/>
      <c r="ON196" s="16"/>
      <c r="OO196" s="16"/>
      <c r="OP196" s="16"/>
      <c r="OQ196" s="16"/>
      <c r="OR196" s="16"/>
      <c r="OS196" s="16"/>
      <c r="OT196" s="16"/>
      <c r="OU196" s="16"/>
      <c r="OV196" s="16"/>
      <c r="OW196" s="16"/>
      <c r="OX196" s="16"/>
      <c r="PA196" s="9"/>
      <c r="PB196" s="16"/>
      <c r="PC196" s="16"/>
      <c r="PD196" s="16"/>
      <c r="PE196" s="16"/>
      <c r="PF196" s="16"/>
      <c r="PG196" s="16"/>
      <c r="PH196" s="16"/>
      <c r="PI196" s="16"/>
      <c r="PJ196" s="16"/>
      <c r="PK196" s="16"/>
      <c r="PL196" s="16"/>
      <c r="PM196" s="16"/>
      <c r="PN196" s="16"/>
      <c r="PO196" s="16"/>
      <c r="PP196" s="16"/>
      <c r="PQ196" s="16"/>
      <c r="PR196" s="16"/>
      <c r="PS196" s="16"/>
      <c r="PT196" s="16"/>
      <c r="PU196" s="16"/>
      <c r="PV196" s="16"/>
    </row>
    <row r="197" spans="3:438" x14ac:dyDescent="0.25">
      <c r="C197" s="1"/>
      <c r="D197" s="1"/>
      <c r="I197" s="9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G197" s="9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E197" s="9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C197" s="9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DA197" s="9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Y197" s="9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16"/>
      <c r="ER197" s="16"/>
      <c r="ES197" s="16"/>
      <c r="ET197" s="16"/>
      <c r="EW197" s="9"/>
      <c r="EX197" s="16"/>
      <c r="EY197" s="16"/>
      <c r="EZ197" s="16"/>
      <c r="FA197" s="16"/>
      <c r="FB197" s="16"/>
      <c r="FC197" s="16"/>
      <c r="FD197" s="16"/>
      <c r="FE197" s="16"/>
      <c r="FF197" s="16"/>
      <c r="FG197" s="16"/>
      <c r="FH197" s="16"/>
      <c r="FI197" s="16"/>
      <c r="FJ197" s="16"/>
      <c r="FK197" s="16"/>
      <c r="FL197" s="16"/>
      <c r="FM197" s="16"/>
      <c r="FN197" s="16"/>
      <c r="FO197" s="16"/>
      <c r="FP197" s="16"/>
      <c r="FQ197" s="16"/>
      <c r="FR197" s="16"/>
      <c r="FU197" s="9"/>
      <c r="FV197" s="16"/>
      <c r="FW197" s="16"/>
      <c r="FX197" s="16"/>
      <c r="FY197" s="16"/>
      <c r="FZ197" s="16"/>
      <c r="GA197" s="16"/>
      <c r="GB197" s="16"/>
      <c r="GC197" s="16"/>
      <c r="GD197" s="16"/>
      <c r="GE197" s="16"/>
      <c r="GF197" s="16"/>
      <c r="GG197" s="16"/>
      <c r="GH197" s="16"/>
      <c r="GI197" s="16"/>
      <c r="GJ197" s="16"/>
      <c r="GK197" s="16"/>
      <c r="GL197" s="16"/>
      <c r="GM197" s="16"/>
      <c r="GN197" s="16"/>
      <c r="GO197" s="16"/>
      <c r="GP197" s="16"/>
      <c r="GS197" s="9"/>
      <c r="GT197" s="16"/>
      <c r="GU197" s="16"/>
      <c r="GV197" s="16"/>
      <c r="GW197" s="16"/>
      <c r="GX197" s="16"/>
      <c r="GY197" s="16"/>
      <c r="GZ197" s="16"/>
      <c r="HA197" s="16"/>
      <c r="HB197" s="16"/>
      <c r="HC197" s="16"/>
      <c r="HD197" s="16"/>
      <c r="HE197" s="16"/>
      <c r="HF197" s="16"/>
      <c r="HG197" s="16"/>
      <c r="HH197" s="16"/>
      <c r="HI197" s="16"/>
      <c r="HJ197" s="16"/>
      <c r="HK197" s="16"/>
      <c r="HL197" s="16"/>
      <c r="HM197" s="16"/>
      <c r="HN197" s="16"/>
      <c r="HQ197" s="9"/>
      <c r="HR197" s="16"/>
      <c r="HS197" s="16"/>
      <c r="HT197" s="16"/>
      <c r="HU197" s="16"/>
      <c r="HV197" s="16"/>
      <c r="HW197" s="16"/>
      <c r="HX197" s="16"/>
      <c r="HY197" s="16"/>
      <c r="HZ197" s="16"/>
      <c r="IA197" s="16"/>
      <c r="IB197" s="16"/>
      <c r="IC197" s="16"/>
      <c r="ID197" s="16"/>
      <c r="IE197" s="16"/>
      <c r="IF197" s="16"/>
      <c r="IG197" s="16"/>
      <c r="IH197" s="16"/>
      <c r="II197" s="16"/>
      <c r="IJ197" s="16"/>
      <c r="IK197" s="16"/>
      <c r="IL197" s="16"/>
      <c r="IO197" s="9"/>
      <c r="IP197" s="16"/>
      <c r="IQ197" s="16"/>
      <c r="IR197" s="16"/>
      <c r="IS197" s="16"/>
      <c r="IT197" s="16"/>
      <c r="IU197" s="16"/>
      <c r="IV197" s="16"/>
      <c r="IW197" s="16"/>
      <c r="IX197" s="16"/>
      <c r="IY197" s="16"/>
      <c r="IZ197" s="16"/>
      <c r="JA197" s="16"/>
      <c r="JB197" s="16"/>
      <c r="JC197" s="16"/>
      <c r="JD197" s="16"/>
      <c r="JE197" s="16"/>
      <c r="JF197" s="16"/>
      <c r="JG197" s="16"/>
      <c r="JH197" s="16"/>
      <c r="JI197" s="16"/>
      <c r="JJ197" s="16"/>
      <c r="JM197" s="9"/>
      <c r="JN197" s="16"/>
      <c r="JO197" s="16"/>
      <c r="JP197" s="16"/>
      <c r="JQ197" s="16"/>
      <c r="JR197" s="16"/>
      <c r="JS197" s="16"/>
      <c r="JT197" s="16"/>
      <c r="JU197" s="16"/>
      <c r="JV197" s="16"/>
      <c r="JW197" s="16"/>
      <c r="JX197" s="16"/>
      <c r="JY197" s="16"/>
      <c r="JZ197" s="16"/>
      <c r="KA197" s="16"/>
      <c r="KB197" s="16"/>
      <c r="KC197" s="16"/>
      <c r="KD197" s="16"/>
      <c r="KE197" s="16"/>
      <c r="KF197" s="16"/>
      <c r="KG197" s="16"/>
      <c r="KH197" s="16"/>
      <c r="KK197" s="9"/>
      <c r="KL197" s="16"/>
      <c r="KM197" s="16"/>
      <c r="KN197" s="16"/>
      <c r="KO197" s="16"/>
      <c r="KP197" s="16"/>
      <c r="KQ197" s="16"/>
      <c r="KR197" s="16"/>
      <c r="KS197" s="16"/>
      <c r="KT197" s="16"/>
      <c r="KU197" s="16"/>
      <c r="KV197" s="16"/>
      <c r="KW197" s="16"/>
      <c r="KX197" s="16"/>
      <c r="KY197" s="16"/>
      <c r="KZ197" s="16"/>
      <c r="LA197" s="16"/>
      <c r="LB197" s="16"/>
      <c r="LC197" s="16"/>
      <c r="LD197" s="16"/>
      <c r="LE197" s="16"/>
      <c r="LF197" s="16"/>
      <c r="LI197" s="9"/>
      <c r="LJ197" s="16"/>
      <c r="LK197" s="16"/>
      <c r="LL197" s="16"/>
      <c r="LM197" s="16"/>
      <c r="LN197" s="16"/>
      <c r="LO197" s="16"/>
      <c r="LP197" s="16"/>
      <c r="LQ197" s="16"/>
      <c r="LR197" s="16"/>
      <c r="LS197" s="16"/>
      <c r="LT197" s="16"/>
      <c r="LU197" s="16"/>
      <c r="LV197" s="16"/>
      <c r="LW197" s="16"/>
      <c r="LX197" s="16"/>
      <c r="LY197" s="16"/>
      <c r="LZ197" s="16"/>
      <c r="MA197" s="16"/>
      <c r="MB197" s="16"/>
      <c r="MC197" s="16"/>
      <c r="MD197" s="16"/>
      <c r="MG197" s="9"/>
      <c r="MH197" s="16"/>
      <c r="MI197" s="16"/>
      <c r="MJ197" s="16"/>
      <c r="MK197" s="16"/>
      <c r="ML197" s="16"/>
      <c r="MM197" s="16"/>
      <c r="MN197" s="16"/>
      <c r="MO197" s="16"/>
      <c r="MP197" s="16"/>
      <c r="MQ197" s="16"/>
      <c r="MR197" s="16"/>
      <c r="MS197" s="16"/>
      <c r="MT197" s="16"/>
      <c r="MU197" s="16"/>
      <c r="MV197" s="16"/>
      <c r="MW197" s="16"/>
      <c r="MX197" s="16"/>
      <c r="MY197" s="16"/>
      <c r="MZ197" s="16"/>
      <c r="NA197" s="16"/>
      <c r="NB197" s="16"/>
      <c r="NE197" s="9"/>
      <c r="NF197" s="16"/>
      <c r="NG197" s="16"/>
      <c r="NH197" s="16"/>
      <c r="NI197" s="16"/>
      <c r="NJ197" s="16"/>
      <c r="NK197" s="16"/>
      <c r="NL197" s="16"/>
      <c r="NM197" s="16"/>
      <c r="NN197" s="16"/>
      <c r="NO197" s="16"/>
      <c r="NP197" s="16"/>
      <c r="NQ197" s="16"/>
      <c r="NR197" s="16"/>
      <c r="NS197" s="16"/>
      <c r="NT197" s="16"/>
      <c r="NU197" s="16"/>
      <c r="NV197" s="16"/>
      <c r="NW197" s="16"/>
      <c r="NX197" s="16"/>
      <c r="NY197" s="16"/>
      <c r="NZ197" s="16"/>
      <c r="OC197" s="9"/>
      <c r="OD197" s="16"/>
      <c r="OE197" s="16"/>
      <c r="OF197" s="16"/>
      <c r="OG197" s="16"/>
      <c r="OH197" s="16"/>
      <c r="OI197" s="16"/>
      <c r="OJ197" s="16"/>
      <c r="OK197" s="16"/>
      <c r="OL197" s="16"/>
      <c r="OM197" s="16"/>
      <c r="ON197" s="16"/>
      <c r="OO197" s="16"/>
      <c r="OP197" s="16"/>
      <c r="OQ197" s="16"/>
      <c r="OR197" s="16"/>
      <c r="OS197" s="16"/>
      <c r="OT197" s="16"/>
      <c r="OU197" s="16"/>
      <c r="OV197" s="16"/>
      <c r="OW197" s="16"/>
      <c r="OX197" s="16"/>
      <c r="PA197" s="9"/>
      <c r="PB197" s="16"/>
      <c r="PC197" s="16"/>
      <c r="PD197" s="16"/>
      <c r="PE197" s="16"/>
      <c r="PF197" s="16"/>
      <c r="PG197" s="16"/>
      <c r="PH197" s="16"/>
      <c r="PI197" s="16"/>
      <c r="PJ197" s="16"/>
      <c r="PK197" s="16"/>
      <c r="PL197" s="16"/>
      <c r="PM197" s="16"/>
      <c r="PN197" s="16"/>
      <c r="PO197" s="16"/>
      <c r="PP197" s="16"/>
      <c r="PQ197" s="16"/>
      <c r="PR197" s="16"/>
      <c r="PS197" s="16"/>
      <c r="PT197" s="16"/>
      <c r="PU197" s="16"/>
      <c r="PV197" s="16"/>
    </row>
    <row r="198" spans="3:438" x14ac:dyDescent="0.25">
      <c r="C198" s="1"/>
      <c r="D198" s="1"/>
      <c r="I198" s="9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G198" s="9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E198" s="9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C198" s="9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DA198" s="9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Y198" s="9"/>
      <c r="DZ198" s="16"/>
      <c r="EA198" s="16"/>
      <c r="EB198" s="16"/>
      <c r="EC198" s="16"/>
      <c r="ED198" s="16"/>
      <c r="EE198" s="16"/>
      <c r="EF198" s="16"/>
      <c r="EG198" s="16"/>
      <c r="EH198" s="16"/>
      <c r="EI198" s="16"/>
      <c r="EJ198" s="16"/>
      <c r="EK198" s="16"/>
      <c r="EL198" s="16"/>
      <c r="EM198" s="16"/>
      <c r="EN198" s="16"/>
      <c r="EO198" s="16"/>
      <c r="EP198" s="16"/>
      <c r="EQ198" s="16"/>
      <c r="ER198" s="16"/>
      <c r="ES198" s="16"/>
      <c r="ET198" s="16"/>
      <c r="EW198" s="9"/>
      <c r="EX198" s="16"/>
      <c r="EY198" s="16"/>
      <c r="EZ198" s="16"/>
      <c r="FA198" s="16"/>
      <c r="FB198" s="16"/>
      <c r="FC198" s="16"/>
      <c r="FD198" s="16"/>
      <c r="FE198" s="16"/>
      <c r="FF198" s="16"/>
      <c r="FG198" s="16"/>
      <c r="FH198" s="16"/>
      <c r="FI198" s="16"/>
      <c r="FJ198" s="16"/>
      <c r="FK198" s="16"/>
      <c r="FL198" s="16"/>
      <c r="FM198" s="16"/>
      <c r="FN198" s="16"/>
      <c r="FO198" s="16"/>
      <c r="FP198" s="16"/>
      <c r="FQ198" s="16"/>
      <c r="FR198" s="16"/>
      <c r="FU198" s="9"/>
      <c r="FV198" s="16"/>
      <c r="FW198" s="16"/>
      <c r="FX198" s="16"/>
      <c r="FY198" s="16"/>
      <c r="FZ198" s="16"/>
      <c r="GA198" s="16"/>
      <c r="GB198" s="16"/>
      <c r="GC198" s="16"/>
      <c r="GD198" s="16"/>
      <c r="GE198" s="16"/>
      <c r="GF198" s="16"/>
      <c r="GG198" s="16"/>
      <c r="GH198" s="16"/>
      <c r="GI198" s="16"/>
      <c r="GJ198" s="16"/>
      <c r="GK198" s="16"/>
      <c r="GL198" s="16"/>
      <c r="GM198" s="16"/>
      <c r="GN198" s="16"/>
      <c r="GO198" s="16"/>
      <c r="GP198" s="16"/>
      <c r="GS198" s="9"/>
      <c r="GT198" s="16"/>
      <c r="GU198" s="16"/>
      <c r="GV198" s="16"/>
      <c r="GW198" s="16"/>
      <c r="GX198" s="16"/>
      <c r="GY198" s="16"/>
      <c r="GZ198" s="16"/>
      <c r="HA198" s="16"/>
      <c r="HB198" s="16"/>
      <c r="HC198" s="16"/>
      <c r="HD198" s="16"/>
      <c r="HE198" s="16"/>
      <c r="HF198" s="16"/>
      <c r="HG198" s="16"/>
      <c r="HH198" s="16"/>
      <c r="HI198" s="16"/>
      <c r="HJ198" s="16"/>
      <c r="HK198" s="16"/>
      <c r="HL198" s="16"/>
      <c r="HM198" s="16"/>
      <c r="HN198" s="16"/>
      <c r="HQ198" s="9"/>
      <c r="HR198" s="16"/>
      <c r="HS198" s="16"/>
      <c r="HT198" s="16"/>
      <c r="HU198" s="16"/>
      <c r="HV198" s="16"/>
      <c r="HW198" s="16"/>
      <c r="HX198" s="16"/>
      <c r="HY198" s="16"/>
      <c r="HZ198" s="16"/>
      <c r="IA198" s="16"/>
      <c r="IB198" s="16"/>
      <c r="IC198" s="16"/>
      <c r="ID198" s="16"/>
      <c r="IE198" s="16"/>
      <c r="IF198" s="16"/>
      <c r="IG198" s="16"/>
      <c r="IH198" s="16"/>
      <c r="II198" s="16"/>
      <c r="IJ198" s="16"/>
      <c r="IK198" s="16"/>
      <c r="IL198" s="16"/>
      <c r="IO198" s="9"/>
      <c r="IP198" s="16"/>
      <c r="IQ198" s="16"/>
      <c r="IR198" s="16"/>
      <c r="IS198" s="16"/>
      <c r="IT198" s="16"/>
      <c r="IU198" s="16"/>
      <c r="IV198" s="16"/>
      <c r="IW198" s="16"/>
      <c r="IX198" s="16"/>
      <c r="IY198" s="16"/>
      <c r="IZ198" s="16"/>
      <c r="JA198" s="16"/>
      <c r="JB198" s="16"/>
      <c r="JC198" s="16"/>
      <c r="JD198" s="16"/>
      <c r="JE198" s="16"/>
      <c r="JF198" s="16"/>
      <c r="JG198" s="16"/>
      <c r="JH198" s="16"/>
      <c r="JI198" s="16"/>
      <c r="JJ198" s="16"/>
      <c r="JM198" s="9"/>
      <c r="JN198" s="16"/>
      <c r="JO198" s="16"/>
      <c r="JP198" s="16"/>
      <c r="JQ198" s="16"/>
      <c r="JR198" s="16"/>
      <c r="JS198" s="16"/>
      <c r="JT198" s="16"/>
      <c r="JU198" s="16"/>
      <c r="JV198" s="16"/>
      <c r="JW198" s="16"/>
      <c r="JX198" s="16"/>
      <c r="JY198" s="16"/>
      <c r="JZ198" s="16"/>
      <c r="KA198" s="16"/>
      <c r="KB198" s="16"/>
      <c r="KC198" s="16"/>
      <c r="KD198" s="16"/>
      <c r="KE198" s="16"/>
      <c r="KF198" s="16"/>
      <c r="KG198" s="16"/>
      <c r="KH198" s="16"/>
      <c r="KK198" s="9"/>
      <c r="KL198" s="16"/>
      <c r="KM198" s="16"/>
      <c r="KN198" s="16"/>
      <c r="KO198" s="16"/>
      <c r="KP198" s="16"/>
      <c r="KQ198" s="16"/>
      <c r="KR198" s="16"/>
      <c r="KS198" s="16"/>
      <c r="KT198" s="16"/>
      <c r="KU198" s="16"/>
      <c r="KV198" s="16"/>
      <c r="KW198" s="16"/>
      <c r="KX198" s="16"/>
      <c r="KY198" s="16"/>
      <c r="KZ198" s="16"/>
      <c r="LA198" s="16"/>
      <c r="LB198" s="16"/>
      <c r="LC198" s="16"/>
      <c r="LD198" s="16"/>
      <c r="LE198" s="16"/>
      <c r="LF198" s="16"/>
      <c r="LI198" s="9"/>
      <c r="LJ198" s="16"/>
      <c r="LK198" s="16"/>
      <c r="LL198" s="16"/>
      <c r="LM198" s="16"/>
      <c r="LN198" s="16"/>
      <c r="LO198" s="16"/>
      <c r="LP198" s="16"/>
      <c r="LQ198" s="16"/>
      <c r="LR198" s="16"/>
      <c r="LS198" s="16"/>
      <c r="LT198" s="16"/>
      <c r="LU198" s="16"/>
      <c r="LV198" s="16"/>
      <c r="LW198" s="16"/>
      <c r="LX198" s="16"/>
      <c r="LY198" s="16"/>
      <c r="LZ198" s="16"/>
      <c r="MA198" s="16"/>
      <c r="MB198" s="16"/>
      <c r="MC198" s="16"/>
      <c r="MD198" s="16"/>
      <c r="MG198" s="9"/>
      <c r="MH198" s="16"/>
      <c r="MI198" s="16"/>
      <c r="MJ198" s="16"/>
      <c r="MK198" s="16"/>
      <c r="ML198" s="16"/>
      <c r="MM198" s="16"/>
      <c r="MN198" s="16"/>
      <c r="MO198" s="16"/>
      <c r="MP198" s="16"/>
      <c r="MQ198" s="16"/>
      <c r="MR198" s="16"/>
      <c r="MS198" s="16"/>
      <c r="MT198" s="16"/>
      <c r="MU198" s="16"/>
      <c r="MV198" s="16"/>
      <c r="MW198" s="16"/>
      <c r="MX198" s="16"/>
      <c r="MY198" s="16"/>
      <c r="MZ198" s="16"/>
      <c r="NA198" s="16"/>
      <c r="NB198" s="16"/>
      <c r="NE198" s="9"/>
      <c r="NF198" s="16"/>
      <c r="NG198" s="16"/>
      <c r="NH198" s="16"/>
      <c r="NI198" s="16"/>
      <c r="NJ198" s="16"/>
      <c r="NK198" s="16"/>
      <c r="NL198" s="16"/>
      <c r="NM198" s="16"/>
      <c r="NN198" s="16"/>
      <c r="NO198" s="16"/>
      <c r="NP198" s="16"/>
      <c r="NQ198" s="16"/>
      <c r="NR198" s="16"/>
      <c r="NS198" s="16"/>
      <c r="NT198" s="16"/>
      <c r="NU198" s="16"/>
      <c r="NV198" s="16"/>
      <c r="NW198" s="16"/>
      <c r="NX198" s="16"/>
      <c r="NY198" s="16"/>
      <c r="NZ198" s="16"/>
      <c r="OC198" s="9"/>
      <c r="OD198" s="16"/>
      <c r="OE198" s="16"/>
      <c r="OF198" s="16"/>
      <c r="OG198" s="16"/>
      <c r="OH198" s="16"/>
      <c r="OI198" s="16"/>
      <c r="OJ198" s="16"/>
      <c r="OK198" s="16"/>
      <c r="OL198" s="16"/>
      <c r="OM198" s="16"/>
      <c r="ON198" s="16"/>
      <c r="OO198" s="16"/>
      <c r="OP198" s="16"/>
      <c r="OQ198" s="16"/>
      <c r="OR198" s="16"/>
      <c r="OS198" s="16"/>
      <c r="OT198" s="16"/>
      <c r="OU198" s="16"/>
      <c r="OV198" s="16"/>
      <c r="OW198" s="16"/>
      <c r="OX198" s="16"/>
      <c r="PA198" s="9"/>
      <c r="PB198" s="16"/>
      <c r="PC198" s="16"/>
      <c r="PD198" s="16"/>
      <c r="PE198" s="16"/>
      <c r="PF198" s="16"/>
      <c r="PG198" s="16"/>
      <c r="PH198" s="16"/>
      <c r="PI198" s="16"/>
      <c r="PJ198" s="16"/>
      <c r="PK198" s="16"/>
      <c r="PL198" s="16"/>
      <c r="PM198" s="16"/>
      <c r="PN198" s="16"/>
      <c r="PO198" s="16"/>
      <c r="PP198" s="16"/>
      <c r="PQ198" s="16"/>
      <c r="PR198" s="16"/>
      <c r="PS198" s="16"/>
      <c r="PT198" s="16"/>
      <c r="PU198" s="16"/>
      <c r="PV198" s="16"/>
    </row>
    <row r="199" spans="3:438" x14ac:dyDescent="0.25">
      <c r="C199" s="1"/>
      <c r="D199" s="1"/>
      <c r="I199" s="9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G199" s="9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E199" s="9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C199" s="9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DA199" s="9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Y199" s="9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W199" s="9"/>
      <c r="EX199" s="16"/>
      <c r="EY199" s="16"/>
      <c r="EZ199" s="16"/>
      <c r="FA199" s="16"/>
      <c r="FB199" s="16"/>
      <c r="FC199" s="16"/>
      <c r="FD199" s="16"/>
      <c r="FE199" s="16"/>
      <c r="FF199" s="16"/>
      <c r="FG199" s="16"/>
      <c r="FH199" s="16"/>
      <c r="FI199" s="16"/>
      <c r="FJ199" s="16"/>
      <c r="FK199" s="16"/>
      <c r="FL199" s="16"/>
      <c r="FM199" s="16"/>
      <c r="FN199" s="16"/>
      <c r="FO199" s="16"/>
      <c r="FP199" s="16"/>
      <c r="FQ199" s="16"/>
      <c r="FR199" s="16"/>
      <c r="FU199" s="9"/>
      <c r="FV199" s="16"/>
      <c r="FW199" s="16"/>
      <c r="FX199" s="16"/>
      <c r="FY199" s="16"/>
      <c r="FZ199" s="16"/>
      <c r="GA199" s="16"/>
      <c r="GB199" s="16"/>
      <c r="GC199" s="16"/>
      <c r="GD199" s="16"/>
      <c r="GE199" s="16"/>
      <c r="GF199" s="16"/>
      <c r="GG199" s="16"/>
      <c r="GH199" s="16"/>
      <c r="GI199" s="16"/>
      <c r="GJ199" s="16"/>
      <c r="GK199" s="16"/>
      <c r="GL199" s="16"/>
      <c r="GM199" s="16"/>
      <c r="GN199" s="16"/>
      <c r="GO199" s="16"/>
      <c r="GP199" s="16"/>
      <c r="GS199" s="9"/>
      <c r="GT199" s="16"/>
      <c r="GU199" s="16"/>
      <c r="GV199" s="16"/>
      <c r="GW199" s="16"/>
      <c r="GX199" s="16"/>
      <c r="GY199" s="16"/>
      <c r="GZ199" s="16"/>
      <c r="HA199" s="16"/>
      <c r="HB199" s="16"/>
      <c r="HC199" s="16"/>
      <c r="HD199" s="16"/>
      <c r="HE199" s="16"/>
      <c r="HF199" s="16"/>
      <c r="HG199" s="16"/>
      <c r="HH199" s="16"/>
      <c r="HI199" s="16"/>
      <c r="HJ199" s="16"/>
      <c r="HK199" s="16"/>
      <c r="HL199" s="16"/>
      <c r="HM199" s="16"/>
      <c r="HN199" s="16"/>
      <c r="HQ199" s="9"/>
      <c r="HR199" s="16"/>
      <c r="HS199" s="16"/>
      <c r="HT199" s="16"/>
      <c r="HU199" s="16"/>
      <c r="HV199" s="16"/>
      <c r="HW199" s="16"/>
      <c r="HX199" s="16"/>
      <c r="HY199" s="16"/>
      <c r="HZ199" s="16"/>
      <c r="IA199" s="16"/>
      <c r="IB199" s="16"/>
      <c r="IC199" s="16"/>
      <c r="ID199" s="16"/>
      <c r="IE199" s="16"/>
      <c r="IF199" s="16"/>
      <c r="IG199" s="16"/>
      <c r="IH199" s="16"/>
      <c r="II199" s="16"/>
      <c r="IJ199" s="16"/>
      <c r="IK199" s="16"/>
      <c r="IL199" s="16"/>
      <c r="IO199" s="9"/>
      <c r="IP199" s="16"/>
      <c r="IQ199" s="16"/>
      <c r="IR199" s="16"/>
      <c r="IS199" s="16"/>
      <c r="IT199" s="16"/>
      <c r="IU199" s="16"/>
      <c r="IV199" s="16"/>
      <c r="IW199" s="16"/>
      <c r="IX199" s="16"/>
      <c r="IY199" s="16"/>
      <c r="IZ199" s="16"/>
      <c r="JA199" s="16"/>
      <c r="JB199" s="16"/>
      <c r="JC199" s="16"/>
      <c r="JD199" s="16"/>
      <c r="JE199" s="16"/>
      <c r="JF199" s="16"/>
      <c r="JG199" s="16"/>
      <c r="JH199" s="16"/>
      <c r="JI199" s="16"/>
      <c r="JJ199" s="16"/>
      <c r="JM199" s="9"/>
      <c r="JN199" s="16"/>
      <c r="JO199" s="16"/>
      <c r="JP199" s="16"/>
      <c r="JQ199" s="16"/>
      <c r="JR199" s="16"/>
      <c r="JS199" s="16"/>
      <c r="JT199" s="16"/>
      <c r="JU199" s="16"/>
      <c r="JV199" s="16"/>
      <c r="JW199" s="16"/>
      <c r="JX199" s="16"/>
      <c r="JY199" s="16"/>
      <c r="JZ199" s="16"/>
      <c r="KA199" s="16"/>
      <c r="KB199" s="16"/>
      <c r="KC199" s="16"/>
      <c r="KD199" s="16"/>
      <c r="KE199" s="16"/>
      <c r="KF199" s="16"/>
      <c r="KG199" s="16"/>
      <c r="KH199" s="16"/>
      <c r="KK199" s="9"/>
      <c r="KL199" s="16"/>
      <c r="KM199" s="16"/>
      <c r="KN199" s="16"/>
      <c r="KO199" s="16"/>
      <c r="KP199" s="16"/>
      <c r="KQ199" s="16"/>
      <c r="KR199" s="16"/>
      <c r="KS199" s="16"/>
      <c r="KT199" s="16"/>
      <c r="KU199" s="16"/>
      <c r="KV199" s="16"/>
      <c r="KW199" s="16"/>
      <c r="KX199" s="16"/>
      <c r="KY199" s="16"/>
      <c r="KZ199" s="16"/>
      <c r="LA199" s="16"/>
      <c r="LB199" s="16"/>
      <c r="LC199" s="16"/>
      <c r="LD199" s="16"/>
      <c r="LE199" s="16"/>
      <c r="LF199" s="16"/>
      <c r="LI199" s="9"/>
      <c r="LJ199" s="16"/>
      <c r="LK199" s="16"/>
      <c r="LL199" s="16"/>
      <c r="LM199" s="16"/>
      <c r="LN199" s="16"/>
      <c r="LO199" s="16"/>
      <c r="LP199" s="16"/>
      <c r="LQ199" s="16"/>
      <c r="LR199" s="16"/>
      <c r="LS199" s="16"/>
      <c r="LT199" s="16"/>
      <c r="LU199" s="16"/>
      <c r="LV199" s="16"/>
      <c r="LW199" s="16"/>
      <c r="LX199" s="16"/>
      <c r="LY199" s="16"/>
      <c r="LZ199" s="16"/>
      <c r="MA199" s="16"/>
      <c r="MB199" s="16"/>
      <c r="MC199" s="16"/>
      <c r="MD199" s="16"/>
      <c r="MG199" s="9"/>
      <c r="MH199" s="16"/>
      <c r="MI199" s="16"/>
      <c r="MJ199" s="16"/>
      <c r="MK199" s="16"/>
      <c r="ML199" s="16"/>
      <c r="MM199" s="16"/>
      <c r="MN199" s="16"/>
      <c r="MO199" s="16"/>
      <c r="MP199" s="16"/>
      <c r="MQ199" s="16"/>
      <c r="MR199" s="16"/>
      <c r="MS199" s="16"/>
      <c r="MT199" s="16"/>
      <c r="MU199" s="16"/>
      <c r="MV199" s="16"/>
      <c r="MW199" s="16"/>
      <c r="MX199" s="16"/>
      <c r="MY199" s="16"/>
      <c r="MZ199" s="16"/>
      <c r="NA199" s="16"/>
      <c r="NB199" s="16"/>
      <c r="NE199" s="9"/>
      <c r="NF199" s="16"/>
      <c r="NG199" s="16"/>
      <c r="NH199" s="16"/>
      <c r="NI199" s="16"/>
      <c r="NJ199" s="16"/>
      <c r="NK199" s="16"/>
      <c r="NL199" s="16"/>
      <c r="NM199" s="16"/>
      <c r="NN199" s="16"/>
      <c r="NO199" s="16"/>
      <c r="NP199" s="16"/>
      <c r="NQ199" s="16"/>
      <c r="NR199" s="16"/>
      <c r="NS199" s="16"/>
      <c r="NT199" s="16"/>
      <c r="NU199" s="16"/>
      <c r="NV199" s="16"/>
      <c r="NW199" s="16"/>
      <c r="NX199" s="16"/>
      <c r="NY199" s="16"/>
      <c r="NZ199" s="16"/>
      <c r="OC199" s="9"/>
      <c r="OD199" s="16"/>
      <c r="OE199" s="16"/>
      <c r="OF199" s="16"/>
      <c r="OG199" s="16"/>
      <c r="OH199" s="16"/>
      <c r="OI199" s="16"/>
      <c r="OJ199" s="16"/>
      <c r="OK199" s="16"/>
      <c r="OL199" s="16"/>
      <c r="OM199" s="16"/>
      <c r="ON199" s="16"/>
      <c r="OO199" s="16"/>
      <c r="OP199" s="16"/>
      <c r="OQ199" s="16"/>
      <c r="OR199" s="16"/>
      <c r="OS199" s="16"/>
      <c r="OT199" s="16"/>
      <c r="OU199" s="16"/>
      <c r="OV199" s="16"/>
      <c r="OW199" s="16"/>
      <c r="OX199" s="16"/>
      <c r="PA199" s="9"/>
      <c r="PB199" s="16"/>
      <c r="PC199" s="16"/>
      <c r="PD199" s="16"/>
      <c r="PE199" s="16"/>
      <c r="PF199" s="16"/>
      <c r="PG199" s="16"/>
      <c r="PH199" s="16"/>
      <c r="PI199" s="16"/>
      <c r="PJ199" s="16"/>
      <c r="PK199" s="16"/>
      <c r="PL199" s="16"/>
      <c r="PM199" s="16"/>
      <c r="PN199" s="16"/>
      <c r="PO199" s="16"/>
      <c r="PP199" s="16"/>
      <c r="PQ199" s="16"/>
      <c r="PR199" s="16"/>
      <c r="PS199" s="16"/>
      <c r="PT199" s="16"/>
      <c r="PU199" s="16"/>
      <c r="PV199" s="16"/>
    </row>
    <row r="200" spans="3:438" x14ac:dyDescent="0.25">
      <c r="C200" s="1"/>
      <c r="D200" s="1"/>
      <c r="I200" s="9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G200" s="9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E200" s="9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C200" s="9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DA200" s="9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Y200" s="9"/>
      <c r="DZ200" s="16"/>
      <c r="EA200" s="16"/>
      <c r="EB200" s="16"/>
      <c r="EC200" s="16"/>
      <c r="ED200" s="16"/>
      <c r="EE200" s="16"/>
      <c r="EF200" s="16"/>
      <c r="EG200" s="16"/>
      <c r="EH200" s="16"/>
      <c r="EI200" s="16"/>
      <c r="EJ200" s="16"/>
      <c r="EK200" s="16"/>
      <c r="EL200" s="16"/>
      <c r="EM200" s="16"/>
      <c r="EN200" s="16"/>
      <c r="EO200" s="16"/>
      <c r="EP200" s="16"/>
      <c r="EQ200" s="16"/>
      <c r="ER200" s="16"/>
      <c r="ES200" s="16"/>
      <c r="ET200" s="16"/>
      <c r="EW200" s="9"/>
      <c r="EX200" s="16"/>
      <c r="EY200" s="16"/>
      <c r="EZ200" s="16"/>
      <c r="FA200" s="16"/>
      <c r="FB200" s="16"/>
      <c r="FC200" s="16"/>
      <c r="FD200" s="16"/>
      <c r="FE200" s="16"/>
      <c r="FF200" s="16"/>
      <c r="FG200" s="16"/>
      <c r="FH200" s="16"/>
      <c r="FI200" s="16"/>
      <c r="FJ200" s="16"/>
      <c r="FK200" s="16"/>
      <c r="FL200" s="16"/>
      <c r="FM200" s="16"/>
      <c r="FN200" s="16"/>
      <c r="FO200" s="16"/>
      <c r="FP200" s="16"/>
      <c r="FQ200" s="16"/>
      <c r="FR200" s="16"/>
      <c r="FU200" s="9"/>
      <c r="FV200" s="16"/>
      <c r="FW200" s="16"/>
      <c r="FX200" s="16"/>
      <c r="FY200" s="16"/>
      <c r="FZ200" s="16"/>
      <c r="GA200" s="16"/>
      <c r="GB200" s="16"/>
      <c r="GC200" s="16"/>
      <c r="GD200" s="16"/>
      <c r="GE200" s="16"/>
      <c r="GF200" s="16"/>
      <c r="GG200" s="16"/>
      <c r="GH200" s="16"/>
      <c r="GI200" s="16"/>
      <c r="GJ200" s="16"/>
      <c r="GK200" s="16"/>
      <c r="GL200" s="16"/>
      <c r="GM200" s="16"/>
      <c r="GN200" s="16"/>
      <c r="GO200" s="16"/>
      <c r="GP200" s="16"/>
      <c r="GS200" s="9"/>
      <c r="GT200" s="16"/>
      <c r="GU200" s="16"/>
      <c r="GV200" s="16"/>
      <c r="GW200" s="16"/>
      <c r="GX200" s="16"/>
      <c r="GY200" s="16"/>
      <c r="GZ200" s="16"/>
      <c r="HA200" s="16"/>
      <c r="HB200" s="16"/>
      <c r="HC200" s="16"/>
      <c r="HD200" s="16"/>
      <c r="HE200" s="16"/>
      <c r="HF200" s="16"/>
      <c r="HG200" s="16"/>
      <c r="HH200" s="16"/>
      <c r="HI200" s="16"/>
      <c r="HJ200" s="16"/>
      <c r="HK200" s="16"/>
      <c r="HL200" s="16"/>
      <c r="HM200" s="16"/>
      <c r="HN200" s="16"/>
      <c r="HQ200" s="9"/>
      <c r="HR200" s="16"/>
      <c r="HS200" s="16"/>
      <c r="HT200" s="16"/>
      <c r="HU200" s="16"/>
      <c r="HV200" s="16"/>
      <c r="HW200" s="16"/>
      <c r="HX200" s="16"/>
      <c r="HY200" s="16"/>
      <c r="HZ200" s="16"/>
      <c r="IA200" s="16"/>
      <c r="IB200" s="16"/>
      <c r="IC200" s="16"/>
      <c r="ID200" s="16"/>
      <c r="IE200" s="16"/>
      <c r="IF200" s="16"/>
      <c r="IG200" s="16"/>
      <c r="IH200" s="16"/>
      <c r="II200" s="16"/>
      <c r="IJ200" s="16"/>
      <c r="IK200" s="16"/>
      <c r="IL200" s="16"/>
      <c r="IO200" s="9"/>
      <c r="IP200" s="16"/>
      <c r="IQ200" s="16"/>
      <c r="IR200" s="16"/>
      <c r="IS200" s="16"/>
      <c r="IT200" s="16"/>
      <c r="IU200" s="16"/>
      <c r="IV200" s="16"/>
      <c r="IW200" s="16"/>
      <c r="IX200" s="16"/>
      <c r="IY200" s="16"/>
      <c r="IZ200" s="16"/>
      <c r="JA200" s="16"/>
      <c r="JB200" s="16"/>
      <c r="JC200" s="16"/>
      <c r="JD200" s="16"/>
      <c r="JE200" s="16"/>
      <c r="JF200" s="16"/>
      <c r="JG200" s="16"/>
      <c r="JH200" s="16"/>
      <c r="JI200" s="16"/>
      <c r="JJ200" s="16"/>
      <c r="JM200" s="9"/>
      <c r="JN200" s="16"/>
      <c r="JO200" s="16"/>
      <c r="JP200" s="16"/>
      <c r="JQ200" s="16"/>
      <c r="JR200" s="16"/>
      <c r="JS200" s="16"/>
      <c r="JT200" s="16"/>
      <c r="JU200" s="16"/>
      <c r="JV200" s="16"/>
      <c r="JW200" s="16"/>
      <c r="JX200" s="16"/>
      <c r="JY200" s="16"/>
      <c r="JZ200" s="16"/>
      <c r="KA200" s="16"/>
      <c r="KB200" s="16"/>
      <c r="KC200" s="16"/>
      <c r="KD200" s="16"/>
      <c r="KE200" s="16"/>
      <c r="KF200" s="16"/>
      <c r="KG200" s="16"/>
      <c r="KH200" s="16"/>
      <c r="KK200" s="9"/>
      <c r="KL200" s="16"/>
      <c r="KM200" s="16"/>
      <c r="KN200" s="16"/>
      <c r="KO200" s="16"/>
      <c r="KP200" s="16"/>
      <c r="KQ200" s="16"/>
      <c r="KR200" s="16"/>
      <c r="KS200" s="16"/>
      <c r="KT200" s="16"/>
      <c r="KU200" s="16"/>
      <c r="KV200" s="16"/>
      <c r="KW200" s="16"/>
      <c r="KX200" s="16"/>
      <c r="KY200" s="16"/>
      <c r="KZ200" s="16"/>
      <c r="LA200" s="16"/>
      <c r="LB200" s="16"/>
      <c r="LC200" s="16"/>
      <c r="LD200" s="16"/>
      <c r="LE200" s="16"/>
      <c r="LF200" s="16"/>
      <c r="LI200" s="9"/>
      <c r="LJ200" s="16"/>
      <c r="LK200" s="16"/>
      <c r="LL200" s="16"/>
      <c r="LM200" s="16"/>
      <c r="LN200" s="16"/>
      <c r="LO200" s="16"/>
      <c r="LP200" s="16"/>
      <c r="LQ200" s="16"/>
      <c r="LR200" s="16"/>
      <c r="LS200" s="16"/>
      <c r="LT200" s="16"/>
      <c r="LU200" s="16"/>
      <c r="LV200" s="16"/>
      <c r="LW200" s="16"/>
      <c r="LX200" s="16"/>
      <c r="LY200" s="16"/>
      <c r="LZ200" s="16"/>
      <c r="MA200" s="16"/>
      <c r="MB200" s="16"/>
      <c r="MC200" s="16"/>
      <c r="MD200" s="16"/>
      <c r="MG200" s="9"/>
      <c r="MH200" s="16"/>
      <c r="MI200" s="16"/>
      <c r="MJ200" s="16"/>
      <c r="MK200" s="16"/>
      <c r="ML200" s="16"/>
      <c r="MM200" s="16"/>
      <c r="MN200" s="16"/>
      <c r="MO200" s="16"/>
      <c r="MP200" s="16"/>
      <c r="MQ200" s="16"/>
      <c r="MR200" s="16"/>
      <c r="MS200" s="16"/>
      <c r="MT200" s="16"/>
      <c r="MU200" s="16"/>
      <c r="MV200" s="16"/>
      <c r="MW200" s="16"/>
      <c r="MX200" s="16"/>
      <c r="MY200" s="16"/>
      <c r="MZ200" s="16"/>
      <c r="NA200" s="16"/>
      <c r="NB200" s="16"/>
      <c r="NE200" s="9"/>
      <c r="NF200" s="16"/>
      <c r="NG200" s="16"/>
      <c r="NH200" s="16"/>
      <c r="NI200" s="16"/>
      <c r="NJ200" s="16"/>
      <c r="NK200" s="16"/>
      <c r="NL200" s="16"/>
      <c r="NM200" s="16"/>
      <c r="NN200" s="16"/>
      <c r="NO200" s="16"/>
      <c r="NP200" s="16"/>
      <c r="NQ200" s="16"/>
      <c r="NR200" s="16"/>
      <c r="NS200" s="16"/>
      <c r="NT200" s="16"/>
      <c r="NU200" s="16"/>
      <c r="NV200" s="16"/>
      <c r="NW200" s="16"/>
      <c r="NX200" s="16"/>
      <c r="NY200" s="16"/>
      <c r="NZ200" s="16"/>
      <c r="OC200" s="9"/>
      <c r="OD200" s="16"/>
      <c r="OE200" s="16"/>
      <c r="OF200" s="16"/>
      <c r="OG200" s="16"/>
      <c r="OH200" s="16"/>
      <c r="OI200" s="16"/>
      <c r="OJ200" s="16"/>
      <c r="OK200" s="16"/>
      <c r="OL200" s="16"/>
      <c r="OM200" s="16"/>
      <c r="ON200" s="16"/>
      <c r="OO200" s="16"/>
      <c r="OP200" s="16"/>
      <c r="OQ200" s="16"/>
      <c r="OR200" s="16"/>
      <c r="OS200" s="16"/>
      <c r="OT200" s="16"/>
      <c r="OU200" s="16"/>
      <c r="OV200" s="16"/>
      <c r="OW200" s="16"/>
      <c r="OX200" s="16"/>
      <c r="PA200" s="9"/>
      <c r="PB200" s="16"/>
      <c r="PC200" s="16"/>
      <c r="PD200" s="16"/>
      <c r="PE200" s="16"/>
      <c r="PF200" s="16"/>
      <c r="PG200" s="16"/>
      <c r="PH200" s="16"/>
      <c r="PI200" s="16"/>
      <c r="PJ200" s="16"/>
      <c r="PK200" s="16"/>
      <c r="PL200" s="16"/>
      <c r="PM200" s="16"/>
      <c r="PN200" s="16"/>
      <c r="PO200" s="16"/>
      <c r="PP200" s="16"/>
      <c r="PQ200" s="16"/>
      <c r="PR200" s="16"/>
      <c r="PS200" s="16"/>
      <c r="PT200" s="16"/>
      <c r="PU200" s="16"/>
      <c r="PV200" s="16"/>
    </row>
    <row r="201" spans="3:438" x14ac:dyDescent="0.25">
      <c r="C201" s="1"/>
      <c r="D201" s="1"/>
      <c r="I201" s="9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G201" s="9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E201" s="9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C201" s="9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DA201" s="9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Y201" s="9"/>
      <c r="DZ201" s="16"/>
      <c r="EA201" s="16"/>
      <c r="EB201" s="16"/>
      <c r="EC201" s="16"/>
      <c r="ED201" s="16"/>
      <c r="EE201" s="16"/>
      <c r="EF201" s="16"/>
      <c r="EG201" s="16"/>
      <c r="EH201" s="16"/>
      <c r="EI201" s="16"/>
      <c r="EJ201" s="16"/>
      <c r="EK201" s="16"/>
      <c r="EL201" s="16"/>
      <c r="EM201" s="16"/>
      <c r="EN201" s="16"/>
      <c r="EO201" s="16"/>
      <c r="EP201" s="16"/>
      <c r="EQ201" s="16"/>
      <c r="ER201" s="16"/>
      <c r="ES201" s="16"/>
      <c r="ET201" s="16"/>
      <c r="EW201" s="9"/>
      <c r="EX201" s="16"/>
      <c r="EY201" s="16"/>
      <c r="EZ201" s="16"/>
      <c r="FA201" s="16"/>
      <c r="FB201" s="16"/>
      <c r="FC201" s="16"/>
      <c r="FD201" s="16"/>
      <c r="FE201" s="16"/>
      <c r="FF201" s="16"/>
      <c r="FG201" s="16"/>
      <c r="FH201" s="16"/>
      <c r="FI201" s="16"/>
      <c r="FJ201" s="16"/>
      <c r="FK201" s="16"/>
      <c r="FL201" s="16"/>
      <c r="FM201" s="16"/>
      <c r="FN201" s="16"/>
      <c r="FO201" s="16"/>
      <c r="FP201" s="16"/>
      <c r="FQ201" s="16"/>
      <c r="FR201" s="16"/>
      <c r="FU201" s="9"/>
      <c r="FV201" s="16"/>
      <c r="FW201" s="16"/>
      <c r="FX201" s="16"/>
      <c r="FY201" s="16"/>
      <c r="FZ201" s="16"/>
      <c r="GA201" s="16"/>
      <c r="GB201" s="16"/>
      <c r="GC201" s="16"/>
      <c r="GD201" s="16"/>
      <c r="GE201" s="16"/>
      <c r="GF201" s="16"/>
      <c r="GG201" s="16"/>
      <c r="GH201" s="16"/>
      <c r="GI201" s="16"/>
      <c r="GJ201" s="16"/>
      <c r="GK201" s="16"/>
      <c r="GL201" s="16"/>
      <c r="GM201" s="16"/>
      <c r="GN201" s="16"/>
      <c r="GO201" s="16"/>
      <c r="GP201" s="16"/>
      <c r="GS201" s="9"/>
      <c r="GT201" s="16"/>
      <c r="GU201" s="16"/>
      <c r="GV201" s="16"/>
      <c r="GW201" s="16"/>
      <c r="GX201" s="16"/>
      <c r="GY201" s="16"/>
      <c r="GZ201" s="16"/>
      <c r="HA201" s="16"/>
      <c r="HB201" s="16"/>
      <c r="HC201" s="16"/>
      <c r="HD201" s="16"/>
      <c r="HE201" s="16"/>
      <c r="HF201" s="16"/>
      <c r="HG201" s="16"/>
      <c r="HH201" s="16"/>
      <c r="HI201" s="16"/>
      <c r="HJ201" s="16"/>
      <c r="HK201" s="16"/>
      <c r="HL201" s="16"/>
      <c r="HM201" s="16"/>
      <c r="HN201" s="16"/>
      <c r="HQ201" s="9"/>
      <c r="HR201" s="16"/>
      <c r="HS201" s="16"/>
      <c r="HT201" s="16"/>
      <c r="HU201" s="16"/>
      <c r="HV201" s="16"/>
      <c r="HW201" s="16"/>
      <c r="HX201" s="16"/>
      <c r="HY201" s="16"/>
      <c r="HZ201" s="16"/>
      <c r="IA201" s="16"/>
      <c r="IB201" s="16"/>
      <c r="IC201" s="16"/>
      <c r="ID201" s="16"/>
      <c r="IE201" s="16"/>
      <c r="IF201" s="16"/>
      <c r="IG201" s="16"/>
      <c r="IH201" s="16"/>
      <c r="II201" s="16"/>
      <c r="IJ201" s="16"/>
      <c r="IK201" s="16"/>
      <c r="IL201" s="16"/>
      <c r="IO201" s="9"/>
      <c r="IP201" s="16"/>
      <c r="IQ201" s="16"/>
      <c r="IR201" s="16"/>
      <c r="IS201" s="16"/>
      <c r="IT201" s="16"/>
      <c r="IU201" s="16"/>
      <c r="IV201" s="16"/>
      <c r="IW201" s="16"/>
      <c r="IX201" s="16"/>
      <c r="IY201" s="16"/>
      <c r="IZ201" s="16"/>
      <c r="JA201" s="16"/>
      <c r="JB201" s="16"/>
      <c r="JC201" s="16"/>
      <c r="JD201" s="16"/>
      <c r="JE201" s="16"/>
      <c r="JF201" s="16"/>
      <c r="JG201" s="16"/>
      <c r="JH201" s="16"/>
      <c r="JI201" s="16"/>
      <c r="JJ201" s="16"/>
      <c r="JM201" s="9"/>
      <c r="JN201" s="16"/>
      <c r="JO201" s="16"/>
      <c r="JP201" s="16"/>
      <c r="JQ201" s="16"/>
      <c r="JR201" s="16"/>
      <c r="JS201" s="16"/>
      <c r="JT201" s="16"/>
      <c r="JU201" s="16"/>
      <c r="JV201" s="16"/>
      <c r="JW201" s="16"/>
      <c r="JX201" s="16"/>
      <c r="JY201" s="16"/>
      <c r="JZ201" s="16"/>
      <c r="KA201" s="16"/>
      <c r="KB201" s="16"/>
      <c r="KC201" s="16"/>
      <c r="KD201" s="16"/>
      <c r="KE201" s="16"/>
      <c r="KF201" s="16"/>
      <c r="KG201" s="16"/>
      <c r="KH201" s="16"/>
      <c r="KK201" s="9"/>
      <c r="KL201" s="16"/>
      <c r="KM201" s="16"/>
      <c r="KN201" s="16"/>
      <c r="KO201" s="16"/>
      <c r="KP201" s="16"/>
      <c r="KQ201" s="16"/>
      <c r="KR201" s="16"/>
      <c r="KS201" s="16"/>
      <c r="KT201" s="16"/>
      <c r="KU201" s="16"/>
      <c r="KV201" s="16"/>
      <c r="KW201" s="16"/>
      <c r="KX201" s="16"/>
      <c r="KY201" s="16"/>
      <c r="KZ201" s="16"/>
      <c r="LA201" s="16"/>
      <c r="LB201" s="16"/>
      <c r="LC201" s="16"/>
      <c r="LD201" s="16"/>
      <c r="LE201" s="16"/>
      <c r="LF201" s="16"/>
      <c r="LI201" s="9"/>
      <c r="LJ201" s="16"/>
      <c r="LK201" s="16"/>
      <c r="LL201" s="16"/>
      <c r="LM201" s="16"/>
      <c r="LN201" s="16"/>
      <c r="LO201" s="16"/>
      <c r="LP201" s="16"/>
      <c r="LQ201" s="16"/>
      <c r="LR201" s="16"/>
      <c r="LS201" s="16"/>
      <c r="LT201" s="16"/>
      <c r="LU201" s="16"/>
      <c r="LV201" s="16"/>
      <c r="LW201" s="16"/>
      <c r="LX201" s="16"/>
      <c r="LY201" s="16"/>
      <c r="LZ201" s="16"/>
      <c r="MA201" s="16"/>
      <c r="MB201" s="16"/>
      <c r="MC201" s="16"/>
      <c r="MD201" s="16"/>
      <c r="MG201" s="9"/>
      <c r="MH201" s="16"/>
      <c r="MI201" s="16"/>
      <c r="MJ201" s="16"/>
      <c r="MK201" s="16"/>
      <c r="ML201" s="16"/>
      <c r="MM201" s="16"/>
      <c r="MN201" s="16"/>
      <c r="MO201" s="16"/>
      <c r="MP201" s="16"/>
      <c r="MQ201" s="16"/>
      <c r="MR201" s="16"/>
      <c r="MS201" s="16"/>
      <c r="MT201" s="16"/>
      <c r="MU201" s="16"/>
      <c r="MV201" s="16"/>
      <c r="MW201" s="16"/>
      <c r="MX201" s="16"/>
      <c r="MY201" s="16"/>
      <c r="MZ201" s="16"/>
      <c r="NA201" s="16"/>
      <c r="NB201" s="16"/>
      <c r="NE201" s="9"/>
      <c r="NF201" s="16"/>
      <c r="NG201" s="16"/>
      <c r="NH201" s="16"/>
      <c r="NI201" s="16"/>
      <c r="NJ201" s="16"/>
      <c r="NK201" s="16"/>
      <c r="NL201" s="16"/>
      <c r="NM201" s="16"/>
      <c r="NN201" s="16"/>
      <c r="NO201" s="16"/>
      <c r="NP201" s="16"/>
      <c r="NQ201" s="16"/>
      <c r="NR201" s="16"/>
      <c r="NS201" s="16"/>
      <c r="NT201" s="16"/>
      <c r="NU201" s="16"/>
      <c r="NV201" s="16"/>
      <c r="NW201" s="16"/>
      <c r="NX201" s="16"/>
      <c r="NY201" s="16"/>
      <c r="NZ201" s="16"/>
      <c r="OC201" s="9"/>
      <c r="OD201" s="16"/>
      <c r="OE201" s="16"/>
      <c r="OF201" s="16"/>
      <c r="OG201" s="16"/>
      <c r="OH201" s="16"/>
      <c r="OI201" s="16"/>
      <c r="OJ201" s="16"/>
      <c r="OK201" s="16"/>
      <c r="OL201" s="16"/>
      <c r="OM201" s="16"/>
      <c r="ON201" s="16"/>
      <c r="OO201" s="16"/>
      <c r="OP201" s="16"/>
      <c r="OQ201" s="16"/>
      <c r="OR201" s="16"/>
      <c r="OS201" s="16"/>
      <c r="OT201" s="16"/>
      <c r="OU201" s="16"/>
      <c r="OV201" s="16"/>
      <c r="OW201" s="16"/>
      <c r="OX201" s="16"/>
      <c r="PA201" s="9"/>
      <c r="PB201" s="16"/>
      <c r="PC201" s="16"/>
      <c r="PD201" s="16"/>
      <c r="PE201" s="16"/>
      <c r="PF201" s="16"/>
      <c r="PG201" s="16"/>
      <c r="PH201" s="16"/>
      <c r="PI201" s="16"/>
      <c r="PJ201" s="16"/>
      <c r="PK201" s="16"/>
      <c r="PL201" s="16"/>
      <c r="PM201" s="16"/>
      <c r="PN201" s="16"/>
      <c r="PO201" s="16"/>
      <c r="PP201" s="16"/>
      <c r="PQ201" s="16"/>
      <c r="PR201" s="16"/>
      <c r="PS201" s="16"/>
      <c r="PT201" s="16"/>
      <c r="PU201" s="16"/>
      <c r="PV201" s="16"/>
    </row>
    <row r="202" spans="3:438" x14ac:dyDescent="0.25">
      <c r="C202" s="1"/>
      <c r="D202" s="1"/>
      <c r="I202" s="9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G202" s="9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E202" s="9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C202" s="9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DA202" s="9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Y202" s="9"/>
      <c r="DZ202" s="16"/>
      <c r="EA202" s="16"/>
      <c r="EB202" s="16"/>
      <c r="EC202" s="16"/>
      <c r="ED202" s="16"/>
      <c r="EE202" s="16"/>
      <c r="EF202" s="16"/>
      <c r="EG202" s="16"/>
      <c r="EH202" s="16"/>
      <c r="EI202" s="16"/>
      <c r="EJ202" s="16"/>
      <c r="EK202" s="16"/>
      <c r="EL202" s="16"/>
      <c r="EM202" s="16"/>
      <c r="EN202" s="16"/>
      <c r="EO202" s="16"/>
      <c r="EP202" s="16"/>
      <c r="EQ202" s="16"/>
      <c r="ER202" s="16"/>
      <c r="ES202" s="16"/>
      <c r="ET202" s="16"/>
      <c r="EW202" s="9"/>
      <c r="EX202" s="16"/>
      <c r="EY202" s="16"/>
      <c r="EZ202" s="16"/>
      <c r="FA202" s="16"/>
      <c r="FB202" s="16"/>
      <c r="FC202" s="16"/>
      <c r="FD202" s="16"/>
      <c r="FE202" s="16"/>
      <c r="FF202" s="16"/>
      <c r="FG202" s="16"/>
      <c r="FH202" s="16"/>
      <c r="FI202" s="16"/>
      <c r="FJ202" s="16"/>
      <c r="FK202" s="16"/>
      <c r="FL202" s="16"/>
      <c r="FM202" s="16"/>
      <c r="FN202" s="16"/>
      <c r="FO202" s="16"/>
      <c r="FP202" s="16"/>
      <c r="FQ202" s="16"/>
      <c r="FR202" s="16"/>
      <c r="FU202" s="9"/>
      <c r="FV202" s="16"/>
      <c r="FW202" s="16"/>
      <c r="FX202" s="16"/>
      <c r="FY202" s="16"/>
      <c r="FZ202" s="16"/>
      <c r="GA202" s="16"/>
      <c r="GB202" s="16"/>
      <c r="GC202" s="16"/>
      <c r="GD202" s="16"/>
      <c r="GE202" s="16"/>
      <c r="GF202" s="16"/>
      <c r="GG202" s="16"/>
      <c r="GH202" s="16"/>
      <c r="GI202" s="16"/>
      <c r="GJ202" s="16"/>
      <c r="GK202" s="16"/>
      <c r="GL202" s="16"/>
      <c r="GM202" s="16"/>
      <c r="GN202" s="16"/>
      <c r="GO202" s="16"/>
      <c r="GP202" s="16"/>
      <c r="GS202" s="9"/>
      <c r="GT202" s="16"/>
      <c r="GU202" s="16"/>
      <c r="GV202" s="16"/>
      <c r="GW202" s="16"/>
      <c r="GX202" s="16"/>
      <c r="GY202" s="16"/>
      <c r="GZ202" s="16"/>
      <c r="HA202" s="16"/>
      <c r="HB202" s="16"/>
      <c r="HC202" s="16"/>
      <c r="HD202" s="16"/>
      <c r="HE202" s="16"/>
      <c r="HF202" s="16"/>
      <c r="HG202" s="16"/>
      <c r="HH202" s="16"/>
      <c r="HI202" s="16"/>
      <c r="HJ202" s="16"/>
      <c r="HK202" s="16"/>
      <c r="HL202" s="16"/>
      <c r="HM202" s="16"/>
      <c r="HN202" s="16"/>
      <c r="HQ202" s="9"/>
      <c r="HR202" s="16"/>
      <c r="HS202" s="16"/>
      <c r="HT202" s="16"/>
      <c r="HU202" s="16"/>
      <c r="HV202" s="16"/>
      <c r="HW202" s="16"/>
      <c r="HX202" s="16"/>
      <c r="HY202" s="16"/>
      <c r="HZ202" s="16"/>
      <c r="IA202" s="16"/>
      <c r="IB202" s="16"/>
      <c r="IC202" s="16"/>
      <c r="ID202" s="16"/>
      <c r="IE202" s="16"/>
      <c r="IF202" s="16"/>
      <c r="IG202" s="16"/>
      <c r="IH202" s="16"/>
      <c r="II202" s="16"/>
      <c r="IJ202" s="16"/>
      <c r="IK202" s="16"/>
      <c r="IL202" s="16"/>
      <c r="IO202" s="9"/>
      <c r="IP202" s="16"/>
      <c r="IQ202" s="16"/>
      <c r="IR202" s="16"/>
      <c r="IS202" s="16"/>
      <c r="IT202" s="16"/>
      <c r="IU202" s="16"/>
      <c r="IV202" s="16"/>
      <c r="IW202" s="16"/>
      <c r="IX202" s="16"/>
      <c r="IY202" s="16"/>
      <c r="IZ202" s="16"/>
      <c r="JA202" s="16"/>
      <c r="JB202" s="16"/>
      <c r="JC202" s="16"/>
      <c r="JD202" s="16"/>
      <c r="JE202" s="16"/>
      <c r="JF202" s="16"/>
      <c r="JG202" s="16"/>
      <c r="JH202" s="16"/>
      <c r="JI202" s="16"/>
      <c r="JJ202" s="16"/>
      <c r="JM202" s="9"/>
      <c r="JN202" s="16"/>
      <c r="JO202" s="16"/>
      <c r="JP202" s="16"/>
      <c r="JQ202" s="16"/>
      <c r="JR202" s="16"/>
      <c r="JS202" s="16"/>
      <c r="JT202" s="16"/>
      <c r="JU202" s="16"/>
      <c r="JV202" s="16"/>
      <c r="JW202" s="16"/>
      <c r="JX202" s="16"/>
      <c r="JY202" s="16"/>
      <c r="JZ202" s="16"/>
      <c r="KA202" s="16"/>
      <c r="KB202" s="16"/>
      <c r="KC202" s="16"/>
      <c r="KD202" s="16"/>
      <c r="KE202" s="16"/>
      <c r="KF202" s="16"/>
      <c r="KG202" s="16"/>
      <c r="KH202" s="16"/>
      <c r="KK202" s="9"/>
      <c r="KL202" s="16"/>
      <c r="KM202" s="16"/>
      <c r="KN202" s="16"/>
      <c r="KO202" s="16"/>
      <c r="KP202" s="16"/>
      <c r="KQ202" s="16"/>
      <c r="KR202" s="16"/>
      <c r="KS202" s="16"/>
      <c r="KT202" s="16"/>
      <c r="KU202" s="16"/>
      <c r="KV202" s="16"/>
      <c r="KW202" s="16"/>
      <c r="KX202" s="16"/>
      <c r="KY202" s="16"/>
      <c r="KZ202" s="16"/>
      <c r="LA202" s="16"/>
      <c r="LB202" s="16"/>
      <c r="LC202" s="16"/>
      <c r="LD202" s="16"/>
      <c r="LE202" s="16"/>
      <c r="LF202" s="16"/>
      <c r="LI202" s="9"/>
      <c r="LJ202" s="16"/>
      <c r="LK202" s="16"/>
      <c r="LL202" s="16"/>
      <c r="LM202" s="16"/>
      <c r="LN202" s="16"/>
      <c r="LO202" s="16"/>
      <c r="LP202" s="16"/>
      <c r="LQ202" s="16"/>
      <c r="LR202" s="16"/>
      <c r="LS202" s="16"/>
      <c r="LT202" s="16"/>
      <c r="LU202" s="16"/>
      <c r="LV202" s="16"/>
      <c r="LW202" s="16"/>
      <c r="LX202" s="16"/>
      <c r="LY202" s="16"/>
      <c r="LZ202" s="16"/>
      <c r="MA202" s="16"/>
      <c r="MB202" s="16"/>
      <c r="MC202" s="16"/>
      <c r="MD202" s="16"/>
      <c r="MG202" s="9"/>
      <c r="MH202" s="16"/>
      <c r="MI202" s="16"/>
      <c r="MJ202" s="16"/>
      <c r="MK202" s="16"/>
      <c r="ML202" s="16"/>
      <c r="MM202" s="16"/>
      <c r="MN202" s="16"/>
      <c r="MO202" s="16"/>
      <c r="MP202" s="16"/>
      <c r="MQ202" s="16"/>
      <c r="MR202" s="16"/>
      <c r="MS202" s="16"/>
      <c r="MT202" s="16"/>
      <c r="MU202" s="16"/>
      <c r="MV202" s="16"/>
      <c r="MW202" s="16"/>
      <c r="MX202" s="16"/>
      <c r="MY202" s="16"/>
      <c r="MZ202" s="16"/>
      <c r="NA202" s="16"/>
      <c r="NB202" s="16"/>
      <c r="NE202" s="9"/>
      <c r="NF202" s="16"/>
      <c r="NG202" s="16"/>
      <c r="NH202" s="16"/>
      <c r="NI202" s="16"/>
      <c r="NJ202" s="16"/>
      <c r="NK202" s="16"/>
      <c r="NL202" s="16"/>
      <c r="NM202" s="16"/>
      <c r="NN202" s="16"/>
      <c r="NO202" s="16"/>
      <c r="NP202" s="16"/>
      <c r="NQ202" s="16"/>
      <c r="NR202" s="16"/>
      <c r="NS202" s="16"/>
      <c r="NT202" s="16"/>
      <c r="NU202" s="16"/>
      <c r="NV202" s="16"/>
      <c r="NW202" s="16"/>
      <c r="NX202" s="16"/>
      <c r="NY202" s="16"/>
      <c r="NZ202" s="16"/>
      <c r="OC202" s="9"/>
      <c r="OD202" s="16"/>
      <c r="OE202" s="16"/>
      <c r="OF202" s="16"/>
      <c r="OG202" s="16"/>
      <c r="OH202" s="16"/>
      <c r="OI202" s="16"/>
      <c r="OJ202" s="16"/>
      <c r="OK202" s="16"/>
      <c r="OL202" s="16"/>
      <c r="OM202" s="16"/>
      <c r="ON202" s="16"/>
      <c r="OO202" s="16"/>
      <c r="OP202" s="16"/>
      <c r="OQ202" s="16"/>
      <c r="OR202" s="16"/>
      <c r="OS202" s="16"/>
      <c r="OT202" s="16"/>
      <c r="OU202" s="16"/>
      <c r="OV202" s="16"/>
      <c r="OW202" s="16"/>
      <c r="OX202" s="16"/>
      <c r="PA202" s="9"/>
      <c r="PB202" s="16"/>
      <c r="PC202" s="16"/>
      <c r="PD202" s="16"/>
      <c r="PE202" s="16"/>
      <c r="PF202" s="16"/>
      <c r="PG202" s="16"/>
      <c r="PH202" s="16"/>
      <c r="PI202" s="16"/>
      <c r="PJ202" s="16"/>
      <c r="PK202" s="16"/>
      <c r="PL202" s="16"/>
      <c r="PM202" s="16"/>
      <c r="PN202" s="16"/>
      <c r="PO202" s="16"/>
      <c r="PP202" s="16"/>
      <c r="PQ202" s="16"/>
      <c r="PR202" s="16"/>
      <c r="PS202" s="16"/>
      <c r="PT202" s="16"/>
      <c r="PU202" s="16"/>
      <c r="PV202" s="16"/>
    </row>
    <row r="203" spans="3:438" x14ac:dyDescent="0.25">
      <c r="C203" s="1"/>
      <c r="D203" s="1"/>
      <c r="I203" s="9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G203" s="9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E203" s="9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C203" s="9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DA203" s="9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Y203" s="9"/>
      <c r="DZ203" s="16"/>
      <c r="EA203" s="16"/>
      <c r="EB203" s="16"/>
      <c r="EC203" s="16"/>
      <c r="ED203" s="16"/>
      <c r="EE203" s="16"/>
      <c r="EF203" s="16"/>
      <c r="EG203" s="16"/>
      <c r="EH203" s="16"/>
      <c r="EI203" s="16"/>
      <c r="EJ203" s="16"/>
      <c r="EK203" s="16"/>
      <c r="EL203" s="16"/>
      <c r="EM203" s="16"/>
      <c r="EN203" s="16"/>
      <c r="EO203" s="16"/>
      <c r="EP203" s="16"/>
      <c r="EQ203" s="16"/>
      <c r="ER203" s="16"/>
      <c r="ES203" s="16"/>
      <c r="ET203" s="16"/>
      <c r="EW203" s="9"/>
      <c r="EX203" s="16"/>
      <c r="EY203" s="16"/>
      <c r="EZ203" s="16"/>
      <c r="FA203" s="16"/>
      <c r="FB203" s="16"/>
      <c r="FC203" s="16"/>
      <c r="FD203" s="16"/>
      <c r="FE203" s="16"/>
      <c r="FF203" s="16"/>
      <c r="FG203" s="16"/>
      <c r="FH203" s="16"/>
      <c r="FI203" s="16"/>
      <c r="FJ203" s="16"/>
      <c r="FK203" s="16"/>
      <c r="FL203" s="16"/>
      <c r="FM203" s="16"/>
      <c r="FN203" s="16"/>
      <c r="FO203" s="16"/>
      <c r="FP203" s="16"/>
      <c r="FQ203" s="16"/>
      <c r="FR203" s="16"/>
      <c r="FU203" s="9"/>
      <c r="FV203" s="16"/>
      <c r="FW203" s="16"/>
      <c r="FX203" s="16"/>
      <c r="FY203" s="16"/>
      <c r="FZ203" s="16"/>
      <c r="GA203" s="16"/>
      <c r="GB203" s="16"/>
      <c r="GC203" s="16"/>
      <c r="GD203" s="16"/>
      <c r="GE203" s="16"/>
      <c r="GF203" s="16"/>
      <c r="GG203" s="16"/>
      <c r="GH203" s="16"/>
      <c r="GI203" s="16"/>
      <c r="GJ203" s="16"/>
      <c r="GK203" s="16"/>
      <c r="GL203" s="16"/>
      <c r="GM203" s="16"/>
      <c r="GN203" s="16"/>
      <c r="GO203" s="16"/>
      <c r="GP203" s="16"/>
      <c r="GS203" s="9"/>
      <c r="GT203" s="16"/>
      <c r="GU203" s="16"/>
      <c r="GV203" s="16"/>
      <c r="GW203" s="16"/>
      <c r="GX203" s="16"/>
      <c r="GY203" s="16"/>
      <c r="GZ203" s="16"/>
      <c r="HA203" s="16"/>
      <c r="HB203" s="16"/>
      <c r="HC203" s="16"/>
      <c r="HD203" s="16"/>
      <c r="HE203" s="16"/>
      <c r="HF203" s="16"/>
      <c r="HG203" s="16"/>
      <c r="HH203" s="16"/>
      <c r="HI203" s="16"/>
      <c r="HJ203" s="16"/>
      <c r="HK203" s="16"/>
      <c r="HL203" s="16"/>
      <c r="HM203" s="16"/>
      <c r="HN203" s="16"/>
      <c r="HQ203" s="9"/>
      <c r="HR203" s="16"/>
      <c r="HS203" s="16"/>
      <c r="HT203" s="16"/>
      <c r="HU203" s="16"/>
      <c r="HV203" s="16"/>
      <c r="HW203" s="16"/>
      <c r="HX203" s="16"/>
      <c r="HY203" s="16"/>
      <c r="HZ203" s="16"/>
      <c r="IA203" s="16"/>
      <c r="IB203" s="16"/>
      <c r="IC203" s="16"/>
      <c r="ID203" s="16"/>
      <c r="IE203" s="16"/>
      <c r="IF203" s="16"/>
      <c r="IG203" s="16"/>
      <c r="IH203" s="16"/>
      <c r="II203" s="16"/>
      <c r="IJ203" s="16"/>
      <c r="IK203" s="16"/>
      <c r="IL203" s="16"/>
      <c r="IO203" s="9"/>
      <c r="IP203" s="16"/>
      <c r="IQ203" s="16"/>
      <c r="IR203" s="16"/>
      <c r="IS203" s="16"/>
      <c r="IT203" s="16"/>
      <c r="IU203" s="16"/>
      <c r="IV203" s="16"/>
      <c r="IW203" s="16"/>
      <c r="IX203" s="16"/>
      <c r="IY203" s="16"/>
      <c r="IZ203" s="16"/>
      <c r="JA203" s="16"/>
      <c r="JB203" s="16"/>
      <c r="JC203" s="16"/>
      <c r="JD203" s="16"/>
      <c r="JE203" s="16"/>
      <c r="JF203" s="16"/>
      <c r="JG203" s="16"/>
      <c r="JH203" s="16"/>
      <c r="JI203" s="16"/>
      <c r="JJ203" s="16"/>
      <c r="JM203" s="9"/>
      <c r="JN203" s="16"/>
      <c r="JO203" s="16"/>
      <c r="JP203" s="16"/>
      <c r="JQ203" s="16"/>
      <c r="JR203" s="16"/>
      <c r="JS203" s="16"/>
      <c r="JT203" s="16"/>
      <c r="JU203" s="16"/>
      <c r="JV203" s="16"/>
      <c r="JW203" s="16"/>
      <c r="JX203" s="16"/>
      <c r="JY203" s="16"/>
      <c r="JZ203" s="16"/>
      <c r="KA203" s="16"/>
      <c r="KB203" s="16"/>
      <c r="KC203" s="16"/>
      <c r="KD203" s="16"/>
      <c r="KE203" s="16"/>
      <c r="KF203" s="16"/>
      <c r="KG203" s="16"/>
      <c r="KH203" s="16"/>
      <c r="KK203" s="9"/>
      <c r="KL203" s="16"/>
      <c r="KM203" s="16"/>
      <c r="KN203" s="16"/>
      <c r="KO203" s="16"/>
      <c r="KP203" s="16"/>
      <c r="KQ203" s="16"/>
      <c r="KR203" s="16"/>
      <c r="KS203" s="16"/>
      <c r="KT203" s="16"/>
      <c r="KU203" s="16"/>
      <c r="KV203" s="16"/>
      <c r="KW203" s="16"/>
      <c r="KX203" s="16"/>
      <c r="KY203" s="16"/>
      <c r="KZ203" s="16"/>
      <c r="LA203" s="16"/>
      <c r="LB203" s="16"/>
      <c r="LC203" s="16"/>
      <c r="LD203" s="16"/>
      <c r="LE203" s="16"/>
      <c r="LF203" s="16"/>
      <c r="LI203" s="9"/>
      <c r="LJ203" s="16"/>
      <c r="LK203" s="16"/>
      <c r="LL203" s="16"/>
      <c r="LM203" s="16"/>
      <c r="LN203" s="16"/>
      <c r="LO203" s="16"/>
      <c r="LP203" s="16"/>
      <c r="LQ203" s="16"/>
      <c r="LR203" s="16"/>
      <c r="LS203" s="16"/>
      <c r="LT203" s="16"/>
      <c r="LU203" s="16"/>
      <c r="LV203" s="16"/>
      <c r="LW203" s="16"/>
      <c r="LX203" s="16"/>
      <c r="LY203" s="16"/>
      <c r="LZ203" s="16"/>
      <c r="MA203" s="16"/>
      <c r="MB203" s="16"/>
      <c r="MC203" s="16"/>
      <c r="MD203" s="16"/>
      <c r="MG203" s="9"/>
      <c r="MH203" s="16"/>
      <c r="MI203" s="16"/>
      <c r="MJ203" s="16"/>
      <c r="MK203" s="16"/>
      <c r="ML203" s="16"/>
      <c r="MM203" s="16"/>
      <c r="MN203" s="16"/>
      <c r="MO203" s="16"/>
      <c r="MP203" s="16"/>
      <c r="MQ203" s="16"/>
      <c r="MR203" s="16"/>
      <c r="MS203" s="16"/>
      <c r="MT203" s="16"/>
      <c r="MU203" s="16"/>
      <c r="MV203" s="16"/>
      <c r="MW203" s="16"/>
      <c r="MX203" s="16"/>
      <c r="MY203" s="16"/>
      <c r="MZ203" s="16"/>
      <c r="NA203" s="16"/>
      <c r="NB203" s="16"/>
      <c r="NE203" s="9"/>
      <c r="NF203" s="16"/>
      <c r="NG203" s="16"/>
      <c r="NH203" s="16"/>
      <c r="NI203" s="16"/>
      <c r="NJ203" s="16"/>
      <c r="NK203" s="16"/>
      <c r="NL203" s="16"/>
      <c r="NM203" s="16"/>
      <c r="NN203" s="16"/>
      <c r="NO203" s="16"/>
      <c r="NP203" s="16"/>
      <c r="NQ203" s="16"/>
      <c r="NR203" s="16"/>
      <c r="NS203" s="16"/>
      <c r="NT203" s="16"/>
      <c r="NU203" s="16"/>
      <c r="NV203" s="16"/>
      <c r="NW203" s="16"/>
      <c r="NX203" s="16"/>
      <c r="NY203" s="16"/>
      <c r="NZ203" s="16"/>
      <c r="OC203" s="9"/>
      <c r="OD203" s="16"/>
      <c r="OE203" s="16"/>
      <c r="OF203" s="16"/>
      <c r="OG203" s="16"/>
      <c r="OH203" s="16"/>
      <c r="OI203" s="16"/>
      <c r="OJ203" s="16"/>
      <c r="OK203" s="16"/>
      <c r="OL203" s="16"/>
      <c r="OM203" s="16"/>
      <c r="ON203" s="16"/>
      <c r="OO203" s="16"/>
      <c r="OP203" s="16"/>
      <c r="OQ203" s="16"/>
      <c r="OR203" s="16"/>
      <c r="OS203" s="16"/>
      <c r="OT203" s="16"/>
      <c r="OU203" s="16"/>
      <c r="OV203" s="16"/>
      <c r="OW203" s="16"/>
      <c r="OX203" s="16"/>
      <c r="PA203" s="9"/>
      <c r="PB203" s="16"/>
      <c r="PC203" s="16"/>
      <c r="PD203" s="16"/>
      <c r="PE203" s="16"/>
      <c r="PF203" s="16"/>
      <c r="PG203" s="16"/>
      <c r="PH203" s="16"/>
      <c r="PI203" s="16"/>
      <c r="PJ203" s="16"/>
      <c r="PK203" s="16"/>
      <c r="PL203" s="16"/>
      <c r="PM203" s="16"/>
      <c r="PN203" s="16"/>
      <c r="PO203" s="16"/>
      <c r="PP203" s="16"/>
      <c r="PQ203" s="16"/>
      <c r="PR203" s="16"/>
      <c r="PS203" s="16"/>
      <c r="PT203" s="16"/>
      <c r="PU203" s="16"/>
      <c r="PV203" s="16"/>
    </row>
    <row r="204" spans="3:438" x14ac:dyDescent="0.25">
      <c r="C204" s="1"/>
      <c r="D204" s="1"/>
      <c r="I204" s="9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G204" s="9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E204" s="9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C204" s="9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DA204" s="9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Y204" s="9"/>
      <c r="DZ204" s="16"/>
      <c r="EA204" s="16"/>
      <c r="EB204" s="16"/>
      <c r="EC204" s="16"/>
      <c r="ED204" s="16"/>
      <c r="EE204" s="16"/>
      <c r="EF204" s="16"/>
      <c r="EG204" s="16"/>
      <c r="EH204" s="16"/>
      <c r="EI204" s="16"/>
      <c r="EJ204" s="16"/>
      <c r="EK204" s="16"/>
      <c r="EL204" s="16"/>
      <c r="EM204" s="16"/>
      <c r="EN204" s="16"/>
      <c r="EO204" s="16"/>
      <c r="EP204" s="16"/>
      <c r="EQ204" s="16"/>
      <c r="ER204" s="16"/>
      <c r="ES204" s="16"/>
      <c r="ET204" s="16"/>
      <c r="EW204" s="9"/>
      <c r="EX204" s="16"/>
      <c r="EY204" s="16"/>
      <c r="EZ204" s="16"/>
      <c r="FA204" s="16"/>
      <c r="FB204" s="16"/>
      <c r="FC204" s="16"/>
      <c r="FD204" s="16"/>
      <c r="FE204" s="16"/>
      <c r="FF204" s="16"/>
      <c r="FG204" s="16"/>
      <c r="FH204" s="16"/>
      <c r="FI204" s="16"/>
      <c r="FJ204" s="16"/>
      <c r="FK204" s="16"/>
      <c r="FL204" s="16"/>
      <c r="FM204" s="16"/>
      <c r="FN204" s="16"/>
      <c r="FO204" s="16"/>
      <c r="FP204" s="16"/>
      <c r="FQ204" s="16"/>
      <c r="FR204" s="16"/>
      <c r="FU204" s="9"/>
      <c r="FV204" s="16"/>
      <c r="FW204" s="16"/>
      <c r="FX204" s="16"/>
      <c r="FY204" s="16"/>
      <c r="FZ204" s="16"/>
      <c r="GA204" s="16"/>
      <c r="GB204" s="16"/>
      <c r="GC204" s="16"/>
      <c r="GD204" s="16"/>
      <c r="GE204" s="16"/>
      <c r="GF204" s="16"/>
      <c r="GG204" s="16"/>
      <c r="GH204" s="16"/>
      <c r="GI204" s="16"/>
      <c r="GJ204" s="16"/>
      <c r="GK204" s="16"/>
      <c r="GL204" s="16"/>
      <c r="GM204" s="16"/>
      <c r="GN204" s="16"/>
      <c r="GO204" s="16"/>
      <c r="GP204" s="16"/>
      <c r="GS204" s="9"/>
      <c r="GT204" s="16"/>
      <c r="GU204" s="16"/>
      <c r="GV204" s="16"/>
      <c r="GW204" s="16"/>
      <c r="GX204" s="16"/>
      <c r="GY204" s="16"/>
      <c r="GZ204" s="16"/>
      <c r="HA204" s="16"/>
      <c r="HB204" s="16"/>
      <c r="HC204" s="16"/>
      <c r="HD204" s="16"/>
      <c r="HE204" s="16"/>
      <c r="HF204" s="16"/>
      <c r="HG204" s="16"/>
      <c r="HH204" s="16"/>
      <c r="HI204" s="16"/>
      <c r="HJ204" s="16"/>
      <c r="HK204" s="16"/>
      <c r="HL204" s="16"/>
      <c r="HM204" s="16"/>
      <c r="HN204" s="16"/>
      <c r="HQ204" s="9"/>
      <c r="HR204" s="16"/>
      <c r="HS204" s="16"/>
      <c r="HT204" s="16"/>
      <c r="HU204" s="16"/>
      <c r="HV204" s="16"/>
      <c r="HW204" s="16"/>
      <c r="HX204" s="16"/>
      <c r="HY204" s="16"/>
      <c r="HZ204" s="16"/>
      <c r="IA204" s="16"/>
      <c r="IB204" s="16"/>
      <c r="IC204" s="16"/>
      <c r="ID204" s="16"/>
      <c r="IE204" s="16"/>
      <c r="IF204" s="16"/>
      <c r="IG204" s="16"/>
      <c r="IH204" s="16"/>
      <c r="II204" s="16"/>
      <c r="IJ204" s="16"/>
      <c r="IK204" s="16"/>
      <c r="IL204" s="16"/>
      <c r="IO204" s="9"/>
      <c r="IP204" s="16"/>
      <c r="IQ204" s="16"/>
      <c r="IR204" s="16"/>
      <c r="IS204" s="16"/>
      <c r="IT204" s="16"/>
      <c r="IU204" s="16"/>
      <c r="IV204" s="16"/>
      <c r="IW204" s="16"/>
      <c r="IX204" s="16"/>
      <c r="IY204" s="16"/>
      <c r="IZ204" s="16"/>
      <c r="JA204" s="16"/>
      <c r="JB204" s="16"/>
      <c r="JC204" s="16"/>
      <c r="JD204" s="16"/>
      <c r="JE204" s="16"/>
      <c r="JF204" s="16"/>
      <c r="JG204" s="16"/>
      <c r="JH204" s="16"/>
      <c r="JI204" s="16"/>
      <c r="JJ204" s="16"/>
      <c r="JM204" s="9"/>
      <c r="JN204" s="16"/>
      <c r="JO204" s="16"/>
      <c r="JP204" s="16"/>
      <c r="JQ204" s="16"/>
      <c r="JR204" s="16"/>
      <c r="JS204" s="16"/>
      <c r="JT204" s="16"/>
      <c r="JU204" s="16"/>
      <c r="JV204" s="16"/>
      <c r="JW204" s="16"/>
      <c r="JX204" s="16"/>
      <c r="JY204" s="16"/>
      <c r="JZ204" s="16"/>
      <c r="KA204" s="16"/>
      <c r="KB204" s="16"/>
      <c r="KC204" s="16"/>
      <c r="KD204" s="16"/>
      <c r="KE204" s="16"/>
      <c r="KF204" s="16"/>
      <c r="KG204" s="16"/>
      <c r="KH204" s="16"/>
      <c r="KK204" s="9"/>
      <c r="KL204" s="16"/>
      <c r="KM204" s="16"/>
      <c r="KN204" s="16"/>
      <c r="KO204" s="16"/>
      <c r="KP204" s="16"/>
      <c r="KQ204" s="16"/>
      <c r="KR204" s="16"/>
      <c r="KS204" s="16"/>
      <c r="KT204" s="16"/>
      <c r="KU204" s="16"/>
      <c r="KV204" s="16"/>
      <c r="KW204" s="16"/>
      <c r="KX204" s="16"/>
      <c r="KY204" s="16"/>
      <c r="KZ204" s="16"/>
      <c r="LA204" s="16"/>
      <c r="LB204" s="16"/>
      <c r="LC204" s="16"/>
      <c r="LD204" s="16"/>
      <c r="LE204" s="16"/>
      <c r="LF204" s="16"/>
      <c r="LI204" s="9"/>
      <c r="LJ204" s="16"/>
      <c r="LK204" s="16"/>
      <c r="LL204" s="16"/>
      <c r="LM204" s="16"/>
      <c r="LN204" s="16"/>
      <c r="LO204" s="16"/>
      <c r="LP204" s="16"/>
      <c r="LQ204" s="16"/>
      <c r="LR204" s="16"/>
      <c r="LS204" s="16"/>
      <c r="LT204" s="16"/>
      <c r="LU204" s="16"/>
      <c r="LV204" s="16"/>
      <c r="LW204" s="16"/>
      <c r="LX204" s="16"/>
      <c r="LY204" s="16"/>
      <c r="LZ204" s="16"/>
      <c r="MA204" s="16"/>
      <c r="MB204" s="16"/>
      <c r="MC204" s="16"/>
      <c r="MD204" s="16"/>
      <c r="MG204" s="9"/>
      <c r="MH204" s="16"/>
      <c r="MI204" s="16"/>
      <c r="MJ204" s="16"/>
      <c r="MK204" s="16"/>
      <c r="ML204" s="16"/>
      <c r="MM204" s="16"/>
      <c r="MN204" s="16"/>
      <c r="MO204" s="16"/>
      <c r="MP204" s="16"/>
      <c r="MQ204" s="16"/>
      <c r="MR204" s="16"/>
      <c r="MS204" s="16"/>
      <c r="MT204" s="16"/>
      <c r="MU204" s="16"/>
      <c r="MV204" s="16"/>
      <c r="MW204" s="16"/>
      <c r="MX204" s="16"/>
      <c r="MY204" s="16"/>
      <c r="MZ204" s="16"/>
      <c r="NA204" s="16"/>
      <c r="NB204" s="16"/>
      <c r="NE204" s="9"/>
      <c r="NF204" s="16"/>
      <c r="NG204" s="16"/>
      <c r="NH204" s="16"/>
      <c r="NI204" s="16"/>
      <c r="NJ204" s="16"/>
      <c r="NK204" s="16"/>
      <c r="NL204" s="16"/>
      <c r="NM204" s="16"/>
      <c r="NN204" s="16"/>
      <c r="NO204" s="16"/>
      <c r="NP204" s="16"/>
      <c r="NQ204" s="16"/>
      <c r="NR204" s="16"/>
      <c r="NS204" s="16"/>
      <c r="NT204" s="16"/>
      <c r="NU204" s="16"/>
      <c r="NV204" s="16"/>
      <c r="NW204" s="16"/>
      <c r="NX204" s="16"/>
      <c r="NY204" s="16"/>
      <c r="NZ204" s="16"/>
      <c r="OC204" s="9"/>
      <c r="OD204" s="16"/>
      <c r="OE204" s="16"/>
      <c r="OF204" s="16"/>
      <c r="OG204" s="16"/>
      <c r="OH204" s="16"/>
      <c r="OI204" s="16"/>
      <c r="OJ204" s="16"/>
      <c r="OK204" s="16"/>
      <c r="OL204" s="16"/>
      <c r="OM204" s="16"/>
      <c r="ON204" s="16"/>
      <c r="OO204" s="16"/>
      <c r="OP204" s="16"/>
      <c r="OQ204" s="16"/>
      <c r="OR204" s="16"/>
      <c r="OS204" s="16"/>
      <c r="OT204" s="16"/>
      <c r="OU204" s="16"/>
      <c r="OV204" s="16"/>
      <c r="OW204" s="16"/>
      <c r="OX204" s="16"/>
      <c r="PA204" s="9"/>
      <c r="PB204" s="16"/>
      <c r="PC204" s="16"/>
      <c r="PD204" s="16"/>
      <c r="PE204" s="16"/>
      <c r="PF204" s="16"/>
      <c r="PG204" s="16"/>
      <c r="PH204" s="16"/>
      <c r="PI204" s="16"/>
      <c r="PJ204" s="16"/>
      <c r="PK204" s="16"/>
      <c r="PL204" s="16"/>
      <c r="PM204" s="16"/>
      <c r="PN204" s="16"/>
      <c r="PO204" s="16"/>
      <c r="PP204" s="16"/>
      <c r="PQ204" s="16"/>
      <c r="PR204" s="16"/>
      <c r="PS204" s="16"/>
      <c r="PT204" s="16"/>
      <c r="PU204" s="16"/>
      <c r="PV204" s="16"/>
    </row>
    <row r="205" spans="3:438" x14ac:dyDescent="0.25">
      <c r="C205" s="1"/>
      <c r="D205" s="1"/>
      <c r="I205" s="9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G205" s="9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E205" s="9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C205" s="9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DA205" s="9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Y205" s="9"/>
      <c r="DZ205" s="16"/>
      <c r="EA205" s="16"/>
      <c r="EB205" s="16"/>
      <c r="EC205" s="16"/>
      <c r="ED205" s="16"/>
      <c r="EE205" s="16"/>
      <c r="EF205" s="16"/>
      <c r="EG205" s="16"/>
      <c r="EH205" s="16"/>
      <c r="EI205" s="16"/>
      <c r="EJ205" s="16"/>
      <c r="EK205" s="16"/>
      <c r="EL205" s="16"/>
      <c r="EM205" s="16"/>
      <c r="EN205" s="16"/>
      <c r="EO205" s="16"/>
      <c r="EP205" s="16"/>
      <c r="EQ205" s="16"/>
      <c r="ER205" s="16"/>
      <c r="ES205" s="16"/>
      <c r="ET205" s="16"/>
      <c r="EW205" s="9"/>
      <c r="EX205" s="16"/>
      <c r="EY205" s="16"/>
      <c r="EZ205" s="16"/>
      <c r="FA205" s="16"/>
      <c r="FB205" s="16"/>
      <c r="FC205" s="16"/>
      <c r="FD205" s="16"/>
      <c r="FE205" s="16"/>
      <c r="FF205" s="16"/>
      <c r="FG205" s="16"/>
      <c r="FH205" s="16"/>
      <c r="FI205" s="16"/>
      <c r="FJ205" s="16"/>
      <c r="FK205" s="16"/>
      <c r="FL205" s="16"/>
      <c r="FM205" s="16"/>
      <c r="FN205" s="16"/>
      <c r="FO205" s="16"/>
      <c r="FP205" s="16"/>
      <c r="FQ205" s="16"/>
      <c r="FR205" s="16"/>
      <c r="FU205" s="9"/>
      <c r="FV205" s="16"/>
      <c r="FW205" s="16"/>
      <c r="FX205" s="16"/>
      <c r="FY205" s="16"/>
      <c r="FZ205" s="16"/>
      <c r="GA205" s="16"/>
      <c r="GB205" s="16"/>
      <c r="GC205" s="16"/>
      <c r="GD205" s="16"/>
      <c r="GE205" s="16"/>
      <c r="GF205" s="16"/>
      <c r="GG205" s="16"/>
      <c r="GH205" s="16"/>
      <c r="GI205" s="16"/>
      <c r="GJ205" s="16"/>
      <c r="GK205" s="16"/>
      <c r="GL205" s="16"/>
      <c r="GM205" s="16"/>
      <c r="GN205" s="16"/>
      <c r="GO205" s="16"/>
      <c r="GP205" s="16"/>
      <c r="GS205" s="9"/>
      <c r="GT205" s="16"/>
      <c r="GU205" s="16"/>
      <c r="GV205" s="16"/>
      <c r="GW205" s="16"/>
      <c r="GX205" s="16"/>
      <c r="GY205" s="16"/>
      <c r="GZ205" s="16"/>
      <c r="HA205" s="16"/>
      <c r="HB205" s="16"/>
      <c r="HC205" s="16"/>
      <c r="HD205" s="16"/>
      <c r="HE205" s="16"/>
      <c r="HF205" s="16"/>
      <c r="HG205" s="16"/>
      <c r="HH205" s="16"/>
      <c r="HI205" s="16"/>
      <c r="HJ205" s="16"/>
      <c r="HK205" s="16"/>
      <c r="HL205" s="16"/>
      <c r="HM205" s="16"/>
      <c r="HN205" s="16"/>
      <c r="HQ205" s="9"/>
      <c r="HR205" s="16"/>
      <c r="HS205" s="16"/>
      <c r="HT205" s="16"/>
      <c r="HU205" s="16"/>
      <c r="HV205" s="16"/>
      <c r="HW205" s="16"/>
      <c r="HX205" s="16"/>
      <c r="HY205" s="16"/>
      <c r="HZ205" s="16"/>
      <c r="IA205" s="16"/>
      <c r="IB205" s="16"/>
      <c r="IC205" s="16"/>
      <c r="ID205" s="16"/>
      <c r="IE205" s="16"/>
      <c r="IF205" s="16"/>
      <c r="IG205" s="16"/>
      <c r="IH205" s="16"/>
      <c r="II205" s="16"/>
      <c r="IJ205" s="16"/>
      <c r="IK205" s="16"/>
      <c r="IL205" s="16"/>
      <c r="IO205" s="9"/>
      <c r="IP205" s="16"/>
      <c r="IQ205" s="16"/>
      <c r="IR205" s="16"/>
      <c r="IS205" s="16"/>
      <c r="IT205" s="16"/>
      <c r="IU205" s="16"/>
      <c r="IV205" s="16"/>
      <c r="IW205" s="16"/>
      <c r="IX205" s="16"/>
      <c r="IY205" s="16"/>
      <c r="IZ205" s="16"/>
      <c r="JA205" s="16"/>
      <c r="JB205" s="16"/>
      <c r="JC205" s="16"/>
      <c r="JD205" s="16"/>
      <c r="JE205" s="16"/>
      <c r="JF205" s="16"/>
      <c r="JG205" s="16"/>
      <c r="JH205" s="16"/>
      <c r="JI205" s="16"/>
      <c r="JJ205" s="16"/>
      <c r="JM205" s="9"/>
      <c r="JN205" s="16"/>
      <c r="JO205" s="16"/>
      <c r="JP205" s="16"/>
      <c r="JQ205" s="16"/>
      <c r="JR205" s="16"/>
      <c r="JS205" s="16"/>
      <c r="JT205" s="16"/>
      <c r="JU205" s="16"/>
      <c r="JV205" s="16"/>
      <c r="JW205" s="16"/>
      <c r="JX205" s="16"/>
      <c r="JY205" s="16"/>
      <c r="JZ205" s="16"/>
      <c r="KA205" s="16"/>
      <c r="KB205" s="16"/>
      <c r="KC205" s="16"/>
      <c r="KD205" s="16"/>
      <c r="KE205" s="16"/>
      <c r="KF205" s="16"/>
      <c r="KG205" s="16"/>
      <c r="KH205" s="16"/>
      <c r="KK205" s="9"/>
      <c r="KL205" s="16"/>
      <c r="KM205" s="16"/>
      <c r="KN205" s="16"/>
      <c r="KO205" s="16"/>
      <c r="KP205" s="16"/>
      <c r="KQ205" s="16"/>
      <c r="KR205" s="16"/>
      <c r="KS205" s="16"/>
      <c r="KT205" s="16"/>
      <c r="KU205" s="16"/>
      <c r="KV205" s="16"/>
      <c r="KW205" s="16"/>
      <c r="KX205" s="16"/>
      <c r="KY205" s="16"/>
      <c r="KZ205" s="16"/>
      <c r="LA205" s="16"/>
      <c r="LB205" s="16"/>
      <c r="LC205" s="16"/>
      <c r="LD205" s="16"/>
      <c r="LE205" s="16"/>
      <c r="LF205" s="16"/>
      <c r="LI205" s="9"/>
      <c r="LJ205" s="16"/>
      <c r="LK205" s="16"/>
      <c r="LL205" s="16"/>
      <c r="LM205" s="16"/>
      <c r="LN205" s="16"/>
      <c r="LO205" s="16"/>
      <c r="LP205" s="16"/>
      <c r="LQ205" s="16"/>
      <c r="LR205" s="16"/>
      <c r="LS205" s="16"/>
      <c r="LT205" s="16"/>
      <c r="LU205" s="16"/>
      <c r="LV205" s="16"/>
      <c r="LW205" s="16"/>
      <c r="LX205" s="16"/>
      <c r="LY205" s="16"/>
      <c r="LZ205" s="16"/>
      <c r="MA205" s="16"/>
      <c r="MB205" s="16"/>
      <c r="MC205" s="16"/>
      <c r="MD205" s="16"/>
      <c r="MG205" s="9"/>
      <c r="MH205" s="16"/>
      <c r="MI205" s="16"/>
      <c r="MJ205" s="16"/>
      <c r="MK205" s="16"/>
      <c r="ML205" s="16"/>
      <c r="MM205" s="16"/>
      <c r="MN205" s="16"/>
      <c r="MO205" s="16"/>
      <c r="MP205" s="16"/>
      <c r="MQ205" s="16"/>
      <c r="MR205" s="16"/>
      <c r="MS205" s="16"/>
      <c r="MT205" s="16"/>
      <c r="MU205" s="16"/>
      <c r="MV205" s="16"/>
      <c r="MW205" s="16"/>
      <c r="MX205" s="16"/>
      <c r="MY205" s="16"/>
      <c r="MZ205" s="16"/>
      <c r="NA205" s="16"/>
      <c r="NB205" s="16"/>
      <c r="NE205" s="9"/>
      <c r="NF205" s="16"/>
      <c r="NG205" s="16"/>
      <c r="NH205" s="16"/>
      <c r="NI205" s="16"/>
      <c r="NJ205" s="16"/>
      <c r="NK205" s="16"/>
      <c r="NL205" s="16"/>
      <c r="NM205" s="16"/>
      <c r="NN205" s="16"/>
      <c r="NO205" s="16"/>
      <c r="NP205" s="16"/>
      <c r="NQ205" s="16"/>
      <c r="NR205" s="16"/>
      <c r="NS205" s="16"/>
      <c r="NT205" s="16"/>
      <c r="NU205" s="16"/>
      <c r="NV205" s="16"/>
      <c r="NW205" s="16"/>
      <c r="NX205" s="16"/>
      <c r="NY205" s="16"/>
      <c r="NZ205" s="16"/>
      <c r="OC205" s="9"/>
      <c r="OD205" s="16"/>
      <c r="OE205" s="16"/>
      <c r="OF205" s="16"/>
      <c r="OG205" s="16"/>
      <c r="OH205" s="16"/>
      <c r="OI205" s="16"/>
      <c r="OJ205" s="16"/>
      <c r="OK205" s="16"/>
      <c r="OL205" s="16"/>
      <c r="OM205" s="16"/>
      <c r="ON205" s="16"/>
      <c r="OO205" s="16"/>
      <c r="OP205" s="16"/>
      <c r="OQ205" s="16"/>
      <c r="OR205" s="16"/>
      <c r="OS205" s="16"/>
      <c r="OT205" s="16"/>
      <c r="OU205" s="16"/>
      <c r="OV205" s="16"/>
      <c r="OW205" s="16"/>
      <c r="OX205" s="16"/>
      <c r="PA205" s="9"/>
      <c r="PB205" s="16"/>
      <c r="PC205" s="16"/>
      <c r="PD205" s="16"/>
      <c r="PE205" s="16"/>
      <c r="PF205" s="16"/>
      <c r="PG205" s="16"/>
      <c r="PH205" s="16"/>
      <c r="PI205" s="16"/>
      <c r="PJ205" s="16"/>
      <c r="PK205" s="16"/>
      <c r="PL205" s="16"/>
      <c r="PM205" s="16"/>
      <c r="PN205" s="16"/>
      <c r="PO205" s="16"/>
      <c r="PP205" s="16"/>
      <c r="PQ205" s="16"/>
      <c r="PR205" s="16"/>
      <c r="PS205" s="16"/>
      <c r="PT205" s="16"/>
      <c r="PU205" s="16"/>
      <c r="PV205" s="16"/>
    </row>
    <row r="206" spans="3:438" x14ac:dyDescent="0.25">
      <c r="C206" s="1"/>
      <c r="D206" s="1"/>
      <c r="I206" s="9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G206" s="9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E206" s="9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C206" s="9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DA206" s="9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Y206" s="9"/>
      <c r="DZ206" s="16"/>
      <c r="EA206" s="16"/>
      <c r="EB206" s="16"/>
      <c r="EC206" s="16"/>
      <c r="ED206" s="16"/>
      <c r="EE206" s="16"/>
      <c r="EF206" s="16"/>
      <c r="EG206" s="16"/>
      <c r="EH206" s="16"/>
      <c r="EI206" s="16"/>
      <c r="EJ206" s="16"/>
      <c r="EK206" s="16"/>
      <c r="EL206" s="16"/>
      <c r="EM206" s="16"/>
      <c r="EN206" s="16"/>
      <c r="EO206" s="16"/>
      <c r="EP206" s="16"/>
      <c r="EQ206" s="16"/>
      <c r="ER206" s="16"/>
      <c r="ES206" s="16"/>
      <c r="ET206" s="16"/>
      <c r="EW206" s="9"/>
      <c r="EX206" s="16"/>
      <c r="EY206" s="16"/>
      <c r="EZ206" s="16"/>
      <c r="FA206" s="16"/>
      <c r="FB206" s="16"/>
      <c r="FC206" s="16"/>
      <c r="FD206" s="16"/>
      <c r="FE206" s="16"/>
      <c r="FF206" s="16"/>
      <c r="FG206" s="16"/>
      <c r="FH206" s="16"/>
      <c r="FI206" s="16"/>
      <c r="FJ206" s="16"/>
      <c r="FK206" s="16"/>
      <c r="FL206" s="16"/>
      <c r="FM206" s="16"/>
      <c r="FN206" s="16"/>
      <c r="FO206" s="16"/>
      <c r="FP206" s="16"/>
      <c r="FQ206" s="16"/>
      <c r="FR206" s="16"/>
      <c r="FU206" s="9"/>
      <c r="FV206" s="16"/>
      <c r="FW206" s="16"/>
      <c r="FX206" s="16"/>
      <c r="FY206" s="16"/>
      <c r="FZ206" s="16"/>
      <c r="GA206" s="16"/>
      <c r="GB206" s="16"/>
      <c r="GC206" s="16"/>
      <c r="GD206" s="16"/>
      <c r="GE206" s="16"/>
      <c r="GF206" s="16"/>
      <c r="GG206" s="16"/>
      <c r="GH206" s="16"/>
      <c r="GI206" s="16"/>
      <c r="GJ206" s="16"/>
      <c r="GK206" s="16"/>
      <c r="GL206" s="16"/>
      <c r="GM206" s="16"/>
      <c r="GN206" s="16"/>
      <c r="GO206" s="16"/>
      <c r="GP206" s="16"/>
      <c r="GS206" s="9"/>
      <c r="GT206" s="16"/>
      <c r="GU206" s="16"/>
      <c r="GV206" s="16"/>
      <c r="GW206" s="16"/>
      <c r="GX206" s="16"/>
      <c r="GY206" s="16"/>
      <c r="GZ206" s="16"/>
      <c r="HA206" s="16"/>
      <c r="HB206" s="16"/>
      <c r="HC206" s="16"/>
      <c r="HD206" s="16"/>
      <c r="HE206" s="16"/>
      <c r="HF206" s="16"/>
      <c r="HG206" s="16"/>
      <c r="HH206" s="16"/>
      <c r="HI206" s="16"/>
      <c r="HJ206" s="16"/>
      <c r="HK206" s="16"/>
      <c r="HL206" s="16"/>
      <c r="HM206" s="16"/>
      <c r="HN206" s="16"/>
      <c r="HQ206" s="9"/>
      <c r="HR206" s="16"/>
      <c r="HS206" s="16"/>
      <c r="HT206" s="16"/>
      <c r="HU206" s="16"/>
      <c r="HV206" s="16"/>
      <c r="HW206" s="16"/>
      <c r="HX206" s="16"/>
      <c r="HY206" s="16"/>
      <c r="HZ206" s="16"/>
      <c r="IA206" s="16"/>
      <c r="IB206" s="16"/>
      <c r="IC206" s="16"/>
      <c r="ID206" s="16"/>
      <c r="IE206" s="16"/>
      <c r="IF206" s="16"/>
      <c r="IG206" s="16"/>
      <c r="IH206" s="16"/>
      <c r="II206" s="16"/>
      <c r="IJ206" s="16"/>
      <c r="IK206" s="16"/>
      <c r="IL206" s="16"/>
      <c r="IO206" s="9"/>
      <c r="IP206" s="16"/>
      <c r="IQ206" s="16"/>
      <c r="IR206" s="16"/>
      <c r="IS206" s="16"/>
      <c r="IT206" s="16"/>
      <c r="IU206" s="16"/>
      <c r="IV206" s="16"/>
      <c r="IW206" s="16"/>
      <c r="IX206" s="16"/>
      <c r="IY206" s="16"/>
      <c r="IZ206" s="16"/>
      <c r="JA206" s="16"/>
      <c r="JB206" s="16"/>
      <c r="JC206" s="16"/>
      <c r="JD206" s="16"/>
      <c r="JE206" s="16"/>
      <c r="JF206" s="16"/>
      <c r="JG206" s="16"/>
      <c r="JH206" s="16"/>
      <c r="JI206" s="16"/>
      <c r="JJ206" s="16"/>
      <c r="JM206" s="9"/>
      <c r="JN206" s="16"/>
      <c r="JO206" s="16"/>
      <c r="JP206" s="16"/>
      <c r="JQ206" s="16"/>
      <c r="JR206" s="16"/>
      <c r="JS206" s="16"/>
      <c r="JT206" s="16"/>
      <c r="JU206" s="16"/>
      <c r="JV206" s="16"/>
      <c r="JW206" s="16"/>
      <c r="JX206" s="16"/>
      <c r="JY206" s="16"/>
      <c r="JZ206" s="16"/>
      <c r="KA206" s="16"/>
      <c r="KB206" s="16"/>
      <c r="KC206" s="16"/>
      <c r="KD206" s="16"/>
      <c r="KE206" s="16"/>
      <c r="KF206" s="16"/>
      <c r="KG206" s="16"/>
      <c r="KH206" s="16"/>
      <c r="KK206" s="9"/>
      <c r="KL206" s="16"/>
      <c r="KM206" s="16"/>
      <c r="KN206" s="16"/>
      <c r="KO206" s="16"/>
      <c r="KP206" s="16"/>
      <c r="KQ206" s="16"/>
      <c r="KR206" s="16"/>
      <c r="KS206" s="16"/>
      <c r="KT206" s="16"/>
      <c r="KU206" s="16"/>
      <c r="KV206" s="16"/>
      <c r="KW206" s="16"/>
      <c r="KX206" s="16"/>
      <c r="KY206" s="16"/>
      <c r="KZ206" s="16"/>
      <c r="LA206" s="16"/>
      <c r="LB206" s="16"/>
      <c r="LC206" s="16"/>
      <c r="LD206" s="16"/>
      <c r="LE206" s="16"/>
      <c r="LF206" s="16"/>
      <c r="LI206" s="9"/>
      <c r="LJ206" s="16"/>
      <c r="LK206" s="16"/>
      <c r="LL206" s="16"/>
      <c r="LM206" s="16"/>
      <c r="LN206" s="16"/>
      <c r="LO206" s="16"/>
      <c r="LP206" s="16"/>
      <c r="LQ206" s="16"/>
      <c r="LR206" s="16"/>
      <c r="LS206" s="16"/>
      <c r="LT206" s="16"/>
      <c r="LU206" s="16"/>
      <c r="LV206" s="16"/>
      <c r="LW206" s="16"/>
      <c r="LX206" s="16"/>
      <c r="LY206" s="16"/>
      <c r="LZ206" s="16"/>
      <c r="MA206" s="16"/>
      <c r="MB206" s="16"/>
      <c r="MC206" s="16"/>
      <c r="MD206" s="16"/>
      <c r="MG206" s="9"/>
      <c r="MH206" s="16"/>
      <c r="MI206" s="16"/>
      <c r="MJ206" s="16"/>
      <c r="MK206" s="16"/>
      <c r="ML206" s="16"/>
      <c r="MM206" s="16"/>
      <c r="MN206" s="16"/>
      <c r="MO206" s="16"/>
      <c r="MP206" s="16"/>
      <c r="MQ206" s="16"/>
      <c r="MR206" s="16"/>
      <c r="MS206" s="16"/>
      <c r="MT206" s="16"/>
      <c r="MU206" s="16"/>
      <c r="MV206" s="16"/>
      <c r="MW206" s="16"/>
      <c r="MX206" s="16"/>
      <c r="MY206" s="16"/>
      <c r="MZ206" s="16"/>
      <c r="NA206" s="16"/>
      <c r="NB206" s="16"/>
      <c r="NE206" s="9"/>
      <c r="NF206" s="16"/>
      <c r="NG206" s="16"/>
      <c r="NH206" s="16"/>
      <c r="NI206" s="16"/>
      <c r="NJ206" s="16"/>
      <c r="NK206" s="16"/>
      <c r="NL206" s="16"/>
      <c r="NM206" s="16"/>
      <c r="NN206" s="16"/>
      <c r="NO206" s="16"/>
      <c r="NP206" s="16"/>
      <c r="NQ206" s="16"/>
      <c r="NR206" s="16"/>
      <c r="NS206" s="16"/>
      <c r="NT206" s="16"/>
      <c r="NU206" s="16"/>
      <c r="NV206" s="16"/>
      <c r="NW206" s="16"/>
      <c r="NX206" s="16"/>
      <c r="NY206" s="16"/>
      <c r="NZ206" s="16"/>
      <c r="OC206" s="9"/>
      <c r="OD206" s="16"/>
      <c r="OE206" s="16"/>
      <c r="OF206" s="16"/>
      <c r="OG206" s="16"/>
      <c r="OH206" s="16"/>
      <c r="OI206" s="16"/>
      <c r="OJ206" s="16"/>
      <c r="OK206" s="16"/>
      <c r="OL206" s="16"/>
      <c r="OM206" s="16"/>
      <c r="ON206" s="16"/>
      <c r="OO206" s="16"/>
      <c r="OP206" s="16"/>
      <c r="OQ206" s="16"/>
      <c r="OR206" s="16"/>
      <c r="OS206" s="16"/>
      <c r="OT206" s="16"/>
      <c r="OU206" s="16"/>
      <c r="OV206" s="16"/>
      <c r="OW206" s="16"/>
      <c r="OX206" s="16"/>
      <c r="PA206" s="9"/>
      <c r="PB206" s="16"/>
      <c r="PC206" s="16"/>
      <c r="PD206" s="16"/>
      <c r="PE206" s="16"/>
      <c r="PF206" s="16"/>
      <c r="PG206" s="16"/>
      <c r="PH206" s="16"/>
      <c r="PI206" s="16"/>
      <c r="PJ206" s="16"/>
      <c r="PK206" s="16"/>
      <c r="PL206" s="16"/>
      <c r="PM206" s="16"/>
      <c r="PN206" s="16"/>
      <c r="PO206" s="16"/>
      <c r="PP206" s="16"/>
      <c r="PQ206" s="16"/>
      <c r="PR206" s="16"/>
      <c r="PS206" s="16"/>
      <c r="PT206" s="16"/>
      <c r="PU206" s="16"/>
      <c r="PV206" s="16"/>
    </row>
    <row r="207" spans="3:438" x14ac:dyDescent="0.25">
      <c r="C207" s="1"/>
      <c r="D207" s="1"/>
      <c r="I207" s="9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G207" s="9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E207" s="9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C207" s="9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DA207" s="9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Y207" s="9"/>
      <c r="DZ207" s="16"/>
      <c r="EA207" s="16"/>
      <c r="EB207" s="16"/>
      <c r="EC207" s="16"/>
      <c r="ED207" s="16"/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6"/>
      <c r="EQ207" s="16"/>
      <c r="ER207" s="16"/>
      <c r="ES207" s="16"/>
      <c r="ET207" s="16"/>
      <c r="EW207" s="9"/>
      <c r="EX207" s="16"/>
      <c r="EY207" s="16"/>
      <c r="EZ207" s="16"/>
      <c r="FA207" s="16"/>
      <c r="FB207" s="16"/>
      <c r="FC207" s="16"/>
      <c r="FD207" s="16"/>
      <c r="FE207" s="16"/>
      <c r="FF207" s="16"/>
      <c r="FG207" s="16"/>
      <c r="FH207" s="16"/>
      <c r="FI207" s="16"/>
      <c r="FJ207" s="16"/>
      <c r="FK207" s="16"/>
      <c r="FL207" s="16"/>
      <c r="FM207" s="16"/>
      <c r="FN207" s="16"/>
      <c r="FO207" s="16"/>
      <c r="FP207" s="16"/>
      <c r="FQ207" s="16"/>
      <c r="FR207" s="16"/>
      <c r="FU207" s="9"/>
      <c r="FV207" s="16"/>
      <c r="FW207" s="16"/>
      <c r="FX207" s="16"/>
      <c r="FY207" s="16"/>
      <c r="FZ207" s="16"/>
      <c r="GA207" s="16"/>
      <c r="GB207" s="16"/>
      <c r="GC207" s="16"/>
      <c r="GD207" s="16"/>
      <c r="GE207" s="16"/>
      <c r="GF207" s="16"/>
      <c r="GG207" s="16"/>
      <c r="GH207" s="16"/>
      <c r="GI207" s="16"/>
      <c r="GJ207" s="16"/>
      <c r="GK207" s="16"/>
      <c r="GL207" s="16"/>
      <c r="GM207" s="16"/>
      <c r="GN207" s="16"/>
      <c r="GO207" s="16"/>
      <c r="GP207" s="16"/>
      <c r="GS207" s="9"/>
      <c r="GT207" s="16"/>
      <c r="GU207" s="16"/>
      <c r="GV207" s="16"/>
      <c r="GW207" s="16"/>
      <c r="GX207" s="16"/>
      <c r="GY207" s="16"/>
      <c r="GZ207" s="16"/>
      <c r="HA207" s="16"/>
      <c r="HB207" s="16"/>
      <c r="HC207" s="16"/>
      <c r="HD207" s="16"/>
      <c r="HE207" s="16"/>
      <c r="HF207" s="16"/>
      <c r="HG207" s="16"/>
      <c r="HH207" s="16"/>
      <c r="HI207" s="16"/>
      <c r="HJ207" s="16"/>
      <c r="HK207" s="16"/>
      <c r="HL207" s="16"/>
      <c r="HM207" s="16"/>
      <c r="HN207" s="16"/>
      <c r="HQ207" s="9"/>
      <c r="HR207" s="16"/>
      <c r="HS207" s="16"/>
      <c r="HT207" s="16"/>
      <c r="HU207" s="16"/>
      <c r="HV207" s="16"/>
      <c r="HW207" s="16"/>
      <c r="HX207" s="16"/>
      <c r="HY207" s="16"/>
      <c r="HZ207" s="16"/>
      <c r="IA207" s="16"/>
      <c r="IB207" s="16"/>
      <c r="IC207" s="16"/>
      <c r="ID207" s="16"/>
      <c r="IE207" s="16"/>
      <c r="IF207" s="16"/>
      <c r="IG207" s="16"/>
      <c r="IH207" s="16"/>
      <c r="II207" s="16"/>
      <c r="IJ207" s="16"/>
      <c r="IK207" s="16"/>
      <c r="IL207" s="16"/>
      <c r="IO207" s="9"/>
      <c r="IP207" s="16"/>
      <c r="IQ207" s="16"/>
      <c r="IR207" s="16"/>
      <c r="IS207" s="16"/>
      <c r="IT207" s="16"/>
      <c r="IU207" s="16"/>
      <c r="IV207" s="16"/>
      <c r="IW207" s="16"/>
      <c r="IX207" s="16"/>
      <c r="IY207" s="16"/>
      <c r="IZ207" s="16"/>
      <c r="JA207" s="16"/>
      <c r="JB207" s="16"/>
      <c r="JC207" s="16"/>
      <c r="JD207" s="16"/>
      <c r="JE207" s="16"/>
      <c r="JF207" s="16"/>
      <c r="JG207" s="16"/>
      <c r="JH207" s="16"/>
      <c r="JI207" s="16"/>
      <c r="JJ207" s="16"/>
      <c r="JM207" s="9"/>
      <c r="JN207" s="16"/>
      <c r="JO207" s="16"/>
      <c r="JP207" s="16"/>
      <c r="JQ207" s="16"/>
      <c r="JR207" s="16"/>
      <c r="JS207" s="16"/>
      <c r="JT207" s="16"/>
      <c r="JU207" s="16"/>
      <c r="JV207" s="16"/>
      <c r="JW207" s="16"/>
      <c r="JX207" s="16"/>
      <c r="JY207" s="16"/>
      <c r="JZ207" s="16"/>
      <c r="KA207" s="16"/>
      <c r="KB207" s="16"/>
      <c r="KC207" s="16"/>
      <c r="KD207" s="16"/>
      <c r="KE207" s="16"/>
      <c r="KF207" s="16"/>
      <c r="KG207" s="16"/>
      <c r="KH207" s="16"/>
      <c r="KK207" s="9"/>
      <c r="KL207" s="16"/>
      <c r="KM207" s="16"/>
      <c r="KN207" s="16"/>
      <c r="KO207" s="16"/>
      <c r="KP207" s="16"/>
      <c r="KQ207" s="16"/>
      <c r="KR207" s="16"/>
      <c r="KS207" s="16"/>
      <c r="KT207" s="16"/>
      <c r="KU207" s="16"/>
      <c r="KV207" s="16"/>
      <c r="KW207" s="16"/>
      <c r="KX207" s="16"/>
      <c r="KY207" s="16"/>
      <c r="KZ207" s="16"/>
      <c r="LA207" s="16"/>
      <c r="LB207" s="16"/>
      <c r="LC207" s="16"/>
      <c r="LD207" s="16"/>
      <c r="LE207" s="16"/>
      <c r="LF207" s="16"/>
      <c r="LI207" s="9"/>
      <c r="LJ207" s="16"/>
      <c r="LK207" s="16"/>
      <c r="LL207" s="16"/>
      <c r="LM207" s="16"/>
      <c r="LN207" s="16"/>
      <c r="LO207" s="16"/>
      <c r="LP207" s="16"/>
      <c r="LQ207" s="16"/>
      <c r="LR207" s="16"/>
      <c r="LS207" s="16"/>
      <c r="LT207" s="16"/>
      <c r="LU207" s="16"/>
      <c r="LV207" s="16"/>
      <c r="LW207" s="16"/>
      <c r="LX207" s="16"/>
      <c r="LY207" s="16"/>
      <c r="LZ207" s="16"/>
      <c r="MA207" s="16"/>
      <c r="MB207" s="16"/>
      <c r="MC207" s="16"/>
      <c r="MD207" s="16"/>
      <c r="MG207" s="9"/>
      <c r="MH207" s="16"/>
      <c r="MI207" s="16"/>
      <c r="MJ207" s="16"/>
      <c r="MK207" s="16"/>
      <c r="ML207" s="16"/>
      <c r="MM207" s="16"/>
      <c r="MN207" s="16"/>
      <c r="MO207" s="16"/>
      <c r="MP207" s="16"/>
      <c r="MQ207" s="16"/>
      <c r="MR207" s="16"/>
      <c r="MS207" s="16"/>
      <c r="MT207" s="16"/>
      <c r="MU207" s="16"/>
      <c r="MV207" s="16"/>
      <c r="MW207" s="16"/>
      <c r="MX207" s="16"/>
      <c r="MY207" s="16"/>
      <c r="MZ207" s="16"/>
      <c r="NA207" s="16"/>
      <c r="NB207" s="16"/>
      <c r="NE207" s="9"/>
      <c r="NF207" s="16"/>
      <c r="NG207" s="16"/>
      <c r="NH207" s="16"/>
      <c r="NI207" s="16"/>
      <c r="NJ207" s="16"/>
      <c r="NK207" s="16"/>
      <c r="NL207" s="16"/>
      <c r="NM207" s="16"/>
      <c r="NN207" s="16"/>
      <c r="NO207" s="16"/>
      <c r="NP207" s="16"/>
      <c r="NQ207" s="16"/>
      <c r="NR207" s="16"/>
      <c r="NS207" s="16"/>
      <c r="NT207" s="16"/>
      <c r="NU207" s="16"/>
      <c r="NV207" s="16"/>
      <c r="NW207" s="16"/>
      <c r="NX207" s="16"/>
      <c r="NY207" s="16"/>
      <c r="NZ207" s="16"/>
      <c r="OC207" s="9"/>
      <c r="OD207" s="16"/>
      <c r="OE207" s="16"/>
      <c r="OF207" s="16"/>
      <c r="OG207" s="16"/>
      <c r="OH207" s="16"/>
      <c r="OI207" s="16"/>
      <c r="OJ207" s="16"/>
      <c r="OK207" s="16"/>
      <c r="OL207" s="16"/>
      <c r="OM207" s="16"/>
      <c r="ON207" s="16"/>
      <c r="OO207" s="16"/>
      <c r="OP207" s="16"/>
      <c r="OQ207" s="16"/>
      <c r="OR207" s="16"/>
      <c r="OS207" s="16"/>
      <c r="OT207" s="16"/>
      <c r="OU207" s="16"/>
      <c r="OV207" s="16"/>
      <c r="OW207" s="16"/>
      <c r="OX207" s="16"/>
      <c r="PA207" s="9"/>
      <c r="PB207" s="16"/>
      <c r="PC207" s="16"/>
      <c r="PD207" s="16"/>
      <c r="PE207" s="16"/>
      <c r="PF207" s="16"/>
      <c r="PG207" s="16"/>
      <c r="PH207" s="16"/>
      <c r="PI207" s="16"/>
      <c r="PJ207" s="16"/>
      <c r="PK207" s="16"/>
      <c r="PL207" s="16"/>
      <c r="PM207" s="16"/>
      <c r="PN207" s="16"/>
      <c r="PO207" s="16"/>
      <c r="PP207" s="16"/>
      <c r="PQ207" s="16"/>
      <c r="PR207" s="16"/>
      <c r="PS207" s="16"/>
      <c r="PT207" s="16"/>
      <c r="PU207" s="16"/>
      <c r="PV207" s="16"/>
    </row>
    <row r="208" spans="3:438" x14ac:dyDescent="0.25">
      <c r="C208" s="1"/>
      <c r="D208" s="1"/>
      <c r="I208" s="9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G208" s="9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E208" s="9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C208" s="9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DA208" s="9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Y208" s="9"/>
      <c r="DZ208" s="16"/>
      <c r="EA208" s="16"/>
      <c r="EB208" s="16"/>
      <c r="EC208" s="16"/>
      <c r="ED208" s="16"/>
      <c r="EE208" s="16"/>
      <c r="EF208" s="16"/>
      <c r="EG208" s="16"/>
      <c r="EH208" s="16"/>
      <c r="EI208" s="16"/>
      <c r="EJ208" s="16"/>
      <c r="EK208" s="16"/>
      <c r="EL208" s="16"/>
      <c r="EM208" s="16"/>
      <c r="EN208" s="16"/>
      <c r="EO208" s="16"/>
      <c r="EP208" s="16"/>
      <c r="EQ208" s="16"/>
      <c r="ER208" s="16"/>
      <c r="ES208" s="16"/>
      <c r="ET208" s="16"/>
      <c r="EW208" s="9"/>
      <c r="EX208" s="16"/>
      <c r="EY208" s="16"/>
      <c r="EZ208" s="16"/>
      <c r="FA208" s="16"/>
      <c r="FB208" s="16"/>
      <c r="FC208" s="16"/>
      <c r="FD208" s="16"/>
      <c r="FE208" s="16"/>
      <c r="FF208" s="16"/>
      <c r="FG208" s="16"/>
      <c r="FH208" s="16"/>
      <c r="FI208" s="16"/>
      <c r="FJ208" s="16"/>
      <c r="FK208" s="16"/>
      <c r="FL208" s="16"/>
      <c r="FM208" s="16"/>
      <c r="FN208" s="16"/>
      <c r="FO208" s="16"/>
      <c r="FP208" s="16"/>
      <c r="FQ208" s="16"/>
      <c r="FR208" s="16"/>
      <c r="FU208" s="9"/>
      <c r="FV208" s="16"/>
      <c r="FW208" s="16"/>
      <c r="FX208" s="16"/>
      <c r="FY208" s="16"/>
      <c r="FZ208" s="16"/>
      <c r="GA208" s="16"/>
      <c r="GB208" s="16"/>
      <c r="GC208" s="16"/>
      <c r="GD208" s="16"/>
      <c r="GE208" s="16"/>
      <c r="GF208" s="16"/>
      <c r="GG208" s="16"/>
      <c r="GH208" s="16"/>
      <c r="GI208" s="16"/>
      <c r="GJ208" s="16"/>
      <c r="GK208" s="16"/>
      <c r="GL208" s="16"/>
      <c r="GM208" s="16"/>
      <c r="GN208" s="16"/>
      <c r="GO208" s="16"/>
      <c r="GP208" s="16"/>
      <c r="GS208" s="9"/>
      <c r="GT208" s="16"/>
      <c r="GU208" s="16"/>
      <c r="GV208" s="16"/>
      <c r="GW208" s="16"/>
      <c r="GX208" s="16"/>
      <c r="GY208" s="16"/>
      <c r="GZ208" s="16"/>
      <c r="HA208" s="16"/>
      <c r="HB208" s="16"/>
      <c r="HC208" s="16"/>
      <c r="HD208" s="16"/>
      <c r="HE208" s="16"/>
      <c r="HF208" s="16"/>
      <c r="HG208" s="16"/>
      <c r="HH208" s="16"/>
      <c r="HI208" s="16"/>
      <c r="HJ208" s="16"/>
      <c r="HK208" s="16"/>
      <c r="HL208" s="16"/>
      <c r="HM208" s="16"/>
      <c r="HN208" s="16"/>
      <c r="HQ208" s="9"/>
      <c r="HR208" s="16"/>
      <c r="HS208" s="16"/>
      <c r="HT208" s="16"/>
      <c r="HU208" s="16"/>
      <c r="HV208" s="16"/>
      <c r="HW208" s="16"/>
      <c r="HX208" s="16"/>
      <c r="HY208" s="16"/>
      <c r="HZ208" s="16"/>
      <c r="IA208" s="16"/>
      <c r="IB208" s="16"/>
      <c r="IC208" s="16"/>
      <c r="ID208" s="16"/>
      <c r="IE208" s="16"/>
      <c r="IF208" s="16"/>
      <c r="IG208" s="16"/>
      <c r="IH208" s="16"/>
      <c r="II208" s="16"/>
      <c r="IJ208" s="16"/>
      <c r="IK208" s="16"/>
      <c r="IL208" s="16"/>
      <c r="IO208" s="9"/>
      <c r="IP208" s="16"/>
      <c r="IQ208" s="16"/>
      <c r="IR208" s="16"/>
      <c r="IS208" s="16"/>
      <c r="IT208" s="16"/>
      <c r="IU208" s="16"/>
      <c r="IV208" s="16"/>
      <c r="IW208" s="16"/>
      <c r="IX208" s="16"/>
      <c r="IY208" s="16"/>
      <c r="IZ208" s="16"/>
      <c r="JA208" s="16"/>
      <c r="JB208" s="16"/>
      <c r="JC208" s="16"/>
      <c r="JD208" s="16"/>
      <c r="JE208" s="16"/>
      <c r="JF208" s="16"/>
      <c r="JG208" s="16"/>
      <c r="JH208" s="16"/>
      <c r="JI208" s="16"/>
      <c r="JJ208" s="16"/>
      <c r="JM208" s="9"/>
      <c r="JN208" s="16"/>
      <c r="JO208" s="16"/>
      <c r="JP208" s="16"/>
      <c r="JQ208" s="16"/>
      <c r="JR208" s="16"/>
      <c r="JS208" s="16"/>
      <c r="JT208" s="16"/>
      <c r="JU208" s="16"/>
      <c r="JV208" s="16"/>
      <c r="JW208" s="16"/>
      <c r="JX208" s="16"/>
      <c r="JY208" s="16"/>
      <c r="JZ208" s="16"/>
      <c r="KA208" s="16"/>
      <c r="KB208" s="16"/>
      <c r="KC208" s="16"/>
      <c r="KD208" s="16"/>
      <c r="KE208" s="16"/>
      <c r="KF208" s="16"/>
      <c r="KG208" s="16"/>
      <c r="KH208" s="16"/>
      <c r="KK208" s="9"/>
      <c r="KL208" s="16"/>
      <c r="KM208" s="16"/>
      <c r="KN208" s="16"/>
      <c r="KO208" s="16"/>
      <c r="KP208" s="16"/>
      <c r="KQ208" s="16"/>
      <c r="KR208" s="16"/>
      <c r="KS208" s="16"/>
      <c r="KT208" s="16"/>
      <c r="KU208" s="16"/>
      <c r="KV208" s="16"/>
      <c r="KW208" s="16"/>
      <c r="KX208" s="16"/>
      <c r="KY208" s="16"/>
      <c r="KZ208" s="16"/>
      <c r="LA208" s="16"/>
      <c r="LB208" s="16"/>
      <c r="LC208" s="16"/>
      <c r="LD208" s="16"/>
      <c r="LE208" s="16"/>
      <c r="LF208" s="16"/>
      <c r="LI208" s="9"/>
      <c r="LJ208" s="16"/>
      <c r="LK208" s="16"/>
      <c r="LL208" s="16"/>
      <c r="LM208" s="16"/>
      <c r="LN208" s="16"/>
      <c r="LO208" s="16"/>
      <c r="LP208" s="16"/>
      <c r="LQ208" s="16"/>
      <c r="LR208" s="16"/>
      <c r="LS208" s="16"/>
      <c r="LT208" s="16"/>
      <c r="LU208" s="16"/>
      <c r="LV208" s="16"/>
      <c r="LW208" s="16"/>
      <c r="LX208" s="16"/>
      <c r="LY208" s="16"/>
      <c r="LZ208" s="16"/>
      <c r="MA208" s="16"/>
      <c r="MB208" s="16"/>
      <c r="MC208" s="16"/>
      <c r="MD208" s="16"/>
      <c r="MG208" s="9"/>
      <c r="MH208" s="16"/>
      <c r="MI208" s="16"/>
      <c r="MJ208" s="16"/>
      <c r="MK208" s="16"/>
      <c r="ML208" s="16"/>
      <c r="MM208" s="16"/>
      <c r="MN208" s="16"/>
      <c r="MO208" s="16"/>
      <c r="MP208" s="16"/>
      <c r="MQ208" s="16"/>
      <c r="MR208" s="16"/>
      <c r="MS208" s="16"/>
      <c r="MT208" s="16"/>
      <c r="MU208" s="16"/>
      <c r="MV208" s="16"/>
      <c r="MW208" s="16"/>
      <c r="MX208" s="16"/>
      <c r="MY208" s="16"/>
      <c r="MZ208" s="16"/>
      <c r="NA208" s="16"/>
      <c r="NB208" s="16"/>
      <c r="NE208" s="9"/>
      <c r="NF208" s="16"/>
      <c r="NG208" s="16"/>
      <c r="NH208" s="16"/>
      <c r="NI208" s="16"/>
      <c r="NJ208" s="16"/>
      <c r="NK208" s="16"/>
      <c r="NL208" s="16"/>
      <c r="NM208" s="16"/>
      <c r="NN208" s="16"/>
      <c r="NO208" s="16"/>
      <c r="NP208" s="16"/>
      <c r="NQ208" s="16"/>
      <c r="NR208" s="16"/>
      <c r="NS208" s="16"/>
      <c r="NT208" s="16"/>
      <c r="NU208" s="16"/>
      <c r="NV208" s="16"/>
      <c r="NW208" s="16"/>
      <c r="NX208" s="16"/>
      <c r="NY208" s="16"/>
      <c r="NZ208" s="16"/>
      <c r="OC208" s="9"/>
      <c r="OD208" s="16"/>
      <c r="OE208" s="16"/>
      <c r="OF208" s="16"/>
      <c r="OG208" s="16"/>
      <c r="OH208" s="16"/>
      <c r="OI208" s="16"/>
      <c r="OJ208" s="16"/>
      <c r="OK208" s="16"/>
      <c r="OL208" s="16"/>
      <c r="OM208" s="16"/>
      <c r="ON208" s="16"/>
      <c r="OO208" s="16"/>
      <c r="OP208" s="16"/>
      <c r="OQ208" s="16"/>
      <c r="OR208" s="16"/>
      <c r="OS208" s="16"/>
      <c r="OT208" s="16"/>
      <c r="OU208" s="16"/>
      <c r="OV208" s="16"/>
      <c r="OW208" s="16"/>
      <c r="OX208" s="16"/>
      <c r="PA208" s="9"/>
      <c r="PB208" s="16"/>
      <c r="PC208" s="16"/>
      <c r="PD208" s="16"/>
      <c r="PE208" s="16"/>
      <c r="PF208" s="16"/>
      <c r="PG208" s="16"/>
      <c r="PH208" s="16"/>
      <c r="PI208" s="16"/>
      <c r="PJ208" s="16"/>
      <c r="PK208" s="16"/>
      <c r="PL208" s="16"/>
      <c r="PM208" s="16"/>
      <c r="PN208" s="16"/>
      <c r="PO208" s="16"/>
      <c r="PP208" s="16"/>
      <c r="PQ208" s="16"/>
      <c r="PR208" s="16"/>
      <c r="PS208" s="16"/>
      <c r="PT208" s="16"/>
      <c r="PU208" s="16"/>
      <c r="PV208" s="16"/>
    </row>
    <row r="209" spans="3:438" x14ac:dyDescent="0.25">
      <c r="C209" s="1"/>
      <c r="D209" s="1"/>
      <c r="I209" s="9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G209" s="9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E209" s="9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C209" s="9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DA209" s="9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Y209" s="9"/>
      <c r="DZ209" s="16"/>
      <c r="EA209" s="16"/>
      <c r="EB209" s="16"/>
      <c r="EC209" s="16"/>
      <c r="ED209" s="16"/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6"/>
      <c r="EQ209" s="16"/>
      <c r="ER209" s="16"/>
      <c r="ES209" s="16"/>
      <c r="ET209" s="16"/>
      <c r="EW209" s="9"/>
      <c r="EX209" s="16"/>
      <c r="EY209" s="16"/>
      <c r="EZ209" s="16"/>
      <c r="FA209" s="16"/>
      <c r="FB209" s="16"/>
      <c r="FC209" s="16"/>
      <c r="FD209" s="16"/>
      <c r="FE209" s="16"/>
      <c r="FF209" s="16"/>
      <c r="FG209" s="16"/>
      <c r="FH209" s="16"/>
      <c r="FI209" s="16"/>
      <c r="FJ209" s="16"/>
      <c r="FK209" s="16"/>
      <c r="FL209" s="16"/>
      <c r="FM209" s="16"/>
      <c r="FN209" s="16"/>
      <c r="FO209" s="16"/>
      <c r="FP209" s="16"/>
      <c r="FQ209" s="16"/>
      <c r="FR209" s="16"/>
      <c r="FU209" s="9"/>
      <c r="FV209" s="16"/>
      <c r="FW209" s="16"/>
      <c r="FX209" s="16"/>
      <c r="FY209" s="16"/>
      <c r="FZ209" s="16"/>
      <c r="GA209" s="16"/>
      <c r="GB209" s="16"/>
      <c r="GC209" s="16"/>
      <c r="GD209" s="16"/>
      <c r="GE209" s="16"/>
      <c r="GF209" s="16"/>
      <c r="GG209" s="16"/>
      <c r="GH209" s="16"/>
      <c r="GI209" s="16"/>
      <c r="GJ209" s="16"/>
      <c r="GK209" s="16"/>
      <c r="GL209" s="16"/>
      <c r="GM209" s="16"/>
      <c r="GN209" s="16"/>
      <c r="GO209" s="16"/>
      <c r="GP209" s="16"/>
      <c r="GS209" s="9"/>
      <c r="GT209" s="16"/>
      <c r="GU209" s="16"/>
      <c r="GV209" s="16"/>
      <c r="GW209" s="16"/>
      <c r="GX209" s="16"/>
      <c r="GY209" s="16"/>
      <c r="GZ209" s="16"/>
      <c r="HA209" s="16"/>
      <c r="HB209" s="16"/>
      <c r="HC209" s="16"/>
      <c r="HD209" s="16"/>
      <c r="HE209" s="16"/>
      <c r="HF209" s="16"/>
      <c r="HG209" s="16"/>
      <c r="HH209" s="16"/>
      <c r="HI209" s="16"/>
      <c r="HJ209" s="16"/>
      <c r="HK209" s="16"/>
      <c r="HL209" s="16"/>
      <c r="HM209" s="16"/>
      <c r="HN209" s="16"/>
      <c r="HQ209" s="9"/>
      <c r="HR209" s="16"/>
      <c r="HS209" s="16"/>
      <c r="HT209" s="16"/>
      <c r="HU209" s="16"/>
      <c r="HV209" s="16"/>
      <c r="HW209" s="16"/>
      <c r="HX209" s="16"/>
      <c r="HY209" s="16"/>
      <c r="HZ209" s="16"/>
      <c r="IA209" s="16"/>
      <c r="IB209" s="16"/>
      <c r="IC209" s="16"/>
      <c r="ID209" s="16"/>
      <c r="IE209" s="16"/>
      <c r="IF209" s="16"/>
      <c r="IG209" s="16"/>
      <c r="IH209" s="16"/>
      <c r="II209" s="16"/>
      <c r="IJ209" s="16"/>
      <c r="IK209" s="16"/>
      <c r="IL209" s="16"/>
      <c r="IO209" s="9"/>
      <c r="IP209" s="16"/>
      <c r="IQ209" s="16"/>
      <c r="IR209" s="16"/>
      <c r="IS209" s="16"/>
      <c r="IT209" s="16"/>
      <c r="IU209" s="16"/>
      <c r="IV209" s="16"/>
      <c r="IW209" s="16"/>
      <c r="IX209" s="16"/>
      <c r="IY209" s="16"/>
      <c r="IZ209" s="16"/>
      <c r="JA209" s="16"/>
      <c r="JB209" s="16"/>
      <c r="JC209" s="16"/>
      <c r="JD209" s="16"/>
      <c r="JE209" s="16"/>
      <c r="JF209" s="16"/>
      <c r="JG209" s="16"/>
      <c r="JH209" s="16"/>
      <c r="JI209" s="16"/>
      <c r="JJ209" s="16"/>
      <c r="JM209" s="9"/>
      <c r="JN209" s="16"/>
      <c r="JO209" s="16"/>
      <c r="JP209" s="16"/>
      <c r="JQ209" s="16"/>
      <c r="JR209" s="16"/>
      <c r="JS209" s="16"/>
      <c r="JT209" s="16"/>
      <c r="JU209" s="16"/>
      <c r="JV209" s="16"/>
      <c r="JW209" s="16"/>
      <c r="JX209" s="16"/>
      <c r="JY209" s="16"/>
      <c r="JZ209" s="16"/>
      <c r="KA209" s="16"/>
      <c r="KB209" s="16"/>
      <c r="KC209" s="16"/>
      <c r="KD209" s="16"/>
      <c r="KE209" s="16"/>
      <c r="KF209" s="16"/>
      <c r="KG209" s="16"/>
      <c r="KH209" s="16"/>
      <c r="KK209" s="9"/>
      <c r="KL209" s="16"/>
      <c r="KM209" s="16"/>
      <c r="KN209" s="16"/>
      <c r="KO209" s="16"/>
      <c r="KP209" s="16"/>
      <c r="KQ209" s="16"/>
      <c r="KR209" s="16"/>
      <c r="KS209" s="16"/>
      <c r="KT209" s="16"/>
      <c r="KU209" s="16"/>
      <c r="KV209" s="16"/>
      <c r="KW209" s="16"/>
      <c r="KX209" s="16"/>
      <c r="KY209" s="16"/>
      <c r="KZ209" s="16"/>
      <c r="LA209" s="16"/>
      <c r="LB209" s="16"/>
      <c r="LC209" s="16"/>
      <c r="LD209" s="16"/>
      <c r="LE209" s="16"/>
      <c r="LF209" s="16"/>
      <c r="LI209" s="9"/>
      <c r="LJ209" s="16"/>
      <c r="LK209" s="16"/>
      <c r="LL209" s="16"/>
      <c r="LM209" s="16"/>
      <c r="LN209" s="16"/>
      <c r="LO209" s="16"/>
      <c r="LP209" s="16"/>
      <c r="LQ209" s="16"/>
      <c r="LR209" s="16"/>
      <c r="LS209" s="16"/>
      <c r="LT209" s="16"/>
      <c r="LU209" s="16"/>
      <c r="LV209" s="16"/>
      <c r="LW209" s="16"/>
      <c r="LX209" s="16"/>
      <c r="LY209" s="16"/>
      <c r="LZ209" s="16"/>
      <c r="MA209" s="16"/>
      <c r="MB209" s="16"/>
      <c r="MC209" s="16"/>
      <c r="MD209" s="16"/>
      <c r="MG209" s="9"/>
      <c r="MH209" s="16"/>
      <c r="MI209" s="16"/>
      <c r="MJ209" s="16"/>
      <c r="MK209" s="16"/>
      <c r="ML209" s="16"/>
      <c r="MM209" s="16"/>
      <c r="MN209" s="16"/>
      <c r="MO209" s="16"/>
      <c r="MP209" s="16"/>
      <c r="MQ209" s="16"/>
      <c r="MR209" s="16"/>
      <c r="MS209" s="16"/>
      <c r="MT209" s="16"/>
      <c r="MU209" s="16"/>
      <c r="MV209" s="16"/>
      <c r="MW209" s="16"/>
      <c r="MX209" s="16"/>
      <c r="MY209" s="16"/>
      <c r="MZ209" s="16"/>
      <c r="NA209" s="16"/>
      <c r="NB209" s="16"/>
      <c r="NE209" s="9"/>
      <c r="NF209" s="16"/>
      <c r="NG209" s="16"/>
      <c r="NH209" s="16"/>
      <c r="NI209" s="16"/>
      <c r="NJ209" s="16"/>
      <c r="NK209" s="16"/>
      <c r="NL209" s="16"/>
      <c r="NM209" s="16"/>
      <c r="NN209" s="16"/>
      <c r="NO209" s="16"/>
      <c r="NP209" s="16"/>
      <c r="NQ209" s="16"/>
      <c r="NR209" s="16"/>
      <c r="NS209" s="16"/>
      <c r="NT209" s="16"/>
      <c r="NU209" s="16"/>
      <c r="NV209" s="16"/>
      <c r="NW209" s="16"/>
      <c r="NX209" s="16"/>
      <c r="NY209" s="16"/>
      <c r="NZ209" s="16"/>
      <c r="OC209" s="9"/>
      <c r="OD209" s="16"/>
      <c r="OE209" s="16"/>
      <c r="OF209" s="16"/>
      <c r="OG209" s="16"/>
      <c r="OH209" s="16"/>
      <c r="OI209" s="16"/>
      <c r="OJ209" s="16"/>
      <c r="OK209" s="16"/>
      <c r="OL209" s="16"/>
      <c r="OM209" s="16"/>
      <c r="ON209" s="16"/>
      <c r="OO209" s="16"/>
      <c r="OP209" s="16"/>
      <c r="OQ209" s="16"/>
      <c r="OR209" s="16"/>
      <c r="OS209" s="16"/>
      <c r="OT209" s="16"/>
      <c r="OU209" s="16"/>
      <c r="OV209" s="16"/>
      <c r="OW209" s="16"/>
      <c r="OX209" s="16"/>
      <c r="PA209" s="9"/>
      <c r="PB209" s="16"/>
      <c r="PC209" s="16"/>
      <c r="PD209" s="16"/>
      <c r="PE209" s="16"/>
      <c r="PF209" s="16"/>
      <c r="PG209" s="16"/>
      <c r="PH209" s="16"/>
      <c r="PI209" s="16"/>
      <c r="PJ209" s="16"/>
      <c r="PK209" s="16"/>
      <c r="PL209" s="16"/>
      <c r="PM209" s="16"/>
      <c r="PN209" s="16"/>
      <c r="PO209" s="16"/>
      <c r="PP209" s="16"/>
      <c r="PQ209" s="16"/>
      <c r="PR209" s="16"/>
      <c r="PS209" s="16"/>
      <c r="PT209" s="16"/>
      <c r="PU209" s="16"/>
      <c r="PV209" s="16"/>
    </row>
    <row r="210" spans="3:438" x14ac:dyDescent="0.25">
      <c r="C210" s="1"/>
      <c r="D210" s="1"/>
      <c r="I210" s="9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G210" s="9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E210" s="9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C210" s="9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DA210" s="9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Y210" s="9"/>
      <c r="DZ210" s="16"/>
      <c r="EA210" s="16"/>
      <c r="EB210" s="16"/>
      <c r="EC210" s="16"/>
      <c r="ED210" s="16"/>
      <c r="EE210" s="16"/>
      <c r="EF210" s="16"/>
      <c r="EG210" s="16"/>
      <c r="EH210" s="16"/>
      <c r="EI210" s="16"/>
      <c r="EJ210" s="16"/>
      <c r="EK210" s="16"/>
      <c r="EL210" s="16"/>
      <c r="EM210" s="16"/>
      <c r="EN210" s="16"/>
      <c r="EO210" s="16"/>
      <c r="EP210" s="16"/>
      <c r="EQ210" s="16"/>
      <c r="ER210" s="16"/>
      <c r="ES210" s="16"/>
      <c r="ET210" s="16"/>
      <c r="EW210" s="9"/>
      <c r="EX210" s="16"/>
      <c r="EY210" s="16"/>
      <c r="EZ210" s="16"/>
      <c r="FA210" s="16"/>
      <c r="FB210" s="16"/>
      <c r="FC210" s="16"/>
      <c r="FD210" s="16"/>
      <c r="FE210" s="16"/>
      <c r="FF210" s="16"/>
      <c r="FG210" s="16"/>
      <c r="FH210" s="16"/>
      <c r="FI210" s="16"/>
      <c r="FJ210" s="16"/>
      <c r="FK210" s="16"/>
      <c r="FL210" s="16"/>
      <c r="FM210" s="16"/>
      <c r="FN210" s="16"/>
      <c r="FO210" s="16"/>
      <c r="FP210" s="16"/>
      <c r="FQ210" s="16"/>
      <c r="FR210" s="16"/>
      <c r="FU210" s="9"/>
      <c r="FV210" s="16"/>
      <c r="FW210" s="16"/>
      <c r="FX210" s="16"/>
      <c r="FY210" s="16"/>
      <c r="FZ210" s="16"/>
      <c r="GA210" s="16"/>
      <c r="GB210" s="16"/>
      <c r="GC210" s="16"/>
      <c r="GD210" s="16"/>
      <c r="GE210" s="16"/>
      <c r="GF210" s="16"/>
      <c r="GG210" s="16"/>
      <c r="GH210" s="16"/>
      <c r="GI210" s="16"/>
      <c r="GJ210" s="16"/>
      <c r="GK210" s="16"/>
      <c r="GL210" s="16"/>
      <c r="GM210" s="16"/>
      <c r="GN210" s="16"/>
      <c r="GO210" s="16"/>
      <c r="GP210" s="16"/>
      <c r="GS210" s="9"/>
      <c r="GT210" s="16"/>
      <c r="GU210" s="16"/>
      <c r="GV210" s="16"/>
      <c r="GW210" s="16"/>
      <c r="GX210" s="16"/>
      <c r="GY210" s="16"/>
      <c r="GZ210" s="16"/>
      <c r="HA210" s="16"/>
      <c r="HB210" s="16"/>
      <c r="HC210" s="16"/>
      <c r="HD210" s="16"/>
      <c r="HE210" s="16"/>
      <c r="HF210" s="16"/>
      <c r="HG210" s="16"/>
      <c r="HH210" s="16"/>
      <c r="HI210" s="16"/>
      <c r="HJ210" s="16"/>
      <c r="HK210" s="16"/>
      <c r="HL210" s="16"/>
      <c r="HM210" s="16"/>
      <c r="HN210" s="16"/>
      <c r="HQ210" s="9"/>
      <c r="HR210" s="16"/>
      <c r="HS210" s="16"/>
      <c r="HT210" s="16"/>
      <c r="HU210" s="16"/>
      <c r="HV210" s="16"/>
      <c r="HW210" s="16"/>
      <c r="HX210" s="16"/>
      <c r="HY210" s="16"/>
      <c r="HZ210" s="16"/>
      <c r="IA210" s="16"/>
      <c r="IB210" s="16"/>
      <c r="IC210" s="16"/>
      <c r="ID210" s="16"/>
      <c r="IE210" s="16"/>
      <c r="IF210" s="16"/>
      <c r="IG210" s="16"/>
      <c r="IH210" s="16"/>
      <c r="II210" s="16"/>
      <c r="IJ210" s="16"/>
      <c r="IK210" s="16"/>
      <c r="IL210" s="16"/>
      <c r="IO210" s="9"/>
      <c r="IP210" s="16"/>
      <c r="IQ210" s="16"/>
      <c r="IR210" s="16"/>
      <c r="IS210" s="16"/>
      <c r="IT210" s="16"/>
      <c r="IU210" s="16"/>
      <c r="IV210" s="16"/>
      <c r="IW210" s="16"/>
      <c r="IX210" s="16"/>
      <c r="IY210" s="16"/>
      <c r="IZ210" s="16"/>
      <c r="JA210" s="16"/>
      <c r="JB210" s="16"/>
      <c r="JC210" s="16"/>
      <c r="JD210" s="16"/>
      <c r="JE210" s="16"/>
      <c r="JF210" s="16"/>
      <c r="JG210" s="16"/>
      <c r="JH210" s="16"/>
      <c r="JI210" s="16"/>
      <c r="JJ210" s="16"/>
      <c r="JM210" s="9"/>
      <c r="JN210" s="16"/>
      <c r="JO210" s="16"/>
      <c r="JP210" s="16"/>
      <c r="JQ210" s="16"/>
      <c r="JR210" s="16"/>
      <c r="JS210" s="16"/>
      <c r="JT210" s="16"/>
      <c r="JU210" s="16"/>
      <c r="JV210" s="16"/>
      <c r="JW210" s="16"/>
      <c r="JX210" s="16"/>
      <c r="JY210" s="16"/>
      <c r="JZ210" s="16"/>
      <c r="KA210" s="16"/>
      <c r="KB210" s="16"/>
      <c r="KC210" s="16"/>
      <c r="KD210" s="16"/>
      <c r="KE210" s="16"/>
      <c r="KF210" s="16"/>
      <c r="KG210" s="16"/>
      <c r="KH210" s="16"/>
      <c r="KK210" s="9"/>
      <c r="KL210" s="16"/>
      <c r="KM210" s="16"/>
      <c r="KN210" s="16"/>
      <c r="KO210" s="16"/>
      <c r="KP210" s="16"/>
      <c r="KQ210" s="16"/>
      <c r="KR210" s="16"/>
      <c r="KS210" s="16"/>
      <c r="KT210" s="16"/>
      <c r="KU210" s="16"/>
      <c r="KV210" s="16"/>
      <c r="KW210" s="16"/>
      <c r="KX210" s="16"/>
      <c r="KY210" s="16"/>
      <c r="KZ210" s="16"/>
      <c r="LA210" s="16"/>
      <c r="LB210" s="16"/>
      <c r="LC210" s="16"/>
      <c r="LD210" s="16"/>
      <c r="LE210" s="16"/>
      <c r="LF210" s="16"/>
      <c r="LI210" s="9"/>
      <c r="LJ210" s="16"/>
      <c r="LK210" s="16"/>
      <c r="LL210" s="16"/>
      <c r="LM210" s="16"/>
      <c r="LN210" s="16"/>
      <c r="LO210" s="16"/>
      <c r="LP210" s="16"/>
      <c r="LQ210" s="16"/>
      <c r="LR210" s="16"/>
      <c r="LS210" s="16"/>
      <c r="LT210" s="16"/>
      <c r="LU210" s="16"/>
      <c r="LV210" s="16"/>
      <c r="LW210" s="16"/>
      <c r="LX210" s="16"/>
      <c r="LY210" s="16"/>
      <c r="LZ210" s="16"/>
      <c r="MA210" s="16"/>
      <c r="MB210" s="16"/>
      <c r="MC210" s="16"/>
      <c r="MD210" s="16"/>
      <c r="MG210" s="9"/>
      <c r="MH210" s="16"/>
      <c r="MI210" s="16"/>
      <c r="MJ210" s="16"/>
      <c r="MK210" s="16"/>
      <c r="ML210" s="16"/>
      <c r="MM210" s="16"/>
      <c r="MN210" s="16"/>
      <c r="MO210" s="16"/>
      <c r="MP210" s="16"/>
      <c r="MQ210" s="16"/>
      <c r="MR210" s="16"/>
      <c r="MS210" s="16"/>
      <c r="MT210" s="16"/>
      <c r="MU210" s="16"/>
      <c r="MV210" s="16"/>
      <c r="MW210" s="16"/>
      <c r="MX210" s="16"/>
      <c r="MY210" s="16"/>
      <c r="MZ210" s="16"/>
      <c r="NA210" s="16"/>
      <c r="NB210" s="16"/>
      <c r="NE210" s="9"/>
      <c r="NF210" s="16"/>
      <c r="NG210" s="16"/>
      <c r="NH210" s="16"/>
      <c r="NI210" s="16"/>
      <c r="NJ210" s="16"/>
      <c r="NK210" s="16"/>
      <c r="NL210" s="16"/>
      <c r="NM210" s="16"/>
      <c r="NN210" s="16"/>
      <c r="NO210" s="16"/>
      <c r="NP210" s="16"/>
      <c r="NQ210" s="16"/>
      <c r="NR210" s="16"/>
      <c r="NS210" s="16"/>
      <c r="NT210" s="16"/>
      <c r="NU210" s="16"/>
      <c r="NV210" s="16"/>
      <c r="NW210" s="16"/>
      <c r="NX210" s="16"/>
      <c r="NY210" s="16"/>
      <c r="NZ210" s="16"/>
      <c r="OC210" s="9"/>
      <c r="OD210" s="16"/>
      <c r="OE210" s="16"/>
      <c r="OF210" s="16"/>
      <c r="OG210" s="16"/>
      <c r="OH210" s="16"/>
      <c r="OI210" s="16"/>
      <c r="OJ210" s="16"/>
      <c r="OK210" s="16"/>
      <c r="OL210" s="16"/>
      <c r="OM210" s="16"/>
      <c r="ON210" s="16"/>
      <c r="OO210" s="16"/>
      <c r="OP210" s="16"/>
      <c r="OQ210" s="16"/>
      <c r="OR210" s="16"/>
      <c r="OS210" s="16"/>
      <c r="OT210" s="16"/>
      <c r="OU210" s="16"/>
      <c r="OV210" s="16"/>
      <c r="OW210" s="16"/>
      <c r="OX210" s="16"/>
      <c r="PA210" s="9"/>
      <c r="PB210" s="16"/>
      <c r="PC210" s="16"/>
      <c r="PD210" s="16"/>
      <c r="PE210" s="16"/>
      <c r="PF210" s="16"/>
      <c r="PG210" s="16"/>
      <c r="PH210" s="16"/>
      <c r="PI210" s="16"/>
      <c r="PJ210" s="16"/>
      <c r="PK210" s="16"/>
      <c r="PL210" s="16"/>
      <c r="PM210" s="16"/>
      <c r="PN210" s="16"/>
      <c r="PO210" s="16"/>
      <c r="PP210" s="16"/>
      <c r="PQ210" s="16"/>
      <c r="PR210" s="16"/>
      <c r="PS210" s="16"/>
      <c r="PT210" s="16"/>
      <c r="PU210" s="16"/>
      <c r="PV210" s="16"/>
    </row>
    <row r="211" spans="3:438" x14ac:dyDescent="0.25">
      <c r="C211" s="1"/>
      <c r="D211" s="1"/>
      <c r="I211" s="9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G211" s="9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E211" s="9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C211" s="9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DA211" s="9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Y211" s="9"/>
      <c r="DZ211" s="16"/>
      <c r="EA211" s="16"/>
      <c r="EB211" s="16"/>
      <c r="EC211" s="16"/>
      <c r="ED211" s="16"/>
      <c r="EE211" s="16"/>
      <c r="EF211" s="16"/>
      <c r="EG211" s="16"/>
      <c r="EH211" s="16"/>
      <c r="EI211" s="16"/>
      <c r="EJ211" s="16"/>
      <c r="EK211" s="16"/>
      <c r="EL211" s="16"/>
      <c r="EM211" s="16"/>
      <c r="EN211" s="16"/>
      <c r="EO211" s="16"/>
      <c r="EP211" s="16"/>
      <c r="EQ211" s="16"/>
      <c r="ER211" s="16"/>
      <c r="ES211" s="16"/>
      <c r="ET211" s="16"/>
      <c r="EW211" s="9"/>
      <c r="EX211" s="16"/>
      <c r="EY211" s="16"/>
      <c r="EZ211" s="16"/>
      <c r="FA211" s="16"/>
      <c r="FB211" s="16"/>
      <c r="FC211" s="16"/>
      <c r="FD211" s="16"/>
      <c r="FE211" s="16"/>
      <c r="FF211" s="16"/>
      <c r="FG211" s="16"/>
      <c r="FH211" s="16"/>
      <c r="FI211" s="16"/>
      <c r="FJ211" s="16"/>
      <c r="FK211" s="16"/>
      <c r="FL211" s="16"/>
      <c r="FM211" s="16"/>
      <c r="FN211" s="16"/>
      <c r="FO211" s="16"/>
      <c r="FP211" s="16"/>
      <c r="FQ211" s="16"/>
      <c r="FR211" s="16"/>
      <c r="FU211" s="9"/>
      <c r="FV211" s="16"/>
      <c r="FW211" s="16"/>
      <c r="FX211" s="16"/>
      <c r="FY211" s="16"/>
      <c r="FZ211" s="16"/>
      <c r="GA211" s="16"/>
      <c r="GB211" s="16"/>
      <c r="GC211" s="16"/>
      <c r="GD211" s="16"/>
      <c r="GE211" s="16"/>
      <c r="GF211" s="16"/>
      <c r="GG211" s="16"/>
      <c r="GH211" s="16"/>
      <c r="GI211" s="16"/>
      <c r="GJ211" s="16"/>
      <c r="GK211" s="16"/>
      <c r="GL211" s="16"/>
      <c r="GM211" s="16"/>
      <c r="GN211" s="16"/>
      <c r="GO211" s="16"/>
      <c r="GP211" s="16"/>
      <c r="GS211" s="9"/>
      <c r="GT211" s="16"/>
      <c r="GU211" s="16"/>
      <c r="GV211" s="16"/>
      <c r="GW211" s="16"/>
      <c r="GX211" s="16"/>
      <c r="GY211" s="16"/>
      <c r="GZ211" s="16"/>
      <c r="HA211" s="16"/>
      <c r="HB211" s="16"/>
      <c r="HC211" s="16"/>
      <c r="HD211" s="16"/>
      <c r="HE211" s="16"/>
      <c r="HF211" s="16"/>
      <c r="HG211" s="16"/>
      <c r="HH211" s="16"/>
      <c r="HI211" s="16"/>
      <c r="HJ211" s="16"/>
      <c r="HK211" s="16"/>
      <c r="HL211" s="16"/>
      <c r="HM211" s="16"/>
      <c r="HN211" s="16"/>
      <c r="HQ211" s="9"/>
      <c r="HR211" s="16"/>
      <c r="HS211" s="16"/>
      <c r="HT211" s="16"/>
      <c r="HU211" s="16"/>
      <c r="HV211" s="16"/>
      <c r="HW211" s="16"/>
      <c r="HX211" s="16"/>
      <c r="HY211" s="16"/>
      <c r="HZ211" s="16"/>
      <c r="IA211" s="16"/>
      <c r="IB211" s="16"/>
      <c r="IC211" s="16"/>
      <c r="ID211" s="16"/>
      <c r="IE211" s="16"/>
      <c r="IF211" s="16"/>
      <c r="IG211" s="16"/>
      <c r="IH211" s="16"/>
      <c r="II211" s="16"/>
      <c r="IJ211" s="16"/>
      <c r="IK211" s="16"/>
      <c r="IL211" s="16"/>
      <c r="IO211" s="9"/>
      <c r="IP211" s="16"/>
      <c r="IQ211" s="16"/>
      <c r="IR211" s="16"/>
      <c r="IS211" s="16"/>
      <c r="IT211" s="16"/>
      <c r="IU211" s="16"/>
      <c r="IV211" s="16"/>
      <c r="IW211" s="16"/>
      <c r="IX211" s="16"/>
      <c r="IY211" s="16"/>
      <c r="IZ211" s="16"/>
      <c r="JA211" s="16"/>
      <c r="JB211" s="16"/>
      <c r="JC211" s="16"/>
      <c r="JD211" s="16"/>
      <c r="JE211" s="16"/>
      <c r="JF211" s="16"/>
      <c r="JG211" s="16"/>
      <c r="JH211" s="16"/>
      <c r="JI211" s="16"/>
      <c r="JJ211" s="16"/>
      <c r="JM211" s="9"/>
      <c r="JN211" s="16"/>
      <c r="JO211" s="16"/>
      <c r="JP211" s="16"/>
      <c r="JQ211" s="16"/>
      <c r="JR211" s="16"/>
      <c r="JS211" s="16"/>
      <c r="JT211" s="16"/>
      <c r="JU211" s="16"/>
      <c r="JV211" s="16"/>
      <c r="JW211" s="16"/>
      <c r="JX211" s="16"/>
      <c r="JY211" s="16"/>
      <c r="JZ211" s="16"/>
      <c r="KA211" s="16"/>
      <c r="KB211" s="16"/>
      <c r="KC211" s="16"/>
      <c r="KD211" s="16"/>
      <c r="KE211" s="16"/>
      <c r="KF211" s="16"/>
      <c r="KG211" s="16"/>
      <c r="KH211" s="16"/>
      <c r="KK211" s="9"/>
      <c r="KL211" s="16"/>
      <c r="KM211" s="16"/>
      <c r="KN211" s="16"/>
      <c r="KO211" s="16"/>
      <c r="KP211" s="16"/>
      <c r="KQ211" s="16"/>
      <c r="KR211" s="16"/>
      <c r="KS211" s="16"/>
      <c r="KT211" s="16"/>
      <c r="KU211" s="16"/>
      <c r="KV211" s="16"/>
      <c r="KW211" s="16"/>
      <c r="KX211" s="16"/>
      <c r="KY211" s="16"/>
      <c r="KZ211" s="16"/>
      <c r="LA211" s="16"/>
      <c r="LB211" s="16"/>
      <c r="LC211" s="16"/>
      <c r="LD211" s="16"/>
      <c r="LE211" s="16"/>
      <c r="LF211" s="16"/>
      <c r="LI211" s="9"/>
      <c r="LJ211" s="16"/>
      <c r="LK211" s="16"/>
      <c r="LL211" s="16"/>
      <c r="LM211" s="16"/>
      <c r="LN211" s="16"/>
      <c r="LO211" s="16"/>
      <c r="LP211" s="16"/>
      <c r="LQ211" s="16"/>
      <c r="LR211" s="16"/>
      <c r="LS211" s="16"/>
      <c r="LT211" s="16"/>
      <c r="LU211" s="16"/>
      <c r="LV211" s="16"/>
      <c r="LW211" s="16"/>
      <c r="LX211" s="16"/>
      <c r="LY211" s="16"/>
      <c r="LZ211" s="16"/>
      <c r="MA211" s="16"/>
      <c r="MB211" s="16"/>
      <c r="MC211" s="16"/>
      <c r="MD211" s="16"/>
      <c r="MG211" s="9"/>
      <c r="MH211" s="16"/>
      <c r="MI211" s="16"/>
      <c r="MJ211" s="16"/>
      <c r="MK211" s="16"/>
      <c r="ML211" s="16"/>
      <c r="MM211" s="16"/>
      <c r="MN211" s="16"/>
      <c r="MO211" s="16"/>
      <c r="MP211" s="16"/>
      <c r="MQ211" s="16"/>
      <c r="MR211" s="16"/>
      <c r="MS211" s="16"/>
      <c r="MT211" s="16"/>
      <c r="MU211" s="16"/>
      <c r="MV211" s="16"/>
      <c r="MW211" s="16"/>
      <c r="MX211" s="16"/>
      <c r="MY211" s="16"/>
      <c r="MZ211" s="16"/>
      <c r="NA211" s="16"/>
      <c r="NB211" s="16"/>
      <c r="NE211" s="9"/>
      <c r="NF211" s="16"/>
      <c r="NG211" s="16"/>
      <c r="NH211" s="16"/>
      <c r="NI211" s="16"/>
      <c r="NJ211" s="16"/>
      <c r="NK211" s="16"/>
      <c r="NL211" s="16"/>
      <c r="NM211" s="16"/>
      <c r="NN211" s="16"/>
      <c r="NO211" s="16"/>
      <c r="NP211" s="16"/>
      <c r="NQ211" s="16"/>
      <c r="NR211" s="16"/>
      <c r="NS211" s="16"/>
      <c r="NT211" s="16"/>
      <c r="NU211" s="16"/>
      <c r="NV211" s="16"/>
      <c r="NW211" s="16"/>
      <c r="NX211" s="16"/>
      <c r="NY211" s="16"/>
      <c r="NZ211" s="16"/>
      <c r="OC211" s="9"/>
      <c r="OD211" s="16"/>
      <c r="OE211" s="16"/>
      <c r="OF211" s="16"/>
      <c r="OG211" s="16"/>
      <c r="OH211" s="16"/>
      <c r="OI211" s="16"/>
      <c r="OJ211" s="16"/>
      <c r="OK211" s="16"/>
      <c r="OL211" s="16"/>
      <c r="OM211" s="16"/>
      <c r="ON211" s="16"/>
      <c r="OO211" s="16"/>
      <c r="OP211" s="16"/>
      <c r="OQ211" s="16"/>
      <c r="OR211" s="16"/>
      <c r="OS211" s="16"/>
      <c r="OT211" s="16"/>
      <c r="OU211" s="16"/>
      <c r="OV211" s="16"/>
      <c r="OW211" s="16"/>
      <c r="OX211" s="16"/>
      <c r="PA211" s="9"/>
      <c r="PB211" s="16"/>
      <c r="PC211" s="16"/>
      <c r="PD211" s="16"/>
      <c r="PE211" s="16"/>
      <c r="PF211" s="16"/>
      <c r="PG211" s="16"/>
      <c r="PH211" s="16"/>
      <c r="PI211" s="16"/>
      <c r="PJ211" s="16"/>
      <c r="PK211" s="16"/>
      <c r="PL211" s="16"/>
      <c r="PM211" s="16"/>
      <c r="PN211" s="16"/>
      <c r="PO211" s="16"/>
      <c r="PP211" s="16"/>
      <c r="PQ211" s="16"/>
      <c r="PR211" s="16"/>
      <c r="PS211" s="16"/>
      <c r="PT211" s="16"/>
      <c r="PU211" s="16"/>
      <c r="PV211" s="16"/>
    </row>
    <row r="212" spans="3:438" x14ac:dyDescent="0.25">
      <c r="C212" s="1"/>
      <c r="D212" s="1"/>
      <c r="I212" s="9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G212" s="9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E212" s="9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C212" s="9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DA212" s="9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Y212" s="9"/>
      <c r="DZ212" s="16"/>
      <c r="EA212" s="16"/>
      <c r="EB212" s="16"/>
      <c r="EC212" s="16"/>
      <c r="ED212" s="16"/>
      <c r="EE212" s="16"/>
      <c r="EF212" s="16"/>
      <c r="EG212" s="16"/>
      <c r="EH212" s="16"/>
      <c r="EI212" s="16"/>
      <c r="EJ212" s="16"/>
      <c r="EK212" s="16"/>
      <c r="EL212" s="16"/>
      <c r="EM212" s="16"/>
      <c r="EN212" s="16"/>
      <c r="EO212" s="16"/>
      <c r="EP212" s="16"/>
      <c r="EQ212" s="16"/>
      <c r="ER212" s="16"/>
      <c r="ES212" s="16"/>
      <c r="ET212" s="16"/>
      <c r="EW212" s="9"/>
      <c r="EX212" s="16"/>
      <c r="EY212" s="16"/>
      <c r="EZ212" s="16"/>
      <c r="FA212" s="16"/>
      <c r="FB212" s="16"/>
      <c r="FC212" s="16"/>
      <c r="FD212" s="16"/>
      <c r="FE212" s="16"/>
      <c r="FF212" s="16"/>
      <c r="FG212" s="16"/>
      <c r="FH212" s="16"/>
      <c r="FI212" s="16"/>
      <c r="FJ212" s="16"/>
      <c r="FK212" s="16"/>
      <c r="FL212" s="16"/>
      <c r="FM212" s="16"/>
      <c r="FN212" s="16"/>
      <c r="FO212" s="16"/>
      <c r="FP212" s="16"/>
      <c r="FQ212" s="16"/>
      <c r="FR212" s="16"/>
      <c r="FU212" s="9"/>
      <c r="FV212" s="16"/>
      <c r="FW212" s="16"/>
      <c r="FX212" s="16"/>
      <c r="FY212" s="16"/>
      <c r="FZ212" s="16"/>
      <c r="GA212" s="16"/>
      <c r="GB212" s="16"/>
      <c r="GC212" s="16"/>
      <c r="GD212" s="16"/>
      <c r="GE212" s="16"/>
      <c r="GF212" s="16"/>
      <c r="GG212" s="16"/>
      <c r="GH212" s="16"/>
      <c r="GI212" s="16"/>
      <c r="GJ212" s="16"/>
      <c r="GK212" s="16"/>
      <c r="GL212" s="16"/>
      <c r="GM212" s="16"/>
      <c r="GN212" s="16"/>
      <c r="GO212" s="16"/>
      <c r="GP212" s="16"/>
      <c r="GS212" s="9"/>
      <c r="GT212" s="16"/>
      <c r="GU212" s="16"/>
      <c r="GV212" s="16"/>
      <c r="GW212" s="16"/>
      <c r="GX212" s="16"/>
      <c r="GY212" s="16"/>
      <c r="GZ212" s="16"/>
      <c r="HA212" s="16"/>
      <c r="HB212" s="16"/>
      <c r="HC212" s="16"/>
      <c r="HD212" s="16"/>
      <c r="HE212" s="16"/>
      <c r="HF212" s="16"/>
      <c r="HG212" s="16"/>
      <c r="HH212" s="16"/>
      <c r="HI212" s="16"/>
      <c r="HJ212" s="16"/>
      <c r="HK212" s="16"/>
      <c r="HL212" s="16"/>
      <c r="HM212" s="16"/>
      <c r="HN212" s="16"/>
      <c r="HQ212" s="9"/>
      <c r="HR212" s="16"/>
      <c r="HS212" s="16"/>
      <c r="HT212" s="16"/>
      <c r="HU212" s="16"/>
      <c r="HV212" s="16"/>
      <c r="HW212" s="16"/>
      <c r="HX212" s="16"/>
      <c r="HY212" s="16"/>
      <c r="HZ212" s="16"/>
      <c r="IA212" s="16"/>
      <c r="IB212" s="16"/>
      <c r="IC212" s="16"/>
      <c r="ID212" s="16"/>
      <c r="IE212" s="16"/>
      <c r="IF212" s="16"/>
      <c r="IG212" s="16"/>
      <c r="IH212" s="16"/>
      <c r="II212" s="16"/>
      <c r="IJ212" s="16"/>
      <c r="IK212" s="16"/>
      <c r="IL212" s="16"/>
      <c r="IO212" s="9"/>
      <c r="IP212" s="16"/>
      <c r="IQ212" s="16"/>
      <c r="IR212" s="16"/>
      <c r="IS212" s="16"/>
      <c r="IT212" s="16"/>
      <c r="IU212" s="16"/>
      <c r="IV212" s="16"/>
      <c r="IW212" s="16"/>
      <c r="IX212" s="16"/>
      <c r="IY212" s="16"/>
      <c r="IZ212" s="16"/>
      <c r="JA212" s="16"/>
      <c r="JB212" s="16"/>
      <c r="JC212" s="16"/>
      <c r="JD212" s="16"/>
      <c r="JE212" s="16"/>
      <c r="JF212" s="16"/>
      <c r="JG212" s="16"/>
      <c r="JH212" s="16"/>
      <c r="JI212" s="16"/>
      <c r="JJ212" s="16"/>
      <c r="JM212" s="9"/>
      <c r="JN212" s="16"/>
      <c r="JO212" s="16"/>
      <c r="JP212" s="16"/>
      <c r="JQ212" s="16"/>
      <c r="JR212" s="16"/>
      <c r="JS212" s="16"/>
      <c r="JT212" s="16"/>
      <c r="JU212" s="16"/>
      <c r="JV212" s="16"/>
      <c r="JW212" s="16"/>
      <c r="JX212" s="16"/>
      <c r="JY212" s="16"/>
      <c r="JZ212" s="16"/>
      <c r="KA212" s="16"/>
      <c r="KB212" s="16"/>
      <c r="KC212" s="16"/>
      <c r="KD212" s="16"/>
      <c r="KE212" s="16"/>
      <c r="KF212" s="16"/>
      <c r="KG212" s="16"/>
      <c r="KH212" s="16"/>
      <c r="KK212" s="9"/>
      <c r="KL212" s="16"/>
      <c r="KM212" s="16"/>
      <c r="KN212" s="16"/>
      <c r="KO212" s="16"/>
      <c r="KP212" s="16"/>
      <c r="KQ212" s="16"/>
      <c r="KR212" s="16"/>
      <c r="KS212" s="16"/>
      <c r="KT212" s="16"/>
      <c r="KU212" s="16"/>
      <c r="KV212" s="16"/>
      <c r="KW212" s="16"/>
      <c r="KX212" s="16"/>
      <c r="KY212" s="16"/>
      <c r="KZ212" s="16"/>
      <c r="LA212" s="16"/>
      <c r="LB212" s="16"/>
      <c r="LC212" s="16"/>
      <c r="LD212" s="16"/>
      <c r="LE212" s="16"/>
      <c r="LF212" s="16"/>
      <c r="LI212" s="9"/>
      <c r="LJ212" s="16"/>
      <c r="LK212" s="16"/>
      <c r="LL212" s="16"/>
      <c r="LM212" s="16"/>
      <c r="LN212" s="16"/>
      <c r="LO212" s="16"/>
      <c r="LP212" s="16"/>
      <c r="LQ212" s="16"/>
      <c r="LR212" s="16"/>
      <c r="LS212" s="16"/>
      <c r="LT212" s="16"/>
      <c r="LU212" s="16"/>
      <c r="LV212" s="16"/>
      <c r="LW212" s="16"/>
      <c r="LX212" s="16"/>
      <c r="LY212" s="16"/>
      <c r="LZ212" s="16"/>
      <c r="MA212" s="16"/>
      <c r="MB212" s="16"/>
      <c r="MC212" s="16"/>
      <c r="MD212" s="16"/>
      <c r="MG212" s="9"/>
      <c r="MH212" s="16"/>
      <c r="MI212" s="16"/>
      <c r="MJ212" s="16"/>
      <c r="MK212" s="16"/>
      <c r="ML212" s="16"/>
      <c r="MM212" s="16"/>
      <c r="MN212" s="16"/>
      <c r="MO212" s="16"/>
      <c r="MP212" s="16"/>
      <c r="MQ212" s="16"/>
      <c r="MR212" s="16"/>
      <c r="MS212" s="16"/>
      <c r="MT212" s="16"/>
      <c r="MU212" s="16"/>
      <c r="MV212" s="16"/>
      <c r="MW212" s="16"/>
      <c r="MX212" s="16"/>
      <c r="MY212" s="16"/>
      <c r="MZ212" s="16"/>
      <c r="NA212" s="16"/>
      <c r="NB212" s="16"/>
      <c r="NE212" s="9"/>
      <c r="NF212" s="16"/>
      <c r="NG212" s="16"/>
      <c r="NH212" s="16"/>
      <c r="NI212" s="16"/>
      <c r="NJ212" s="16"/>
      <c r="NK212" s="16"/>
      <c r="NL212" s="16"/>
      <c r="NM212" s="16"/>
      <c r="NN212" s="16"/>
      <c r="NO212" s="16"/>
      <c r="NP212" s="16"/>
      <c r="NQ212" s="16"/>
      <c r="NR212" s="16"/>
      <c r="NS212" s="16"/>
      <c r="NT212" s="16"/>
      <c r="NU212" s="16"/>
      <c r="NV212" s="16"/>
      <c r="NW212" s="16"/>
      <c r="NX212" s="16"/>
      <c r="NY212" s="16"/>
      <c r="NZ212" s="16"/>
      <c r="OC212" s="9"/>
      <c r="OD212" s="16"/>
      <c r="OE212" s="16"/>
      <c r="OF212" s="16"/>
      <c r="OG212" s="16"/>
      <c r="OH212" s="16"/>
      <c r="OI212" s="16"/>
      <c r="OJ212" s="16"/>
      <c r="OK212" s="16"/>
      <c r="OL212" s="16"/>
      <c r="OM212" s="16"/>
      <c r="ON212" s="16"/>
      <c r="OO212" s="16"/>
      <c r="OP212" s="16"/>
      <c r="OQ212" s="16"/>
      <c r="OR212" s="16"/>
      <c r="OS212" s="16"/>
      <c r="OT212" s="16"/>
      <c r="OU212" s="16"/>
      <c r="OV212" s="16"/>
      <c r="OW212" s="16"/>
      <c r="OX212" s="16"/>
      <c r="PA212" s="9"/>
      <c r="PB212" s="16"/>
      <c r="PC212" s="16"/>
      <c r="PD212" s="16"/>
      <c r="PE212" s="16"/>
      <c r="PF212" s="16"/>
      <c r="PG212" s="16"/>
      <c r="PH212" s="16"/>
      <c r="PI212" s="16"/>
      <c r="PJ212" s="16"/>
      <c r="PK212" s="16"/>
      <c r="PL212" s="16"/>
      <c r="PM212" s="16"/>
      <c r="PN212" s="16"/>
      <c r="PO212" s="16"/>
      <c r="PP212" s="16"/>
      <c r="PQ212" s="16"/>
      <c r="PR212" s="16"/>
      <c r="PS212" s="16"/>
      <c r="PT212" s="16"/>
      <c r="PU212" s="16"/>
      <c r="PV212" s="16"/>
    </row>
    <row r="213" spans="3:438" x14ac:dyDescent="0.25">
      <c r="C213" s="1"/>
      <c r="D213" s="1"/>
      <c r="I213" s="9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G213" s="9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E213" s="9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C213" s="9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DA213" s="9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Y213" s="9"/>
      <c r="DZ213" s="16"/>
      <c r="EA213" s="16"/>
      <c r="EB213" s="16"/>
      <c r="EC213" s="16"/>
      <c r="ED213" s="16"/>
      <c r="EE213" s="16"/>
      <c r="EF213" s="16"/>
      <c r="EG213" s="16"/>
      <c r="EH213" s="16"/>
      <c r="EI213" s="16"/>
      <c r="EJ213" s="16"/>
      <c r="EK213" s="16"/>
      <c r="EL213" s="16"/>
      <c r="EM213" s="16"/>
      <c r="EN213" s="16"/>
      <c r="EO213" s="16"/>
      <c r="EP213" s="16"/>
      <c r="EQ213" s="16"/>
      <c r="ER213" s="16"/>
      <c r="ES213" s="16"/>
      <c r="ET213" s="16"/>
      <c r="EW213" s="9"/>
      <c r="EX213" s="16"/>
      <c r="EY213" s="16"/>
      <c r="EZ213" s="16"/>
      <c r="FA213" s="16"/>
      <c r="FB213" s="16"/>
      <c r="FC213" s="16"/>
      <c r="FD213" s="16"/>
      <c r="FE213" s="16"/>
      <c r="FF213" s="16"/>
      <c r="FG213" s="16"/>
      <c r="FH213" s="16"/>
      <c r="FI213" s="16"/>
      <c r="FJ213" s="16"/>
      <c r="FK213" s="16"/>
      <c r="FL213" s="16"/>
      <c r="FM213" s="16"/>
      <c r="FN213" s="16"/>
      <c r="FO213" s="16"/>
      <c r="FP213" s="16"/>
      <c r="FQ213" s="16"/>
      <c r="FR213" s="16"/>
      <c r="FU213" s="9"/>
      <c r="FV213" s="16"/>
      <c r="FW213" s="16"/>
      <c r="FX213" s="16"/>
      <c r="FY213" s="16"/>
      <c r="FZ213" s="16"/>
      <c r="GA213" s="16"/>
      <c r="GB213" s="16"/>
      <c r="GC213" s="16"/>
      <c r="GD213" s="16"/>
      <c r="GE213" s="16"/>
      <c r="GF213" s="16"/>
      <c r="GG213" s="16"/>
      <c r="GH213" s="16"/>
      <c r="GI213" s="16"/>
      <c r="GJ213" s="16"/>
      <c r="GK213" s="16"/>
      <c r="GL213" s="16"/>
      <c r="GM213" s="16"/>
      <c r="GN213" s="16"/>
      <c r="GO213" s="16"/>
      <c r="GP213" s="16"/>
      <c r="GS213" s="9"/>
      <c r="GT213" s="16"/>
      <c r="GU213" s="16"/>
      <c r="GV213" s="16"/>
      <c r="GW213" s="16"/>
      <c r="GX213" s="16"/>
      <c r="GY213" s="16"/>
      <c r="GZ213" s="16"/>
      <c r="HA213" s="16"/>
      <c r="HB213" s="16"/>
      <c r="HC213" s="16"/>
      <c r="HD213" s="16"/>
      <c r="HE213" s="16"/>
      <c r="HF213" s="16"/>
      <c r="HG213" s="16"/>
      <c r="HH213" s="16"/>
      <c r="HI213" s="16"/>
      <c r="HJ213" s="16"/>
      <c r="HK213" s="16"/>
      <c r="HL213" s="16"/>
      <c r="HM213" s="16"/>
      <c r="HN213" s="16"/>
      <c r="HQ213" s="9"/>
      <c r="HR213" s="16"/>
      <c r="HS213" s="16"/>
      <c r="HT213" s="16"/>
      <c r="HU213" s="16"/>
      <c r="HV213" s="16"/>
      <c r="HW213" s="16"/>
      <c r="HX213" s="16"/>
      <c r="HY213" s="16"/>
      <c r="HZ213" s="16"/>
      <c r="IA213" s="16"/>
      <c r="IB213" s="16"/>
      <c r="IC213" s="16"/>
      <c r="ID213" s="16"/>
      <c r="IE213" s="16"/>
      <c r="IF213" s="16"/>
      <c r="IG213" s="16"/>
      <c r="IH213" s="16"/>
      <c r="II213" s="16"/>
      <c r="IJ213" s="16"/>
      <c r="IK213" s="16"/>
      <c r="IL213" s="16"/>
      <c r="IO213" s="9"/>
      <c r="IP213" s="16"/>
      <c r="IQ213" s="16"/>
      <c r="IR213" s="16"/>
      <c r="IS213" s="16"/>
      <c r="IT213" s="16"/>
      <c r="IU213" s="16"/>
      <c r="IV213" s="16"/>
      <c r="IW213" s="16"/>
      <c r="IX213" s="16"/>
      <c r="IY213" s="16"/>
      <c r="IZ213" s="16"/>
      <c r="JA213" s="16"/>
      <c r="JB213" s="16"/>
      <c r="JC213" s="16"/>
      <c r="JD213" s="16"/>
      <c r="JE213" s="16"/>
      <c r="JF213" s="16"/>
      <c r="JG213" s="16"/>
      <c r="JH213" s="16"/>
      <c r="JI213" s="16"/>
      <c r="JJ213" s="16"/>
      <c r="JM213" s="9"/>
      <c r="JN213" s="16"/>
      <c r="JO213" s="16"/>
      <c r="JP213" s="16"/>
      <c r="JQ213" s="16"/>
      <c r="JR213" s="16"/>
      <c r="JS213" s="16"/>
      <c r="JT213" s="16"/>
      <c r="JU213" s="16"/>
      <c r="JV213" s="16"/>
      <c r="JW213" s="16"/>
      <c r="JX213" s="16"/>
      <c r="JY213" s="16"/>
      <c r="JZ213" s="16"/>
      <c r="KA213" s="16"/>
      <c r="KB213" s="16"/>
      <c r="KC213" s="16"/>
      <c r="KD213" s="16"/>
      <c r="KE213" s="16"/>
      <c r="KF213" s="16"/>
      <c r="KG213" s="16"/>
      <c r="KH213" s="16"/>
      <c r="KK213" s="9"/>
      <c r="KL213" s="16"/>
      <c r="KM213" s="16"/>
      <c r="KN213" s="16"/>
      <c r="KO213" s="16"/>
      <c r="KP213" s="16"/>
      <c r="KQ213" s="16"/>
      <c r="KR213" s="16"/>
      <c r="KS213" s="16"/>
      <c r="KT213" s="16"/>
      <c r="KU213" s="16"/>
      <c r="KV213" s="16"/>
      <c r="KW213" s="16"/>
      <c r="KX213" s="16"/>
      <c r="KY213" s="16"/>
      <c r="KZ213" s="16"/>
      <c r="LA213" s="16"/>
      <c r="LB213" s="16"/>
      <c r="LC213" s="16"/>
      <c r="LD213" s="16"/>
      <c r="LE213" s="16"/>
      <c r="LF213" s="16"/>
      <c r="LI213" s="9"/>
      <c r="LJ213" s="16"/>
      <c r="LK213" s="16"/>
      <c r="LL213" s="16"/>
      <c r="LM213" s="16"/>
      <c r="LN213" s="16"/>
      <c r="LO213" s="16"/>
      <c r="LP213" s="16"/>
      <c r="LQ213" s="16"/>
      <c r="LR213" s="16"/>
      <c r="LS213" s="16"/>
      <c r="LT213" s="16"/>
      <c r="LU213" s="16"/>
      <c r="LV213" s="16"/>
      <c r="LW213" s="16"/>
      <c r="LX213" s="16"/>
      <c r="LY213" s="16"/>
      <c r="LZ213" s="16"/>
      <c r="MA213" s="16"/>
      <c r="MB213" s="16"/>
      <c r="MC213" s="16"/>
      <c r="MD213" s="16"/>
      <c r="MG213" s="9"/>
      <c r="MH213" s="16"/>
      <c r="MI213" s="16"/>
      <c r="MJ213" s="16"/>
      <c r="MK213" s="16"/>
      <c r="ML213" s="16"/>
      <c r="MM213" s="16"/>
      <c r="MN213" s="16"/>
      <c r="MO213" s="16"/>
      <c r="MP213" s="16"/>
      <c r="MQ213" s="16"/>
      <c r="MR213" s="16"/>
      <c r="MS213" s="16"/>
      <c r="MT213" s="16"/>
      <c r="MU213" s="16"/>
      <c r="MV213" s="16"/>
      <c r="MW213" s="16"/>
      <c r="MX213" s="16"/>
      <c r="MY213" s="16"/>
      <c r="MZ213" s="16"/>
      <c r="NA213" s="16"/>
      <c r="NB213" s="16"/>
      <c r="NE213" s="9"/>
      <c r="NF213" s="16"/>
      <c r="NG213" s="16"/>
      <c r="NH213" s="16"/>
      <c r="NI213" s="16"/>
      <c r="NJ213" s="16"/>
      <c r="NK213" s="16"/>
      <c r="NL213" s="16"/>
      <c r="NM213" s="16"/>
      <c r="NN213" s="16"/>
      <c r="NO213" s="16"/>
      <c r="NP213" s="16"/>
      <c r="NQ213" s="16"/>
      <c r="NR213" s="16"/>
      <c r="NS213" s="16"/>
      <c r="NT213" s="16"/>
      <c r="NU213" s="16"/>
      <c r="NV213" s="16"/>
      <c r="NW213" s="16"/>
      <c r="NX213" s="16"/>
      <c r="NY213" s="16"/>
      <c r="NZ213" s="16"/>
      <c r="OC213" s="9"/>
      <c r="OD213" s="16"/>
      <c r="OE213" s="16"/>
      <c r="OF213" s="16"/>
      <c r="OG213" s="16"/>
      <c r="OH213" s="16"/>
      <c r="OI213" s="16"/>
      <c r="OJ213" s="16"/>
      <c r="OK213" s="16"/>
      <c r="OL213" s="16"/>
      <c r="OM213" s="16"/>
      <c r="ON213" s="16"/>
      <c r="OO213" s="16"/>
      <c r="OP213" s="16"/>
      <c r="OQ213" s="16"/>
      <c r="OR213" s="16"/>
      <c r="OS213" s="16"/>
      <c r="OT213" s="16"/>
      <c r="OU213" s="16"/>
      <c r="OV213" s="16"/>
      <c r="OW213" s="16"/>
      <c r="OX213" s="16"/>
      <c r="PA213" s="9"/>
      <c r="PB213" s="16"/>
      <c r="PC213" s="16"/>
      <c r="PD213" s="16"/>
      <c r="PE213" s="16"/>
      <c r="PF213" s="16"/>
      <c r="PG213" s="16"/>
      <c r="PH213" s="16"/>
      <c r="PI213" s="16"/>
      <c r="PJ213" s="16"/>
      <c r="PK213" s="16"/>
      <c r="PL213" s="16"/>
      <c r="PM213" s="16"/>
      <c r="PN213" s="16"/>
      <c r="PO213" s="16"/>
      <c r="PP213" s="16"/>
      <c r="PQ213" s="16"/>
      <c r="PR213" s="16"/>
      <c r="PS213" s="16"/>
      <c r="PT213" s="16"/>
      <c r="PU213" s="16"/>
      <c r="PV213" s="16"/>
    </row>
    <row r="214" spans="3:438" x14ac:dyDescent="0.25">
      <c r="C214" s="1"/>
      <c r="D214" s="1"/>
      <c r="I214" s="9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G214" s="9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E214" s="9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C214" s="9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DA214" s="9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Y214" s="9"/>
      <c r="DZ214" s="16"/>
      <c r="EA214" s="16"/>
      <c r="EB214" s="16"/>
      <c r="EC214" s="16"/>
      <c r="ED214" s="16"/>
      <c r="EE214" s="16"/>
      <c r="EF214" s="16"/>
      <c r="EG214" s="16"/>
      <c r="EH214" s="16"/>
      <c r="EI214" s="16"/>
      <c r="EJ214" s="16"/>
      <c r="EK214" s="16"/>
      <c r="EL214" s="16"/>
      <c r="EM214" s="16"/>
      <c r="EN214" s="16"/>
      <c r="EO214" s="16"/>
      <c r="EP214" s="16"/>
      <c r="EQ214" s="16"/>
      <c r="ER214" s="16"/>
      <c r="ES214" s="16"/>
      <c r="ET214" s="16"/>
      <c r="EW214" s="9"/>
      <c r="EX214" s="16"/>
      <c r="EY214" s="16"/>
      <c r="EZ214" s="16"/>
      <c r="FA214" s="16"/>
      <c r="FB214" s="16"/>
      <c r="FC214" s="16"/>
      <c r="FD214" s="16"/>
      <c r="FE214" s="16"/>
      <c r="FF214" s="16"/>
      <c r="FG214" s="16"/>
      <c r="FH214" s="16"/>
      <c r="FI214" s="16"/>
      <c r="FJ214" s="16"/>
      <c r="FK214" s="16"/>
      <c r="FL214" s="16"/>
      <c r="FM214" s="16"/>
      <c r="FN214" s="16"/>
      <c r="FO214" s="16"/>
      <c r="FP214" s="16"/>
      <c r="FQ214" s="16"/>
      <c r="FR214" s="16"/>
      <c r="FU214" s="9"/>
      <c r="FV214" s="16"/>
      <c r="FW214" s="16"/>
      <c r="FX214" s="16"/>
      <c r="FY214" s="16"/>
      <c r="FZ214" s="16"/>
      <c r="GA214" s="16"/>
      <c r="GB214" s="16"/>
      <c r="GC214" s="16"/>
      <c r="GD214" s="16"/>
      <c r="GE214" s="16"/>
      <c r="GF214" s="16"/>
      <c r="GG214" s="16"/>
      <c r="GH214" s="16"/>
      <c r="GI214" s="16"/>
      <c r="GJ214" s="16"/>
      <c r="GK214" s="16"/>
      <c r="GL214" s="16"/>
      <c r="GM214" s="16"/>
      <c r="GN214" s="16"/>
      <c r="GO214" s="16"/>
      <c r="GP214" s="16"/>
      <c r="GS214" s="9"/>
      <c r="GT214" s="16"/>
      <c r="GU214" s="16"/>
      <c r="GV214" s="16"/>
      <c r="GW214" s="16"/>
      <c r="GX214" s="16"/>
      <c r="GY214" s="16"/>
      <c r="GZ214" s="16"/>
      <c r="HA214" s="16"/>
      <c r="HB214" s="16"/>
      <c r="HC214" s="16"/>
      <c r="HD214" s="16"/>
      <c r="HE214" s="16"/>
      <c r="HF214" s="16"/>
      <c r="HG214" s="16"/>
      <c r="HH214" s="16"/>
      <c r="HI214" s="16"/>
      <c r="HJ214" s="16"/>
      <c r="HK214" s="16"/>
      <c r="HL214" s="16"/>
      <c r="HM214" s="16"/>
      <c r="HN214" s="16"/>
      <c r="HQ214" s="9"/>
      <c r="HR214" s="16"/>
      <c r="HS214" s="16"/>
      <c r="HT214" s="16"/>
      <c r="HU214" s="16"/>
      <c r="HV214" s="16"/>
      <c r="HW214" s="16"/>
      <c r="HX214" s="16"/>
      <c r="HY214" s="16"/>
      <c r="HZ214" s="16"/>
      <c r="IA214" s="16"/>
      <c r="IB214" s="16"/>
      <c r="IC214" s="16"/>
      <c r="ID214" s="16"/>
      <c r="IE214" s="16"/>
      <c r="IF214" s="16"/>
      <c r="IG214" s="16"/>
      <c r="IH214" s="16"/>
      <c r="II214" s="16"/>
      <c r="IJ214" s="16"/>
      <c r="IK214" s="16"/>
      <c r="IL214" s="16"/>
      <c r="IO214" s="9"/>
      <c r="IP214" s="16"/>
      <c r="IQ214" s="16"/>
      <c r="IR214" s="16"/>
      <c r="IS214" s="16"/>
      <c r="IT214" s="16"/>
      <c r="IU214" s="16"/>
      <c r="IV214" s="16"/>
      <c r="IW214" s="16"/>
      <c r="IX214" s="16"/>
      <c r="IY214" s="16"/>
      <c r="IZ214" s="16"/>
      <c r="JA214" s="16"/>
      <c r="JB214" s="16"/>
      <c r="JC214" s="16"/>
      <c r="JD214" s="16"/>
      <c r="JE214" s="16"/>
      <c r="JF214" s="16"/>
      <c r="JG214" s="16"/>
      <c r="JH214" s="16"/>
      <c r="JI214" s="16"/>
      <c r="JJ214" s="16"/>
      <c r="JM214" s="9"/>
      <c r="JN214" s="16"/>
      <c r="JO214" s="16"/>
      <c r="JP214" s="16"/>
      <c r="JQ214" s="16"/>
      <c r="JR214" s="16"/>
      <c r="JS214" s="16"/>
      <c r="JT214" s="16"/>
      <c r="JU214" s="16"/>
      <c r="JV214" s="16"/>
      <c r="JW214" s="16"/>
      <c r="JX214" s="16"/>
      <c r="JY214" s="16"/>
      <c r="JZ214" s="16"/>
      <c r="KA214" s="16"/>
      <c r="KB214" s="16"/>
      <c r="KC214" s="16"/>
      <c r="KD214" s="16"/>
      <c r="KE214" s="16"/>
      <c r="KF214" s="16"/>
      <c r="KG214" s="16"/>
      <c r="KH214" s="16"/>
      <c r="KK214" s="9"/>
      <c r="KL214" s="16"/>
      <c r="KM214" s="16"/>
      <c r="KN214" s="16"/>
      <c r="KO214" s="16"/>
      <c r="KP214" s="16"/>
      <c r="KQ214" s="16"/>
      <c r="KR214" s="16"/>
      <c r="KS214" s="16"/>
      <c r="KT214" s="16"/>
      <c r="KU214" s="16"/>
      <c r="KV214" s="16"/>
      <c r="KW214" s="16"/>
      <c r="KX214" s="16"/>
      <c r="KY214" s="16"/>
      <c r="KZ214" s="16"/>
      <c r="LA214" s="16"/>
      <c r="LB214" s="16"/>
      <c r="LC214" s="16"/>
      <c r="LD214" s="16"/>
      <c r="LE214" s="16"/>
      <c r="LF214" s="16"/>
      <c r="LI214" s="9"/>
      <c r="LJ214" s="16"/>
      <c r="LK214" s="16"/>
      <c r="LL214" s="16"/>
      <c r="LM214" s="16"/>
      <c r="LN214" s="16"/>
      <c r="LO214" s="16"/>
      <c r="LP214" s="16"/>
      <c r="LQ214" s="16"/>
      <c r="LR214" s="16"/>
      <c r="LS214" s="16"/>
      <c r="LT214" s="16"/>
      <c r="LU214" s="16"/>
      <c r="LV214" s="16"/>
      <c r="LW214" s="16"/>
      <c r="LX214" s="16"/>
      <c r="LY214" s="16"/>
      <c r="LZ214" s="16"/>
      <c r="MA214" s="16"/>
      <c r="MB214" s="16"/>
      <c r="MC214" s="16"/>
      <c r="MD214" s="16"/>
      <c r="MG214" s="9"/>
      <c r="MH214" s="16"/>
      <c r="MI214" s="16"/>
      <c r="MJ214" s="16"/>
      <c r="MK214" s="16"/>
      <c r="ML214" s="16"/>
      <c r="MM214" s="16"/>
      <c r="MN214" s="16"/>
      <c r="MO214" s="16"/>
      <c r="MP214" s="16"/>
      <c r="MQ214" s="16"/>
      <c r="MR214" s="16"/>
      <c r="MS214" s="16"/>
      <c r="MT214" s="16"/>
      <c r="MU214" s="16"/>
      <c r="MV214" s="16"/>
      <c r="MW214" s="16"/>
      <c r="MX214" s="16"/>
      <c r="MY214" s="16"/>
      <c r="MZ214" s="16"/>
      <c r="NA214" s="16"/>
      <c r="NB214" s="16"/>
      <c r="NE214" s="9"/>
      <c r="NF214" s="16"/>
      <c r="NG214" s="16"/>
      <c r="NH214" s="16"/>
      <c r="NI214" s="16"/>
      <c r="NJ214" s="16"/>
      <c r="NK214" s="16"/>
      <c r="NL214" s="16"/>
      <c r="NM214" s="16"/>
      <c r="NN214" s="16"/>
      <c r="NO214" s="16"/>
      <c r="NP214" s="16"/>
      <c r="NQ214" s="16"/>
      <c r="NR214" s="16"/>
      <c r="NS214" s="16"/>
      <c r="NT214" s="16"/>
      <c r="NU214" s="16"/>
      <c r="NV214" s="16"/>
      <c r="NW214" s="16"/>
      <c r="NX214" s="16"/>
      <c r="NY214" s="16"/>
      <c r="NZ214" s="16"/>
      <c r="OC214" s="9"/>
      <c r="OD214" s="16"/>
      <c r="OE214" s="16"/>
      <c r="OF214" s="16"/>
      <c r="OG214" s="16"/>
      <c r="OH214" s="16"/>
      <c r="OI214" s="16"/>
      <c r="OJ214" s="16"/>
      <c r="OK214" s="16"/>
      <c r="OL214" s="16"/>
      <c r="OM214" s="16"/>
      <c r="ON214" s="16"/>
      <c r="OO214" s="16"/>
      <c r="OP214" s="16"/>
      <c r="OQ214" s="16"/>
      <c r="OR214" s="16"/>
      <c r="OS214" s="16"/>
      <c r="OT214" s="16"/>
      <c r="OU214" s="16"/>
      <c r="OV214" s="16"/>
      <c r="OW214" s="16"/>
      <c r="OX214" s="16"/>
      <c r="PA214" s="9"/>
      <c r="PB214" s="16"/>
      <c r="PC214" s="16"/>
      <c r="PD214" s="16"/>
      <c r="PE214" s="16"/>
      <c r="PF214" s="16"/>
      <c r="PG214" s="16"/>
      <c r="PH214" s="16"/>
      <c r="PI214" s="16"/>
      <c r="PJ214" s="16"/>
      <c r="PK214" s="16"/>
      <c r="PL214" s="16"/>
      <c r="PM214" s="16"/>
      <c r="PN214" s="16"/>
      <c r="PO214" s="16"/>
      <c r="PP214" s="16"/>
      <c r="PQ214" s="16"/>
      <c r="PR214" s="16"/>
      <c r="PS214" s="16"/>
      <c r="PT214" s="16"/>
      <c r="PU214" s="16"/>
      <c r="PV214" s="16"/>
    </row>
    <row r="215" spans="3:438" x14ac:dyDescent="0.25">
      <c r="C215" s="1"/>
      <c r="D215" s="1"/>
      <c r="I215" s="9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G215" s="9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E215" s="9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C215" s="9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DA215" s="9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Y215" s="9"/>
      <c r="DZ215" s="16"/>
      <c r="EA215" s="16"/>
      <c r="EB215" s="16"/>
      <c r="EC215" s="16"/>
      <c r="ED215" s="16"/>
      <c r="EE215" s="16"/>
      <c r="EF215" s="16"/>
      <c r="EG215" s="16"/>
      <c r="EH215" s="16"/>
      <c r="EI215" s="16"/>
      <c r="EJ215" s="16"/>
      <c r="EK215" s="16"/>
      <c r="EL215" s="16"/>
      <c r="EM215" s="16"/>
      <c r="EN215" s="16"/>
      <c r="EO215" s="16"/>
      <c r="EP215" s="16"/>
      <c r="EQ215" s="16"/>
      <c r="ER215" s="16"/>
      <c r="ES215" s="16"/>
      <c r="ET215" s="16"/>
      <c r="EW215" s="9"/>
      <c r="EX215" s="16"/>
      <c r="EY215" s="16"/>
      <c r="EZ215" s="16"/>
      <c r="FA215" s="16"/>
      <c r="FB215" s="16"/>
      <c r="FC215" s="16"/>
      <c r="FD215" s="16"/>
      <c r="FE215" s="16"/>
      <c r="FF215" s="16"/>
      <c r="FG215" s="16"/>
      <c r="FH215" s="16"/>
      <c r="FI215" s="16"/>
      <c r="FJ215" s="16"/>
      <c r="FK215" s="16"/>
      <c r="FL215" s="16"/>
      <c r="FM215" s="16"/>
      <c r="FN215" s="16"/>
      <c r="FO215" s="16"/>
      <c r="FP215" s="16"/>
      <c r="FQ215" s="16"/>
      <c r="FR215" s="16"/>
      <c r="FU215" s="9"/>
      <c r="FV215" s="16"/>
      <c r="FW215" s="16"/>
      <c r="FX215" s="16"/>
      <c r="FY215" s="16"/>
      <c r="FZ215" s="16"/>
      <c r="GA215" s="16"/>
      <c r="GB215" s="16"/>
      <c r="GC215" s="16"/>
      <c r="GD215" s="16"/>
      <c r="GE215" s="16"/>
      <c r="GF215" s="16"/>
      <c r="GG215" s="16"/>
      <c r="GH215" s="16"/>
      <c r="GI215" s="16"/>
      <c r="GJ215" s="16"/>
      <c r="GK215" s="16"/>
      <c r="GL215" s="16"/>
      <c r="GM215" s="16"/>
      <c r="GN215" s="16"/>
      <c r="GO215" s="16"/>
      <c r="GP215" s="16"/>
      <c r="GS215" s="9"/>
      <c r="GT215" s="16"/>
      <c r="GU215" s="16"/>
      <c r="GV215" s="16"/>
      <c r="GW215" s="16"/>
      <c r="GX215" s="16"/>
      <c r="GY215" s="16"/>
      <c r="GZ215" s="16"/>
      <c r="HA215" s="16"/>
      <c r="HB215" s="16"/>
      <c r="HC215" s="16"/>
      <c r="HD215" s="16"/>
      <c r="HE215" s="16"/>
      <c r="HF215" s="16"/>
      <c r="HG215" s="16"/>
      <c r="HH215" s="16"/>
      <c r="HI215" s="16"/>
      <c r="HJ215" s="16"/>
      <c r="HK215" s="16"/>
      <c r="HL215" s="16"/>
      <c r="HM215" s="16"/>
      <c r="HN215" s="16"/>
      <c r="HQ215" s="9"/>
      <c r="HR215" s="16"/>
      <c r="HS215" s="16"/>
      <c r="HT215" s="16"/>
      <c r="HU215" s="16"/>
      <c r="HV215" s="16"/>
      <c r="HW215" s="16"/>
      <c r="HX215" s="16"/>
      <c r="HY215" s="16"/>
      <c r="HZ215" s="16"/>
      <c r="IA215" s="16"/>
      <c r="IB215" s="16"/>
      <c r="IC215" s="16"/>
      <c r="ID215" s="16"/>
      <c r="IE215" s="16"/>
      <c r="IF215" s="16"/>
      <c r="IG215" s="16"/>
      <c r="IH215" s="16"/>
      <c r="II215" s="16"/>
      <c r="IJ215" s="16"/>
      <c r="IK215" s="16"/>
      <c r="IL215" s="16"/>
      <c r="IO215" s="9"/>
      <c r="IP215" s="16"/>
      <c r="IQ215" s="16"/>
      <c r="IR215" s="16"/>
      <c r="IS215" s="16"/>
      <c r="IT215" s="16"/>
      <c r="IU215" s="16"/>
      <c r="IV215" s="16"/>
      <c r="IW215" s="16"/>
      <c r="IX215" s="16"/>
      <c r="IY215" s="16"/>
      <c r="IZ215" s="16"/>
      <c r="JA215" s="16"/>
      <c r="JB215" s="16"/>
      <c r="JC215" s="16"/>
      <c r="JD215" s="16"/>
      <c r="JE215" s="16"/>
      <c r="JF215" s="16"/>
      <c r="JG215" s="16"/>
      <c r="JH215" s="16"/>
      <c r="JI215" s="16"/>
      <c r="JJ215" s="16"/>
      <c r="JM215" s="9"/>
      <c r="JN215" s="16"/>
      <c r="JO215" s="16"/>
      <c r="JP215" s="16"/>
      <c r="JQ215" s="16"/>
      <c r="JR215" s="16"/>
      <c r="JS215" s="16"/>
      <c r="JT215" s="16"/>
      <c r="JU215" s="16"/>
      <c r="JV215" s="16"/>
      <c r="JW215" s="16"/>
      <c r="JX215" s="16"/>
      <c r="JY215" s="16"/>
      <c r="JZ215" s="16"/>
      <c r="KA215" s="16"/>
      <c r="KB215" s="16"/>
      <c r="KC215" s="16"/>
      <c r="KD215" s="16"/>
      <c r="KE215" s="16"/>
      <c r="KF215" s="16"/>
      <c r="KG215" s="16"/>
      <c r="KH215" s="16"/>
      <c r="KK215" s="9"/>
      <c r="KL215" s="16"/>
      <c r="KM215" s="16"/>
      <c r="KN215" s="16"/>
      <c r="KO215" s="16"/>
      <c r="KP215" s="16"/>
      <c r="KQ215" s="16"/>
      <c r="KR215" s="16"/>
      <c r="KS215" s="16"/>
      <c r="KT215" s="16"/>
      <c r="KU215" s="16"/>
      <c r="KV215" s="16"/>
      <c r="KW215" s="16"/>
      <c r="KX215" s="16"/>
      <c r="KY215" s="16"/>
      <c r="KZ215" s="16"/>
      <c r="LA215" s="16"/>
      <c r="LB215" s="16"/>
      <c r="LC215" s="16"/>
      <c r="LD215" s="16"/>
      <c r="LE215" s="16"/>
      <c r="LF215" s="16"/>
      <c r="LI215" s="9"/>
      <c r="LJ215" s="16"/>
      <c r="LK215" s="16"/>
      <c r="LL215" s="16"/>
      <c r="LM215" s="16"/>
      <c r="LN215" s="16"/>
      <c r="LO215" s="16"/>
      <c r="LP215" s="16"/>
      <c r="LQ215" s="16"/>
      <c r="LR215" s="16"/>
      <c r="LS215" s="16"/>
      <c r="LT215" s="16"/>
      <c r="LU215" s="16"/>
      <c r="LV215" s="16"/>
      <c r="LW215" s="16"/>
      <c r="LX215" s="16"/>
      <c r="LY215" s="16"/>
      <c r="LZ215" s="16"/>
      <c r="MA215" s="16"/>
      <c r="MB215" s="16"/>
      <c r="MC215" s="16"/>
      <c r="MD215" s="16"/>
      <c r="MG215" s="9"/>
      <c r="MH215" s="16"/>
      <c r="MI215" s="16"/>
      <c r="MJ215" s="16"/>
      <c r="MK215" s="16"/>
      <c r="ML215" s="16"/>
      <c r="MM215" s="16"/>
      <c r="MN215" s="16"/>
      <c r="MO215" s="16"/>
      <c r="MP215" s="16"/>
      <c r="MQ215" s="16"/>
      <c r="MR215" s="16"/>
      <c r="MS215" s="16"/>
      <c r="MT215" s="16"/>
      <c r="MU215" s="16"/>
      <c r="MV215" s="16"/>
      <c r="MW215" s="16"/>
      <c r="MX215" s="16"/>
      <c r="MY215" s="16"/>
      <c r="MZ215" s="16"/>
      <c r="NA215" s="16"/>
      <c r="NB215" s="16"/>
      <c r="NE215" s="9"/>
      <c r="NF215" s="16"/>
      <c r="NG215" s="16"/>
      <c r="NH215" s="16"/>
      <c r="NI215" s="16"/>
      <c r="NJ215" s="16"/>
      <c r="NK215" s="16"/>
      <c r="NL215" s="16"/>
      <c r="NM215" s="16"/>
      <c r="NN215" s="16"/>
      <c r="NO215" s="16"/>
      <c r="NP215" s="16"/>
      <c r="NQ215" s="16"/>
      <c r="NR215" s="16"/>
      <c r="NS215" s="16"/>
      <c r="NT215" s="16"/>
      <c r="NU215" s="16"/>
      <c r="NV215" s="16"/>
      <c r="NW215" s="16"/>
      <c r="NX215" s="16"/>
      <c r="NY215" s="16"/>
      <c r="NZ215" s="16"/>
      <c r="OC215" s="9"/>
      <c r="OD215" s="16"/>
      <c r="OE215" s="16"/>
      <c r="OF215" s="16"/>
      <c r="OG215" s="16"/>
      <c r="OH215" s="16"/>
      <c r="OI215" s="16"/>
      <c r="OJ215" s="16"/>
      <c r="OK215" s="16"/>
      <c r="OL215" s="16"/>
      <c r="OM215" s="16"/>
      <c r="ON215" s="16"/>
      <c r="OO215" s="16"/>
      <c r="OP215" s="16"/>
      <c r="OQ215" s="16"/>
      <c r="OR215" s="16"/>
      <c r="OS215" s="16"/>
      <c r="OT215" s="16"/>
      <c r="OU215" s="16"/>
      <c r="OV215" s="16"/>
      <c r="OW215" s="16"/>
      <c r="OX215" s="16"/>
      <c r="PA215" s="9"/>
      <c r="PB215" s="16"/>
      <c r="PC215" s="16"/>
      <c r="PD215" s="16"/>
      <c r="PE215" s="16"/>
      <c r="PF215" s="16"/>
      <c r="PG215" s="16"/>
      <c r="PH215" s="16"/>
      <c r="PI215" s="16"/>
      <c r="PJ215" s="16"/>
      <c r="PK215" s="16"/>
      <c r="PL215" s="16"/>
      <c r="PM215" s="16"/>
      <c r="PN215" s="16"/>
      <c r="PO215" s="16"/>
      <c r="PP215" s="16"/>
      <c r="PQ215" s="16"/>
      <c r="PR215" s="16"/>
      <c r="PS215" s="16"/>
      <c r="PT215" s="16"/>
      <c r="PU215" s="16"/>
      <c r="PV215" s="16"/>
    </row>
    <row r="216" spans="3:438" x14ac:dyDescent="0.25">
      <c r="C216" s="1"/>
      <c r="D216" s="1"/>
      <c r="I216" s="9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G216" s="9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E216" s="9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C216" s="9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DA216" s="9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Y216" s="9"/>
      <c r="DZ216" s="16"/>
      <c r="EA216" s="16"/>
      <c r="EB216" s="16"/>
      <c r="EC216" s="16"/>
      <c r="ED216" s="16"/>
      <c r="EE216" s="16"/>
      <c r="EF216" s="16"/>
      <c r="EG216" s="16"/>
      <c r="EH216" s="16"/>
      <c r="EI216" s="16"/>
      <c r="EJ216" s="16"/>
      <c r="EK216" s="16"/>
      <c r="EL216" s="16"/>
      <c r="EM216" s="16"/>
      <c r="EN216" s="16"/>
      <c r="EO216" s="16"/>
      <c r="EP216" s="16"/>
      <c r="EQ216" s="16"/>
      <c r="ER216" s="16"/>
      <c r="ES216" s="16"/>
      <c r="ET216" s="16"/>
      <c r="EW216" s="9"/>
      <c r="EX216" s="16"/>
      <c r="EY216" s="16"/>
      <c r="EZ216" s="16"/>
      <c r="FA216" s="16"/>
      <c r="FB216" s="16"/>
      <c r="FC216" s="16"/>
      <c r="FD216" s="16"/>
      <c r="FE216" s="16"/>
      <c r="FF216" s="16"/>
      <c r="FG216" s="16"/>
      <c r="FH216" s="16"/>
      <c r="FI216" s="16"/>
      <c r="FJ216" s="16"/>
      <c r="FK216" s="16"/>
      <c r="FL216" s="16"/>
      <c r="FM216" s="16"/>
      <c r="FN216" s="16"/>
      <c r="FO216" s="16"/>
      <c r="FP216" s="16"/>
      <c r="FQ216" s="16"/>
      <c r="FR216" s="16"/>
      <c r="FU216" s="9"/>
      <c r="FV216" s="16"/>
      <c r="FW216" s="16"/>
      <c r="FX216" s="16"/>
      <c r="FY216" s="16"/>
      <c r="FZ216" s="16"/>
      <c r="GA216" s="16"/>
      <c r="GB216" s="16"/>
      <c r="GC216" s="16"/>
      <c r="GD216" s="16"/>
      <c r="GE216" s="16"/>
      <c r="GF216" s="16"/>
      <c r="GG216" s="16"/>
      <c r="GH216" s="16"/>
      <c r="GI216" s="16"/>
      <c r="GJ216" s="16"/>
      <c r="GK216" s="16"/>
      <c r="GL216" s="16"/>
      <c r="GM216" s="16"/>
      <c r="GN216" s="16"/>
      <c r="GO216" s="16"/>
      <c r="GP216" s="16"/>
      <c r="GS216" s="9"/>
      <c r="GT216" s="16"/>
      <c r="GU216" s="16"/>
      <c r="GV216" s="16"/>
      <c r="GW216" s="16"/>
      <c r="GX216" s="16"/>
      <c r="GY216" s="16"/>
      <c r="GZ216" s="16"/>
      <c r="HA216" s="16"/>
      <c r="HB216" s="16"/>
      <c r="HC216" s="16"/>
      <c r="HD216" s="16"/>
      <c r="HE216" s="16"/>
      <c r="HF216" s="16"/>
      <c r="HG216" s="16"/>
      <c r="HH216" s="16"/>
      <c r="HI216" s="16"/>
      <c r="HJ216" s="16"/>
      <c r="HK216" s="16"/>
      <c r="HL216" s="16"/>
      <c r="HM216" s="16"/>
      <c r="HN216" s="16"/>
      <c r="HQ216" s="9"/>
      <c r="HR216" s="16"/>
      <c r="HS216" s="16"/>
      <c r="HT216" s="16"/>
      <c r="HU216" s="16"/>
      <c r="HV216" s="16"/>
      <c r="HW216" s="16"/>
      <c r="HX216" s="16"/>
      <c r="HY216" s="16"/>
      <c r="HZ216" s="16"/>
      <c r="IA216" s="16"/>
      <c r="IB216" s="16"/>
      <c r="IC216" s="16"/>
      <c r="ID216" s="16"/>
      <c r="IE216" s="16"/>
      <c r="IF216" s="16"/>
      <c r="IG216" s="16"/>
      <c r="IH216" s="16"/>
      <c r="II216" s="16"/>
      <c r="IJ216" s="16"/>
      <c r="IK216" s="16"/>
      <c r="IL216" s="16"/>
      <c r="IO216" s="9"/>
      <c r="IP216" s="16"/>
      <c r="IQ216" s="16"/>
      <c r="IR216" s="16"/>
      <c r="IS216" s="16"/>
      <c r="IT216" s="16"/>
      <c r="IU216" s="16"/>
      <c r="IV216" s="16"/>
      <c r="IW216" s="16"/>
      <c r="IX216" s="16"/>
      <c r="IY216" s="16"/>
      <c r="IZ216" s="16"/>
      <c r="JA216" s="16"/>
      <c r="JB216" s="16"/>
      <c r="JC216" s="16"/>
      <c r="JD216" s="16"/>
      <c r="JE216" s="16"/>
      <c r="JF216" s="16"/>
      <c r="JG216" s="16"/>
      <c r="JH216" s="16"/>
      <c r="JI216" s="16"/>
      <c r="JJ216" s="16"/>
      <c r="JM216" s="9"/>
      <c r="JN216" s="16"/>
      <c r="JO216" s="16"/>
      <c r="JP216" s="16"/>
      <c r="JQ216" s="16"/>
      <c r="JR216" s="16"/>
      <c r="JS216" s="16"/>
      <c r="JT216" s="16"/>
      <c r="JU216" s="16"/>
      <c r="JV216" s="16"/>
      <c r="JW216" s="16"/>
      <c r="JX216" s="16"/>
      <c r="JY216" s="16"/>
      <c r="JZ216" s="16"/>
      <c r="KA216" s="16"/>
      <c r="KB216" s="16"/>
      <c r="KC216" s="16"/>
      <c r="KD216" s="16"/>
      <c r="KE216" s="16"/>
      <c r="KF216" s="16"/>
      <c r="KG216" s="16"/>
      <c r="KH216" s="16"/>
      <c r="KK216" s="9"/>
      <c r="KL216" s="16"/>
      <c r="KM216" s="16"/>
      <c r="KN216" s="16"/>
      <c r="KO216" s="16"/>
      <c r="KP216" s="16"/>
      <c r="KQ216" s="16"/>
      <c r="KR216" s="16"/>
      <c r="KS216" s="16"/>
      <c r="KT216" s="16"/>
      <c r="KU216" s="16"/>
      <c r="KV216" s="16"/>
      <c r="KW216" s="16"/>
      <c r="KX216" s="16"/>
      <c r="KY216" s="16"/>
      <c r="KZ216" s="16"/>
      <c r="LA216" s="16"/>
      <c r="LB216" s="16"/>
      <c r="LC216" s="16"/>
      <c r="LD216" s="16"/>
      <c r="LE216" s="16"/>
      <c r="LF216" s="16"/>
      <c r="LI216" s="9"/>
      <c r="LJ216" s="16"/>
      <c r="LK216" s="16"/>
      <c r="LL216" s="16"/>
      <c r="LM216" s="16"/>
      <c r="LN216" s="16"/>
      <c r="LO216" s="16"/>
      <c r="LP216" s="16"/>
      <c r="LQ216" s="16"/>
      <c r="LR216" s="16"/>
      <c r="LS216" s="16"/>
      <c r="LT216" s="16"/>
      <c r="LU216" s="16"/>
      <c r="LV216" s="16"/>
      <c r="LW216" s="16"/>
      <c r="LX216" s="16"/>
      <c r="LY216" s="16"/>
      <c r="LZ216" s="16"/>
      <c r="MA216" s="16"/>
      <c r="MB216" s="16"/>
      <c r="MC216" s="16"/>
      <c r="MD216" s="16"/>
      <c r="MG216" s="9"/>
      <c r="MH216" s="16"/>
      <c r="MI216" s="16"/>
      <c r="MJ216" s="16"/>
      <c r="MK216" s="16"/>
      <c r="ML216" s="16"/>
      <c r="MM216" s="16"/>
      <c r="MN216" s="16"/>
      <c r="MO216" s="16"/>
      <c r="MP216" s="16"/>
      <c r="MQ216" s="16"/>
      <c r="MR216" s="16"/>
      <c r="MS216" s="16"/>
      <c r="MT216" s="16"/>
      <c r="MU216" s="16"/>
      <c r="MV216" s="16"/>
      <c r="MW216" s="16"/>
      <c r="MX216" s="16"/>
      <c r="MY216" s="16"/>
      <c r="MZ216" s="16"/>
      <c r="NA216" s="16"/>
      <c r="NB216" s="16"/>
      <c r="NE216" s="9"/>
      <c r="NF216" s="16"/>
      <c r="NG216" s="16"/>
      <c r="NH216" s="16"/>
      <c r="NI216" s="16"/>
      <c r="NJ216" s="16"/>
      <c r="NK216" s="16"/>
      <c r="NL216" s="16"/>
      <c r="NM216" s="16"/>
      <c r="NN216" s="16"/>
      <c r="NO216" s="16"/>
      <c r="NP216" s="16"/>
      <c r="NQ216" s="16"/>
      <c r="NR216" s="16"/>
      <c r="NS216" s="16"/>
      <c r="NT216" s="16"/>
      <c r="NU216" s="16"/>
      <c r="NV216" s="16"/>
      <c r="NW216" s="16"/>
      <c r="NX216" s="16"/>
      <c r="NY216" s="16"/>
      <c r="NZ216" s="16"/>
      <c r="OC216" s="9"/>
      <c r="OD216" s="16"/>
      <c r="OE216" s="16"/>
      <c r="OF216" s="16"/>
      <c r="OG216" s="16"/>
      <c r="OH216" s="16"/>
      <c r="OI216" s="16"/>
      <c r="OJ216" s="16"/>
      <c r="OK216" s="16"/>
      <c r="OL216" s="16"/>
      <c r="OM216" s="16"/>
      <c r="ON216" s="16"/>
      <c r="OO216" s="16"/>
      <c r="OP216" s="16"/>
      <c r="OQ216" s="16"/>
      <c r="OR216" s="16"/>
      <c r="OS216" s="16"/>
      <c r="OT216" s="16"/>
      <c r="OU216" s="16"/>
      <c r="OV216" s="16"/>
      <c r="OW216" s="16"/>
      <c r="OX216" s="16"/>
      <c r="PA216" s="9"/>
      <c r="PB216" s="16"/>
      <c r="PC216" s="16"/>
      <c r="PD216" s="16"/>
      <c r="PE216" s="16"/>
      <c r="PF216" s="16"/>
      <c r="PG216" s="16"/>
      <c r="PH216" s="16"/>
      <c r="PI216" s="16"/>
      <c r="PJ216" s="16"/>
      <c r="PK216" s="16"/>
      <c r="PL216" s="16"/>
      <c r="PM216" s="16"/>
      <c r="PN216" s="16"/>
      <c r="PO216" s="16"/>
      <c r="PP216" s="16"/>
      <c r="PQ216" s="16"/>
      <c r="PR216" s="16"/>
      <c r="PS216" s="16"/>
      <c r="PT216" s="16"/>
      <c r="PU216" s="16"/>
      <c r="PV216" s="16"/>
    </row>
    <row r="217" spans="3:438" x14ac:dyDescent="0.25">
      <c r="C217" s="1"/>
      <c r="D217" s="1"/>
      <c r="I217" s="9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G217" s="9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E217" s="9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C217" s="9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DA217" s="9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Y217" s="9"/>
      <c r="DZ217" s="16"/>
      <c r="EA217" s="16"/>
      <c r="EB217" s="16"/>
      <c r="EC217" s="16"/>
      <c r="ED217" s="16"/>
      <c r="EE217" s="16"/>
      <c r="EF217" s="16"/>
      <c r="EG217" s="16"/>
      <c r="EH217" s="16"/>
      <c r="EI217" s="16"/>
      <c r="EJ217" s="16"/>
      <c r="EK217" s="16"/>
      <c r="EL217" s="16"/>
      <c r="EM217" s="16"/>
      <c r="EN217" s="16"/>
      <c r="EO217" s="16"/>
      <c r="EP217" s="16"/>
      <c r="EQ217" s="16"/>
      <c r="ER217" s="16"/>
      <c r="ES217" s="16"/>
      <c r="ET217" s="16"/>
      <c r="EW217" s="9"/>
      <c r="EX217" s="16"/>
      <c r="EY217" s="16"/>
      <c r="EZ217" s="16"/>
      <c r="FA217" s="16"/>
      <c r="FB217" s="16"/>
      <c r="FC217" s="16"/>
      <c r="FD217" s="16"/>
      <c r="FE217" s="16"/>
      <c r="FF217" s="16"/>
      <c r="FG217" s="16"/>
      <c r="FH217" s="16"/>
      <c r="FI217" s="16"/>
      <c r="FJ217" s="16"/>
      <c r="FK217" s="16"/>
      <c r="FL217" s="16"/>
      <c r="FM217" s="16"/>
      <c r="FN217" s="16"/>
      <c r="FO217" s="16"/>
      <c r="FP217" s="16"/>
      <c r="FQ217" s="16"/>
      <c r="FR217" s="16"/>
      <c r="FU217" s="9"/>
      <c r="FV217" s="16"/>
      <c r="FW217" s="16"/>
      <c r="FX217" s="16"/>
      <c r="FY217" s="16"/>
      <c r="FZ217" s="16"/>
      <c r="GA217" s="16"/>
      <c r="GB217" s="16"/>
      <c r="GC217" s="16"/>
      <c r="GD217" s="16"/>
      <c r="GE217" s="16"/>
      <c r="GF217" s="16"/>
      <c r="GG217" s="16"/>
      <c r="GH217" s="16"/>
      <c r="GI217" s="16"/>
      <c r="GJ217" s="16"/>
      <c r="GK217" s="16"/>
      <c r="GL217" s="16"/>
      <c r="GM217" s="16"/>
      <c r="GN217" s="16"/>
      <c r="GO217" s="16"/>
      <c r="GP217" s="16"/>
      <c r="GS217" s="9"/>
      <c r="GT217" s="16"/>
      <c r="GU217" s="16"/>
      <c r="GV217" s="16"/>
      <c r="GW217" s="16"/>
      <c r="GX217" s="16"/>
      <c r="GY217" s="16"/>
      <c r="GZ217" s="16"/>
      <c r="HA217" s="16"/>
      <c r="HB217" s="16"/>
      <c r="HC217" s="16"/>
      <c r="HD217" s="16"/>
      <c r="HE217" s="16"/>
      <c r="HF217" s="16"/>
      <c r="HG217" s="16"/>
      <c r="HH217" s="16"/>
      <c r="HI217" s="16"/>
      <c r="HJ217" s="16"/>
      <c r="HK217" s="16"/>
      <c r="HL217" s="16"/>
      <c r="HM217" s="16"/>
      <c r="HN217" s="16"/>
      <c r="HQ217" s="9"/>
      <c r="HR217" s="16"/>
      <c r="HS217" s="16"/>
      <c r="HT217" s="16"/>
      <c r="HU217" s="16"/>
      <c r="HV217" s="16"/>
      <c r="HW217" s="16"/>
      <c r="HX217" s="16"/>
      <c r="HY217" s="16"/>
      <c r="HZ217" s="16"/>
      <c r="IA217" s="16"/>
      <c r="IB217" s="16"/>
      <c r="IC217" s="16"/>
      <c r="ID217" s="16"/>
      <c r="IE217" s="16"/>
      <c r="IF217" s="16"/>
      <c r="IG217" s="16"/>
      <c r="IH217" s="16"/>
      <c r="II217" s="16"/>
      <c r="IJ217" s="16"/>
      <c r="IK217" s="16"/>
      <c r="IL217" s="16"/>
      <c r="IO217" s="9"/>
      <c r="IP217" s="16"/>
      <c r="IQ217" s="16"/>
      <c r="IR217" s="16"/>
      <c r="IS217" s="16"/>
      <c r="IT217" s="16"/>
      <c r="IU217" s="16"/>
      <c r="IV217" s="16"/>
      <c r="IW217" s="16"/>
      <c r="IX217" s="16"/>
      <c r="IY217" s="16"/>
      <c r="IZ217" s="16"/>
      <c r="JA217" s="16"/>
      <c r="JB217" s="16"/>
      <c r="JC217" s="16"/>
      <c r="JD217" s="16"/>
      <c r="JE217" s="16"/>
      <c r="JF217" s="16"/>
      <c r="JG217" s="16"/>
      <c r="JH217" s="16"/>
      <c r="JI217" s="16"/>
      <c r="JJ217" s="16"/>
      <c r="JM217" s="9"/>
      <c r="JN217" s="16"/>
      <c r="JO217" s="16"/>
      <c r="JP217" s="16"/>
      <c r="JQ217" s="16"/>
      <c r="JR217" s="16"/>
      <c r="JS217" s="16"/>
      <c r="JT217" s="16"/>
      <c r="JU217" s="16"/>
      <c r="JV217" s="16"/>
      <c r="JW217" s="16"/>
      <c r="JX217" s="16"/>
      <c r="JY217" s="16"/>
      <c r="JZ217" s="16"/>
      <c r="KA217" s="16"/>
      <c r="KB217" s="16"/>
      <c r="KC217" s="16"/>
      <c r="KD217" s="16"/>
      <c r="KE217" s="16"/>
      <c r="KF217" s="16"/>
      <c r="KG217" s="16"/>
      <c r="KH217" s="16"/>
      <c r="KK217" s="9"/>
      <c r="KL217" s="16"/>
      <c r="KM217" s="16"/>
      <c r="KN217" s="16"/>
      <c r="KO217" s="16"/>
      <c r="KP217" s="16"/>
      <c r="KQ217" s="16"/>
      <c r="KR217" s="16"/>
      <c r="KS217" s="16"/>
      <c r="KT217" s="16"/>
      <c r="KU217" s="16"/>
      <c r="KV217" s="16"/>
      <c r="KW217" s="16"/>
      <c r="KX217" s="16"/>
      <c r="KY217" s="16"/>
      <c r="KZ217" s="16"/>
      <c r="LA217" s="16"/>
      <c r="LB217" s="16"/>
      <c r="LC217" s="16"/>
      <c r="LD217" s="16"/>
      <c r="LE217" s="16"/>
      <c r="LF217" s="16"/>
      <c r="LI217" s="9"/>
      <c r="LJ217" s="16"/>
      <c r="LK217" s="16"/>
      <c r="LL217" s="16"/>
      <c r="LM217" s="16"/>
      <c r="LN217" s="16"/>
      <c r="LO217" s="16"/>
      <c r="LP217" s="16"/>
      <c r="LQ217" s="16"/>
      <c r="LR217" s="16"/>
      <c r="LS217" s="16"/>
      <c r="LT217" s="16"/>
      <c r="LU217" s="16"/>
      <c r="LV217" s="16"/>
      <c r="LW217" s="16"/>
      <c r="LX217" s="16"/>
      <c r="LY217" s="16"/>
      <c r="LZ217" s="16"/>
      <c r="MA217" s="16"/>
      <c r="MB217" s="16"/>
      <c r="MC217" s="16"/>
      <c r="MD217" s="16"/>
      <c r="MG217" s="9"/>
      <c r="MH217" s="16"/>
      <c r="MI217" s="16"/>
      <c r="MJ217" s="16"/>
      <c r="MK217" s="16"/>
      <c r="ML217" s="16"/>
      <c r="MM217" s="16"/>
      <c r="MN217" s="16"/>
      <c r="MO217" s="16"/>
      <c r="MP217" s="16"/>
      <c r="MQ217" s="16"/>
      <c r="MR217" s="16"/>
      <c r="MS217" s="16"/>
      <c r="MT217" s="16"/>
      <c r="MU217" s="16"/>
      <c r="MV217" s="16"/>
      <c r="MW217" s="16"/>
      <c r="MX217" s="16"/>
      <c r="MY217" s="16"/>
      <c r="MZ217" s="16"/>
      <c r="NA217" s="16"/>
      <c r="NB217" s="16"/>
      <c r="NE217" s="9"/>
      <c r="NF217" s="16"/>
      <c r="NG217" s="16"/>
      <c r="NH217" s="16"/>
      <c r="NI217" s="16"/>
      <c r="NJ217" s="16"/>
      <c r="NK217" s="16"/>
      <c r="NL217" s="16"/>
      <c r="NM217" s="16"/>
      <c r="NN217" s="16"/>
      <c r="NO217" s="16"/>
      <c r="NP217" s="16"/>
      <c r="NQ217" s="16"/>
      <c r="NR217" s="16"/>
      <c r="NS217" s="16"/>
      <c r="NT217" s="16"/>
      <c r="NU217" s="16"/>
      <c r="NV217" s="16"/>
      <c r="NW217" s="16"/>
      <c r="NX217" s="16"/>
      <c r="NY217" s="16"/>
      <c r="NZ217" s="16"/>
      <c r="OC217" s="9"/>
      <c r="OD217" s="16"/>
      <c r="OE217" s="16"/>
      <c r="OF217" s="16"/>
      <c r="OG217" s="16"/>
      <c r="OH217" s="16"/>
      <c r="OI217" s="16"/>
      <c r="OJ217" s="16"/>
      <c r="OK217" s="16"/>
      <c r="OL217" s="16"/>
      <c r="OM217" s="16"/>
      <c r="ON217" s="16"/>
      <c r="OO217" s="16"/>
      <c r="OP217" s="16"/>
      <c r="OQ217" s="16"/>
      <c r="OR217" s="16"/>
      <c r="OS217" s="16"/>
      <c r="OT217" s="16"/>
      <c r="OU217" s="16"/>
      <c r="OV217" s="16"/>
      <c r="OW217" s="16"/>
      <c r="OX217" s="16"/>
      <c r="PA217" s="9"/>
      <c r="PB217" s="16"/>
      <c r="PC217" s="16"/>
      <c r="PD217" s="16"/>
      <c r="PE217" s="16"/>
      <c r="PF217" s="16"/>
      <c r="PG217" s="16"/>
      <c r="PH217" s="16"/>
      <c r="PI217" s="16"/>
      <c r="PJ217" s="16"/>
      <c r="PK217" s="16"/>
      <c r="PL217" s="16"/>
      <c r="PM217" s="16"/>
      <c r="PN217" s="16"/>
      <c r="PO217" s="16"/>
      <c r="PP217" s="16"/>
      <c r="PQ217" s="16"/>
      <c r="PR217" s="16"/>
      <c r="PS217" s="16"/>
      <c r="PT217" s="16"/>
      <c r="PU217" s="16"/>
      <c r="PV217" s="16"/>
    </row>
    <row r="218" spans="3:438" x14ac:dyDescent="0.25">
      <c r="C218" s="1"/>
      <c r="D218" s="1"/>
      <c r="I218" s="9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G218" s="9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E218" s="9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C218" s="9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DA218" s="9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Y218" s="9"/>
      <c r="DZ218" s="16"/>
      <c r="EA218" s="16"/>
      <c r="EB218" s="16"/>
      <c r="EC218" s="16"/>
      <c r="ED218" s="16"/>
      <c r="EE218" s="16"/>
      <c r="EF218" s="16"/>
      <c r="EG218" s="16"/>
      <c r="EH218" s="16"/>
      <c r="EI218" s="16"/>
      <c r="EJ218" s="16"/>
      <c r="EK218" s="16"/>
      <c r="EL218" s="16"/>
      <c r="EM218" s="16"/>
      <c r="EN218" s="16"/>
      <c r="EO218" s="16"/>
      <c r="EP218" s="16"/>
      <c r="EQ218" s="16"/>
      <c r="ER218" s="16"/>
      <c r="ES218" s="16"/>
      <c r="ET218" s="16"/>
      <c r="EW218" s="9"/>
      <c r="EX218" s="16"/>
      <c r="EY218" s="16"/>
      <c r="EZ218" s="16"/>
      <c r="FA218" s="16"/>
      <c r="FB218" s="16"/>
      <c r="FC218" s="16"/>
      <c r="FD218" s="16"/>
      <c r="FE218" s="16"/>
      <c r="FF218" s="16"/>
      <c r="FG218" s="16"/>
      <c r="FH218" s="16"/>
      <c r="FI218" s="16"/>
      <c r="FJ218" s="16"/>
      <c r="FK218" s="16"/>
      <c r="FL218" s="16"/>
      <c r="FM218" s="16"/>
      <c r="FN218" s="16"/>
      <c r="FO218" s="16"/>
      <c r="FP218" s="16"/>
      <c r="FQ218" s="16"/>
      <c r="FR218" s="16"/>
      <c r="FU218" s="9"/>
      <c r="FV218" s="16"/>
      <c r="FW218" s="16"/>
      <c r="FX218" s="16"/>
      <c r="FY218" s="16"/>
      <c r="FZ218" s="16"/>
      <c r="GA218" s="16"/>
      <c r="GB218" s="16"/>
      <c r="GC218" s="16"/>
      <c r="GD218" s="16"/>
      <c r="GE218" s="16"/>
      <c r="GF218" s="16"/>
      <c r="GG218" s="16"/>
      <c r="GH218" s="16"/>
      <c r="GI218" s="16"/>
      <c r="GJ218" s="16"/>
      <c r="GK218" s="16"/>
      <c r="GL218" s="16"/>
      <c r="GM218" s="16"/>
      <c r="GN218" s="16"/>
      <c r="GO218" s="16"/>
      <c r="GP218" s="16"/>
      <c r="GS218" s="9"/>
      <c r="GT218" s="16"/>
      <c r="GU218" s="16"/>
      <c r="GV218" s="16"/>
      <c r="GW218" s="16"/>
      <c r="GX218" s="16"/>
      <c r="GY218" s="16"/>
      <c r="GZ218" s="16"/>
      <c r="HA218" s="16"/>
      <c r="HB218" s="16"/>
      <c r="HC218" s="16"/>
      <c r="HD218" s="16"/>
      <c r="HE218" s="16"/>
      <c r="HF218" s="16"/>
      <c r="HG218" s="16"/>
      <c r="HH218" s="16"/>
      <c r="HI218" s="16"/>
      <c r="HJ218" s="16"/>
      <c r="HK218" s="16"/>
      <c r="HL218" s="16"/>
      <c r="HM218" s="16"/>
      <c r="HN218" s="16"/>
      <c r="HQ218" s="9"/>
      <c r="HR218" s="16"/>
      <c r="HS218" s="16"/>
      <c r="HT218" s="16"/>
      <c r="HU218" s="16"/>
      <c r="HV218" s="16"/>
      <c r="HW218" s="16"/>
      <c r="HX218" s="16"/>
      <c r="HY218" s="16"/>
      <c r="HZ218" s="16"/>
      <c r="IA218" s="16"/>
      <c r="IB218" s="16"/>
      <c r="IC218" s="16"/>
      <c r="ID218" s="16"/>
      <c r="IE218" s="16"/>
      <c r="IF218" s="16"/>
      <c r="IG218" s="16"/>
      <c r="IH218" s="16"/>
      <c r="II218" s="16"/>
      <c r="IJ218" s="16"/>
      <c r="IK218" s="16"/>
      <c r="IL218" s="16"/>
      <c r="IO218" s="9"/>
      <c r="IP218" s="16"/>
      <c r="IQ218" s="16"/>
      <c r="IR218" s="16"/>
      <c r="IS218" s="16"/>
      <c r="IT218" s="16"/>
      <c r="IU218" s="16"/>
      <c r="IV218" s="16"/>
      <c r="IW218" s="16"/>
      <c r="IX218" s="16"/>
      <c r="IY218" s="16"/>
      <c r="IZ218" s="16"/>
      <c r="JA218" s="16"/>
      <c r="JB218" s="16"/>
      <c r="JC218" s="16"/>
      <c r="JD218" s="16"/>
      <c r="JE218" s="16"/>
      <c r="JF218" s="16"/>
      <c r="JG218" s="16"/>
      <c r="JH218" s="16"/>
      <c r="JI218" s="16"/>
      <c r="JJ218" s="16"/>
      <c r="JM218" s="9"/>
      <c r="JN218" s="16"/>
      <c r="JO218" s="16"/>
      <c r="JP218" s="16"/>
      <c r="JQ218" s="16"/>
      <c r="JR218" s="16"/>
      <c r="JS218" s="16"/>
      <c r="JT218" s="16"/>
      <c r="JU218" s="16"/>
      <c r="JV218" s="16"/>
      <c r="JW218" s="16"/>
      <c r="JX218" s="16"/>
      <c r="JY218" s="16"/>
      <c r="JZ218" s="16"/>
      <c r="KA218" s="16"/>
      <c r="KB218" s="16"/>
      <c r="KC218" s="16"/>
      <c r="KD218" s="16"/>
      <c r="KE218" s="16"/>
      <c r="KF218" s="16"/>
      <c r="KG218" s="16"/>
      <c r="KH218" s="16"/>
      <c r="KK218" s="9"/>
      <c r="KL218" s="16"/>
      <c r="KM218" s="16"/>
      <c r="KN218" s="16"/>
      <c r="KO218" s="16"/>
      <c r="KP218" s="16"/>
      <c r="KQ218" s="16"/>
      <c r="KR218" s="16"/>
      <c r="KS218" s="16"/>
      <c r="KT218" s="16"/>
      <c r="KU218" s="16"/>
      <c r="KV218" s="16"/>
      <c r="KW218" s="16"/>
      <c r="KX218" s="16"/>
      <c r="KY218" s="16"/>
      <c r="KZ218" s="16"/>
      <c r="LA218" s="16"/>
      <c r="LB218" s="16"/>
      <c r="LC218" s="16"/>
      <c r="LD218" s="16"/>
      <c r="LE218" s="16"/>
      <c r="LF218" s="16"/>
      <c r="LI218" s="9"/>
      <c r="LJ218" s="16"/>
      <c r="LK218" s="16"/>
      <c r="LL218" s="16"/>
      <c r="LM218" s="16"/>
      <c r="LN218" s="16"/>
      <c r="LO218" s="16"/>
      <c r="LP218" s="16"/>
      <c r="LQ218" s="16"/>
      <c r="LR218" s="16"/>
      <c r="LS218" s="16"/>
      <c r="LT218" s="16"/>
      <c r="LU218" s="16"/>
      <c r="LV218" s="16"/>
      <c r="LW218" s="16"/>
      <c r="LX218" s="16"/>
      <c r="LY218" s="16"/>
      <c r="LZ218" s="16"/>
      <c r="MA218" s="16"/>
      <c r="MB218" s="16"/>
      <c r="MC218" s="16"/>
      <c r="MD218" s="16"/>
      <c r="MG218" s="9"/>
      <c r="MH218" s="16"/>
      <c r="MI218" s="16"/>
      <c r="MJ218" s="16"/>
      <c r="MK218" s="16"/>
      <c r="ML218" s="16"/>
      <c r="MM218" s="16"/>
      <c r="MN218" s="16"/>
      <c r="MO218" s="16"/>
      <c r="MP218" s="16"/>
      <c r="MQ218" s="16"/>
      <c r="MR218" s="16"/>
      <c r="MS218" s="16"/>
      <c r="MT218" s="16"/>
      <c r="MU218" s="16"/>
      <c r="MV218" s="16"/>
      <c r="MW218" s="16"/>
      <c r="MX218" s="16"/>
      <c r="MY218" s="16"/>
      <c r="MZ218" s="16"/>
      <c r="NA218" s="16"/>
      <c r="NB218" s="16"/>
      <c r="NE218" s="9"/>
      <c r="NF218" s="16"/>
      <c r="NG218" s="16"/>
      <c r="NH218" s="16"/>
      <c r="NI218" s="16"/>
      <c r="NJ218" s="16"/>
      <c r="NK218" s="16"/>
      <c r="NL218" s="16"/>
      <c r="NM218" s="16"/>
      <c r="NN218" s="16"/>
      <c r="NO218" s="16"/>
      <c r="NP218" s="16"/>
      <c r="NQ218" s="16"/>
      <c r="NR218" s="16"/>
      <c r="NS218" s="16"/>
      <c r="NT218" s="16"/>
      <c r="NU218" s="16"/>
      <c r="NV218" s="16"/>
      <c r="NW218" s="16"/>
      <c r="NX218" s="16"/>
      <c r="NY218" s="16"/>
      <c r="NZ218" s="16"/>
      <c r="OC218" s="9"/>
      <c r="OD218" s="16"/>
      <c r="OE218" s="16"/>
      <c r="OF218" s="16"/>
      <c r="OG218" s="16"/>
      <c r="OH218" s="16"/>
      <c r="OI218" s="16"/>
      <c r="OJ218" s="16"/>
      <c r="OK218" s="16"/>
      <c r="OL218" s="16"/>
      <c r="OM218" s="16"/>
      <c r="ON218" s="16"/>
      <c r="OO218" s="16"/>
      <c r="OP218" s="16"/>
      <c r="OQ218" s="16"/>
      <c r="OR218" s="16"/>
      <c r="OS218" s="16"/>
      <c r="OT218" s="16"/>
      <c r="OU218" s="16"/>
      <c r="OV218" s="16"/>
      <c r="OW218" s="16"/>
      <c r="OX218" s="16"/>
      <c r="PA218" s="9"/>
      <c r="PB218" s="16"/>
      <c r="PC218" s="16"/>
      <c r="PD218" s="16"/>
      <c r="PE218" s="16"/>
      <c r="PF218" s="16"/>
      <c r="PG218" s="16"/>
      <c r="PH218" s="16"/>
      <c r="PI218" s="16"/>
      <c r="PJ218" s="16"/>
      <c r="PK218" s="16"/>
      <c r="PL218" s="16"/>
      <c r="PM218" s="16"/>
      <c r="PN218" s="16"/>
      <c r="PO218" s="16"/>
      <c r="PP218" s="16"/>
      <c r="PQ218" s="16"/>
      <c r="PR218" s="16"/>
      <c r="PS218" s="16"/>
      <c r="PT218" s="16"/>
      <c r="PU218" s="16"/>
      <c r="PV218" s="16"/>
    </row>
    <row r="219" spans="3:438" x14ac:dyDescent="0.25">
      <c r="C219" s="1"/>
      <c r="D219" s="1"/>
      <c r="I219" s="9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G219" s="9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E219" s="9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C219" s="9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DA219" s="9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Y219" s="9"/>
      <c r="DZ219" s="16"/>
      <c r="EA219" s="16"/>
      <c r="EB219" s="16"/>
      <c r="EC219" s="16"/>
      <c r="ED219" s="16"/>
      <c r="EE219" s="16"/>
      <c r="EF219" s="16"/>
      <c r="EG219" s="16"/>
      <c r="EH219" s="16"/>
      <c r="EI219" s="16"/>
      <c r="EJ219" s="16"/>
      <c r="EK219" s="16"/>
      <c r="EL219" s="16"/>
      <c r="EM219" s="16"/>
      <c r="EN219" s="16"/>
      <c r="EO219" s="16"/>
      <c r="EP219" s="16"/>
      <c r="EQ219" s="16"/>
      <c r="ER219" s="16"/>
      <c r="ES219" s="16"/>
      <c r="ET219" s="16"/>
      <c r="EW219" s="9"/>
      <c r="EX219" s="16"/>
      <c r="EY219" s="16"/>
      <c r="EZ219" s="16"/>
      <c r="FA219" s="16"/>
      <c r="FB219" s="16"/>
      <c r="FC219" s="16"/>
      <c r="FD219" s="16"/>
      <c r="FE219" s="16"/>
      <c r="FF219" s="16"/>
      <c r="FG219" s="16"/>
      <c r="FH219" s="16"/>
      <c r="FI219" s="16"/>
      <c r="FJ219" s="16"/>
      <c r="FK219" s="16"/>
      <c r="FL219" s="16"/>
      <c r="FM219" s="16"/>
      <c r="FN219" s="16"/>
      <c r="FO219" s="16"/>
      <c r="FP219" s="16"/>
      <c r="FQ219" s="16"/>
      <c r="FR219" s="16"/>
      <c r="FU219" s="9"/>
      <c r="FV219" s="16"/>
      <c r="FW219" s="16"/>
      <c r="FX219" s="16"/>
      <c r="FY219" s="16"/>
      <c r="FZ219" s="16"/>
      <c r="GA219" s="16"/>
      <c r="GB219" s="16"/>
      <c r="GC219" s="16"/>
      <c r="GD219" s="16"/>
      <c r="GE219" s="16"/>
      <c r="GF219" s="16"/>
      <c r="GG219" s="16"/>
      <c r="GH219" s="16"/>
      <c r="GI219" s="16"/>
      <c r="GJ219" s="16"/>
      <c r="GK219" s="16"/>
      <c r="GL219" s="16"/>
      <c r="GM219" s="16"/>
      <c r="GN219" s="16"/>
      <c r="GO219" s="16"/>
      <c r="GP219" s="16"/>
      <c r="GS219" s="9"/>
      <c r="GT219" s="16"/>
      <c r="GU219" s="16"/>
      <c r="GV219" s="16"/>
      <c r="GW219" s="16"/>
      <c r="GX219" s="16"/>
      <c r="GY219" s="16"/>
      <c r="GZ219" s="16"/>
      <c r="HA219" s="16"/>
      <c r="HB219" s="16"/>
      <c r="HC219" s="16"/>
      <c r="HD219" s="16"/>
      <c r="HE219" s="16"/>
      <c r="HF219" s="16"/>
      <c r="HG219" s="16"/>
      <c r="HH219" s="16"/>
      <c r="HI219" s="16"/>
      <c r="HJ219" s="16"/>
      <c r="HK219" s="16"/>
      <c r="HL219" s="16"/>
      <c r="HM219" s="16"/>
      <c r="HN219" s="16"/>
      <c r="HQ219" s="9"/>
      <c r="HR219" s="16"/>
      <c r="HS219" s="16"/>
      <c r="HT219" s="16"/>
      <c r="HU219" s="16"/>
      <c r="HV219" s="16"/>
      <c r="HW219" s="16"/>
      <c r="HX219" s="16"/>
      <c r="HY219" s="16"/>
      <c r="HZ219" s="16"/>
      <c r="IA219" s="16"/>
      <c r="IB219" s="16"/>
      <c r="IC219" s="16"/>
      <c r="ID219" s="16"/>
      <c r="IE219" s="16"/>
      <c r="IF219" s="16"/>
      <c r="IG219" s="16"/>
      <c r="IH219" s="16"/>
      <c r="II219" s="16"/>
      <c r="IJ219" s="16"/>
      <c r="IK219" s="16"/>
      <c r="IL219" s="16"/>
      <c r="IO219" s="9"/>
      <c r="IP219" s="16"/>
      <c r="IQ219" s="16"/>
      <c r="IR219" s="16"/>
      <c r="IS219" s="16"/>
      <c r="IT219" s="16"/>
      <c r="IU219" s="16"/>
      <c r="IV219" s="16"/>
      <c r="IW219" s="16"/>
      <c r="IX219" s="16"/>
      <c r="IY219" s="16"/>
      <c r="IZ219" s="16"/>
      <c r="JA219" s="16"/>
      <c r="JB219" s="16"/>
      <c r="JC219" s="16"/>
      <c r="JD219" s="16"/>
      <c r="JE219" s="16"/>
      <c r="JF219" s="16"/>
      <c r="JG219" s="16"/>
      <c r="JH219" s="16"/>
      <c r="JI219" s="16"/>
      <c r="JJ219" s="16"/>
      <c r="JM219" s="9"/>
      <c r="JN219" s="16"/>
      <c r="JO219" s="16"/>
      <c r="JP219" s="16"/>
      <c r="JQ219" s="16"/>
      <c r="JR219" s="16"/>
      <c r="JS219" s="16"/>
      <c r="JT219" s="16"/>
      <c r="JU219" s="16"/>
      <c r="JV219" s="16"/>
      <c r="JW219" s="16"/>
      <c r="JX219" s="16"/>
      <c r="JY219" s="16"/>
      <c r="JZ219" s="16"/>
      <c r="KA219" s="16"/>
      <c r="KB219" s="16"/>
      <c r="KC219" s="16"/>
      <c r="KD219" s="16"/>
      <c r="KE219" s="16"/>
      <c r="KF219" s="16"/>
      <c r="KG219" s="16"/>
      <c r="KH219" s="16"/>
      <c r="KK219" s="9"/>
      <c r="KL219" s="16"/>
      <c r="KM219" s="16"/>
      <c r="KN219" s="16"/>
      <c r="KO219" s="16"/>
      <c r="KP219" s="16"/>
      <c r="KQ219" s="16"/>
      <c r="KR219" s="16"/>
      <c r="KS219" s="16"/>
      <c r="KT219" s="16"/>
      <c r="KU219" s="16"/>
      <c r="KV219" s="16"/>
      <c r="KW219" s="16"/>
      <c r="KX219" s="16"/>
      <c r="KY219" s="16"/>
      <c r="KZ219" s="16"/>
      <c r="LA219" s="16"/>
      <c r="LB219" s="16"/>
      <c r="LC219" s="16"/>
      <c r="LD219" s="16"/>
      <c r="LE219" s="16"/>
      <c r="LF219" s="16"/>
      <c r="LI219" s="9"/>
      <c r="LJ219" s="16"/>
      <c r="LK219" s="16"/>
      <c r="LL219" s="16"/>
      <c r="LM219" s="16"/>
      <c r="LN219" s="16"/>
      <c r="LO219" s="16"/>
      <c r="LP219" s="16"/>
      <c r="LQ219" s="16"/>
      <c r="LR219" s="16"/>
      <c r="LS219" s="16"/>
      <c r="LT219" s="16"/>
      <c r="LU219" s="16"/>
      <c r="LV219" s="16"/>
      <c r="LW219" s="16"/>
      <c r="LX219" s="16"/>
      <c r="LY219" s="16"/>
      <c r="LZ219" s="16"/>
      <c r="MA219" s="16"/>
      <c r="MB219" s="16"/>
      <c r="MC219" s="16"/>
      <c r="MD219" s="16"/>
      <c r="MG219" s="9"/>
      <c r="MH219" s="16"/>
      <c r="MI219" s="16"/>
      <c r="MJ219" s="16"/>
      <c r="MK219" s="16"/>
      <c r="ML219" s="16"/>
      <c r="MM219" s="16"/>
      <c r="MN219" s="16"/>
      <c r="MO219" s="16"/>
      <c r="MP219" s="16"/>
      <c r="MQ219" s="16"/>
      <c r="MR219" s="16"/>
      <c r="MS219" s="16"/>
      <c r="MT219" s="16"/>
      <c r="MU219" s="16"/>
      <c r="MV219" s="16"/>
      <c r="MW219" s="16"/>
      <c r="MX219" s="16"/>
      <c r="MY219" s="16"/>
      <c r="MZ219" s="16"/>
      <c r="NA219" s="16"/>
      <c r="NB219" s="16"/>
      <c r="NE219" s="9"/>
      <c r="NF219" s="16"/>
      <c r="NG219" s="16"/>
      <c r="NH219" s="16"/>
      <c r="NI219" s="16"/>
      <c r="NJ219" s="16"/>
      <c r="NK219" s="16"/>
      <c r="NL219" s="16"/>
      <c r="NM219" s="16"/>
      <c r="NN219" s="16"/>
      <c r="NO219" s="16"/>
      <c r="NP219" s="16"/>
      <c r="NQ219" s="16"/>
      <c r="NR219" s="16"/>
      <c r="NS219" s="16"/>
      <c r="NT219" s="16"/>
      <c r="NU219" s="16"/>
      <c r="NV219" s="16"/>
      <c r="NW219" s="16"/>
      <c r="NX219" s="16"/>
      <c r="NY219" s="16"/>
      <c r="NZ219" s="16"/>
      <c r="OC219" s="9"/>
      <c r="OD219" s="16"/>
      <c r="OE219" s="16"/>
      <c r="OF219" s="16"/>
      <c r="OG219" s="16"/>
      <c r="OH219" s="16"/>
      <c r="OI219" s="16"/>
      <c r="OJ219" s="16"/>
      <c r="OK219" s="16"/>
      <c r="OL219" s="16"/>
      <c r="OM219" s="16"/>
      <c r="ON219" s="16"/>
      <c r="OO219" s="16"/>
      <c r="OP219" s="16"/>
      <c r="OQ219" s="16"/>
      <c r="OR219" s="16"/>
      <c r="OS219" s="16"/>
      <c r="OT219" s="16"/>
      <c r="OU219" s="16"/>
      <c r="OV219" s="16"/>
      <c r="OW219" s="16"/>
      <c r="OX219" s="16"/>
      <c r="PA219" s="9"/>
      <c r="PB219" s="16"/>
      <c r="PC219" s="16"/>
      <c r="PD219" s="16"/>
      <c r="PE219" s="16"/>
      <c r="PF219" s="16"/>
      <c r="PG219" s="16"/>
      <c r="PH219" s="16"/>
      <c r="PI219" s="16"/>
      <c r="PJ219" s="16"/>
      <c r="PK219" s="16"/>
      <c r="PL219" s="16"/>
      <c r="PM219" s="16"/>
      <c r="PN219" s="16"/>
      <c r="PO219" s="16"/>
      <c r="PP219" s="16"/>
      <c r="PQ219" s="16"/>
      <c r="PR219" s="16"/>
      <c r="PS219" s="16"/>
      <c r="PT219" s="16"/>
      <c r="PU219" s="16"/>
      <c r="PV219" s="16"/>
    </row>
    <row r="220" spans="3:438" x14ac:dyDescent="0.25">
      <c r="C220" s="1"/>
      <c r="D220" s="1"/>
      <c r="I220" s="9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G220" s="9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E220" s="9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C220" s="9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DA220" s="9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Y220" s="9"/>
      <c r="DZ220" s="16"/>
      <c r="EA220" s="16"/>
      <c r="EB220" s="16"/>
      <c r="EC220" s="16"/>
      <c r="ED220" s="16"/>
      <c r="EE220" s="16"/>
      <c r="EF220" s="16"/>
      <c r="EG220" s="16"/>
      <c r="EH220" s="16"/>
      <c r="EI220" s="16"/>
      <c r="EJ220" s="16"/>
      <c r="EK220" s="16"/>
      <c r="EL220" s="16"/>
      <c r="EM220" s="16"/>
      <c r="EN220" s="16"/>
      <c r="EO220" s="16"/>
      <c r="EP220" s="16"/>
      <c r="EQ220" s="16"/>
      <c r="ER220" s="16"/>
      <c r="ES220" s="16"/>
      <c r="ET220" s="16"/>
      <c r="EW220" s="9"/>
      <c r="EX220" s="16"/>
      <c r="EY220" s="16"/>
      <c r="EZ220" s="16"/>
      <c r="FA220" s="16"/>
      <c r="FB220" s="16"/>
      <c r="FC220" s="16"/>
      <c r="FD220" s="16"/>
      <c r="FE220" s="16"/>
      <c r="FF220" s="16"/>
      <c r="FG220" s="16"/>
      <c r="FH220" s="16"/>
      <c r="FI220" s="16"/>
      <c r="FJ220" s="16"/>
      <c r="FK220" s="16"/>
      <c r="FL220" s="16"/>
      <c r="FM220" s="16"/>
      <c r="FN220" s="16"/>
      <c r="FO220" s="16"/>
      <c r="FP220" s="16"/>
      <c r="FQ220" s="16"/>
      <c r="FR220" s="16"/>
      <c r="FU220" s="9"/>
      <c r="FV220" s="16"/>
      <c r="FW220" s="16"/>
      <c r="FX220" s="16"/>
      <c r="FY220" s="16"/>
      <c r="FZ220" s="16"/>
      <c r="GA220" s="16"/>
      <c r="GB220" s="16"/>
      <c r="GC220" s="16"/>
      <c r="GD220" s="16"/>
      <c r="GE220" s="16"/>
      <c r="GF220" s="16"/>
      <c r="GG220" s="16"/>
      <c r="GH220" s="16"/>
      <c r="GI220" s="16"/>
      <c r="GJ220" s="16"/>
      <c r="GK220" s="16"/>
      <c r="GL220" s="16"/>
      <c r="GM220" s="16"/>
      <c r="GN220" s="16"/>
      <c r="GO220" s="16"/>
      <c r="GP220" s="16"/>
      <c r="GS220" s="9"/>
      <c r="GT220" s="16"/>
      <c r="GU220" s="16"/>
      <c r="GV220" s="16"/>
      <c r="GW220" s="16"/>
      <c r="GX220" s="16"/>
      <c r="GY220" s="16"/>
      <c r="GZ220" s="16"/>
      <c r="HA220" s="16"/>
      <c r="HB220" s="16"/>
      <c r="HC220" s="16"/>
      <c r="HD220" s="16"/>
      <c r="HE220" s="16"/>
      <c r="HF220" s="16"/>
      <c r="HG220" s="16"/>
      <c r="HH220" s="16"/>
      <c r="HI220" s="16"/>
      <c r="HJ220" s="16"/>
      <c r="HK220" s="16"/>
      <c r="HL220" s="16"/>
      <c r="HM220" s="16"/>
      <c r="HN220" s="16"/>
      <c r="HQ220" s="9"/>
      <c r="HR220" s="16"/>
      <c r="HS220" s="16"/>
      <c r="HT220" s="16"/>
      <c r="HU220" s="16"/>
      <c r="HV220" s="16"/>
      <c r="HW220" s="16"/>
      <c r="HX220" s="16"/>
      <c r="HY220" s="16"/>
      <c r="HZ220" s="16"/>
      <c r="IA220" s="16"/>
      <c r="IB220" s="16"/>
      <c r="IC220" s="16"/>
      <c r="ID220" s="16"/>
      <c r="IE220" s="16"/>
      <c r="IF220" s="16"/>
      <c r="IG220" s="16"/>
      <c r="IH220" s="16"/>
      <c r="II220" s="16"/>
      <c r="IJ220" s="16"/>
      <c r="IK220" s="16"/>
      <c r="IL220" s="16"/>
      <c r="IO220" s="9"/>
      <c r="IP220" s="16"/>
      <c r="IQ220" s="16"/>
      <c r="IR220" s="16"/>
      <c r="IS220" s="16"/>
      <c r="IT220" s="16"/>
      <c r="IU220" s="16"/>
      <c r="IV220" s="16"/>
      <c r="IW220" s="16"/>
      <c r="IX220" s="16"/>
      <c r="IY220" s="16"/>
      <c r="IZ220" s="16"/>
      <c r="JA220" s="16"/>
      <c r="JB220" s="16"/>
      <c r="JC220" s="16"/>
      <c r="JD220" s="16"/>
      <c r="JE220" s="16"/>
      <c r="JF220" s="16"/>
      <c r="JG220" s="16"/>
      <c r="JH220" s="16"/>
      <c r="JI220" s="16"/>
      <c r="JJ220" s="16"/>
      <c r="JM220" s="9"/>
      <c r="JN220" s="16"/>
      <c r="JO220" s="16"/>
      <c r="JP220" s="16"/>
      <c r="JQ220" s="16"/>
      <c r="JR220" s="16"/>
      <c r="JS220" s="16"/>
      <c r="JT220" s="16"/>
      <c r="JU220" s="16"/>
      <c r="JV220" s="16"/>
      <c r="JW220" s="16"/>
      <c r="JX220" s="16"/>
      <c r="JY220" s="16"/>
      <c r="JZ220" s="16"/>
      <c r="KA220" s="16"/>
      <c r="KB220" s="16"/>
      <c r="KC220" s="16"/>
      <c r="KD220" s="16"/>
      <c r="KE220" s="16"/>
      <c r="KF220" s="16"/>
      <c r="KG220" s="16"/>
      <c r="KH220" s="16"/>
      <c r="KK220" s="9"/>
      <c r="KL220" s="16"/>
      <c r="KM220" s="16"/>
      <c r="KN220" s="16"/>
      <c r="KO220" s="16"/>
      <c r="KP220" s="16"/>
      <c r="KQ220" s="16"/>
      <c r="KR220" s="16"/>
      <c r="KS220" s="16"/>
      <c r="KT220" s="16"/>
      <c r="KU220" s="16"/>
      <c r="KV220" s="16"/>
      <c r="KW220" s="16"/>
      <c r="KX220" s="16"/>
      <c r="KY220" s="16"/>
      <c r="KZ220" s="16"/>
      <c r="LA220" s="16"/>
      <c r="LB220" s="16"/>
      <c r="LC220" s="16"/>
      <c r="LD220" s="16"/>
      <c r="LE220" s="16"/>
      <c r="LF220" s="16"/>
      <c r="LI220" s="9"/>
      <c r="LJ220" s="16"/>
      <c r="LK220" s="16"/>
      <c r="LL220" s="16"/>
      <c r="LM220" s="16"/>
      <c r="LN220" s="16"/>
      <c r="LO220" s="16"/>
      <c r="LP220" s="16"/>
      <c r="LQ220" s="16"/>
      <c r="LR220" s="16"/>
      <c r="LS220" s="16"/>
      <c r="LT220" s="16"/>
      <c r="LU220" s="16"/>
      <c r="LV220" s="16"/>
      <c r="LW220" s="16"/>
      <c r="LX220" s="16"/>
      <c r="LY220" s="16"/>
      <c r="LZ220" s="16"/>
      <c r="MA220" s="16"/>
      <c r="MB220" s="16"/>
      <c r="MC220" s="16"/>
      <c r="MD220" s="16"/>
      <c r="MG220" s="9"/>
      <c r="MH220" s="16"/>
      <c r="MI220" s="16"/>
      <c r="MJ220" s="16"/>
      <c r="MK220" s="16"/>
      <c r="ML220" s="16"/>
      <c r="MM220" s="16"/>
      <c r="MN220" s="16"/>
      <c r="MO220" s="16"/>
      <c r="MP220" s="16"/>
      <c r="MQ220" s="16"/>
      <c r="MR220" s="16"/>
      <c r="MS220" s="16"/>
      <c r="MT220" s="16"/>
      <c r="MU220" s="16"/>
      <c r="MV220" s="16"/>
      <c r="MW220" s="16"/>
      <c r="MX220" s="16"/>
      <c r="MY220" s="16"/>
      <c r="MZ220" s="16"/>
      <c r="NA220" s="16"/>
      <c r="NB220" s="16"/>
      <c r="NE220" s="9"/>
      <c r="NF220" s="16"/>
      <c r="NG220" s="16"/>
      <c r="NH220" s="16"/>
      <c r="NI220" s="16"/>
      <c r="NJ220" s="16"/>
      <c r="NK220" s="16"/>
      <c r="NL220" s="16"/>
      <c r="NM220" s="16"/>
      <c r="NN220" s="16"/>
      <c r="NO220" s="16"/>
      <c r="NP220" s="16"/>
      <c r="NQ220" s="16"/>
      <c r="NR220" s="16"/>
      <c r="NS220" s="16"/>
      <c r="NT220" s="16"/>
      <c r="NU220" s="16"/>
      <c r="NV220" s="16"/>
      <c r="NW220" s="16"/>
      <c r="NX220" s="16"/>
      <c r="NY220" s="16"/>
      <c r="NZ220" s="16"/>
      <c r="OC220" s="9"/>
      <c r="OD220" s="16"/>
      <c r="OE220" s="16"/>
      <c r="OF220" s="16"/>
      <c r="OG220" s="16"/>
      <c r="OH220" s="16"/>
      <c r="OI220" s="16"/>
      <c r="OJ220" s="16"/>
      <c r="OK220" s="16"/>
      <c r="OL220" s="16"/>
      <c r="OM220" s="16"/>
      <c r="ON220" s="16"/>
      <c r="OO220" s="16"/>
      <c r="OP220" s="16"/>
      <c r="OQ220" s="16"/>
      <c r="OR220" s="16"/>
      <c r="OS220" s="16"/>
      <c r="OT220" s="16"/>
      <c r="OU220" s="16"/>
      <c r="OV220" s="16"/>
      <c r="OW220" s="16"/>
      <c r="OX220" s="16"/>
      <c r="PA220" s="9"/>
      <c r="PB220" s="16"/>
      <c r="PC220" s="16"/>
      <c r="PD220" s="16"/>
      <c r="PE220" s="16"/>
      <c r="PF220" s="16"/>
      <c r="PG220" s="16"/>
      <c r="PH220" s="16"/>
      <c r="PI220" s="16"/>
      <c r="PJ220" s="16"/>
      <c r="PK220" s="16"/>
      <c r="PL220" s="16"/>
      <c r="PM220" s="16"/>
      <c r="PN220" s="16"/>
      <c r="PO220" s="16"/>
      <c r="PP220" s="16"/>
      <c r="PQ220" s="16"/>
      <c r="PR220" s="16"/>
      <c r="PS220" s="16"/>
      <c r="PT220" s="16"/>
      <c r="PU220" s="16"/>
      <c r="PV220" s="16"/>
    </row>
    <row r="221" spans="3:438" x14ac:dyDescent="0.25">
      <c r="C221" s="1"/>
      <c r="D221" s="1"/>
      <c r="I221" s="9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G221" s="9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E221" s="9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C221" s="9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DA221" s="9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Y221" s="9"/>
      <c r="DZ221" s="16"/>
      <c r="EA221" s="16"/>
      <c r="EB221" s="16"/>
      <c r="EC221" s="16"/>
      <c r="ED221" s="16"/>
      <c r="EE221" s="16"/>
      <c r="EF221" s="16"/>
      <c r="EG221" s="16"/>
      <c r="EH221" s="16"/>
      <c r="EI221" s="16"/>
      <c r="EJ221" s="16"/>
      <c r="EK221" s="16"/>
      <c r="EL221" s="16"/>
      <c r="EM221" s="16"/>
      <c r="EN221" s="16"/>
      <c r="EO221" s="16"/>
      <c r="EP221" s="16"/>
      <c r="EQ221" s="16"/>
      <c r="ER221" s="16"/>
      <c r="ES221" s="16"/>
      <c r="ET221" s="16"/>
      <c r="EW221" s="9"/>
      <c r="EX221" s="16"/>
      <c r="EY221" s="16"/>
      <c r="EZ221" s="16"/>
      <c r="FA221" s="16"/>
      <c r="FB221" s="16"/>
      <c r="FC221" s="16"/>
      <c r="FD221" s="16"/>
      <c r="FE221" s="16"/>
      <c r="FF221" s="16"/>
      <c r="FG221" s="16"/>
      <c r="FH221" s="16"/>
      <c r="FI221" s="16"/>
      <c r="FJ221" s="16"/>
      <c r="FK221" s="16"/>
      <c r="FL221" s="16"/>
      <c r="FM221" s="16"/>
      <c r="FN221" s="16"/>
      <c r="FO221" s="16"/>
      <c r="FP221" s="16"/>
      <c r="FQ221" s="16"/>
      <c r="FR221" s="16"/>
      <c r="FU221" s="9"/>
      <c r="FV221" s="16"/>
      <c r="FW221" s="16"/>
      <c r="FX221" s="16"/>
      <c r="FY221" s="16"/>
      <c r="FZ221" s="16"/>
      <c r="GA221" s="16"/>
      <c r="GB221" s="16"/>
      <c r="GC221" s="16"/>
      <c r="GD221" s="16"/>
      <c r="GE221" s="16"/>
      <c r="GF221" s="16"/>
      <c r="GG221" s="16"/>
      <c r="GH221" s="16"/>
      <c r="GI221" s="16"/>
      <c r="GJ221" s="16"/>
      <c r="GK221" s="16"/>
      <c r="GL221" s="16"/>
      <c r="GM221" s="16"/>
      <c r="GN221" s="16"/>
      <c r="GO221" s="16"/>
      <c r="GP221" s="16"/>
      <c r="GS221" s="9"/>
      <c r="GT221" s="16"/>
      <c r="GU221" s="16"/>
      <c r="GV221" s="16"/>
      <c r="GW221" s="16"/>
      <c r="GX221" s="16"/>
      <c r="GY221" s="16"/>
      <c r="GZ221" s="16"/>
      <c r="HA221" s="16"/>
      <c r="HB221" s="16"/>
      <c r="HC221" s="16"/>
      <c r="HD221" s="16"/>
      <c r="HE221" s="16"/>
      <c r="HF221" s="16"/>
      <c r="HG221" s="16"/>
      <c r="HH221" s="16"/>
      <c r="HI221" s="16"/>
      <c r="HJ221" s="16"/>
      <c r="HK221" s="16"/>
      <c r="HL221" s="16"/>
      <c r="HM221" s="16"/>
      <c r="HN221" s="16"/>
      <c r="HQ221" s="9"/>
      <c r="HR221" s="16"/>
      <c r="HS221" s="16"/>
      <c r="HT221" s="16"/>
      <c r="HU221" s="16"/>
      <c r="HV221" s="16"/>
      <c r="HW221" s="16"/>
      <c r="HX221" s="16"/>
      <c r="HY221" s="16"/>
      <c r="HZ221" s="16"/>
      <c r="IA221" s="16"/>
      <c r="IB221" s="16"/>
      <c r="IC221" s="16"/>
      <c r="ID221" s="16"/>
      <c r="IE221" s="16"/>
      <c r="IF221" s="16"/>
      <c r="IG221" s="16"/>
      <c r="IH221" s="16"/>
      <c r="II221" s="16"/>
      <c r="IJ221" s="16"/>
      <c r="IK221" s="16"/>
      <c r="IL221" s="16"/>
      <c r="IO221" s="9"/>
      <c r="IP221" s="16"/>
      <c r="IQ221" s="16"/>
      <c r="IR221" s="16"/>
      <c r="IS221" s="16"/>
      <c r="IT221" s="16"/>
      <c r="IU221" s="16"/>
      <c r="IV221" s="16"/>
      <c r="IW221" s="16"/>
      <c r="IX221" s="16"/>
      <c r="IY221" s="16"/>
      <c r="IZ221" s="16"/>
      <c r="JA221" s="16"/>
      <c r="JB221" s="16"/>
      <c r="JC221" s="16"/>
      <c r="JD221" s="16"/>
      <c r="JE221" s="16"/>
      <c r="JF221" s="16"/>
      <c r="JG221" s="16"/>
      <c r="JH221" s="16"/>
      <c r="JI221" s="16"/>
      <c r="JJ221" s="16"/>
      <c r="JM221" s="9"/>
      <c r="JN221" s="16"/>
      <c r="JO221" s="16"/>
      <c r="JP221" s="16"/>
      <c r="JQ221" s="16"/>
      <c r="JR221" s="16"/>
      <c r="JS221" s="16"/>
      <c r="JT221" s="16"/>
      <c r="JU221" s="16"/>
      <c r="JV221" s="16"/>
      <c r="JW221" s="16"/>
      <c r="JX221" s="16"/>
      <c r="JY221" s="16"/>
      <c r="JZ221" s="16"/>
      <c r="KA221" s="16"/>
      <c r="KB221" s="16"/>
      <c r="KC221" s="16"/>
      <c r="KD221" s="16"/>
      <c r="KE221" s="16"/>
      <c r="KF221" s="16"/>
      <c r="KG221" s="16"/>
      <c r="KH221" s="16"/>
      <c r="KK221" s="9"/>
      <c r="KL221" s="16"/>
      <c r="KM221" s="16"/>
      <c r="KN221" s="16"/>
      <c r="KO221" s="16"/>
      <c r="KP221" s="16"/>
      <c r="KQ221" s="16"/>
      <c r="KR221" s="16"/>
      <c r="KS221" s="16"/>
      <c r="KT221" s="16"/>
      <c r="KU221" s="16"/>
      <c r="KV221" s="16"/>
      <c r="KW221" s="16"/>
      <c r="KX221" s="16"/>
      <c r="KY221" s="16"/>
      <c r="KZ221" s="16"/>
      <c r="LA221" s="16"/>
      <c r="LB221" s="16"/>
      <c r="LC221" s="16"/>
      <c r="LD221" s="16"/>
      <c r="LE221" s="16"/>
      <c r="LF221" s="16"/>
      <c r="LI221" s="9"/>
      <c r="LJ221" s="16"/>
      <c r="LK221" s="16"/>
      <c r="LL221" s="16"/>
      <c r="LM221" s="16"/>
      <c r="LN221" s="16"/>
      <c r="LO221" s="16"/>
      <c r="LP221" s="16"/>
      <c r="LQ221" s="16"/>
      <c r="LR221" s="16"/>
      <c r="LS221" s="16"/>
      <c r="LT221" s="16"/>
      <c r="LU221" s="16"/>
      <c r="LV221" s="16"/>
      <c r="LW221" s="16"/>
      <c r="LX221" s="16"/>
      <c r="LY221" s="16"/>
      <c r="LZ221" s="16"/>
      <c r="MA221" s="16"/>
      <c r="MB221" s="16"/>
      <c r="MC221" s="16"/>
      <c r="MD221" s="16"/>
      <c r="MG221" s="9"/>
      <c r="MH221" s="16"/>
      <c r="MI221" s="16"/>
      <c r="MJ221" s="16"/>
      <c r="MK221" s="16"/>
      <c r="ML221" s="16"/>
      <c r="MM221" s="16"/>
      <c r="MN221" s="16"/>
      <c r="MO221" s="16"/>
      <c r="MP221" s="16"/>
      <c r="MQ221" s="16"/>
      <c r="MR221" s="16"/>
      <c r="MS221" s="16"/>
      <c r="MT221" s="16"/>
      <c r="MU221" s="16"/>
      <c r="MV221" s="16"/>
      <c r="MW221" s="16"/>
      <c r="MX221" s="16"/>
      <c r="MY221" s="16"/>
      <c r="MZ221" s="16"/>
      <c r="NA221" s="16"/>
      <c r="NB221" s="16"/>
      <c r="NE221" s="9"/>
      <c r="NF221" s="16"/>
      <c r="NG221" s="16"/>
      <c r="NH221" s="16"/>
      <c r="NI221" s="16"/>
      <c r="NJ221" s="16"/>
      <c r="NK221" s="16"/>
      <c r="NL221" s="16"/>
      <c r="NM221" s="16"/>
      <c r="NN221" s="16"/>
      <c r="NO221" s="16"/>
      <c r="NP221" s="16"/>
      <c r="NQ221" s="16"/>
      <c r="NR221" s="16"/>
      <c r="NS221" s="16"/>
      <c r="NT221" s="16"/>
      <c r="NU221" s="16"/>
      <c r="NV221" s="16"/>
      <c r="NW221" s="16"/>
      <c r="NX221" s="16"/>
      <c r="NY221" s="16"/>
      <c r="NZ221" s="16"/>
      <c r="OC221" s="9"/>
      <c r="OD221" s="16"/>
      <c r="OE221" s="16"/>
      <c r="OF221" s="16"/>
      <c r="OG221" s="16"/>
      <c r="OH221" s="16"/>
      <c r="OI221" s="16"/>
      <c r="OJ221" s="16"/>
      <c r="OK221" s="16"/>
      <c r="OL221" s="16"/>
      <c r="OM221" s="16"/>
      <c r="ON221" s="16"/>
      <c r="OO221" s="16"/>
      <c r="OP221" s="16"/>
      <c r="OQ221" s="16"/>
      <c r="OR221" s="16"/>
      <c r="OS221" s="16"/>
      <c r="OT221" s="16"/>
      <c r="OU221" s="16"/>
      <c r="OV221" s="16"/>
      <c r="OW221" s="16"/>
      <c r="OX221" s="16"/>
      <c r="PA221" s="9"/>
      <c r="PB221" s="16"/>
      <c r="PC221" s="16"/>
      <c r="PD221" s="16"/>
      <c r="PE221" s="16"/>
      <c r="PF221" s="16"/>
      <c r="PG221" s="16"/>
      <c r="PH221" s="16"/>
      <c r="PI221" s="16"/>
      <c r="PJ221" s="16"/>
      <c r="PK221" s="16"/>
      <c r="PL221" s="16"/>
      <c r="PM221" s="16"/>
      <c r="PN221" s="16"/>
      <c r="PO221" s="16"/>
      <c r="PP221" s="16"/>
      <c r="PQ221" s="16"/>
      <c r="PR221" s="16"/>
      <c r="PS221" s="16"/>
      <c r="PT221" s="16"/>
      <c r="PU221" s="16"/>
      <c r="PV221" s="16"/>
    </row>
    <row r="222" spans="3:438" x14ac:dyDescent="0.25">
      <c r="C222" s="1"/>
      <c r="D222" s="1"/>
      <c r="I222" s="9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G222" s="9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E222" s="9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C222" s="9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DA222" s="9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Y222" s="9"/>
      <c r="DZ222" s="16"/>
      <c r="EA222" s="16"/>
      <c r="EB222" s="16"/>
      <c r="EC222" s="16"/>
      <c r="ED222" s="16"/>
      <c r="EE222" s="16"/>
      <c r="EF222" s="16"/>
      <c r="EG222" s="16"/>
      <c r="EH222" s="16"/>
      <c r="EI222" s="16"/>
      <c r="EJ222" s="16"/>
      <c r="EK222" s="16"/>
      <c r="EL222" s="16"/>
      <c r="EM222" s="16"/>
      <c r="EN222" s="16"/>
      <c r="EO222" s="16"/>
      <c r="EP222" s="16"/>
      <c r="EQ222" s="16"/>
      <c r="ER222" s="16"/>
      <c r="ES222" s="16"/>
      <c r="ET222" s="16"/>
      <c r="EW222" s="9"/>
      <c r="EX222" s="16"/>
      <c r="EY222" s="16"/>
      <c r="EZ222" s="16"/>
      <c r="FA222" s="16"/>
      <c r="FB222" s="16"/>
      <c r="FC222" s="16"/>
      <c r="FD222" s="16"/>
      <c r="FE222" s="16"/>
      <c r="FF222" s="16"/>
      <c r="FG222" s="16"/>
      <c r="FH222" s="16"/>
      <c r="FI222" s="16"/>
      <c r="FJ222" s="16"/>
      <c r="FK222" s="16"/>
      <c r="FL222" s="16"/>
      <c r="FM222" s="16"/>
      <c r="FN222" s="16"/>
      <c r="FO222" s="16"/>
      <c r="FP222" s="16"/>
      <c r="FQ222" s="16"/>
      <c r="FR222" s="16"/>
      <c r="FU222" s="9"/>
      <c r="FV222" s="16"/>
      <c r="FW222" s="16"/>
      <c r="FX222" s="16"/>
      <c r="FY222" s="16"/>
      <c r="FZ222" s="16"/>
      <c r="GA222" s="16"/>
      <c r="GB222" s="16"/>
      <c r="GC222" s="16"/>
      <c r="GD222" s="16"/>
      <c r="GE222" s="16"/>
      <c r="GF222" s="16"/>
      <c r="GG222" s="16"/>
      <c r="GH222" s="16"/>
      <c r="GI222" s="16"/>
      <c r="GJ222" s="16"/>
      <c r="GK222" s="16"/>
      <c r="GL222" s="16"/>
      <c r="GM222" s="16"/>
      <c r="GN222" s="16"/>
      <c r="GO222" s="16"/>
      <c r="GP222" s="16"/>
      <c r="GS222" s="9"/>
      <c r="GT222" s="16"/>
      <c r="GU222" s="16"/>
      <c r="GV222" s="16"/>
      <c r="GW222" s="16"/>
      <c r="GX222" s="16"/>
      <c r="GY222" s="16"/>
      <c r="GZ222" s="16"/>
      <c r="HA222" s="16"/>
      <c r="HB222" s="16"/>
      <c r="HC222" s="16"/>
      <c r="HD222" s="16"/>
      <c r="HE222" s="16"/>
      <c r="HF222" s="16"/>
      <c r="HG222" s="16"/>
      <c r="HH222" s="16"/>
      <c r="HI222" s="16"/>
      <c r="HJ222" s="16"/>
      <c r="HK222" s="16"/>
      <c r="HL222" s="16"/>
      <c r="HM222" s="16"/>
      <c r="HN222" s="16"/>
      <c r="HQ222" s="9"/>
      <c r="HR222" s="16"/>
      <c r="HS222" s="16"/>
      <c r="HT222" s="16"/>
      <c r="HU222" s="16"/>
      <c r="HV222" s="16"/>
      <c r="HW222" s="16"/>
      <c r="HX222" s="16"/>
      <c r="HY222" s="16"/>
      <c r="HZ222" s="16"/>
      <c r="IA222" s="16"/>
      <c r="IB222" s="16"/>
      <c r="IC222" s="16"/>
      <c r="ID222" s="16"/>
      <c r="IE222" s="16"/>
      <c r="IF222" s="16"/>
      <c r="IG222" s="16"/>
      <c r="IH222" s="16"/>
      <c r="II222" s="16"/>
      <c r="IJ222" s="16"/>
      <c r="IK222" s="16"/>
      <c r="IL222" s="16"/>
      <c r="IO222" s="9"/>
      <c r="IP222" s="16"/>
      <c r="IQ222" s="16"/>
      <c r="IR222" s="16"/>
      <c r="IS222" s="16"/>
      <c r="IT222" s="16"/>
      <c r="IU222" s="16"/>
      <c r="IV222" s="16"/>
      <c r="IW222" s="16"/>
      <c r="IX222" s="16"/>
      <c r="IY222" s="16"/>
      <c r="IZ222" s="16"/>
      <c r="JA222" s="16"/>
      <c r="JB222" s="16"/>
      <c r="JC222" s="16"/>
      <c r="JD222" s="16"/>
      <c r="JE222" s="16"/>
      <c r="JF222" s="16"/>
      <c r="JG222" s="16"/>
      <c r="JH222" s="16"/>
      <c r="JI222" s="16"/>
      <c r="JJ222" s="16"/>
      <c r="JM222" s="9"/>
      <c r="JN222" s="16"/>
      <c r="JO222" s="16"/>
      <c r="JP222" s="16"/>
      <c r="JQ222" s="16"/>
      <c r="JR222" s="16"/>
      <c r="JS222" s="16"/>
      <c r="JT222" s="16"/>
      <c r="JU222" s="16"/>
      <c r="JV222" s="16"/>
      <c r="JW222" s="16"/>
      <c r="JX222" s="16"/>
      <c r="JY222" s="16"/>
      <c r="JZ222" s="16"/>
      <c r="KA222" s="16"/>
      <c r="KB222" s="16"/>
      <c r="KC222" s="16"/>
      <c r="KD222" s="16"/>
      <c r="KE222" s="16"/>
      <c r="KF222" s="16"/>
      <c r="KG222" s="16"/>
      <c r="KH222" s="16"/>
      <c r="KK222" s="9"/>
      <c r="KL222" s="16"/>
      <c r="KM222" s="16"/>
      <c r="KN222" s="16"/>
      <c r="KO222" s="16"/>
      <c r="KP222" s="16"/>
      <c r="KQ222" s="16"/>
      <c r="KR222" s="16"/>
      <c r="KS222" s="16"/>
      <c r="KT222" s="16"/>
      <c r="KU222" s="16"/>
      <c r="KV222" s="16"/>
      <c r="KW222" s="16"/>
      <c r="KX222" s="16"/>
      <c r="KY222" s="16"/>
      <c r="KZ222" s="16"/>
      <c r="LA222" s="16"/>
      <c r="LB222" s="16"/>
      <c r="LC222" s="16"/>
      <c r="LD222" s="16"/>
      <c r="LE222" s="16"/>
      <c r="LF222" s="16"/>
      <c r="LI222" s="9"/>
      <c r="LJ222" s="16"/>
      <c r="LK222" s="16"/>
      <c r="LL222" s="16"/>
      <c r="LM222" s="16"/>
      <c r="LN222" s="16"/>
      <c r="LO222" s="16"/>
      <c r="LP222" s="16"/>
      <c r="LQ222" s="16"/>
      <c r="LR222" s="16"/>
      <c r="LS222" s="16"/>
      <c r="LT222" s="16"/>
      <c r="LU222" s="16"/>
      <c r="LV222" s="16"/>
      <c r="LW222" s="16"/>
      <c r="LX222" s="16"/>
      <c r="LY222" s="16"/>
      <c r="LZ222" s="16"/>
      <c r="MA222" s="16"/>
      <c r="MB222" s="16"/>
      <c r="MC222" s="16"/>
      <c r="MD222" s="16"/>
      <c r="MG222" s="9"/>
      <c r="MH222" s="16"/>
      <c r="MI222" s="16"/>
      <c r="MJ222" s="16"/>
      <c r="MK222" s="16"/>
      <c r="ML222" s="16"/>
      <c r="MM222" s="16"/>
      <c r="MN222" s="16"/>
      <c r="MO222" s="16"/>
      <c r="MP222" s="16"/>
      <c r="MQ222" s="16"/>
      <c r="MR222" s="16"/>
      <c r="MS222" s="16"/>
      <c r="MT222" s="16"/>
      <c r="MU222" s="16"/>
      <c r="MV222" s="16"/>
      <c r="MW222" s="16"/>
      <c r="MX222" s="16"/>
      <c r="MY222" s="16"/>
      <c r="MZ222" s="16"/>
      <c r="NA222" s="16"/>
      <c r="NB222" s="16"/>
      <c r="NE222" s="9"/>
      <c r="NF222" s="16"/>
      <c r="NG222" s="16"/>
      <c r="NH222" s="16"/>
      <c r="NI222" s="16"/>
      <c r="NJ222" s="16"/>
      <c r="NK222" s="16"/>
      <c r="NL222" s="16"/>
      <c r="NM222" s="16"/>
      <c r="NN222" s="16"/>
      <c r="NO222" s="16"/>
      <c r="NP222" s="16"/>
      <c r="NQ222" s="16"/>
      <c r="NR222" s="16"/>
      <c r="NS222" s="16"/>
      <c r="NT222" s="16"/>
      <c r="NU222" s="16"/>
      <c r="NV222" s="16"/>
      <c r="NW222" s="16"/>
      <c r="NX222" s="16"/>
      <c r="NY222" s="16"/>
      <c r="NZ222" s="16"/>
      <c r="OC222" s="9"/>
      <c r="OD222" s="16"/>
      <c r="OE222" s="16"/>
      <c r="OF222" s="16"/>
      <c r="OG222" s="16"/>
      <c r="OH222" s="16"/>
      <c r="OI222" s="16"/>
      <c r="OJ222" s="16"/>
      <c r="OK222" s="16"/>
      <c r="OL222" s="16"/>
      <c r="OM222" s="16"/>
      <c r="ON222" s="16"/>
      <c r="OO222" s="16"/>
      <c r="OP222" s="16"/>
      <c r="OQ222" s="16"/>
      <c r="OR222" s="16"/>
      <c r="OS222" s="16"/>
      <c r="OT222" s="16"/>
      <c r="OU222" s="16"/>
      <c r="OV222" s="16"/>
      <c r="OW222" s="16"/>
      <c r="OX222" s="16"/>
      <c r="PA222" s="9"/>
      <c r="PB222" s="16"/>
      <c r="PC222" s="16"/>
      <c r="PD222" s="16"/>
      <c r="PE222" s="16"/>
      <c r="PF222" s="16"/>
      <c r="PG222" s="16"/>
      <c r="PH222" s="16"/>
      <c r="PI222" s="16"/>
      <c r="PJ222" s="16"/>
      <c r="PK222" s="16"/>
      <c r="PL222" s="16"/>
      <c r="PM222" s="16"/>
      <c r="PN222" s="16"/>
      <c r="PO222" s="16"/>
      <c r="PP222" s="16"/>
      <c r="PQ222" s="16"/>
      <c r="PR222" s="16"/>
      <c r="PS222" s="16"/>
      <c r="PT222" s="16"/>
      <c r="PU222" s="16"/>
      <c r="PV222" s="16"/>
    </row>
    <row r="223" spans="3:438" x14ac:dyDescent="0.25">
      <c r="C223" s="1"/>
      <c r="D223" s="1"/>
      <c r="I223" s="9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G223" s="9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E223" s="9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C223" s="9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DA223" s="9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Y223" s="9"/>
      <c r="DZ223" s="16"/>
      <c r="EA223" s="16"/>
      <c r="EB223" s="16"/>
      <c r="EC223" s="16"/>
      <c r="ED223" s="16"/>
      <c r="EE223" s="16"/>
      <c r="EF223" s="16"/>
      <c r="EG223" s="16"/>
      <c r="EH223" s="16"/>
      <c r="EI223" s="16"/>
      <c r="EJ223" s="16"/>
      <c r="EK223" s="16"/>
      <c r="EL223" s="16"/>
      <c r="EM223" s="16"/>
      <c r="EN223" s="16"/>
      <c r="EO223" s="16"/>
      <c r="EP223" s="16"/>
      <c r="EQ223" s="16"/>
      <c r="ER223" s="16"/>
      <c r="ES223" s="16"/>
      <c r="ET223" s="16"/>
      <c r="EW223" s="9"/>
      <c r="EX223" s="16"/>
      <c r="EY223" s="16"/>
      <c r="EZ223" s="16"/>
      <c r="FA223" s="16"/>
      <c r="FB223" s="16"/>
      <c r="FC223" s="16"/>
      <c r="FD223" s="16"/>
      <c r="FE223" s="16"/>
      <c r="FF223" s="16"/>
      <c r="FG223" s="16"/>
      <c r="FH223" s="16"/>
      <c r="FI223" s="16"/>
      <c r="FJ223" s="16"/>
      <c r="FK223" s="16"/>
      <c r="FL223" s="16"/>
      <c r="FM223" s="16"/>
      <c r="FN223" s="16"/>
      <c r="FO223" s="16"/>
      <c r="FP223" s="16"/>
      <c r="FQ223" s="16"/>
      <c r="FR223" s="16"/>
      <c r="FU223" s="9"/>
      <c r="FV223" s="16"/>
      <c r="FW223" s="16"/>
      <c r="FX223" s="16"/>
      <c r="FY223" s="16"/>
      <c r="FZ223" s="16"/>
      <c r="GA223" s="16"/>
      <c r="GB223" s="16"/>
      <c r="GC223" s="16"/>
      <c r="GD223" s="16"/>
      <c r="GE223" s="16"/>
      <c r="GF223" s="16"/>
      <c r="GG223" s="16"/>
      <c r="GH223" s="16"/>
      <c r="GI223" s="16"/>
      <c r="GJ223" s="16"/>
      <c r="GK223" s="16"/>
      <c r="GL223" s="16"/>
      <c r="GM223" s="16"/>
      <c r="GN223" s="16"/>
      <c r="GO223" s="16"/>
      <c r="GP223" s="16"/>
      <c r="GS223" s="9"/>
      <c r="GT223" s="16"/>
      <c r="GU223" s="16"/>
      <c r="GV223" s="16"/>
      <c r="GW223" s="16"/>
      <c r="GX223" s="16"/>
      <c r="GY223" s="16"/>
      <c r="GZ223" s="16"/>
      <c r="HA223" s="16"/>
      <c r="HB223" s="16"/>
      <c r="HC223" s="16"/>
      <c r="HD223" s="16"/>
      <c r="HE223" s="16"/>
      <c r="HF223" s="16"/>
      <c r="HG223" s="16"/>
      <c r="HH223" s="16"/>
      <c r="HI223" s="16"/>
      <c r="HJ223" s="16"/>
      <c r="HK223" s="16"/>
      <c r="HL223" s="16"/>
      <c r="HM223" s="16"/>
      <c r="HN223" s="16"/>
      <c r="HQ223" s="9"/>
      <c r="HR223" s="16"/>
      <c r="HS223" s="16"/>
      <c r="HT223" s="16"/>
      <c r="HU223" s="16"/>
      <c r="HV223" s="16"/>
      <c r="HW223" s="16"/>
      <c r="HX223" s="16"/>
      <c r="HY223" s="16"/>
      <c r="HZ223" s="16"/>
      <c r="IA223" s="16"/>
      <c r="IB223" s="16"/>
      <c r="IC223" s="16"/>
      <c r="ID223" s="16"/>
      <c r="IE223" s="16"/>
      <c r="IF223" s="16"/>
      <c r="IG223" s="16"/>
      <c r="IH223" s="16"/>
      <c r="II223" s="16"/>
      <c r="IJ223" s="16"/>
      <c r="IK223" s="16"/>
      <c r="IL223" s="16"/>
      <c r="IO223" s="9"/>
      <c r="IP223" s="16"/>
      <c r="IQ223" s="16"/>
      <c r="IR223" s="16"/>
      <c r="IS223" s="16"/>
      <c r="IT223" s="16"/>
      <c r="IU223" s="16"/>
      <c r="IV223" s="16"/>
      <c r="IW223" s="16"/>
      <c r="IX223" s="16"/>
      <c r="IY223" s="16"/>
      <c r="IZ223" s="16"/>
      <c r="JA223" s="16"/>
      <c r="JB223" s="16"/>
      <c r="JC223" s="16"/>
      <c r="JD223" s="16"/>
      <c r="JE223" s="16"/>
      <c r="JF223" s="16"/>
      <c r="JG223" s="16"/>
      <c r="JH223" s="16"/>
      <c r="JI223" s="16"/>
      <c r="JJ223" s="16"/>
      <c r="JM223" s="9"/>
      <c r="JN223" s="16"/>
      <c r="JO223" s="16"/>
      <c r="JP223" s="16"/>
      <c r="JQ223" s="16"/>
      <c r="JR223" s="16"/>
      <c r="JS223" s="16"/>
      <c r="JT223" s="16"/>
      <c r="JU223" s="16"/>
      <c r="JV223" s="16"/>
      <c r="JW223" s="16"/>
      <c r="JX223" s="16"/>
      <c r="JY223" s="16"/>
      <c r="JZ223" s="16"/>
      <c r="KA223" s="16"/>
      <c r="KB223" s="16"/>
      <c r="KC223" s="16"/>
      <c r="KD223" s="16"/>
      <c r="KE223" s="16"/>
      <c r="KF223" s="16"/>
      <c r="KG223" s="16"/>
      <c r="KH223" s="16"/>
      <c r="KK223" s="9"/>
      <c r="KL223" s="16"/>
      <c r="KM223" s="16"/>
      <c r="KN223" s="16"/>
      <c r="KO223" s="16"/>
      <c r="KP223" s="16"/>
      <c r="KQ223" s="16"/>
      <c r="KR223" s="16"/>
      <c r="KS223" s="16"/>
      <c r="KT223" s="16"/>
      <c r="KU223" s="16"/>
      <c r="KV223" s="16"/>
      <c r="KW223" s="16"/>
      <c r="KX223" s="16"/>
      <c r="KY223" s="16"/>
      <c r="KZ223" s="16"/>
      <c r="LA223" s="16"/>
      <c r="LB223" s="16"/>
      <c r="LC223" s="16"/>
      <c r="LD223" s="16"/>
      <c r="LE223" s="16"/>
      <c r="LF223" s="16"/>
      <c r="LI223" s="9"/>
      <c r="LJ223" s="16"/>
      <c r="LK223" s="16"/>
      <c r="LL223" s="16"/>
      <c r="LM223" s="16"/>
      <c r="LN223" s="16"/>
      <c r="LO223" s="16"/>
      <c r="LP223" s="16"/>
      <c r="LQ223" s="16"/>
      <c r="LR223" s="16"/>
      <c r="LS223" s="16"/>
      <c r="LT223" s="16"/>
      <c r="LU223" s="16"/>
      <c r="LV223" s="16"/>
      <c r="LW223" s="16"/>
      <c r="LX223" s="16"/>
      <c r="LY223" s="16"/>
      <c r="LZ223" s="16"/>
      <c r="MA223" s="16"/>
      <c r="MB223" s="16"/>
      <c r="MC223" s="16"/>
      <c r="MD223" s="16"/>
      <c r="MG223" s="9"/>
      <c r="MH223" s="16"/>
      <c r="MI223" s="16"/>
      <c r="MJ223" s="16"/>
      <c r="MK223" s="16"/>
      <c r="ML223" s="16"/>
      <c r="MM223" s="16"/>
      <c r="MN223" s="16"/>
      <c r="MO223" s="16"/>
      <c r="MP223" s="16"/>
      <c r="MQ223" s="16"/>
      <c r="MR223" s="16"/>
      <c r="MS223" s="16"/>
      <c r="MT223" s="16"/>
      <c r="MU223" s="16"/>
      <c r="MV223" s="16"/>
      <c r="MW223" s="16"/>
      <c r="MX223" s="16"/>
      <c r="MY223" s="16"/>
      <c r="MZ223" s="16"/>
      <c r="NA223" s="16"/>
      <c r="NB223" s="16"/>
      <c r="NE223" s="9"/>
      <c r="NF223" s="16"/>
      <c r="NG223" s="16"/>
      <c r="NH223" s="16"/>
      <c r="NI223" s="16"/>
      <c r="NJ223" s="16"/>
      <c r="NK223" s="16"/>
      <c r="NL223" s="16"/>
      <c r="NM223" s="16"/>
      <c r="NN223" s="16"/>
      <c r="NO223" s="16"/>
      <c r="NP223" s="16"/>
      <c r="NQ223" s="16"/>
      <c r="NR223" s="16"/>
      <c r="NS223" s="16"/>
      <c r="NT223" s="16"/>
      <c r="NU223" s="16"/>
      <c r="NV223" s="16"/>
      <c r="NW223" s="16"/>
      <c r="NX223" s="16"/>
      <c r="NY223" s="16"/>
      <c r="NZ223" s="16"/>
      <c r="OC223" s="9"/>
      <c r="OD223" s="16"/>
      <c r="OE223" s="16"/>
      <c r="OF223" s="16"/>
      <c r="OG223" s="16"/>
      <c r="OH223" s="16"/>
      <c r="OI223" s="16"/>
      <c r="OJ223" s="16"/>
      <c r="OK223" s="16"/>
      <c r="OL223" s="16"/>
      <c r="OM223" s="16"/>
      <c r="ON223" s="16"/>
      <c r="OO223" s="16"/>
      <c r="OP223" s="16"/>
      <c r="OQ223" s="16"/>
      <c r="OR223" s="16"/>
      <c r="OS223" s="16"/>
      <c r="OT223" s="16"/>
      <c r="OU223" s="16"/>
      <c r="OV223" s="16"/>
      <c r="OW223" s="16"/>
      <c r="OX223" s="16"/>
      <c r="PA223" s="9"/>
      <c r="PB223" s="16"/>
      <c r="PC223" s="16"/>
      <c r="PD223" s="16"/>
      <c r="PE223" s="16"/>
      <c r="PF223" s="16"/>
      <c r="PG223" s="16"/>
      <c r="PH223" s="16"/>
      <c r="PI223" s="16"/>
      <c r="PJ223" s="16"/>
      <c r="PK223" s="16"/>
      <c r="PL223" s="16"/>
      <c r="PM223" s="16"/>
      <c r="PN223" s="16"/>
      <c r="PO223" s="16"/>
      <c r="PP223" s="16"/>
      <c r="PQ223" s="16"/>
      <c r="PR223" s="16"/>
      <c r="PS223" s="16"/>
      <c r="PT223" s="16"/>
      <c r="PU223" s="16"/>
      <c r="PV223" s="16"/>
    </row>
    <row r="224" spans="3:438" x14ac:dyDescent="0.25">
      <c r="C224" s="1"/>
      <c r="D224" s="1"/>
      <c r="I224" s="9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G224" s="9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E224" s="9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C224" s="9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DA224" s="9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Y224" s="9"/>
      <c r="DZ224" s="16"/>
      <c r="EA224" s="16"/>
      <c r="EB224" s="16"/>
      <c r="EC224" s="16"/>
      <c r="ED224" s="16"/>
      <c r="EE224" s="16"/>
      <c r="EF224" s="16"/>
      <c r="EG224" s="16"/>
      <c r="EH224" s="16"/>
      <c r="EI224" s="16"/>
      <c r="EJ224" s="16"/>
      <c r="EK224" s="16"/>
      <c r="EL224" s="16"/>
      <c r="EM224" s="16"/>
      <c r="EN224" s="16"/>
      <c r="EO224" s="16"/>
      <c r="EP224" s="16"/>
      <c r="EQ224" s="16"/>
      <c r="ER224" s="16"/>
      <c r="ES224" s="16"/>
      <c r="ET224" s="16"/>
      <c r="EW224" s="9"/>
      <c r="EX224" s="16"/>
      <c r="EY224" s="16"/>
      <c r="EZ224" s="16"/>
      <c r="FA224" s="16"/>
      <c r="FB224" s="16"/>
      <c r="FC224" s="16"/>
      <c r="FD224" s="16"/>
      <c r="FE224" s="16"/>
      <c r="FF224" s="16"/>
      <c r="FG224" s="16"/>
      <c r="FH224" s="16"/>
      <c r="FI224" s="16"/>
      <c r="FJ224" s="16"/>
      <c r="FK224" s="16"/>
      <c r="FL224" s="16"/>
      <c r="FM224" s="16"/>
      <c r="FN224" s="16"/>
      <c r="FO224" s="16"/>
      <c r="FP224" s="16"/>
      <c r="FQ224" s="16"/>
      <c r="FR224" s="16"/>
      <c r="FU224" s="9"/>
      <c r="FV224" s="16"/>
      <c r="FW224" s="16"/>
      <c r="FX224" s="16"/>
      <c r="FY224" s="16"/>
      <c r="FZ224" s="16"/>
      <c r="GA224" s="16"/>
      <c r="GB224" s="16"/>
      <c r="GC224" s="16"/>
      <c r="GD224" s="16"/>
      <c r="GE224" s="16"/>
      <c r="GF224" s="16"/>
      <c r="GG224" s="16"/>
      <c r="GH224" s="16"/>
      <c r="GI224" s="16"/>
      <c r="GJ224" s="16"/>
      <c r="GK224" s="16"/>
      <c r="GL224" s="16"/>
      <c r="GM224" s="16"/>
      <c r="GN224" s="16"/>
      <c r="GO224" s="16"/>
      <c r="GP224" s="16"/>
      <c r="GS224" s="9"/>
      <c r="GT224" s="16"/>
      <c r="GU224" s="16"/>
      <c r="GV224" s="16"/>
      <c r="GW224" s="16"/>
      <c r="GX224" s="16"/>
      <c r="GY224" s="16"/>
      <c r="GZ224" s="16"/>
      <c r="HA224" s="16"/>
      <c r="HB224" s="16"/>
      <c r="HC224" s="16"/>
      <c r="HD224" s="16"/>
      <c r="HE224" s="16"/>
      <c r="HF224" s="16"/>
      <c r="HG224" s="16"/>
      <c r="HH224" s="16"/>
      <c r="HI224" s="16"/>
      <c r="HJ224" s="16"/>
      <c r="HK224" s="16"/>
      <c r="HL224" s="16"/>
      <c r="HM224" s="16"/>
      <c r="HN224" s="16"/>
      <c r="HQ224" s="9"/>
      <c r="HR224" s="16"/>
      <c r="HS224" s="16"/>
      <c r="HT224" s="16"/>
      <c r="HU224" s="16"/>
      <c r="HV224" s="16"/>
      <c r="HW224" s="16"/>
      <c r="HX224" s="16"/>
      <c r="HY224" s="16"/>
      <c r="HZ224" s="16"/>
      <c r="IA224" s="16"/>
      <c r="IB224" s="16"/>
      <c r="IC224" s="16"/>
      <c r="ID224" s="16"/>
      <c r="IE224" s="16"/>
      <c r="IF224" s="16"/>
      <c r="IG224" s="16"/>
      <c r="IH224" s="16"/>
      <c r="II224" s="16"/>
      <c r="IJ224" s="16"/>
      <c r="IK224" s="16"/>
      <c r="IL224" s="16"/>
      <c r="IO224" s="9"/>
      <c r="IP224" s="16"/>
      <c r="IQ224" s="16"/>
      <c r="IR224" s="16"/>
      <c r="IS224" s="16"/>
      <c r="IT224" s="16"/>
      <c r="IU224" s="16"/>
      <c r="IV224" s="16"/>
      <c r="IW224" s="16"/>
      <c r="IX224" s="16"/>
      <c r="IY224" s="16"/>
      <c r="IZ224" s="16"/>
      <c r="JA224" s="16"/>
      <c r="JB224" s="16"/>
      <c r="JC224" s="16"/>
      <c r="JD224" s="16"/>
      <c r="JE224" s="16"/>
      <c r="JF224" s="16"/>
      <c r="JG224" s="16"/>
      <c r="JH224" s="16"/>
      <c r="JI224" s="16"/>
      <c r="JJ224" s="16"/>
      <c r="JM224" s="9"/>
      <c r="JN224" s="16"/>
      <c r="JO224" s="16"/>
      <c r="JP224" s="16"/>
      <c r="JQ224" s="16"/>
      <c r="JR224" s="16"/>
      <c r="JS224" s="16"/>
      <c r="JT224" s="16"/>
      <c r="JU224" s="16"/>
      <c r="JV224" s="16"/>
      <c r="JW224" s="16"/>
      <c r="JX224" s="16"/>
      <c r="JY224" s="16"/>
      <c r="JZ224" s="16"/>
      <c r="KA224" s="16"/>
      <c r="KB224" s="16"/>
      <c r="KC224" s="16"/>
      <c r="KD224" s="16"/>
      <c r="KE224" s="16"/>
      <c r="KF224" s="16"/>
      <c r="KG224" s="16"/>
      <c r="KH224" s="16"/>
      <c r="KK224" s="9"/>
      <c r="KL224" s="16"/>
      <c r="KM224" s="16"/>
      <c r="KN224" s="16"/>
      <c r="KO224" s="16"/>
      <c r="KP224" s="16"/>
      <c r="KQ224" s="16"/>
      <c r="KR224" s="16"/>
      <c r="KS224" s="16"/>
      <c r="KT224" s="16"/>
      <c r="KU224" s="16"/>
      <c r="KV224" s="16"/>
      <c r="KW224" s="16"/>
      <c r="KX224" s="16"/>
      <c r="KY224" s="16"/>
      <c r="KZ224" s="16"/>
      <c r="LA224" s="16"/>
      <c r="LB224" s="16"/>
      <c r="LC224" s="16"/>
      <c r="LD224" s="16"/>
      <c r="LE224" s="16"/>
      <c r="LF224" s="16"/>
      <c r="LI224" s="9"/>
      <c r="LJ224" s="16"/>
      <c r="LK224" s="16"/>
      <c r="LL224" s="16"/>
      <c r="LM224" s="16"/>
      <c r="LN224" s="16"/>
      <c r="LO224" s="16"/>
      <c r="LP224" s="16"/>
      <c r="LQ224" s="16"/>
      <c r="LR224" s="16"/>
      <c r="LS224" s="16"/>
      <c r="LT224" s="16"/>
      <c r="LU224" s="16"/>
      <c r="LV224" s="16"/>
      <c r="LW224" s="16"/>
      <c r="LX224" s="16"/>
      <c r="LY224" s="16"/>
      <c r="LZ224" s="16"/>
      <c r="MA224" s="16"/>
      <c r="MB224" s="16"/>
      <c r="MC224" s="16"/>
      <c r="MD224" s="16"/>
      <c r="MG224" s="9"/>
      <c r="MH224" s="16"/>
      <c r="MI224" s="16"/>
      <c r="MJ224" s="16"/>
      <c r="MK224" s="16"/>
      <c r="ML224" s="16"/>
      <c r="MM224" s="16"/>
      <c r="MN224" s="16"/>
      <c r="MO224" s="16"/>
      <c r="MP224" s="16"/>
      <c r="MQ224" s="16"/>
      <c r="MR224" s="16"/>
      <c r="MS224" s="16"/>
      <c r="MT224" s="16"/>
      <c r="MU224" s="16"/>
      <c r="MV224" s="16"/>
      <c r="MW224" s="16"/>
      <c r="MX224" s="16"/>
      <c r="MY224" s="16"/>
      <c r="MZ224" s="16"/>
      <c r="NA224" s="16"/>
      <c r="NB224" s="16"/>
      <c r="NE224" s="9"/>
      <c r="NF224" s="16"/>
      <c r="NG224" s="16"/>
      <c r="NH224" s="16"/>
      <c r="NI224" s="16"/>
      <c r="NJ224" s="16"/>
      <c r="NK224" s="16"/>
      <c r="NL224" s="16"/>
      <c r="NM224" s="16"/>
      <c r="NN224" s="16"/>
      <c r="NO224" s="16"/>
      <c r="NP224" s="16"/>
      <c r="NQ224" s="16"/>
      <c r="NR224" s="16"/>
      <c r="NS224" s="16"/>
      <c r="NT224" s="16"/>
      <c r="NU224" s="16"/>
      <c r="NV224" s="16"/>
      <c r="NW224" s="16"/>
      <c r="NX224" s="16"/>
      <c r="NY224" s="16"/>
      <c r="NZ224" s="16"/>
      <c r="OC224" s="9"/>
      <c r="OD224" s="16"/>
      <c r="OE224" s="16"/>
      <c r="OF224" s="16"/>
      <c r="OG224" s="16"/>
      <c r="OH224" s="16"/>
      <c r="OI224" s="16"/>
      <c r="OJ224" s="16"/>
      <c r="OK224" s="16"/>
      <c r="OL224" s="16"/>
      <c r="OM224" s="16"/>
      <c r="ON224" s="16"/>
      <c r="OO224" s="16"/>
      <c r="OP224" s="16"/>
      <c r="OQ224" s="16"/>
      <c r="OR224" s="16"/>
      <c r="OS224" s="16"/>
      <c r="OT224" s="16"/>
      <c r="OU224" s="16"/>
      <c r="OV224" s="16"/>
      <c r="OW224" s="16"/>
      <c r="OX224" s="16"/>
      <c r="PA224" s="9"/>
      <c r="PB224" s="16"/>
      <c r="PC224" s="16"/>
      <c r="PD224" s="16"/>
      <c r="PE224" s="16"/>
      <c r="PF224" s="16"/>
      <c r="PG224" s="16"/>
      <c r="PH224" s="16"/>
      <c r="PI224" s="16"/>
      <c r="PJ224" s="16"/>
      <c r="PK224" s="16"/>
      <c r="PL224" s="16"/>
      <c r="PM224" s="16"/>
      <c r="PN224" s="16"/>
      <c r="PO224" s="16"/>
      <c r="PP224" s="16"/>
      <c r="PQ224" s="16"/>
      <c r="PR224" s="16"/>
      <c r="PS224" s="16"/>
      <c r="PT224" s="16"/>
      <c r="PU224" s="16"/>
      <c r="PV224" s="16"/>
    </row>
    <row r="225" spans="3:438" x14ac:dyDescent="0.25">
      <c r="C225" s="1"/>
      <c r="D225" s="1"/>
      <c r="I225" s="9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G225" s="9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E225" s="9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C225" s="9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DA225" s="9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Y225" s="9"/>
      <c r="DZ225" s="16"/>
      <c r="EA225" s="16"/>
      <c r="EB225" s="16"/>
      <c r="EC225" s="16"/>
      <c r="ED225" s="16"/>
      <c r="EE225" s="16"/>
      <c r="EF225" s="16"/>
      <c r="EG225" s="16"/>
      <c r="EH225" s="16"/>
      <c r="EI225" s="16"/>
      <c r="EJ225" s="16"/>
      <c r="EK225" s="16"/>
      <c r="EL225" s="16"/>
      <c r="EM225" s="16"/>
      <c r="EN225" s="16"/>
      <c r="EO225" s="16"/>
      <c r="EP225" s="16"/>
      <c r="EQ225" s="16"/>
      <c r="ER225" s="16"/>
      <c r="ES225" s="16"/>
      <c r="ET225" s="16"/>
      <c r="EW225" s="9"/>
      <c r="EX225" s="16"/>
      <c r="EY225" s="16"/>
      <c r="EZ225" s="16"/>
      <c r="FA225" s="16"/>
      <c r="FB225" s="16"/>
      <c r="FC225" s="16"/>
      <c r="FD225" s="16"/>
      <c r="FE225" s="16"/>
      <c r="FF225" s="16"/>
      <c r="FG225" s="16"/>
      <c r="FH225" s="16"/>
      <c r="FI225" s="16"/>
      <c r="FJ225" s="16"/>
      <c r="FK225" s="16"/>
      <c r="FL225" s="16"/>
      <c r="FM225" s="16"/>
      <c r="FN225" s="16"/>
      <c r="FO225" s="16"/>
      <c r="FP225" s="16"/>
      <c r="FQ225" s="16"/>
      <c r="FR225" s="16"/>
      <c r="FU225" s="9"/>
      <c r="FV225" s="16"/>
      <c r="FW225" s="16"/>
      <c r="FX225" s="16"/>
      <c r="FY225" s="16"/>
      <c r="FZ225" s="16"/>
      <c r="GA225" s="16"/>
      <c r="GB225" s="16"/>
      <c r="GC225" s="16"/>
      <c r="GD225" s="16"/>
      <c r="GE225" s="16"/>
      <c r="GF225" s="16"/>
      <c r="GG225" s="16"/>
      <c r="GH225" s="16"/>
      <c r="GI225" s="16"/>
      <c r="GJ225" s="16"/>
      <c r="GK225" s="16"/>
      <c r="GL225" s="16"/>
      <c r="GM225" s="16"/>
      <c r="GN225" s="16"/>
      <c r="GO225" s="16"/>
      <c r="GP225" s="16"/>
      <c r="GS225" s="9"/>
      <c r="GT225" s="16"/>
      <c r="GU225" s="16"/>
      <c r="GV225" s="16"/>
      <c r="GW225" s="16"/>
      <c r="GX225" s="16"/>
      <c r="GY225" s="16"/>
      <c r="GZ225" s="16"/>
      <c r="HA225" s="16"/>
      <c r="HB225" s="16"/>
      <c r="HC225" s="16"/>
      <c r="HD225" s="16"/>
      <c r="HE225" s="16"/>
      <c r="HF225" s="16"/>
      <c r="HG225" s="16"/>
      <c r="HH225" s="16"/>
      <c r="HI225" s="16"/>
      <c r="HJ225" s="16"/>
      <c r="HK225" s="16"/>
      <c r="HL225" s="16"/>
      <c r="HM225" s="16"/>
      <c r="HN225" s="16"/>
      <c r="HQ225" s="9"/>
      <c r="HR225" s="16"/>
      <c r="HS225" s="16"/>
      <c r="HT225" s="16"/>
      <c r="HU225" s="16"/>
      <c r="HV225" s="16"/>
      <c r="HW225" s="16"/>
      <c r="HX225" s="16"/>
      <c r="HY225" s="16"/>
      <c r="HZ225" s="16"/>
      <c r="IA225" s="16"/>
      <c r="IB225" s="16"/>
      <c r="IC225" s="16"/>
      <c r="ID225" s="16"/>
      <c r="IE225" s="16"/>
      <c r="IF225" s="16"/>
      <c r="IG225" s="16"/>
      <c r="IH225" s="16"/>
      <c r="II225" s="16"/>
      <c r="IJ225" s="16"/>
      <c r="IK225" s="16"/>
      <c r="IL225" s="16"/>
      <c r="IO225" s="9"/>
      <c r="IP225" s="16"/>
      <c r="IQ225" s="16"/>
      <c r="IR225" s="16"/>
      <c r="IS225" s="16"/>
      <c r="IT225" s="16"/>
      <c r="IU225" s="16"/>
      <c r="IV225" s="16"/>
      <c r="IW225" s="16"/>
      <c r="IX225" s="16"/>
      <c r="IY225" s="16"/>
      <c r="IZ225" s="16"/>
      <c r="JA225" s="16"/>
      <c r="JB225" s="16"/>
      <c r="JC225" s="16"/>
      <c r="JD225" s="16"/>
      <c r="JE225" s="16"/>
      <c r="JF225" s="16"/>
      <c r="JG225" s="16"/>
      <c r="JH225" s="16"/>
      <c r="JI225" s="16"/>
      <c r="JJ225" s="16"/>
      <c r="JM225" s="9"/>
      <c r="JN225" s="16"/>
      <c r="JO225" s="16"/>
      <c r="JP225" s="16"/>
      <c r="JQ225" s="16"/>
      <c r="JR225" s="16"/>
      <c r="JS225" s="16"/>
      <c r="JT225" s="16"/>
      <c r="JU225" s="16"/>
      <c r="JV225" s="16"/>
      <c r="JW225" s="16"/>
      <c r="JX225" s="16"/>
      <c r="JY225" s="16"/>
      <c r="JZ225" s="16"/>
      <c r="KA225" s="16"/>
      <c r="KB225" s="16"/>
      <c r="KC225" s="16"/>
      <c r="KD225" s="16"/>
      <c r="KE225" s="16"/>
      <c r="KF225" s="16"/>
      <c r="KG225" s="16"/>
      <c r="KH225" s="16"/>
      <c r="KK225" s="9"/>
      <c r="KL225" s="16"/>
      <c r="KM225" s="16"/>
      <c r="KN225" s="16"/>
      <c r="KO225" s="16"/>
      <c r="KP225" s="16"/>
      <c r="KQ225" s="16"/>
      <c r="KR225" s="16"/>
      <c r="KS225" s="16"/>
      <c r="KT225" s="16"/>
      <c r="KU225" s="16"/>
      <c r="KV225" s="16"/>
      <c r="KW225" s="16"/>
      <c r="KX225" s="16"/>
      <c r="KY225" s="16"/>
      <c r="KZ225" s="16"/>
      <c r="LA225" s="16"/>
      <c r="LB225" s="16"/>
      <c r="LC225" s="16"/>
      <c r="LD225" s="16"/>
      <c r="LE225" s="16"/>
      <c r="LF225" s="16"/>
      <c r="LI225" s="9"/>
      <c r="LJ225" s="16"/>
      <c r="LK225" s="16"/>
      <c r="LL225" s="16"/>
      <c r="LM225" s="16"/>
      <c r="LN225" s="16"/>
      <c r="LO225" s="16"/>
      <c r="LP225" s="16"/>
      <c r="LQ225" s="16"/>
      <c r="LR225" s="16"/>
      <c r="LS225" s="16"/>
      <c r="LT225" s="16"/>
      <c r="LU225" s="16"/>
      <c r="LV225" s="16"/>
      <c r="LW225" s="16"/>
      <c r="LX225" s="16"/>
      <c r="LY225" s="16"/>
      <c r="LZ225" s="16"/>
      <c r="MA225" s="16"/>
      <c r="MB225" s="16"/>
      <c r="MC225" s="16"/>
      <c r="MD225" s="16"/>
      <c r="MG225" s="9"/>
      <c r="MH225" s="16"/>
      <c r="MI225" s="16"/>
      <c r="MJ225" s="16"/>
      <c r="MK225" s="16"/>
      <c r="ML225" s="16"/>
      <c r="MM225" s="16"/>
      <c r="MN225" s="16"/>
      <c r="MO225" s="16"/>
      <c r="MP225" s="16"/>
      <c r="MQ225" s="16"/>
      <c r="MR225" s="16"/>
      <c r="MS225" s="16"/>
      <c r="MT225" s="16"/>
      <c r="MU225" s="16"/>
      <c r="MV225" s="16"/>
      <c r="MW225" s="16"/>
      <c r="MX225" s="16"/>
      <c r="MY225" s="16"/>
      <c r="MZ225" s="16"/>
      <c r="NA225" s="16"/>
      <c r="NB225" s="16"/>
      <c r="NE225" s="9"/>
      <c r="NF225" s="16"/>
      <c r="NG225" s="16"/>
      <c r="NH225" s="16"/>
      <c r="NI225" s="16"/>
      <c r="NJ225" s="16"/>
      <c r="NK225" s="16"/>
      <c r="NL225" s="16"/>
      <c r="NM225" s="16"/>
      <c r="NN225" s="16"/>
      <c r="NO225" s="16"/>
      <c r="NP225" s="16"/>
      <c r="NQ225" s="16"/>
      <c r="NR225" s="16"/>
      <c r="NS225" s="16"/>
      <c r="NT225" s="16"/>
      <c r="NU225" s="16"/>
      <c r="NV225" s="16"/>
      <c r="NW225" s="16"/>
      <c r="NX225" s="16"/>
      <c r="NY225" s="16"/>
      <c r="NZ225" s="16"/>
      <c r="OC225" s="9"/>
      <c r="OD225" s="16"/>
      <c r="OE225" s="16"/>
      <c r="OF225" s="16"/>
      <c r="OG225" s="16"/>
      <c r="OH225" s="16"/>
      <c r="OI225" s="16"/>
      <c r="OJ225" s="16"/>
      <c r="OK225" s="16"/>
      <c r="OL225" s="16"/>
      <c r="OM225" s="16"/>
      <c r="ON225" s="16"/>
      <c r="OO225" s="16"/>
      <c r="OP225" s="16"/>
      <c r="OQ225" s="16"/>
      <c r="OR225" s="16"/>
      <c r="OS225" s="16"/>
      <c r="OT225" s="16"/>
      <c r="OU225" s="16"/>
      <c r="OV225" s="16"/>
      <c r="OW225" s="16"/>
      <c r="OX225" s="16"/>
      <c r="PA225" s="9"/>
      <c r="PB225" s="16"/>
      <c r="PC225" s="16"/>
      <c r="PD225" s="16"/>
      <c r="PE225" s="16"/>
      <c r="PF225" s="16"/>
      <c r="PG225" s="16"/>
      <c r="PH225" s="16"/>
      <c r="PI225" s="16"/>
      <c r="PJ225" s="16"/>
      <c r="PK225" s="16"/>
      <c r="PL225" s="16"/>
      <c r="PM225" s="16"/>
      <c r="PN225" s="16"/>
      <c r="PO225" s="16"/>
      <c r="PP225" s="16"/>
      <c r="PQ225" s="16"/>
      <c r="PR225" s="16"/>
      <c r="PS225" s="16"/>
      <c r="PT225" s="16"/>
      <c r="PU225" s="16"/>
      <c r="PV225" s="16"/>
    </row>
    <row r="226" spans="3:438" x14ac:dyDescent="0.25">
      <c r="C226" s="1"/>
      <c r="D226" s="1"/>
      <c r="I226" s="9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G226" s="9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E226" s="9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C226" s="9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DA226" s="9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Y226" s="9"/>
      <c r="DZ226" s="16"/>
      <c r="EA226" s="16"/>
      <c r="EB226" s="16"/>
      <c r="EC226" s="16"/>
      <c r="ED226" s="16"/>
      <c r="EE226" s="16"/>
      <c r="EF226" s="16"/>
      <c r="EG226" s="16"/>
      <c r="EH226" s="16"/>
      <c r="EI226" s="16"/>
      <c r="EJ226" s="16"/>
      <c r="EK226" s="16"/>
      <c r="EL226" s="16"/>
      <c r="EM226" s="16"/>
      <c r="EN226" s="16"/>
      <c r="EO226" s="16"/>
      <c r="EP226" s="16"/>
      <c r="EQ226" s="16"/>
      <c r="ER226" s="16"/>
      <c r="ES226" s="16"/>
      <c r="ET226" s="16"/>
      <c r="EW226" s="9"/>
      <c r="EX226" s="16"/>
      <c r="EY226" s="16"/>
      <c r="EZ226" s="16"/>
      <c r="FA226" s="16"/>
      <c r="FB226" s="16"/>
      <c r="FC226" s="16"/>
      <c r="FD226" s="16"/>
      <c r="FE226" s="16"/>
      <c r="FF226" s="16"/>
      <c r="FG226" s="16"/>
      <c r="FH226" s="16"/>
      <c r="FI226" s="16"/>
      <c r="FJ226" s="16"/>
      <c r="FK226" s="16"/>
      <c r="FL226" s="16"/>
      <c r="FM226" s="16"/>
      <c r="FN226" s="16"/>
      <c r="FO226" s="16"/>
      <c r="FP226" s="16"/>
      <c r="FQ226" s="16"/>
      <c r="FR226" s="16"/>
      <c r="FU226" s="9"/>
      <c r="FV226" s="16"/>
      <c r="FW226" s="16"/>
      <c r="FX226" s="16"/>
      <c r="FY226" s="16"/>
      <c r="FZ226" s="16"/>
      <c r="GA226" s="16"/>
      <c r="GB226" s="16"/>
      <c r="GC226" s="16"/>
      <c r="GD226" s="16"/>
      <c r="GE226" s="16"/>
      <c r="GF226" s="16"/>
      <c r="GG226" s="16"/>
      <c r="GH226" s="16"/>
      <c r="GI226" s="16"/>
      <c r="GJ226" s="16"/>
      <c r="GK226" s="16"/>
      <c r="GL226" s="16"/>
      <c r="GM226" s="16"/>
      <c r="GN226" s="16"/>
      <c r="GO226" s="16"/>
      <c r="GP226" s="16"/>
      <c r="GS226" s="9"/>
      <c r="GT226" s="16"/>
      <c r="GU226" s="16"/>
      <c r="GV226" s="16"/>
      <c r="GW226" s="16"/>
      <c r="GX226" s="16"/>
      <c r="GY226" s="16"/>
      <c r="GZ226" s="16"/>
      <c r="HA226" s="16"/>
      <c r="HB226" s="16"/>
      <c r="HC226" s="16"/>
      <c r="HD226" s="16"/>
      <c r="HE226" s="16"/>
      <c r="HF226" s="16"/>
      <c r="HG226" s="16"/>
      <c r="HH226" s="16"/>
      <c r="HI226" s="16"/>
      <c r="HJ226" s="16"/>
      <c r="HK226" s="16"/>
      <c r="HL226" s="16"/>
      <c r="HM226" s="16"/>
      <c r="HN226" s="16"/>
      <c r="HQ226" s="9"/>
      <c r="HR226" s="16"/>
      <c r="HS226" s="16"/>
      <c r="HT226" s="16"/>
      <c r="HU226" s="16"/>
      <c r="HV226" s="16"/>
      <c r="HW226" s="16"/>
      <c r="HX226" s="16"/>
      <c r="HY226" s="16"/>
      <c r="HZ226" s="16"/>
      <c r="IA226" s="16"/>
      <c r="IB226" s="16"/>
      <c r="IC226" s="16"/>
      <c r="ID226" s="16"/>
      <c r="IE226" s="16"/>
      <c r="IF226" s="16"/>
      <c r="IG226" s="16"/>
      <c r="IH226" s="16"/>
      <c r="II226" s="16"/>
      <c r="IJ226" s="16"/>
      <c r="IK226" s="16"/>
      <c r="IL226" s="16"/>
      <c r="IO226" s="9"/>
      <c r="IP226" s="16"/>
      <c r="IQ226" s="16"/>
      <c r="IR226" s="16"/>
      <c r="IS226" s="16"/>
      <c r="IT226" s="16"/>
      <c r="IU226" s="16"/>
      <c r="IV226" s="16"/>
      <c r="IW226" s="16"/>
      <c r="IX226" s="16"/>
      <c r="IY226" s="16"/>
      <c r="IZ226" s="16"/>
      <c r="JA226" s="16"/>
      <c r="JB226" s="16"/>
      <c r="JC226" s="16"/>
      <c r="JD226" s="16"/>
      <c r="JE226" s="16"/>
      <c r="JF226" s="16"/>
      <c r="JG226" s="16"/>
      <c r="JH226" s="16"/>
      <c r="JI226" s="16"/>
      <c r="JJ226" s="16"/>
      <c r="JM226" s="9"/>
      <c r="JN226" s="16"/>
      <c r="JO226" s="16"/>
      <c r="JP226" s="16"/>
      <c r="JQ226" s="16"/>
      <c r="JR226" s="16"/>
      <c r="JS226" s="16"/>
      <c r="JT226" s="16"/>
      <c r="JU226" s="16"/>
      <c r="JV226" s="16"/>
      <c r="JW226" s="16"/>
      <c r="JX226" s="16"/>
      <c r="JY226" s="16"/>
      <c r="JZ226" s="16"/>
      <c r="KA226" s="16"/>
      <c r="KB226" s="16"/>
      <c r="KC226" s="16"/>
      <c r="KD226" s="16"/>
      <c r="KE226" s="16"/>
      <c r="KF226" s="16"/>
      <c r="KG226" s="16"/>
      <c r="KH226" s="16"/>
      <c r="KK226" s="9"/>
      <c r="KL226" s="16"/>
      <c r="KM226" s="16"/>
      <c r="KN226" s="16"/>
      <c r="KO226" s="16"/>
      <c r="KP226" s="16"/>
      <c r="KQ226" s="16"/>
      <c r="KR226" s="16"/>
      <c r="KS226" s="16"/>
      <c r="KT226" s="16"/>
      <c r="KU226" s="16"/>
      <c r="KV226" s="16"/>
      <c r="KW226" s="16"/>
      <c r="KX226" s="16"/>
      <c r="KY226" s="16"/>
      <c r="KZ226" s="16"/>
      <c r="LA226" s="16"/>
      <c r="LB226" s="16"/>
      <c r="LC226" s="16"/>
      <c r="LD226" s="16"/>
      <c r="LE226" s="16"/>
      <c r="LF226" s="16"/>
      <c r="LI226" s="9"/>
      <c r="LJ226" s="16"/>
      <c r="LK226" s="16"/>
      <c r="LL226" s="16"/>
      <c r="LM226" s="16"/>
      <c r="LN226" s="16"/>
      <c r="LO226" s="16"/>
      <c r="LP226" s="16"/>
      <c r="LQ226" s="16"/>
      <c r="LR226" s="16"/>
      <c r="LS226" s="16"/>
      <c r="LT226" s="16"/>
      <c r="LU226" s="16"/>
      <c r="LV226" s="16"/>
      <c r="LW226" s="16"/>
      <c r="LX226" s="16"/>
      <c r="LY226" s="16"/>
      <c r="LZ226" s="16"/>
      <c r="MA226" s="16"/>
      <c r="MB226" s="16"/>
      <c r="MC226" s="16"/>
      <c r="MD226" s="16"/>
      <c r="MG226" s="9"/>
      <c r="MH226" s="16"/>
      <c r="MI226" s="16"/>
      <c r="MJ226" s="16"/>
      <c r="MK226" s="16"/>
      <c r="ML226" s="16"/>
      <c r="MM226" s="16"/>
      <c r="MN226" s="16"/>
      <c r="MO226" s="16"/>
      <c r="MP226" s="16"/>
      <c r="MQ226" s="16"/>
      <c r="MR226" s="16"/>
      <c r="MS226" s="16"/>
      <c r="MT226" s="16"/>
      <c r="MU226" s="16"/>
      <c r="MV226" s="16"/>
      <c r="MW226" s="16"/>
      <c r="MX226" s="16"/>
      <c r="MY226" s="16"/>
      <c r="MZ226" s="16"/>
      <c r="NA226" s="16"/>
      <c r="NB226" s="16"/>
      <c r="NE226" s="9"/>
      <c r="NF226" s="16"/>
      <c r="NG226" s="16"/>
      <c r="NH226" s="16"/>
      <c r="NI226" s="16"/>
      <c r="NJ226" s="16"/>
      <c r="NK226" s="16"/>
      <c r="NL226" s="16"/>
      <c r="NM226" s="16"/>
      <c r="NN226" s="16"/>
      <c r="NO226" s="16"/>
      <c r="NP226" s="16"/>
      <c r="NQ226" s="16"/>
      <c r="NR226" s="16"/>
      <c r="NS226" s="16"/>
      <c r="NT226" s="16"/>
      <c r="NU226" s="16"/>
      <c r="NV226" s="16"/>
      <c r="NW226" s="16"/>
      <c r="NX226" s="16"/>
      <c r="NY226" s="16"/>
      <c r="NZ226" s="16"/>
      <c r="OC226" s="9"/>
      <c r="OD226" s="16"/>
      <c r="OE226" s="16"/>
      <c r="OF226" s="16"/>
      <c r="OG226" s="16"/>
      <c r="OH226" s="16"/>
      <c r="OI226" s="16"/>
      <c r="OJ226" s="16"/>
      <c r="OK226" s="16"/>
      <c r="OL226" s="16"/>
      <c r="OM226" s="16"/>
      <c r="ON226" s="16"/>
      <c r="OO226" s="16"/>
      <c r="OP226" s="16"/>
      <c r="OQ226" s="16"/>
      <c r="OR226" s="16"/>
      <c r="OS226" s="16"/>
      <c r="OT226" s="16"/>
      <c r="OU226" s="16"/>
      <c r="OV226" s="16"/>
      <c r="OW226" s="16"/>
      <c r="OX226" s="16"/>
      <c r="PA226" s="9"/>
      <c r="PB226" s="16"/>
      <c r="PC226" s="16"/>
      <c r="PD226" s="16"/>
      <c r="PE226" s="16"/>
      <c r="PF226" s="16"/>
      <c r="PG226" s="16"/>
      <c r="PH226" s="16"/>
      <c r="PI226" s="16"/>
      <c r="PJ226" s="16"/>
      <c r="PK226" s="16"/>
      <c r="PL226" s="16"/>
      <c r="PM226" s="16"/>
      <c r="PN226" s="16"/>
      <c r="PO226" s="16"/>
      <c r="PP226" s="16"/>
      <c r="PQ226" s="16"/>
      <c r="PR226" s="16"/>
      <c r="PS226" s="16"/>
      <c r="PT226" s="16"/>
      <c r="PU226" s="16"/>
      <c r="PV226" s="16"/>
    </row>
    <row r="227" spans="3:438" x14ac:dyDescent="0.25">
      <c r="C227" s="1"/>
      <c r="D227" s="1"/>
      <c r="I227" s="9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G227" s="9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E227" s="9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C227" s="9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DA227" s="9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Y227" s="9"/>
      <c r="DZ227" s="16"/>
      <c r="EA227" s="16"/>
      <c r="EB227" s="16"/>
      <c r="EC227" s="16"/>
      <c r="ED227" s="16"/>
      <c r="EE227" s="16"/>
      <c r="EF227" s="16"/>
      <c r="EG227" s="16"/>
      <c r="EH227" s="16"/>
      <c r="EI227" s="16"/>
      <c r="EJ227" s="16"/>
      <c r="EK227" s="16"/>
      <c r="EL227" s="16"/>
      <c r="EM227" s="16"/>
      <c r="EN227" s="16"/>
      <c r="EO227" s="16"/>
      <c r="EP227" s="16"/>
      <c r="EQ227" s="16"/>
      <c r="ER227" s="16"/>
      <c r="ES227" s="16"/>
      <c r="ET227" s="16"/>
      <c r="EW227" s="9"/>
      <c r="EX227" s="16"/>
      <c r="EY227" s="16"/>
      <c r="EZ227" s="16"/>
      <c r="FA227" s="16"/>
      <c r="FB227" s="16"/>
      <c r="FC227" s="16"/>
      <c r="FD227" s="16"/>
      <c r="FE227" s="16"/>
      <c r="FF227" s="16"/>
      <c r="FG227" s="16"/>
      <c r="FH227" s="16"/>
      <c r="FI227" s="16"/>
      <c r="FJ227" s="16"/>
      <c r="FK227" s="16"/>
      <c r="FL227" s="16"/>
      <c r="FM227" s="16"/>
      <c r="FN227" s="16"/>
      <c r="FO227" s="16"/>
      <c r="FP227" s="16"/>
      <c r="FQ227" s="16"/>
      <c r="FR227" s="16"/>
      <c r="FU227" s="9"/>
      <c r="FV227" s="16"/>
      <c r="FW227" s="16"/>
      <c r="FX227" s="16"/>
      <c r="FY227" s="16"/>
      <c r="FZ227" s="16"/>
      <c r="GA227" s="16"/>
      <c r="GB227" s="16"/>
      <c r="GC227" s="16"/>
      <c r="GD227" s="16"/>
      <c r="GE227" s="16"/>
      <c r="GF227" s="16"/>
      <c r="GG227" s="16"/>
      <c r="GH227" s="16"/>
      <c r="GI227" s="16"/>
      <c r="GJ227" s="16"/>
      <c r="GK227" s="16"/>
      <c r="GL227" s="16"/>
      <c r="GM227" s="16"/>
      <c r="GN227" s="16"/>
      <c r="GO227" s="16"/>
      <c r="GP227" s="16"/>
      <c r="GS227" s="9"/>
      <c r="GT227" s="16"/>
      <c r="GU227" s="16"/>
      <c r="GV227" s="16"/>
      <c r="GW227" s="16"/>
      <c r="GX227" s="16"/>
      <c r="GY227" s="16"/>
      <c r="GZ227" s="16"/>
      <c r="HA227" s="16"/>
      <c r="HB227" s="16"/>
      <c r="HC227" s="16"/>
      <c r="HD227" s="16"/>
      <c r="HE227" s="16"/>
      <c r="HF227" s="16"/>
      <c r="HG227" s="16"/>
      <c r="HH227" s="16"/>
      <c r="HI227" s="16"/>
      <c r="HJ227" s="16"/>
      <c r="HK227" s="16"/>
      <c r="HL227" s="16"/>
      <c r="HM227" s="16"/>
      <c r="HN227" s="16"/>
      <c r="HQ227" s="9"/>
      <c r="HR227" s="16"/>
      <c r="HS227" s="16"/>
      <c r="HT227" s="16"/>
      <c r="HU227" s="16"/>
      <c r="HV227" s="16"/>
      <c r="HW227" s="16"/>
      <c r="HX227" s="16"/>
      <c r="HY227" s="16"/>
      <c r="HZ227" s="16"/>
      <c r="IA227" s="16"/>
      <c r="IB227" s="16"/>
      <c r="IC227" s="16"/>
      <c r="ID227" s="16"/>
      <c r="IE227" s="16"/>
      <c r="IF227" s="16"/>
      <c r="IG227" s="16"/>
      <c r="IH227" s="16"/>
      <c r="II227" s="16"/>
      <c r="IJ227" s="16"/>
      <c r="IK227" s="16"/>
      <c r="IL227" s="16"/>
      <c r="IO227" s="9"/>
      <c r="IP227" s="16"/>
      <c r="IQ227" s="16"/>
      <c r="IR227" s="16"/>
      <c r="IS227" s="16"/>
      <c r="IT227" s="16"/>
      <c r="IU227" s="16"/>
      <c r="IV227" s="16"/>
      <c r="IW227" s="16"/>
      <c r="IX227" s="16"/>
      <c r="IY227" s="16"/>
      <c r="IZ227" s="16"/>
      <c r="JA227" s="16"/>
      <c r="JB227" s="16"/>
      <c r="JC227" s="16"/>
      <c r="JD227" s="16"/>
      <c r="JE227" s="16"/>
      <c r="JF227" s="16"/>
      <c r="JG227" s="16"/>
      <c r="JH227" s="16"/>
      <c r="JI227" s="16"/>
      <c r="JJ227" s="16"/>
      <c r="JM227" s="9"/>
      <c r="JN227" s="16"/>
      <c r="JO227" s="16"/>
      <c r="JP227" s="16"/>
      <c r="JQ227" s="16"/>
      <c r="JR227" s="16"/>
      <c r="JS227" s="16"/>
      <c r="JT227" s="16"/>
      <c r="JU227" s="16"/>
      <c r="JV227" s="16"/>
      <c r="JW227" s="16"/>
      <c r="JX227" s="16"/>
      <c r="JY227" s="16"/>
      <c r="JZ227" s="16"/>
      <c r="KA227" s="16"/>
      <c r="KB227" s="16"/>
      <c r="KC227" s="16"/>
      <c r="KD227" s="16"/>
      <c r="KE227" s="16"/>
      <c r="KF227" s="16"/>
      <c r="KG227" s="16"/>
      <c r="KH227" s="16"/>
      <c r="KK227" s="9"/>
      <c r="KL227" s="16"/>
      <c r="KM227" s="16"/>
      <c r="KN227" s="16"/>
      <c r="KO227" s="16"/>
      <c r="KP227" s="16"/>
      <c r="KQ227" s="16"/>
      <c r="KR227" s="16"/>
      <c r="KS227" s="16"/>
      <c r="KT227" s="16"/>
      <c r="KU227" s="16"/>
      <c r="KV227" s="16"/>
      <c r="KW227" s="16"/>
      <c r="KX227" s="16"/>
      <c r="KY227" s="16"/>
      <c r="KZ227" s="16"/>
      <c r="LA227" s="16"/>
      <c r="LB227" s="16"/>
      <c r="LC227" s="16"/>
      <c r="LD227" s="16"/>
      <c r="LE227" s="16"/>
      <c r="LF227" s="16"/>
      <c r="LI227" s="9"/>
      <c r="LJ227" s="16"/>
      <c r="LK227" s="16"/>
      <c r="LL227" s="16"/>
      <c r="LM227" s="16"/>
      <c r="LN227" s="16"/>
      <c r="LO227" s="16"/>
      <c r="LP227" s="16"/>
      <c r="LQ227" s="16"/>
      <c r="LR227" s="16"/>
      <c r="LS227" s="16"/>
      <c r="LT227" s="16"/>
      <c r="LU227" s="16"/>
      <c r="LV227" s="16"/>
      <c r="LW227" s="16"/>
      <c r="LX227" s="16"/>
      <c r="LY227" s="16"/>
      <c r="LZ227" s="16"/>
      <c r="MA227" s="16"/>
      <c r="MB227" s="16"/>
      <c r="MC227" s="16"/>
      <c r="MD227" s="16"/>
      <c r="MG227" s="9"/>
      <c r="MH227" s="16"/>
      <c r="MI227" s="16"/>
      <c r="MJ227" s="16"/>
      <c r="MK227" s="16"/>
      <c r="ML227" s="16"/>
      <c r="MM227" s="16"/>
      <c r="MN227" s="16"/>
      <c r="MO227" s="16"/>
      <c r="MP227" s="16"/>
      <c r="MQ227" s="16"/>
      <c r="MR227" s="16"/>
      <c r="MS227" s="16"/>
      <c r="MT227" s="16"/>
      <c r="MU227" s="16"/>
      <c r="MV227" s="16"/>
      <c r="MW227" s="16"/>
      <c r="MX227" s="16"/>
      <c r="MY227" s="16"/>
      <c r="MZ227" s="16"/>
      <c r="NA227" s="16"/>
      <c r="NB227" s="16"/>
      <c r="NE227" s="9"/>
      <c r="NF227" s="16"/>
      <c r="NG227" s="16"/>
      <c r="NH227" s="16"/>
      <c r="NI227" s="16"/>
      <c r="NJ227" s="16"/>
      <c r="NK227" s="16"/>
      <c r="NL227" s="16"/>
      <c r="NM227" s="16"/>
      <c r="NN227" s="16"/>
      <c r="NO227" s="16"/>
      <c r="NP227" s="16"/>
      <c r="NQ227" s="16"/>
      <c r="NR227" s="16"/>
      <c r="NS227" s="16"/>
      <c r="NT227" s="16"/>
      <c r="NU227" s="16"/>
      <c r="NV227" s="16"/>
      <c r="NW227" s="16"/>
      <c r="NX227" s="16"/>
      <c r="NY227" s="16"/>
      <c r="NZ227" s="16"/>
      <c r="OC227" s="9"/>
      <c r="OD227" s="16"/>
      <c r="OE227" s="16"/>
      <c r="OF227" s="16"/>
      <c r="OG227" s="16"/>
      <c r="OH227" s="16"/>
      <c r="OI227" s="16"/>
      <c r="OJ227" s="16"/>
      <c r="OK227" s="16"/>
      <c r="OL227" s="16"/>
      <c r="OM227" s="16"/>
      <c r="ON227" s="16"/>
      <c r="OO227" s="16"/>
      <c r="OP227" s="16"/>
      <c r="OQ227" s="16"/>
      <c r="OR227" s="16"/>
      <c r="OS227" s="16"/>
      <c r="OT227" s="16"/>
      <c r="OU227" s="16"/>
      <c r="OV227" s="16"/>
      <c r="OW227" s="16"/>
      <c r="OX227" s="16"/>
      <c r="PA227" s="9"/>
      <c r="PB227" s="16"/>
      <c r="PC227" s="16"/>
      <c r="PD227" s="16"/>
      <c r="PE227" s="16"/>
      <c r="PF227" s="16"/>
      <c r="PG227" s="16"/>
      <c r="PH227" s="16"/>
      <c r="PI227" s="16"/>
      <c r="PJ227" s="16"/>
      <c r="PK227" s="16"/>
      <c r="PL227" s="16"/>
      <c r="PM227" s="16"/>
      <c r="PN227" s="16"/>
      <c r="PO227" s="16"/>
      <c r="PP227" s="16"/>
      <c r="PQ227" s="16"/>
      <c r="PR227" s="16"/>
      <c r="PS227" s="16"/>
      <c r="PT227" s="16"/>
      <c r="PU227" s="16"/>
      <c r="PV227" s="16"/>
    </row>
    <row r="228" spans="3:438" x14ac:dyDescent="0.25">
      <c r="C228" s="1"/>
      <c r="D228" s="1"/>
      <c r="I228" s="9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G228" s="9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E228" s="9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C228" s="9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DA228" s="9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Y228" s="9"/>
      <c r="DZ228" s="16"/>
      <c r="EA228" s="16"/>
      <c r="EB228" s="16"/>
      <c r="EC228" s="16"/>
      <c r="ED228" s="16"/>
      <c r="EE228" s="16"/>
      <c r="EF228" s="16"/>
      <c r="EG228" s="16"/>
      <c r="EH228" s="16"/>
      <c r="EI228" s="16"/>
      <c r="EJ228" s="16"/>
      <c r="EK228" s="16"/>
      <c r="EL228" s="16"/>
      <c r="EM228" s="16"/>
      <c r="EN228" s="16"/>
      <c r="EO228" s="16"/>
      <c r="EP228" s="16"/>
      <c r="EQ228" s="16"/>
      <c r="ER228" s="16"/>
      <c r="ES228" s="16"/>
      <c r="ET228" s="16"/>
      <c r="EW228" s="9"/>
      <c r="EX228" s="16"/>
      <c r="EY228" s="16"/>
      <c r="EZ228" s="16"/>
      <c r="FA228" s="16"/>
      <c r="FB228" s="16"/>
      <c r="FC228" s="16"/>
      <c r="FD228" s="16"/>
      <c r="FE228" s="16"/>
      <c r="FF228" s="16"/>
      <c r="FG228" s="16"/>
      <c r="FH228" s="16"/>
      <c r="FI228" s="16"/>
      <c r="FJ228" s="16"/>
      <c r="FK228" s="16"/>
      <c r="FL228" s="16"/>
      <c r="FM228" s="16"/>
      <c r="FN228" s="16"/>
      <c r="FO228" s="16"/>
      <c r="FP228" s="16"/>
      <c r="FQ228" s="16"/>
      <c r="FR228" s="16"/>
      <c r="FU228" s="9"/>
      <c r="FV228" s="16"/>
      <c r="FW228" s="16"/>
      <c r="FX228" s="16"/>
      <c r="FY228" s="16"/>
      <c r="FZ228" s="16"/>
      <c r="GA228" s="16"/>
      <c r="GB228" s="16"/>
      <c r="GC228" s="16"/>
      <c r="GD228" s="16"/>
      <c r="GE228" s="16"/>
      <c r="GF228" s="16"/>
      <c r="GG228" s="16"/>
      <c r="GH228" s="16"/>
      <c r="GI228" s="16"/>
      <c r="GJ228" s="16"/>
      <c r="GK228" s="16"/>
      <c r="GL228" s="16"/>
      <c r="GM228" s="16"/>
      <c r="GN228" s="16"/>
      <c r="GO228" s="16"/>
      <c r="GP228" s="16"/>
      <c r="GS228" s="9"/>
      <c r="GT228" s="16"/>
      <c r="GU228" s="16"/>
      <c r="GV228" s="16"/>
      <c r="GW228" s="16"/>
      <c r="GX228" s="16"/>
      <c r="GY228" s="16"/>
      <c r="GZ228" s="16"/>
      <c r="HA228" s="16"/>
      <c r="HB228" s="16"/>
      <c r="HC228" s="16"/>
      <c r="HD228" s="16"/>
      <c r="HE228" s="16"/>
      <c r="HF228" s="16"/>
      <c r="HG228" s="16"/>
      <c r="HH228" s="16"/>
      <c r="HI228" s="16"/>
      <c r="HJ228" s="16"/>
      <c r="HK228" s="16"/>
      <c r="HL228" s="16"/>
      <c r="HM228" s="16"/>
      <c r="HN228" s="16"/>
      <c r="HQ228" s="9"/>
      <c r="HR228" s="16"/>
      <c r="HS228" s="16"/>
      <c r="HT228" s="16"/>
      <c r="HU228" s="16"/>
      <c r="HV228" s="16"/>
      <c r="HW228" s="16"/>
      <c r="HX228" s="16"/>
      <c r="HY228" s="16"/>
      <c r="HZ228" s="16"/>
      <c r="IA228" s="16"/>
      <c r="IB228" s="16"/>
      <c r="IC228" s="16"/>
      <c r="ID228" s="16"/>
      <c r="IE228" s="16"/>
      <c r="IF228" s="16"/>
      <c r="IG228" s="16"/>
      <c r="IH228" s="16"/>
      <c r="II228" s="16"/>
      <c r="IJ228" s="16"/>
      <c r="IK228" s="16"/>
      <c r="IL228" s="16"/>
      <c r="IO228" s="9"/>
      <c r="IP228" s="16"/>
      <c r="IQ228" s="16"/>
      <c r="IR228" s="16"/>
      <c r="IS228" s="16"/>
      <c r="IT228" s="16"/>
      <c r="IU228" s="16"/>
      <c r="IV228" s="16"/>
      <c r="IW228" s="16"/>
      <c r="IX228" s="16"/>
      <c r="IY228" s="16"/>
      <c r="IZ228" s="16"/>
      <c r="JA228" s="16"/>
      <c r="JB228" s="16"/>
      <c r="JC228" s="16"/>
      <c r="JD228" s="16"/>
      <c r="JE228" s="16"/>
      <c r="JF228" s="16"/>
      <c r="JG228" s="16"/>
      <c r="JH228" s="16"/>
      <c r="JI228" s="16"/>
      <c r="JJ228" s="16"/>
      <c r="JM228" s="9"/>
      <c r="JN228" s="16"/>
      <c r="JO228" s="16"/>
      <c r="JP228" s="16"/>
      <c r="JQ228" s="16"/>
      <c r="JR228" s="16"/>
      <c r="JS228" s="16"/>
      <c r="JT228" s="16"/>
      <c r="JU228" s="16"/>
      <c r="JV228" s="16"/>
      <c r="JW228" s="16"/>
      <c r="JX228" s="16"/>
      <c r="JY228" s="16"/>
      <c r="JZ228" s="16"/>
      <c r="KA228" s="16"/>
      <c r="KB228" s="16"/>
      <c r="KC228" s="16"/>
      <c r="KD228" s="16"/>
      <c r="KE228" s="16"/>
      <c r="KF228" s="16"/>
      <c r="KG228" s="16"/>
      <c r="KH228" s="16"/>
      <c r="KK228" s="9"/>
      <c r="KL228" s="16"/>
      <c r="KM228" s="16"/>
      <c r="KN228" s="16"/>
      <c r="KO228" s="16"/>
      <c r="KP228" s="16"/>
      <c r="KQ228" s="16"/>
      <c r="KR228" s="16"/>
      <c r="KS228" s="16"/>
      <c r="KT228" s="16"/>
      <c r="KU228" s="16"/>
      <c r="KV228" s="16"/>
      <c r="KW228" s="16"/>
      <c r="KX228" s="16"/>
      <c r="KY228" s="16"/>
      <c r="KZ228" s="16"/>
      <c r="LA228" s="16"/>
      <c r="LB228" s="16"/>
      <c r="LC228" s="16"/>
      <c r="LD228" s="16"/>
      <c r="LE228" s="16"/>
      <c r="LF228" s="16"/>
      <c r="LI228" s="9"/>
      <c r="LJ228" s="16"/>
      <c r="LK228" s="16"/>
      <c r="LL228" s="16"/>
      <c r="LM228" s="16"/>
      <c r="LN228" s="16"/>
      <c r="LO228" s="16"/>
      <c r="LP228" s="16"/>
      <c r="LQ228" s="16"/>
      <c r="LR228" s="16"/>
      <c r="LS228" s="16"/>
      <c r="LT228" s="16"/>
      <c r="LU228" s="16"/>
      <c r="LV228" s="16"/>
      <c r="LW228" s="16"/>
      <c r="LX228" s="16"/>
      <c r="LY228" s="16"/>
      <c r="LZ228" s="16"/>
      <c r="MA228" s="16"/>
      <c r="MB228" s="16"/>
      <c r="MC228" s="16"/>
      <c r="MD228" s="16"/>
      <c r="MG228" s="9"/>
      <c r="MH228" s="16"/>
      <c r="MI228" s="16"/>
      <c r="MJ228" s="16"/>
      <c r="MK228" s="16"/>
      <c r="ML228" s="16"/>
      <c r="MM228" s="16"/>
      <c r="MN228" s="16"/>
      <c r="MO228" s="16"/>
      <c r="MP228" s="16"/>
      <c r="MQ228" s="16"/>
      <c r="MR228" s="16"/>
      <c r="MS228" s="16"/>
      <c r="MT228" s="16"/>
      <c r="MU228" s="16"/>
      <c r="MV228" s="16"/>
      <c r="MW228" s="16"/>
      <c r="MX228" s="16"/>
      <c r="MY228" s="16"/>
      <c r="MZ228" s="16"/>
      <c r="NA228" s="16"/>
      <c r="NB228" s="16"/>
      <c r="NE228" s="9"/>
      <c r="NF228" s="16"/>
      <c r="NG228" s="16"/>
      <c r="NH228" s="16"/>
      <c r="NI228" s="16"/>
      <c r="NJ228" s="16"/>
      <c r="NK228" s="16"/>
      <c r="NL228" s="16"/>
      <c r="NM228" s="16"/>
      <c r="NN228" s="16"/>
      <c r="NO228" s="16"/>
      <c r="NP228" s="16"/>
      <c r="NQ228" s="16"/>
      <c r="NR228" s="16"/>
      <c r="NS228" s="16"/>
      <c r="NT228" s="16"/>
      <c r="NU228" s="16"/>
      <c r="NV228" s="16"/>
      <c r="NW228" s="16"/>
      <c r="NX228" s="16"/>
      <c r="NY228" s="16"/>
      <c r="NZ228" s="16"/>
      <c r="OC228" s="9"/>
      <c r="OD228" s="16"/>
      <c r="OE228" s="16"/>
      <c r="OF228" s="16"/>
      <c r="OG228" s="16"/>
      <c r="OH228" s="16"/>
      <c r="OI228" s="16"/>
      <c r="OJ228" s="16"/>
      <c r="OK228" s="16"/>
      <c r="OL228" s="16"/>
      <c r="OM228" s="16"/>
      <c r="ON228" s="16"/>
      <c r="OO228" s="16"/>
      <c r="OP228" s="16"/>
      <c r="OQ228" s="16"/>
      <c r="OR228" s="16"/>
      <c r="OS228" s="16"/>
      <c r="OT228" s="16"/>
      <c r="OU228" s="16"/>
      <c r="OV228" s="16"/>
      <c r="OW228" s="16"/>
      <c r="OX228" s="16"/>
      <c r="PA228" s="9"/>
      <c r="PB228" s="16"/>
      <c r="PC228" s="16"/>
      <c r="PD228" s="16"/>
      <c r="PE228" s="16"/>
      <c r="PF228" s="16"/>
      <c r="PG228" s="16"/>
      <c r="PH228" s="16"/>
      <c r="PI228" s="16"/>
      <c r="PJ228" s="16"/>
      <c r="PK228" s="16"/>
      <c r="PL228" s="16"/>
      <c r="PM228" s="16"/>
      <c r="PN228" s="16"/>
      <c r="PO228" s="16"/>
      <c r="PP228" s="16"/>
      <c r="PQ228" s="16"/>
      <c r="PR228" s="16"/>
      <c r="PS228" s="16"/>
      <c r="PT228" s="16"/>
      <c r="PU228" s="16"/>
      <c r="PV228" s="16"/>
    </row>
    <row r="229" spans="3:438" x14ac:dyDescent="0.25">
      <c r="C229" s="1"/>
      <c r="D229" s="1"/>
      <c r="I229" s="9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G229" s="9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E229" s="9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C229" s="9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DA229" s="9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Y229" s="9"/>
      <c r="DZ229" s="16"/>
      <c r="EA229" s="16"/>
      <c r="EB229" s="16"/>
      <c r="EC229" s="16"/>
      <c r="ED229" s="16"/>
      <c r="EE229" s="16"/>
      <c r="EF229" s="16"/>
      <c r="EG229" s="16"/>
      <c r="EH229" s="16"/>
      <c r="EI229" s="16"/>
      <c r="EJ229" s="16"/>
      <c r="EK229" s="16"/>
      <c r="EL229" s="16"/>
      <c r="EM229" s="16"/>
      <c r="EN229" s="16"/>
      <c r="EO229" s="16"/>
      <c r="EP229" s="16"/>
      <c r="EQ229" s="16"/>
      <c r="ER229" s="16"/>
      <c r="ES229" s="16"/>
      <c r="ET229" s="16"/>
      <c r="EW229" s="9"/>
      <c r="EX229" s="16"/>
      <c r="EY229" s="16"/>
      <c r="EZ229" s="16"/>
      <c r="FA229" s="16"/>
      <c r="FB229" s="16"/>
      <c r="FC229" s="16"/>
      <c r="FD229" s="16"/>
      <c r="FE229" s="16"/>
      <c r="FF229" s="16"/>
      <c r="FG229" s="16"/>
      <c r="FH229" s="16"/>
      <c r="FI229" s="16"/>
      <c r="FJ229" s="16"/>
      <c r="FK229" s="16"/>
      <c r="FL229" s="16"/>
      <c r="FM229" s="16"/>
      <c r="FN229" s="16"/>
      <c r="FO229" s="16"/>
      <c r="FP229" s="16"/>
      <c r="FQ229" s="16"/>
      <c r="FR229" s="16"/>
      <c r="FU229" s="9"/>
      <c r="FV229" s="16"/>
      <c r="FW229" s="16"/>
      <c r="FX229" s="16"/>
      <c r="FY229" s="16"/>
      <c r="FZ229" s="16"/>
      <c r="GA229" s="16"/>
      <c r="GB229" s="16"/>
      <c r="GC229" s="16"/>
      <c r="GD229" s="16"/>
      <c r="GE229" s="16"/>
      <c r="GF229" s="16"/>
      <c r="GG229" s="16"/>
      <c r="GH229" s="16"/>
      <c r="GI229" s="16"/>
      <c r="GJ229" s="16"/>
      <c r="GK229" s="16"/>
      <c r="GL229" s="16"/>
      <c r="GM229" s="16"/>
      <c r="GN229" s="16"/>
      <c r="GO229" s="16"/>
      <c r="GP229" s="16"/>
      <c r="GS229" s="9"/>
      <c r="GT229" s="16"/>
      <c r="GU229" s="16"/>
      <c r="GV229" s="16"/>
      <c r="GW229" s="16"/>
      <c r="GX229" s="16"/>
      <c r="GY229" s="16"/>
      <c r="GZ229" s="16"/>
      <c r="HA229" s="16"/>
      <c r="HB229" s="16"/>
      <c r="HC229" s="16"/>
      <c r="HD229" s="16"/>
      <c r="HE229" s="16"/>
      <c r="HF229" s="16"/>
      <c r="HG229" s="16"/>
      <c r="HH229" s="16"/>
      <c r="HI229" s="16"/>
      <c r="HJ229" s="16"/>
      <c r="HK229" s="16"/>
      <c r="HL229" s="16"/>
      <c r="HM229" s="16"/>
      <c r="HN229" s="16"/>
      <c r="HQ229" s="9"/>
      <c r="HR229" s="16"/>
      <c r="HS229" s="16"/>
      <c r="HT229" s="16"/>
      <c r="HU229" s="16"/>
      <c r="HV229" s="16"/>
      <c r="HW229" s="16"/>
      <c r="HX229" s="16"/>
      <c r="HY229" s="16"/>
      <c r="HZ229" s="16"/>
      <c r="IA229" s="16"/>
      <c r="IB229" s="16"/>
      <c r="IC229" s="16"/>
      <c r="ID229" s="16"/>
      <c r="IE229" s="16"/>
      <c r="IF229" s="16"/>
      <c r="IG229" s="16"/>
      <c r="IH229" s="16"/>
      <c r="II229" s="16"/>
      <c r="IJ229" s="16"/>
      <c r="IK229" s="16"/>
      <c r="IL229" s="16"/>
      <c r="IO229" s="9"/>
      <c r="IP229" s="16"/>
      <c r="IQ229" s="16"/>
      <c r="IR229" s="16"/>
      <c r="IS229" s="16"/>
      <c r="IT229" s="16"/>
      <c r="IU229" s="16"/>
      <c r="IV229" s="16"/>
      <c r="IW229" s="16"/>
      <c r="IX229" s="16"/>
      <c r="IY229" s="16"/>
      <c r="IZ229" s="16"/>
      <c r="JA229" s="16"/>
      <c r="JB229" s="16"/>
      <c r="JC229" s="16"/>
      <c r="JD229" s="16"/>
      <c r="JE229" s="16"/>
      <c r="JF229" s="16"/>
      <c r="JG229" s="16"/>
      <c r="JH229" s="16"/>
      <c r="JI229" s="16"/>
      <c r="JJ229" s="16"/>
      <c r="JM229" s="9"/>
      <c r="JN229" s="16"/>
      <c r="JO229" s="16"/>
      <c r="JP229" s="16"/>
      <c r="JQ229" s="16"/>
      <c r="JR229" s="16"/>
      <c r="JS229" s="16"/>
      <c r="JT229" s="16"/>
      <c r="JU229" s="16"/>
      <c r="JV229" s="16"/>
      <c r="JW229" s="16"/>
      <c r="JX229" s="16"/>
      <c r="JY229" s="16"/>
      <c r="JZ229" s="16"/>
      <c r="KA229" s="16"/>
      <c r="KB229" s="16"/>
      <c r="KC229" s="16"/>
      <c r="KD229" s="16"/>
      <c r="KE229" s="16"/>
      <c r="KF229" s="16"/>
      <c r="KG229" s="16"/>
      <c r="KH229" s="16"/>
      <c r="KK229" s="9"/>
      <c r="KL229" s="16"/>
      <c r="KM229" s="16"/>
      <c r="KN229" s="16"/>
      <c r="KO229" s="16"/>
      <c r="KP229" s="16"/>
      <c r="KQ229" s="16"/>
      <c r="KR229" s="16"/>
      <c r="KS229" s="16"/>
      <c r="KT229" s="16"/>
      <c r="KU229" s="16"/>
      <c r="KV229" s="16"/>
      <c r="KW229" s="16"/>
      <c r="KX229" s="16"/>
      <c r="KY229" s="16"/>
      <c r="KZ229" s="16"/>
      <c r="LA229" s="16"/>
      <c r="LB229" s="16"/>
      <c r="LC229" s="16"/>
      <c r="LD229" s="16"/>
      <c r="LE229" s="16"/>
      <c r="LF229" s="16"/>
      <c r="LI229" s="9"/>
      <c r="LJ229" s="16"/>
      <c r="LK229" s="16"/>
      <c r="LL229" s="16"/>
      <c r="LM229" s="16"/>
      <c r="LN229" s="16"/>
      <c r="LO229" s="16"/>
      <c r="LP229" s="16"/>
      <c r="LQ229" s="16"/>
      <c r="LR229" s="16"/>
      <c r="LS229" s="16"/>
      <c r="LT229" s="16"/>
      <c r="LU229" s="16"/>
      <c r="LV229" s="16"/>
      <c r="LW229" s="16"/>
      <c r="LX229" s="16"/>
      <c r="LY229" s="16"/>
      <c r="LZ229" s="16"/>
      <c r="MA229" s="16"/>
      <c r="MB229" s="16"/>
      <c r="MC229" s="16"/>
      <c r="MD229" s="16"/>
      <c r="MG229" s="9"/>
      <c r="MH229" s="16"/>
      <c r="MI229" s="16"/>
      <c r="MJ229" s="16"/>
      <c r="MK229" s="16"/>
      <c r="ML229" s="16"/>
      <c r="MM229" s="16"/>
      <c r="MN229" s="16"/>
      <c r="MO229" s="16"/>
      <c r="MP229" s="16"/>
      <c r="MQ229" s="16"/>
      <c r="MR229" s="16"/>
      <c r="MS229" s="16"/>
      <c r="MT229" s="16"/>
      <c r="MU229" s="16"/>
      <c r="MV229" s="16"/>
      <c r="MW229" s="16"/>
      <c r="MX229" s="16"/>
      <c r="MY229" s="16"/>
      <c r="MZ229" s="16"/>
      <c r="NA229" s="16"/>
      <c r="NB229" s="16"/>
      <c r="NE229" s="9"/>
      <c r="NF229" s="16"/>
      <c r="NG229" s="16"/>
      <c r="NH229" s="16"/>
      <c r="NI229" s="16"/>
      <c r="NJ229" s="16"/>
      <c r="NK229" s="16"/>
      <c r="NL229" s="16"/>
      <c r="NM229" s="16"/>
      <c r="NN229" s="16"/>
      <c r="NO229" s="16"/>
      <c r="NP229" s="16"/>
      <c r="NQ229" s="16"/>
      <c r="NR229" s="16"/>
      <c r="NS229" s="16"/>
      <c r="NT229" s="16"/>
      <c r="NU229" s="16"/>
      <c r="NV229" s="16"/>
      <c r="NW229" s="16"/>
      <c r="NX229" s="16"/>
      <c r="NY229" s="16"/>
      <c r="NZ229" s="16"/>
      <c r="OC229" s="9"/>
      <c r="OD229" s="16"/>
      <c r="OE229" s="16"/>
      <c r="OF229" s="16"/>
      <c r="OG229" s="16"/>
      <c r="OH229" s="16"/>
      <c r="OI229" s="16"/>
      <c r="OJ229" s="16"/>
      <c r="OK229" s="16"/>
      <c r="OL229" s="16"/>
      <c r="OM229" s="16"/>
      <c r="ON229" s="16"/>
      <c r="OO229" s="16"/>
      <c r="OP229" s="16"/>
      <c r="OQ229" s="16"/>
      <c r="OR229" s="16"/>
      <c r="OS229" s="16"/>
      <c r="OT229" s="16"/>
      <c r="OU229" s="16"/>
      <c r="OV229" s="16"/>
      <c r="OW229" s="16"/>
      <c r="OX229" s="16"/>
      <c r="PA229" s="9"/>
      <c r="PB229" s="16"/>
      <c r="PC229" s="16"/>
      <c r="PD229" s="16"/>
      <c r="PE229" s="16"/>
      <c r="PF229" s="16"/>
      <c r="PG229" s="16"/>
      <c r="PH229" s="16"/>
      <c r="PI229" s="16"/>
      <c r="PJ229" s="16"/>
      <c r="PK229" s="16"/>
      <c r="PL229" s="16"/>
      <c r="PM229" s="16"/>
      <c r="PN229" s="16"/>
      <c r="PO229" s="16"/>
      <c r="PP229" s="16"/>
      <c r="PQ229" s="16"/>
      <c r="PR229" s="16"/>
      <c r="PS229" s="16"/>
      <c r="PT229" s="16"/>
      <c r="PU229" s="16"/>
      <c r="PV229" s="16"/>
    </row>
    <row r="230" spans="3:438" x14ac:dyDescent="0.25">
      <c r="C230" s="1"/>
      <c r="D230" s="1"/>
      <c r="I230" s="9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G230" s="9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E230" s="9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C230" s="9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DA230" s="9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Y230" s="9"/>
      <c r="DZ230" s="16"/>
      <c r="EA230" s="16"/>
      <c r="EB230" s="16"/>
      <c r="EC230" s="16"/>
      <c r="ED230" s="16"/>
      <c r="EE230" s="16"/>
      <c r="EF230" s="16"/>
      <c r="EG230" s="16"/>
      <c r="EH230" s="16"/>
      <c r="EI230" s="16"/>
      <c r="EJ230" s="16"/>
      <c r="EK230" s="16"/>
      <c r="EL230" s="16"/>
      <c r="EM230" s="16"/>
      <c r="EN230" s="16"/>
      <c r="EO230" s="16"/>
      <c r="EP230" s="16"/>
      <c r="EQ230" s="16"/>
      <c r="ER230" s="16"/>
      <c r="ES230" s="16"/>
      <c r="ET230" s="16"/>
      <c r="EW230" s="9"/>
      <c r="EX230" s="16"/>
      <c r="EY230" s="16"/>
      <c r="EZ230" s="16"/>
      <c r="FA230" s="16"/>
      <c r="FB230" s="16"/>
      <c r="FC230" s="16"/>
      <c r="FD230" s="16"/>
      <c r="FE230" s="16"/>
      <c r="FF230" s="16"/>
      <c r="FG230" s="16"/>
      <c r="FH230" s="16"/>
      <c r="FI230" s="16"/>
      <c r="FJ230" s="16"/>
      <c r="FK230" s="16"/>
      <c r="FL230" s="16"/>
      <c r="FM230" s="16"/>
      <c r="FN230" s="16"/>
      <c r="FO230" s="16"/>
      <c r="FP230" s="16"/>
      <c r="FQ230" s="16"/>
      <c r="FR230" s="16"/>
      <c r="FU230" s="9"/>
      <c r="FV230" s="16"/>
      <c r="FW230" s="16"/>
      <c r="FX230" s="16"/>
      <c r="FY230" s="16"/>
      <c r="FZ230" s="16"/>
      <c r="GA230" s="16"/>
      <c r="GB230" s="16"/>
      <c r="GC230" s="16"/>
      <c r="GD230" s="16"/>
      <c r="GE230" s="16"/>
      <c r="GF230" s="16"/>
      <c r="GG230" s="16"/>
      <c r="GH230" s="16"/>
      <c r="GI230" s="16"/>
      <c r="GJ230" s="16"/>
      <c r="GK230" s="16"/>
      <c r="GL230" s="16"/>
      <c r="GM230" s="16"/>
      <c r="GN230" s="16"/>
      <c r="GO230" s="16"/>
      <c r="GP230" s="16"/>
      <c r="GS230" s="9"/>
      <c r="GT230" s="16"/>
      <c r="GU230" s="16"/>
      <c r="GV230" s="16"/>
      <c r="GW230" s="16"/>
      <c r="GX230" s="16"/>
      <c r="GY230" s="16"/>
      <c r="GZ230" s="16"/>
      <c r="HA230" s="16"/>
      <c r="HB230" s="16"/>
      <c r="HC230" s="16"/>
      <c r="HD230" s="16"/>
      <c r="HE230" s="16"/>
      <c r="HF230" s="16"/>
      <c r="HG230" s="16"/>
      <c r="HH230" s="16"/>
      <c r="HI230" s="16"/>
      <c r="HJ230" s="16"/>
      <c r="HK230" s="16"/>
      <c r="HL230" s="16"/>
      <c r="HM230" s="16"/>
      <c r="HN230" s="16"/>
      <c r="HQ230" s="9"/>
      <c r="HR230" s="16"/>
      <c r="HS230" s="16"/>
      <c r="HT230" s="16"/>
      <c r="HU230" s="16"/>
      <c r="HV230" s="16"/>
      <c r="HW230" s="16"/>
      <c r="HX230" s="16"/>
      <c r="HY230" s="16"/>
      <c r="HZ230" s="16"/>
      <c r="IA230" s="16"/>
      <c r="IB230" s="16"/>
      <c r="IC230" s="16"/>
      <c r="ID230" s="16"/>
      <c r="IE230" s="16"/>
      <c r="IF230" s="16"/>
      <c r="IG230" s="16"/>
      <c r="IH230" s="16"/>
      <c r="II230" s="16"/>
      <c r="IJ230" s="16"/>
      <c r="IK230" s="16"/>
      <c r="IL230" s="16"/>
      <c r="IO230" s="9"/>
      <c r="IP230" s="16"/>
      <c r="IQ230" s="16"/>
      <c r="IR230" s="16"/>
      <c r="IS230" s="16"/>
      <c r="IT230" s="16"/>
      <c r="IU230" s="16"/>
      <c r="IV230" s="16"/>
      <c r="IW230" s="16"/>
      <c r="IX230" s="16"/>
      <c r="IY230" s="16"/>
      <c r="IZ230" s="16"/>
      <c r="JA230" s="16"/>
      <c r="JB230" s="16"/>
      <c r="JC230" s="16"/>
      <c r="JD230" s="16"/>
      <c r="JE230" s="16"/>
      <c r="JF230" s="16"/>
      <c r="JG230" s="16"/>
      <c r="JH230" s="16"/>
      <c r="JI230" s="16"/>
      <c r="JJ230" s="16"/>
      <c r="JM230" s="9"/>
      <c r="JN230" s="16"/>
      <c r="JO230" s="16"/>
      <c r="JP230" s="16"/>
      <c r="JQ230" s="16"/>
      <c r="JR230" s="16"/>
      <c r="JS230" s="16"/>
      <c r="JT230" s="16"/>
      <c r="JU230" s="16"/>
      <c r="JV230" s="16"/>
      <c r="JW230" s="16"/>
      <c r="JX230" s="16"/>
      <c r="JY230" s="16"/>
      <c r="JZ230" s="16"/>
      <c r="KA230" s="16"/>
      <c r="KB230" s="16"/>
      <c r="KC230" s="16"/>
      <c r="KD230" s="16"/>
      <c r="KE230" s="16"/>
      <c r="KF230" s="16"/>
      <c r="KG230" s="16"/>
      <c r="KH230" s="16"/>
      <c r="KK230" s="9"/>
      <c r="KL230" s="16"/>
      <c r="KM230" s="16"/>
      <c r="KN230" s="16"/>
      <c r="KO230" s="16"/>
      <c r="KP230" s="16"/>
      <c r="KQ230" s="16"/>
      <c r="KR230" s="16"/>
      <c r="KS230" s="16"/>
      <c r="KT230" s="16"/>
      <c r="KU230" s="16"/>
      <c r="KV230" s="16"/>
      <c r="KW230" s="16"/>
      <c r="KX230" s="16"/>
      <c r="KY230" s="16"/>
      <c r="KZ230" s="16"/>
      <c r="LA230" s="16"/>
      <c r="LB230" s="16"/>
      <c r="LC230" s="16"/>
      <c r="LD230" s="16"/>
      <c r="LE230" s="16"/>
      <c r="LF230" s="16"/>
      <c r="LI230" s="9"/>
      <c r="LJ230" s="16"/>
      <c r="LK230" s="16"/>
      <c r="LL230" s="16"/>
      <c r="LM230" s="16"/>
      <c r="LN230" s="16"/>
      <c r="LO230" s="16"/>
      <c r="LP230" s="16"/>
      <c r="LQ230" s="16"/>
      <c r="LR230" s="16"/>
      <c r="LS230" s="16"/>
      <c r="LT230" s="16"/>
      <c r="LU230" s="16"/>
      <c r="LV230" s="16"/>
      <c r="LW230" s="16"/>
      <c r="LX230" s="16"/>
      <c r="LY230" s="16"/>
      <c r="LZ230" s="16"/>
      <c r="MA230" s="16"/>
      <c r="MB230" s="16"/>
      <c r="MC230" s="16"/>
      <c r="MD230" s="16"/>
      <c r="MG230" s="9"/>
      <c r="MH230" s="16"/>
      <c r="MI230" s="16"/>
      <c r="MJ230" s="16"/>
      <c r="MK230" s="16"/>
      <c r="ML230" s="16"/>
      <c r="MM230" s="16"/>
      <c r="MN230" s="16"/>
      <c r="MO230" s="16"/>
      <c r="MP230" s="16"/>
      <c r="MQ230" s="16"/>
      <c r="MR230" s="16"/>
      <c r="MS230" s="16"/>
      <c r="MT230" s="16"/>
      <c r="MU230" s="16"/>
      <c r="MV230" s="16"/>
      <c r="MW230" s="16"/>
      <c r="MX230" s="16"/>
      <c r="MY230" s="16"/>
      <c r="MZ230" s="16"/>
      <c r="NA230" s="16"/>
      <c r="NB230" s="16"/>
      <c r="NE230" s="9"/>
      <c r="NF230" s="16"/>
      <c r="NG230" s="16"/>
      <c r="NH230" s="16"/>
      <c r="NI230" s="16"/>
      <c r="NJ230" s="16"/>
      <c r="NK230" s="16"/>
      <c r="NL230" s="16"/>
      <c r="NM230" s="16"/>
      <c r="NN230" s="16"/>
      <c r="NO230" s="16"/>
      <c r="NP230" s="16"/>
      <c r="NQ230" s="16"/>
      <c r="NR230" s="16"/>
      <c r="NS230" s="16"/>
      <c r="NT230" s="16"/>
      <c r="NU230" s="16"/>
      <c r="NV230" s="16"/>
      <c r="NW230" s="16"/>
      <c r="NX230" s="16"/>
      <c r="NY230" s="16"/>
      <c r="NZ230" s="16"/>
      <c r="OC230" s="9"/>
      <c r="OD230" s="16"/>
      <c r="OE230" s="16"/>
      <c r="OF230" s="16"/>
      <c r="OG230" s="16"/>
      <c r="OH230" s="16"/>
      <c r="OI230" s="16"/>
      <c r="OJ230" s="16"/>
      <c r="OK230" s="16"/>
      <c r="OL230" s="16"/>
      <c r="OM230" s="16"/>
      <c r="ON230" s="16"/>
      <c r="OO230" s="16"/>
      <c r="OP230" s="16"/>
      <c r="OQ230" s="16"/>
      <c r="OR230" s="16"/>
      <c r="OS230" s="16"/>
      <c r="OT230" s="16"/>
      <c r="OU230" s="16"/>
      <c r="OV230" s="16"/>
      <c r="OW230" s="16"/>
      <c r="OX230" s="16"/>
      <c r="PA230" s="9"/>
      <c r="PB230" s="16"/>
      <c r="PC230" s="16"/>
      <c r="PD230" s="16"/>
      <c r="PE230" s="16"/>
      <c r="PF230" s="16"/>
      <c r="PG230" s="16"/>
      <c r="PH230" s="16"/>
      <c r="PI230" s="16"/>
      <c r="PJ230" s="16"/>
      <c r="PK230" s="16"/>
      <c r="PL230" s="16"/>
      <c r="PM230" s="16"/>
      <c r="PN230" s="16"/>
      <c r="PO230" s="16"/>
      <c r="PP230" s="16"/>
      <c r="PQ230" s="16"/>
      <c r="PR230" s="16"/>
      <c r="PS230" s="16"/>
      <c r="PT230" s="16"/>
      <c r="PU230" s="16"/>
      <c r="PV230" s="16"/>
    </row>
    <row r="231" spans="3:438" x14ac:dyDescent="0.25">
      <c r="C231" s="1"/>
      <c r="D231" s="1"/>
      <c r="I231" s="9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G231" s="9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E231" s="9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C231" s="9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DA231" s="9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Y231" s="9"/>
      <c r="DZ231" s="16"/>
      <c r="EA231" s="16"/>
      <c r="EB231" s="16"/>
      <c r="EC231" s="16"/>
      <c r="ED231" s="16"/>
      <c r="EE231" s="16"/>
      <c r="EF231" s="16"/>
      <c r="EG231" s="16"/>
      <c r="EH231" s="16"/>
      <c r="EI231" s="16"/>
      <c r="EJ231" s="16"/>
      <c r="EK231" s="16"/>
      <c r="EL231" s="16"/>
      <c r="EM231" s="16"/>
      <c r="EN231" s="16"/>
      <c r="EO231" s="16"/>
      <c r="EP231" s="16"/>
      <c r="EQ231" s="16"/>
      <c r="ER231" s="16"/>
      <c r="ES231" s="16"/>
      <c r="ET231" s="16"/>
      <c r="EW231" s="9"/>
      <c r="EX231" s="16"/>
      <c r="EY231" s="16"/>
      <c r="EZ231" s="16"/>
      <c r="FA231" s="16"/>
      <c r="FB231" s="16"/>
      <c r="FC231" s="16"/>
      <c r="FD231" s="16"/>
      <c r="FE231" s="16"/>
      <c r="FF231" s="16"/>
      <c r="FG231" s="16"/>
      <c r="FH231" s="16"/>
      <c r="FI231" s="16"/>
      <c r="FJ231" s="16"/>
      <c r="FK231" s="16"/>
      <c r="FL231" s="16"/>
      <c r="FM231" s="16"/>
      <c r="FN231" s="16"/>
      <c r="FO231" s="16"/>
      <c r="FP231" s="16"/>
      <c r="FQ231" s="16"/>
      <c r="FR231" s="16"/>
      <c r="FU231" s="9"/>
      <c r="FV231" s="16"/>
      <c r="FW231" s="16"/>
      <c r="FX231" s="16"/>
      <c r="FY231" s="16"/>
      <c r="FZ231" s="16"/>
      <c r="GA231" s="16"/>
      <c r="GB231" s="16"/>
      <c r="GC231" s="16"/>
      <c r="GD231" s="16"/>
      <c r="GE231" s="16"/>
      <c r="GF231" s="16"/>
      <c r="GG231" s="16"/>
      <c r="GH231" s="16"/>
      <c r="GI231" s="16"/>
      <c r="GJ231" s="16"/>
      <c r="GK231" s="16"/>
      <c r="GL231" s="16"/>
      <c r="GM231" s="16"/>
      <c r="GN231" s="16"/>
      <c r="GO231" s="16"/>
      <c r="GP231" s="16"/>
      <c r="GS231" s="9"/>
      <c r="GT231" s="16"/>
      <c r="GU231" s="16"/>
      <c r="GV231" s="16"/>
      <c r="GW231" s="16"/>
      <c r="GX231" s="16"/>
      <c r="GY231" s="16"/>
      <c r="GZ231" s="16"/>
      <c r="HA231" s="16"/>
      <c r="HB231" s="16"/>
      <c r="HC231" s="16"/>
      <c r="HD231" s="16"/>
      <c r="HE231" s="16"/>
      <c r="HF231" s="16"/>
      <c r="HG231" s="16"/>
      <c r="HH231" s="16"/>
      <c r="HI231" s="16"/>
      <c r="HJ231" s="16"/>
      <c r="HK231" s="16"/>
      <c r="HL231" s="16"/>
      <c r="HM231" s="16"/>
      <c r="HN231" s="16"/>
      <c r="HQ231" s="9"/>
      <c r="HR231" s="16"/>
      <c r="HS231" s="16"/>
      <c r="HT231" s="16"/>
      <c r="HU231" s="16"/>
      <c r="HV231" s="16"/>
      <c r="HW231" s="16"/>
      <c r="HX231" s="16"/>
      <c r="HY231" s="16"/>
      <c r="HZ231" s="16"/>
      <c r="IA231" s="16"/>
      <c r="IB231" s="16"/>
      <c r="IC231" s="16"/>
      <c r="ID231" s="16"/>
      <c r="IE231" s="16"/>
      <c r="IF231" s="16"/>
      <c r="IG231" s="16"/>
      <c r="IH231" s="16"/>
      <c r="II231" s="16"/>
      <c r="IJ231" s="16"/>
      <c r="IK231" s="16"/>
      <c r="IL231" s="16"/>
      <c r="IO231" s="9"/>
      <c r="IP231" s="16"/>
      <c r="IQ231" s="16"/>
      <c r="IR231" s="16"/>
      <c r="IS231" s="16"/>
      <c r="IT231" s="16"/>
      <c r="IU231" s="16"/>
      <c r="IV231" s="16"/>
      <c r="IW231" s="16"/>
      <c r="IX231" s="16"/>
      <c r="IY231" s="16"/>
      <c r="IZ231" s="16"/>
      <c r="JA231" s="16"/>
      <c r="JB231" s="16"/>
      <c r="JC231" s="16"/>
      <c r="JD231" s="16"/>
      <c r="JE231" s="16"/>
      <c r="JF231" s="16"/>
      <c r="JG231" s="16"/>
      <c r="JH231" s="16"/>
      <c r="JI231" s="16"/>
      <c r="JJ231" s="16"/>
      <c r="JM231" s="9"/>
      <c r="JN231" s="16"/>
      <c r="JO231" s="16"/>
      <c r="JP231" s="16"/>
      <c r="JQ231" s="16"/>
      <c r="JR231" s="16"/>
      <c r="JS231" s="16"/>
      <c r="JT231" s="16"/>
      <c r="JU231" s="16"/>
      <c r="JV231" s="16"/>
      <c r="JW231" s="16"/>
      <c r="JX231" s="16"/>
      <c r="JY231" s="16"/>
      <c r="JZ231" s="16"/>
      <c r="KA231" s="16"/>
      <c r="KB231" s="16"/>
      <c r="KC231" s="16"/>
      <c r="KD231" s="16"/>
      <c r="KE231" s="16"/>
      <c r="KF231" s="16"/>
      <c r="KG231" s="16"/>
      <c r="KH231" s="16"/>
      <c r="KK231" s="9"/>
      <c r="KL231" s="16"/>
      <c r="KM231" s="16"/>
      <c r="KN231" s="16"/>
      <c r="KO231" s="16"/>
      <c r="KP231" s="16"/>
      <c r="KQ231" s="16"/>
      <c r="KR231" s="16"/>
      <c r="KS231" s="16"/>
      <c r="KT231" s="16"/>
      <c r="KU231" s="16"/>
      <c r="KV231" s="16"/>
      <c r="KW231" s="16"/>
      <c r="KX231" s="16"/>
      <c r="KY231" s="16"/>
      <c r="KZ231" s="16"/>
      <c r="LA231" s="16"/>
      <c r="LB231" s="16"/>
      <c r="LC231" s="16"/>
      <c r="LD231" s="16"/>
      <c r="LE231" s="16"/>
      <c r="LF231" s="16"/>
      <c r="LI231" s="9"/>
      <c r="LJ231" s="16"/>
      <c r="LK231" s="16"/>
      <c r="LL231" s="16"/>
      <c r="LM231" s="16"/>
      <c r="LN231" s="16"/>
      <c r="LO231" s="16"/>
      <c r="LP231" s="16"/>
      <c r="LQ231" s="16"/>
      <c r="LR231" s="16"/>
      <c r="LS231" s="16"/>
      <c r="LT231" s="16"/>
      <c r="LU231" s="16"/>
      <c r="LV231" s="16"/>
      <c r="LW231" s="16"/>
      <c r="LX231" s="16"/>
      <c r="LY231" s="16"/>
      <c r="LZ231" s="16"/>
      <c r="MA231" s="16"/>
      <c r="MB231" s="16"/>
      <c r="MC231" s="16"/>
      <c r="MD231" s="16"/>
      <c r="MG231" s="9"/>
      <c r="MH231" s="16"/>
      <c r="MI231" s="16"/>
      <c r="MJ231" s="16"/>
      <c r="MK231" s="16"/>
      <c r="ML231" s="16"/>
      <c r="MM231" s="16"/>
      <c r="MN231" s="16"/>
      <c r="MO231" s="16"/>
      <c r="MP231" s="16"/>
      <c r="MQ231" s="16"/>
      <c r="MR231" s="16"/>
      <c r="MS231" s="16"/>
      <c r="MT231" s="16"/>
      <c r="MU231" s="16"/>
      <c r="MV231" s="16"/>
      <c r="MW231" s="16"/>
      <c r="MX231" s="16"/>
      <c r="MY231" s="16"/>
      <c r="MZ231" s="16"/>
      <c r="NA231" s="16"/>
      <c r="NB231" s="16"/>
      <c r="NE231" s="9"/>
      <c r="NF231" s="16"/>
      <c r="NG231" s="16"/>
      <c r="NH231" s="16"/>
      <c r="NI231" s="16"/>
      <c r="NJ231" s="16"/>
      <c r="NK231" s="16"/>
      <c r="NL231" s="16"/>
      <c r="NM231" s="16"/>
      <c r="NN231" s="16"/>
      <c r="NO231" s="16"/>
      <c r="NP231" s="16"/>
      <c r="NQ231" s="16"/>
      <c r="NR231" s="16"/>
      <c r="NS231" s="16"/>
      <c r="NT231" s="16"/>
      <c r="NU231" s="16"/>
      <c r="NV231" s="16"/>
      <c r="NW231" s="16"/>
      <c r="NX231" s="16"/>
      <c r="NY231" s="16"/>
      <c r="NZ231" s="16"/>
      <c r="OC231" s="9"/>
      <c r="OD231" s="16"/>
      <c r="OE231" s="16"/>
      <c r="OF231" s="16"/>
      <c r="OG231" s="16"/>
      <c r="OH231" s="16"/>
      <c r="OI231" s="16"/>
      <c r="OJ231" s="16"/>
      <c r="OK231" s="16"/>
      <c r="OL231" s="16"/>
      <c r="OM231" s="16"/>
      <c r="ON231" s="16"/>
      <c r="OO231" s="16"/>
      <c r="OP231" s="16"/>
      <c r="OQ231" s="16"/>
      <c r="OR231" s="16"/>
      <c r="OS231" s="16"/>
      <c r="OT231" s="16"/>
      <c r="OU231" s="16"/>
      <c r="OV231" s="16"/>
      <c r="OW231" s="16"/>
      <c r="OX231" s="16"/>
      <c r="PA231" s="9"/>
      <c r="PB231" s="16"/>
      <c r="PC231" s="16"/>
      <c r="PD231" s="16"/>
      <c r="PE231" s="16"/>
      <c r="PF231" s="16"/>
      <c r="PG231" s="16"/>
      <c r="PH231" s="16"/>
      <c r="PI231" s="16"/>
      <c r="PJ231" s="16"/>
      <c r="PK231" s="16"/>
      <c r="PL231" s="16"/>
      <c r="PM231" s="16"/>
      <c r="PN231" s="16"/>
      <c r="PO231" s="16"/>
      <c r="PP231" s="16"/>
      <c r="PQ231" s="16"/>
      <c r="PR231" s="16"/>
      <c r="PS231" s="16"/>
      <c r="PT231" s="16"/>
      <c r="PU231" s="16"/>
      <c r="PV231" s="16"/>
    </row>
    <row r="232" spans="3:438" x14ac:dyDescent="0.25">
      <c r="C232" s="1"/>
      <c r="D232" s="1"/>
      <c r="I232" s="9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G232" s="9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E232" s="9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C232" s="9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DA232" s="9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Y232" s="9"/>
      <c r="DZ232" s="16"/>
      <c r="EA232" s="16"/>
      <c r="EB232" s="16"/>
      <c r="EC232" s="16"/>
      <c r="ED232" s="16"/>
      <c r="EE232" s="16"/>
      <c r="EF232" s="16"/>
      <c r="EG232" s="16"/>
      <c r="EH232" s="16"/>
      <c r="EI232" s="16"/>
      <c r="EJ232" s="16"/>
      <c r="EK232" s="16"/>
      <c r="EL232" s="16"/>
      <c r="EM232" s="16"/>
      <c r="EN232" s="16"/>
      <c r="EO232" s="16"/>
      <c r="EP232" s="16"/>
      <c r="EQ232" s="16"/>
      <c r="ER232" s="16"/>
      <c r="ES232" s="16"/>
      <c r="ET232" s="16"/>
      <c r="EW232" s="9"/>
      <c r="EX232" s="16"/>
      <c r="EY232" s="16"/>
      <c r="EZ232" s="16"/>
      <c r="FA232" s="16"/>
      <c r="FB232" s="16"/>
      <c r="FC232" s="16"/>
      <c r="FD232" s="16"/>
      <c r="FE232" s="16"/>
      <c r="FF232" s="16"/>
      <c r="FG232" s="16"/>
      <c r="FH232" s="16"/>
      <c r="FI232" s="16"/>
      <c r="FJ232" s="16"/>
      <c r="FK232" s="16"/>
      <c r="FL232" s="16"/>
      <c r="FM232" s="16"/>
      <c r="FN232" s="16"/>
      <c r="FO232" s="16"/>
      <c r="FP232" s="16"/>
      <c r="FQ232" s="16"/>
      <c r="FR232" s="16"/>
      <c r="FU232" s="9"/>
      <c r="FV232" s="16"/>
      <c r="FW232" s="16"/>
      <c r="FX232" s="16"/>
      <c r="FY232" s="16"/>
      <c r="FZ232" s="16"/>
      <c r="GA232" s="16"/>
      <c r="GB232" s="16"/>
      <c r="GC232" s="16"/>
      <c r="GD232" s="16"/>
      <c r="GE232" s="16"/>
      <c r="GF232" s="16"/>
      <c r="GG232" s="16"/>
      <c r="GH232" s="16"/>
      <c r="GI232" s="16"/>
      <c r="GJ232" s="16"/>
      <c r="GK232" s="16"/>
      <c r="GL232" s="16"/>
      <c r="GM232" s="16"/>
      <c r="GN232" s="16"/>
      <c r="GO232" s="16"/>
      <c r="GP232" s="16"/>
      <c r="GS232" s="9"/>
      <c r="GT232" s="16"/>
      <c r="GU232" s="16"/>
      <c r="GV232" s="16"/>
      <c r="GW232" s="16"/>
      <c r="GX232" s="16"/>
      <c r="GY232" s="16"/>
      <c r="GZ232" s="16"/>
      <c r="HA232" s="16"/>
      <c r="HB232" s="16"/>
      <c r="HC232" s="16"/>
      <c r="HD232" s="16"/>
      <c r="HE232" s="16"/>
      <c r="HF232" s="16"/>
      <c r="HG232" s="16"/>
      <c r="HH232" s="16"/>
      <c r="HI232" s="16"/>
      <c r="HJ232" s="16"/>
      <c r="HK232" s="16"/>
      <c r="HL232" s="16"/>
      <c r="HM232" s="16"/>
      <c r="HN232" s="16"/>
      <c r="HQ232" s="9"/>
      <c r="HR232" s="16"/>
      <c r="HS232" s="16"/>
      <c r="HT232" s="16"/>
      <c r="HU232" s="16"/>
      <c r="HV232" s="16"/>
      <c r="HW232" s="16"/>
      <c r="HX232" s="16"/>
      <c r="HY232" s="16"/>
      <c r="HZ232" s="16"/>
      <c r="IA232" s="16"/>
      <c r="IB232" s="16"/>
      <c r="IC232" s="16"/>
      <c r="ID232" s="16"/>
      <c r="IE232" s="16"/>
      <c r="IF232" s="16"/>
      <c r="IG232" s="16"/>
      <c r="IH232" s="16"/>
      <c r="II232" s="16"/>
      <c r="IJ232" s="16"/>
      <c r="IK232" s="16"/>
      <c r="IL232" s="16"/>
      <c r="IO232" s="9"/>
      <c r="IP232" s="16"/>
      <c r="IQ232" s="16"/>
      <c r="IR232" s="16"/>
      <c r="IS232" s="16"/>
      <c r="IT232" s="16"/>
      <c r="IU232" s="16"/>
      <c r="IV232" s="16"/>
      <c r="IW232" s="16"/>
      <c r="IX232" s="16"/>
      <c r="IY232" s="16"/>
      <c r="IZ232" s="16"/>
      <c r="JA232" s="16"/>
      <c r="JB232" s="16"/>
      <c r="JC232" s="16"/>
      <c r="JD232" s="16"/>
      <c r="JE232" s="16"/>
      <c r="JF232" s="16"/>
      <c r="JG232" s="16"/>
      <c r="JH232" s="16"/>
      <c r="JI232" s="16"/>
      <c r="JJ232" s="16"/>
      <c r="JM232" s="9"/>
      <c r="JN232" s="16"/>
      <c r="JO232" s="16"/>
      <c r="JP232" s="16"/>
      <c r="JQ232" s="16"/>
      <c r="JR232" s="16"/>
      <c r="JS232" s="16"/>
      <c r="JT232" s="16"/>
      <c r="JU232" s="16"/>
      <c r="JV232" s="16"/>
      <c r="JW232" s="16"/>
      <c r="JX232" s="16"/>
      <c r="JY232" s="16"/>
      <c r="JZ232" s="16"/>
      <c r="KA232" s="16"/>
      <c r="KB232" s="16"/>
      <c r="KC232" s="16"/>
      <c r="KD232" s="16"/>
      <c r="KE232" s="16"/>
      <c r="KF232" s="16"/>
      <c r="KG232" s="16"/>
      <c r="KH232" s="16"/>
      <c r="KK232" s="9"/>
      <c r="KL232" s="16"/>
      <c r="KM232" s="16"/>
      <c r="KN232" s="16"/>
      <c r="KO232" s="16"/>
      <c r="KP232" s="16"/>
      <c r="KQ232" s="16"/>
      <c r="KR232" s="16"/>
      <c r="KS232" s="16"/>
      <c r="KT232" s="16"/>
      <c r="KU232" s="16"/>
      <c r="KV232" s="16"/>
      <c r="KW232" s="16"/>
      <c r="KX232" s="16"/>
      <c r="KY232" s="16"/>
      <c r="KZ232" s="16"/>
      <c r="LA232" s="16"/>
      <c r="LB232" s="16"/>
      <c r="LC232" s="16"/>
      <c r="LD232" s="16"/>
      <c r="LE232" s="16"/>
      <c r="LF232" s="16"/>
      <c r="LI232" s="9"/>
      <c r="LJ232" s="16"/>
      <c r="LK232" s="16"/>
      <c r="LL232" s="16"/>
      <c r="LM232" s="16"/>
      <c r="LN232" s="16"/>
      <c r="LO232" s="16"/>
      <c r="LP232" s="16"/>
      <c r="LQ232" s="16"/>
      <c r="LR232" s="16"/>
      <c r="LS232" s="16"/>
      <c r="LT232" s="16"/>
      <c r="LU232" s="16"/>
      <c r="LV232" s="16"/>
      <c r="LW232" s="16"/>
      <c r="LX232" s="16"/>
      <c r="LY232" s="16"/>
      <c r="LZ232" s="16"/>
      <c r="MA232" s="16"/>
      <c r="MB232" s="16"/>
      <c r="MC232" s="16"/>
      <c r="MD232" s="16"/>
      <c r="MG232" s="9"/>
      <c r="MH232" s="16"/>
      <c r="MI232" s="16"/>
      <c r="MJ232" s="16"/>
      <c r="MK232" s="16"/>
      <c r="ML232" s="16"/>
      <c r="MM232" s="16"/>
      <c r="MN232" s="16"/>
      <c r="MO232" s="16"/>
      <c r="MP232" s="16"/>
      <c r="MQ232" s="16"/>
      <c r="MR232" s="16"/>
      <c r="MS232" s="16"/>
      <c r="MT232" s="16"/>
      <c r="MU232" s="16"/>
      <c r="MV232" s="16"/>
      <c r="MW232" s="16"/>
      <c r="MX232" s="16"/>
      <c r="MY232" s="16"/>
      <c r="MZ232" s="16"/>
      <c r="NA232" s="16"/>
      <c r="NB232" s="16"/>
      <c r="NE232" s="9"/>
      <c r="NF232" s="16"/>
      <c r="NG232" s="16"/>
      <c r="NH232" s="16"/>
      <c r="NI232" s="16"/>
      <c r="NJ232" s="16"/>
      <c r="NK232" s="16"/>
      <c r="NL232" s="16"/>
      <c r="NM232" s="16"/>
      <c r="NN232" s="16"/>
      <c r="NO232" s="16"/>
      <c r="NP232" s="16"/>
      <c r="NQ232" s="16"/>
      <c r="NR232" s="16"/>
      <c r="NS232" s="16"/>
      <c r="NT232" s="16"/>
      <c r="NU232" s="16"/>
      <c r="NV232" s="16"/>
      <c r="NW232" s="16"/>
      <c r="NX232" s="16"/>
      <c r="NY232" s="16"/>
      <c r="NZ232" s="16"/>
      <c r="OC232" s="9"/>
      <c r="OD232" s="16"/>
      <c r="OE232" s="16"/>
      <c r="OF232" s="16"/>
      <c r="OG232" s="16"/>
      <c r="OH232" s="16"/>
      <c r="OI232" s="16"/>
      <c r="OJ232" s="16"/>
      <c r="OK232" s="16"/>
      <c r="OL232" s="16"/>
      <c r="OM232" s="16"/>
      <c r="ON232" s="16"/>
      <c r="OO232" s="16"/>
      <c r="OP232" s="16"/>
      <c r="OQ232" s="16"/>
      <c r="OR232" s="16"/>
      <c r="OS232" s="16"/>
      <c r="OT232" s="16"/>
      <c r="OU232" s="16"/>
      <c r="OV232" s="16"/>
      <c r="OW232" s="16"/>
      <c r="OX232" s="16"/>
      <c r="PA232" s="9"/>
      <c r="PB232" s="16"/>
      <c r="PC232" s="16"/>
      <c r="PD232" s="16"/>
      <c r="PE232" s="16"/>
      <c r="PF232" s="16"/>
      <c r="PG232" s="16"/>
      <c r="PH232" s="16"/>
      <c r="PI232" s="16"/>
      <c r="PJ232" s="16"/>
      <c r="PK232" s="16"/>
      <c r="PL232" s="16"/>
      <c r="PM232" s="16"/>
      <c r="PN232" s="16"/>
      <c r="PO232" s="16"/>
      <c r="PP232" s="16"/>
      <c r="PQ232" s="16"/>
      <c r="PR232" s="16"/>
      <c r="PS232" s="16"/>
      <c r="PT232" s="16"/>
      <c r="PU232" s="16"/>
      <c r="PV232" s="16"/>
    </row>
    <row r="233" spans="3:438" x14ac:dyDescent="0.25">
      <c r="C233" s="1"/>
      <c r="D233" s="1"/>
      <c r="I233" s="9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G233" s="9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E233" s="9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C233" s="9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DA233" s="9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Y233" s="9"/>
      <c r="DZ233" s="16"/>
      <c r="EA233" s="16"/>
      <c r="EB233" s="16"/>
      <c r="EC233" s="16"/>
      <c r="ED233" s="16"/>
      <c r="EE233" s="16"/>
      <c r="EF233" s="16"/>
      <c r="EG233" s="16"/>
      <c r="EH233" s="16"/>
      <c r="EI233" s="16"/>
      <c r="EJ233" s="16"/>
      <c r="EK233" s="16"/>
      <c r="EL233" s="16"/>
      <c r="EM233" s="16"/>
      <c r="EN233" s="16"/>
      <c r="EO233" s="16"/>
      <c r="EP233" s="16"/>
      <c r="EQ233" s="16"/>
      <c r="ER233" s="16"/>
      <c r="ES233" s="16"/>
      <c r="ET233" s="16"/>
      <c r="EW233" s="9"/>
      <c r="EX233" s="16"/>
      <c r="EY233" s="16"/>
      <c r="EZ233" s="16"/>
      <c r="FA233" s="16"/>
      <c r="FB233" s="16"/>
      <c r="FC233" s="16"/>
      <c r="FD233" s="16"/>
      <c r="FE233" s="16"/>
      <c r="FF233" s="16"/>
      <c r="FG233" s="16"/>
      <c r="FH233" s="16"/>
      <c r="FI233" s="16"/>
      <c r="FJ233" s="16"/>
      <c r="FK233" s="16"/>
      <c r="FL233" s="16"/>
      <c r="FM233" s="16"/>
      <c r="FN233" s="16"/>
      <c r="FO233" s="16"/>
      <c r="FP233" s="16"/>
      <c r="FQ233" s="16"/>
      <c r="FR233" s="16"/>
      <c r="FU233" s="9"/>
      <c r="FV233" s="16"/>
      <c r="FW233" s="16"/>
      <c r="FX233" s="16"/>
      <c r="FY233" s="16"/>
      <c r="FZ233" s="16"/>
      <c r="GA233" s="16"/>
      <c r="GB233" s="16"/>
      <c r="GC233" s="16"/>
      <c r="GD233" s="16"/>
      <c r="GE233" s="16"/>
      <c r="GF233" s="16"/>
      <c r="GG233" s="16"/>
      <c r="GH233" s="16"/>
      <c r="GI233" s="16"/>
      <c r="GJ233" s="16"/>
      <c r="GK233" s="16"/>
      <c r="GL233" s="16"/>
      <c r="GM233" s="16"/>
      <c r="GN233" s="16"/>
      <c r="GO233" s="16"/>
      <c r="GP233" s="16"/>
      <c r="GS233" s="9"/>
      <c r="GT233" s="16"/>
      <c r="GU233" s="16"/>
      <c r="GV233" s="16"/>
      <c r="GW233" s="16"/>
      <c r="GX233" s="16"/>
      <c r="GY233" s="16"/>
      <c r="GZ233" s="16"/>
      <c r="HA233" s="16"/>
      <c r="HB233" s="16"/>
      <c r="HC233" s="16"/>
      <c r="HD233" s="16"/>
      <c r="HE233" s="16"/>
      <c r="HF233" s="16"/>
      <c r="HG233" s="16"/>
      <c r="HH233" s="16"/>
      <c r="HI233" s="16"/>
      <c r="HJ233" s="16"/>
      <c r="HK233" s="16"/>
      <c r="HL233" s="16"/>
      <c r="HM233" s="16"/>
      <c r="HN233" s="16"/>
      <c r="HQ233" s="9"/>
      <c r="HR233" s="16"/>
      <c r="HS233" s="16"/>
      <c r="HT233" s="16"/>
      <c r="HU233" s="16"/>
      <c r="HV233" s="16"/>
      <c r="HW233" s="16"/>
      <c r="HX233" s="16"/>
      <c r="HY233" s="16"/>
      <c r="HZ233" s="16"/>
      <c r="IA233" s="16"/>
      <c r="IB233" s="16"/>
      <c r="IC233" s="16"/>
      <c r="ID233" s="16"/>
      <c r="IE233" s="16"/>
      <c r="IF233" s="16"/>
      <c r="IG233" s="16"/>
      <c r="IH233" s="16"/>
      <c r="II233" s="16"/>
      <c r="IJ233" s="16"/>
      <c r="IK233" s="16"/>
      <c r="IL233" s="16"/>
      <c r="IO233" s="9"/>
      <c r="IP233" s="16"/>
      <c r="IQ233" s="16"/>
      <c r="IR233" s="16"/>
      <c r="IS233" s="16"/>
      <c r="IT233" s="16"/>
      <c r="IU233" s="16"/>
      <c r="IV233" s="16"/>
      <c r="IW233" s="16"/>
      <c r="IX233" s="16"/>
      <c r="IY233" s="16"/>
      <c r="IZ233" s="16"/>
      <c r="JA233" s="16"/>
      <c r="JB233" s="16"/>
      <c r="JC233" s="16"/>
      <c r="JD233" s="16"/>
      <c r="JE233" s="16"/>
      <c r="JF233" s="16"/>
      <c r="JG233" s="16"/>
      <c r="JH233" s="16"/>
      <c r="JI233" s="16"/>
      <c r="JJ233" s="16"/>
      <c r="JM233" s="9"/>
      <c r="JN233" s="16"/>
      <c r="JO233" s="16"/>
      <c r="JP233" s="16"/>
      <c r="JQ233" s="16"/>
      <c r="JR233" s="16"/>
      <c r="JS233" s="16"/>
      <c r="JT233" s="16"/>
      <c r="JU233" s="16"/>
      <c r="JV233" s="16"/>
      <c r="JW233" s="16"/>
      <c r="JX233" s="16"/>
      <c r="JY233" s="16"/>
      <c r="JZ233" s="16"/>
      <c r="KA233" s="16"/>
      <c r="KB233" s="16"/>
      <c r="KC233" s="16"/>
      <c r="KD233" s="16"/>
      <c r="KE233" s="16"/>
      <c r="KF233" s="16"/>
      <c r="KG233" s="16"/>
      <c r="KH233" s="16"/>
      <c r="KK233" s="9"/>
      <c r="KL233" s="16"/>
      <c r="KM233" s="16"/>
      <c r="KN233" s="16"/>
      <c r="KO233" s="16"/>
      <c r="KP233" s="16"/>
      <c r="KQ233" s="16"/>
      <c r="KR233" s="16"/>
      <c r="KS233" s="16"/>
      <c r="KT233" s="16"/>
      <c r="KU233" s="16"/>
      <c r="KV233" s="16"/>
      <c r="KW233" s="16"/>
      <c r="KX233" s="16"/>
      <c r="KY233" s="16"/>
      <c r="KZ233" s="16"/>
      <c r="LA233" s="16"/>
      <c r="LB233" s="16"/>
      <c r="LC233" s="16"/>
      <c r="LD233" s="16"/>
      <c r="LE233" s="16"/>
      <c r="LF233" s="16"/>
      <c r="LI233" s="9"/>
      <c r="LJ233" s="16"/>
      <c r="LK233" s="16"/>
      <c r="LL233" s="16"/>
      <c r="LM233" s="16"/>
      <c r="LN233" s="16"/>
      <c r="LO233" s="16"/>
      <c r="LP233" s="16"/>
      <c r="LQ233" s="16"/>
      <c r="LR233" s="16"/>
      <c r="LS233" s="16"/>
      <c r="LT233" s="16"/>
      <c r="LU233" s="16"/>
      <c r="LV233" s="16"/>
      <c r="LW233" s="16"/>
      <c r="LX233" s="16"/>
      <c r="LY233" s="16"/>
      <c r="LZ233" s="16"/>
      <c r="MA233" s="16"/>
      <c r="MB233" s="16"/>
      <c r="MC233" s="16"/>
      <c r="MD233" s="16"/>
      <c r="MG233" s="9"/>
      <c r="MH233" s="16"/>
      <c r="MI233" s="16"/>
      <c r="MJ233" s="16"/>
      <c r="MK233" s="16"/>
      <c r="ML233" s="16"/>
      <c r="MM233" s="16"/>
      <c r="MN233" s="16"/>
      <c r="MO233" s="16"/>
      <c r="MP233" s="16"/>
      <c r="MQ233" s="16"/>
      <c r="MR233" s="16"/>
      <c r="MS233" s="16"/>
      <c r="MT233" s="16"/>
      <c r="MU233" s="16"/>
      <c r="MV233" s="16"/>
      <c r="MW233" s="16"/>
      <c r="MX233" s="16"/>
      <c r="MY233" s="16"/>
      <c r="MZ233" s="16"/>
      <c r="NA233" s="16"/>
      <c r="NB233" s="16"/>
      <c r="NE233" s="9"/>
      <c r="NF233" s="16"/>
      <c r="NG233" s="16"/>
      <c r="NH233" s="16"/>
      <c r="NI233" s="16"/>
      <c r="NJ233" s="16"/>
      <c r="NK233" s="16"/>
      <c r="NL233" s="16"/>
      <c r="NM233" s="16"/>
      <c r="NN233" s="16"/>
      <c r="NO233" s="16"/>
      <c r="NP233" s="16"/>
      <c r="NQ233" s="16"/>
      <c r="NR233" s="16"/>
      <c r="NS233" s="16"/>
      <c r="NT233" s="16"/>
      <c r="NU233" s="16"/>
      <c r="NV233" s="16"/>
      <c r="NW233" s="16"/>
      <c r="NX233" s="16"/>
      <c r="NY233" s="16"/>
      <c r="NZ233" s="16"/>
      <c r="OC233" s="9"/>
      <c r="OD233" s="16"/>
      <c r="OE233" s="16"/>
      <c r="OF233" s="16"/>
      <c r="OG233" s="16"/>
      <c r="OH233" s="16"/>
      <c r="OI233" s="16"/>
      <c r="OJ233" s="16"/>
      <c r="OK233" s="16"/>
      <c r="OL233" s="16"/>
      <c r="OM233" s="16"/>
      <c r="ON233" s="16"/>
      <c r="OO233" s="16"/>
      <c r="OP233" s="16"/>
      <c r="OQ233" s="16"/>
      <c r="OR233" s="16"/>
      <c r="OS233" s="16"/>
      <c r="OT233" s="16"/>
      <c r="OU233" s="16"/>
      <c r="OV233" s="16"/>
      <c r="OW233" s="16"/>
      <c r="OX233" s="16"/>
      <c r="PA233" s="9"/>
      <c r="PB233" s="16"/>
      <c r="PC233" s="16"/>
      <c r="PD233" s="16"/>
      <c r="PE233" s="16"/>
      <c r="PF233" s="16"/>
      <c r="PG233" s="16"/>
      <c r="PH233" s="16"/>
      <c r="PI233" s="16"/>
      <c r="PJ233" s="16"/>
      <c r="PK233" s="16"/>
      <c r="PL233" s="16"/>
      <c r="PM233" s="16"/>
      <c r="PN233" s="16"/>
      <c r="PO233" s="16"/>
      <c r="PP233" s="16"/>
      <c r="PQ233" s="16"/>
      <c r="PR233" s="16"/>
      <c r="PS233" s="16"/>
      <c r="PT233" s="16"/>
      <c r="PU233" s="16"/>
      <c r="PV233" s="16"/>
    </row>
    <row r="234" spans="3:438" x14ac:dyDescent="0.25">
      <c r="C234" s="1"/>
      <c r="D234" s="1"/>
      <c r="I234" s="9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G234" s="9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E234" s="9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C234" s="9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DA234" s="9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Y234" s="9"/>
      <c r="DZ234" s="16"/>
      <c r="EA234" s="16"/>
      <c r="EB234" s="16"/>
      <c r="EC234" s="16"/>
      <c r="ED234" s="16"/>
      <c r="EE234" s="16"/>
      <c r="EF234" s="16"/>
      <c r="EG234" s="16"/>
      <c r="EH234" s="16"/>
      <c r="EI234" s="16"/>
      <c r="EJ234" s="16"/>
      <c r="EK234" s="16"/>
      <c r="EL234" s="16"/>
      <c r="EM234" s="16"/>
      <c r="EN234" s="16"/>
      <c r="EO234" s="16"/>
      <c r="EP234" s="16"/>
      <c r="EQ234" s="16"/>
      <c r="ER234" s="16"/>
      <c r="ES234" s="16"/>
      <c r="ET234" s="16"/>
      <c r="EW234" s="9"/>
      <c r="EX234" s="16"/>
      <c r="EY234" s="16"/>
      <c r="EZ234" s="16"/>
      <c r="FA234" s="16"/>
      <c r="FB234" s="16"/>
      <c r="FC234" s="16"/>
      <c r="FD234" s="16"/>
      <c r="FE234" s="16"/>
      <c r="FF234" s="16"/>
      <c r="FG234" s="16"/>
      <c r="FH234" s="16"/>
      <c r="FI234" s="16"/>
      <c r="FJ234" s="16"/>
      <c r="FK234" s="16"/>
      <c r="FL234" s="16"/>
      <c r="FM234" s="16"/>
      <c r="FN234" s="16"/>
      <c r="FO234" s="16"/>
      <c r="FP234" s="16"/>
      <c r="FQ234" s="16"/>
      <c r="FR234" s="16"/>
      <c r="FU234" s="9"/>
      <c r="FV234" s="16"/>
      <c r="FW234" s="16"/>
      <c r="FX234" s="16"/>
      <c r="FY234" s="16"/>
      <c r="FZ234" s="16"/>
      <c r="GA234" s="16"/>
      <c r="GB234" s="16"/>
      <c r="GC234" s="16"/>
      <c r="GD234" s="16"/>
      <c r="GE234" s="16"/>
      <c r="GF234" s="16"/>
      <c r="GG234" s="16"/>
      <c r="GH234" s="16"/>
      <c r="GI234" s="16"/>
      <c r="GJ234" s="16"/>
      <c r="GK234" s="16"/>
      <c r="GL234" s="16"/>
      <c r="GM234" s="16"/>
      <c r="GN234" s="16"/>
      <c r="GO234" s="16"/>
      <c r="GP234" s="16"/>
      <c r="GS234" s="9"/>
      <c r="GT234" s="16"/>
      <c r="GU234" s="16"/>
      <c r="GV234" s="16"/>
      <c r="GW234" s="16"/>
      <c r="GX234" s="16"/>
      <c r="GY234" s="16"/>
      <c r="GZ234" s="16"/>
      <c r="HA234" s="16"/>
      <c r="HB234" s="16"/>
      <c r="HC234" s="16"/>
      <c r="HD234" s="16"/>
      <c r="HE234" s="16"/>
      <c r="HF234" s="16"/>
      <c r="HG234" s="16"/>
      <c r="HH234" s="16"/>
      <c r="HI234" s="16"/>
      <c r="HJ234" s="16"/>
      <c r="HK234" s="16"/>
      <c r="HL234" s="16"/>
      <c r="HM234" s="16"/>
      <c r="HN234" s="16"/>
      <c r="HQ234" s="9"/>
      <c r="HR234" s="16"/>
      <c r="HS234" s="16"/>
      <c r="HT234" s="16"/>
      <c r="HU234" s="16"/>
      <c r="HV234" s="16"/>
      <c r="HW234" s="16"/>
      <c r="HX234" s="16"/>
      <c r="HY234" s="16"/>
      <c r="HZ234" s="16"/>
      <c r="IA234" s="16"/>
      <c r="IB234" s="16"/>
      <c r="IC234" s="16"/>
      <c r="ID234" s="16"/>
      <c r="IE234" s="16"/>
      <c r="IF234" s="16"/>
      <c r="IG234" s="16"/>
      <c r="IH234" s="16"/>
      <c r="II234" s="16"/>
      <c r="IJ234" s="16"/>
      <c r="IK234" s="16"/>
      <c r="IL234" s="16"/>
      <c r="IO234" s="9"/>
      <c r="IP234" s="16"/>
      <c r="IQ234" s="16"/>
      <c r="IR234" s="16"/>
      <c r="IS234" s="16"/>
      <c r="IT234" s="16"/>
      <c r="IU234" s="16"/>
      <c r="IV234" s="16"/>
      <c r="IW234" s="16"/>
      <c r="IX234" s="16"/>
      <c r="IY234" s="16"/>
      <c r="IZ234" s="16"/>
      <c r="JA234" s="16"/>
      <c r="JB234" s="16"/>
      <c r="JC234" s="16"/>
      <c r="JD234" s="16"/>
      <c r="JE234" s="16"/>
      <c r="JF234" s="16"/>
      <c r="JG234" s="16"/>
      <c r="JH234" s="16"/>
      <c r="JI234" s="16"/>
      <c r="JJ234" s="16"/>
      <c r="JM234" s="9"/>
      <c r="JN234" s="16"/>
      <c r="JO234" s="16"/>
      <c r="JP234" s="16"/>
      <c r="JQ234" s="16"/>
      <c r="JR234" s="16"/>
      <c r="JS234" s="16"/>
      <c r="JT234" s="16"/>
      <c r="JU234" s="16"/>
      <c r="JV234" s="16"/>
      <c r="JW234" s="16"/>
      <c r="JX234" s="16"/>
      <c r="JY234" s="16"/>
      <c r="JZ234" s="16"/>
      <c r="KA234" s="16"/>
      <c r="KB234" s="16"/>
      <c r="KC234" s="16"/>
      <c r="KD234" s="16"/>
      <c r="KE234" s="16"/>
      <c r="KF234" s="16"/>
      <c r="KG234" s="16"/>
      <c r="KH234" s="16"/>
      <c r="KK234" s="9"/>
      <c r="KL234" s="16"/>
      <c r="KM234" s="16"/>
      <c r="KN234" s="16"/>
      <c r="KO234" s="16"/>
      <c r="KP234" s="16"/>
      <c r="KQ234" s="16"/>
      <c r="KR234" s="16"/>
      <c r="KS234" s="16"/>
      <c r="KT234" s="16"/>
      <c r="KU234" s="16"/>
      <c r="KV234" s="16"/>
      <c r="KW234" s="16"/>
      <c r="KX234" s="16"/>
      <c r="KY234" s="16"/>
      <c r="KZ234" s="16"/>
      <c r="LA234" s="16"/>
      <c r="LB234" s="16"/>
      <c r="LC234" s="16"/>
      <c r="LD234" s="16"/>
      <c r="LE234" s="16"/>
      <c r="LF234" s="16"/>
      <c r="LI234" s="9"/>
      <c r="LJ234" s="16"/>
      <c r="LK234" s="16"/>
      <c r="LL234" s="16"/>
      <c r="LM234" s="16"/>
      <c r="LN234" s="16"/>
      <c r="LO234" s="16"/>
      <c r="LP234" s="16"/>
      <c r="LQ234" s="16"/>
      <c r="LR234" s="16"/>
      <c r="LS234" s="16"/>
      <c r="LT234" s="16"/>
      <c r="LU234" s="16"/>
      <c r="LV234" s="16"/>
      <c r="LW234" s="16"/>
      <c r="LX234" s="16"/>
      <c r="LY234" s="16"/>
      <c r="LZ234" s="16"/>
      <c r="MA234" s="16"/>
      <c r="MB234" s="16"/>
      <c r="MC234" s="16"/>
      <c r="MD234" s="16"/>
      <c r="MG234" s="9"/>
      <c r="MH234" s="16"/>
      <c r="MI234" s="16"/>
      <c r="MJ234" s="16"/>
      <c r="MK234" s="16"/>
      <c r="ML234" s="16"/>
      <c r="MM234" s="16"/>
      <c r="MN234" s="16"/>
      <c r="MO234" s="16"/>
      <c r="MP234" s="16"/>
      <c r="MQ234" s="16"/>
      <c r="MR234" s="16"/>
      <c r="MS234" s="16"/>
      <c r="MT234" s="16"/>
      <c r="MU234" s="16"/>
      <c r="MV234" s="16"/>
      <c r="MW234" s="16"/>
      <c r="MX234" s="16"/>
      <c r="MY234" s="16"/>
      <c r="MZ234" s="16"/>
      <c r="NA234" s="16"/>
      <c r="NB234" s="16"/>
      <c r="NE234" s="9"/>
      <c r="NF234" s="16"/>
      <c r="NG234" s="16"/>
      <c r="NH234" s="16"/>
      <c r="NI234" s="16"/>
      <c r="NJ234" s="16"/>
      <c r="NK234" s="16"/>
      <c r="NL234" s="16"/>
      <c r="NM234" s="16"/>
      <c r="NN234" s="16"/>
      <c r="NO234" s="16"/>
      <c r="NP234" s="16"/>
      <c r="NQ234" s="16"/>
      <c r="NR234" s="16"/>
      <c r="NS234" s="16"/>
      <c r="NT234" s="16"/>
      <c r="NU234" s="16"/>
      <c r="NV234" s="16"/>
      <c r="NW234" s="16"/>
      <c r="NX234" s="16"/>
      <c r="NY234" s="16"/>
      <c r="NZ234" s="16"/>
      <c r="OC234" s="9"/>
      <c r="OD234" s="16"/>
      <c r="OE234" s="16"/>
      <c r="OF234" s="16"/>
      <c r="OG234" s="16"/>
      <c r="OH234" s="16"/>
      <c r="OI234" s="16"/>
      <c r="OJ234" s="16"/>
      <c r="OK234" s="16"/>
      <c r="OL234" s="16"/>
      <c r="OM234" s="16"/>
      <c r="ON234" s="16"/>
      <c r="OO234" s="16"/>
      <c r="OP234" s="16"/>
      <c r="OQ234" s="16"/>
      <c r="OR234" s="16"/>
      <c r="OS234" s="16"/>
      <c r="OT234" s="16"/>
      <c r="OU234" s="16"/>
      <c r="OV234" s="16"/>
      <c r="OW234" s="16"/>
      <c r="OX234" s="16"/>
      <c r="PA234" s="9"/>
      <c r="PB234" s="16"/>
      <c r="PC234" s="16"/>
      <c r="PD234" s="16"/>
      <c r="PE234" s="16"/>
      <c r="PF234" s="16"/>
      <c r="PG234" s="16"/>
      <c r="PH234" s="16"/>
      <c r="PI234" s="16"/>
      <c r="PJ234" s="16"/>
      <c r="PK234" s="16"/>
      <c r="PL234" s="16"/>
      <c r="PM234" s="16"/>
      <c r="PN234" s="16"/>
      <c r="PO234" s="16"/>
      <c r="PP234" s="16"/>
      <c r="PQ234" s="16"/>
      <c r="PR234" s="16"/>
      <c r="PS234" s="16"/>
      <c r="PT234" s="16"/>
      <c r="PU234" s="16"/>
      <c r="PV234" s="16"/>
    </row>
    <row r="235" spans="3:438" x14ac:dyDescent="0.25">
      <c r="C235" s="1"/>
      <c r="D235" s="1"/>
      <c r="I235" s="9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G235" s="9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E235" s="9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C235" s="9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DA235" s="9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Y235" s="9"/>
      <c r="DZ235" s="16"/>
      <c r="EA235" s="16"/>
      <c r="EB235" s="16"/>
      <c r="EC235" s="16"/>
      <c r="ED235" s="16"/>
      <c r="EE235" s="16"/>
      <c r="EF235" s="16"/>
      <c r="EG235" s="16"/>
      <c r="EH235" s="16"/>
      <c r="EI235" s="16"/>
      <c r="EJ235" s="16"/>
      <c r="EK235" s="16"/>
      <c r="EL235" s="16"/>
      <c r="EM235" s="16"/>
      <c r="EN235" s="16"/>
      <c r="EO235" s="16"/>
      <c r="EP235" s="16"/>
      <c r="EQ235" s="16"/>
      <c r="ER235" s="16"/>
      <c r="ES235" s="16"/>
      <c r="ET235" s="16"/>
      <c r="EW235" s="9"/>
      <c r="EX235" s="16"/>
      <c r="EY235" s="16"/>
      <c r="EZ235" s="16"/>
      <c r="FA235" s="16"/>
      <c r="FB235" s="16"/>
      <c r="FC235" s="16"/>
      <c r="FD235" s="16"/>
      <c r="FE235" s="16"/>
      <c r="FF235" s="16"/>
      <c r="FG235" s="16"/>
      <c r="FH235" s="16"/>
      <c r="FI235" s="16"/>
      <c r="FJ235" s="16"/>
      <c r="FK235" s="16"/>
      <c r="FL235" s="16"/>
      <c r="FM235" s="16"/>
      <c r="FN235" s="16"/>
      <c r="FO235" s="16"/>
      <c r="FP235" s="16"/>
      <c r="FQ235" s="16"/>
      <c r="FR235" s="16"/>
      <c r="FU235" s="9"/>
      <c r="FV235" s="16"/>
      <c r="FW235" s="16"/>
      <c r="FX235" s="16"/>
      <c r="FY235" s="16"/>
      <c r="FZ235" s="16"/>
      <c r="GA235" s="16"/>
      <c r="GB235" s="16"/>
      <c r="GC235" s="16"/>
      <c r="GD235" s="16"/>
      <c r="GE235" s="16"/>
      <c r="GF235" s="16"/>
      <c r="GG235" s="16"/>
      <c r="GH235" s="16"/>
      <c r="GI235" s="16"/>
      <c r="GJ235" s="16"/>
      <c r="GK235" s="16"/>
      <c r="GL235" s="16"/>
      <c r="GM235" s="16"/>
      <c r="GN235" s="16"/>
      <c r="GO235" s="16"/>
      <c r="GP235" s="16"/>
      <c r="GS235" s="9"/>
      <c r="GT235" s="16"/>
      <c r="GU235" s="16"/>
      <c r="GV235" s="16"/>
      <c r="GW235" s="16"/>
      <c r="GX235" s="16"/>
      <c r="GY235" s="16"/>
      <c r="GZ235" s="16"/>
      <c r="HA235" s="16"/>
      <c r="HB235" s="16"/>
      <c r="HC235" s="16"/>
      <c r="HD235" s="16"/>
      <c r="HE235" s="16"/>
      <c r="HF235" s="16"/>
      <c r="HG235" s="16"/>
      <c r="HH235" s="16"/>
      <c r="HI235" s="16"/>
      <c r="HJ235" s="16"/>
      <c r="HK235" s="16"/>
      <c r="HL235" s="16"/>
      <c r="HM235" s="16"/>
      <c r="HN235" s="16"/>
      <c r="HQ235" s="9"/>
      <c r="HR235" s="16"/>
      <c r="HS235" s="16"/>
      <c r="HT235" s="16"/>
      <c r="HU235" s="16"/>
      <c r="HV235" s="16"/>
      <c r="HW235" s="16"/>
      <c r="HX235" s="16"/>
      <c r="HY235" s="16"/>
      <c r="HZ235" s="16"/>
      <c r="IA235" s="16"/>
      <c r="IB235" s="16"/>
      <c r="IC235" s="16"/>
      <c r="ID235" s="16"/>
      <c r="IE235" s="16"/>
      <c r="IF235" s="16"/>
      <c r="IG235" s="16"/>
      <c r="IH235" s="16"/>
      <c r="II235" s="16"/>
      <c r="IJ235" s="16"/>
      <c r="IK235" s="16"/>
      <c r="IL235" s="16"/>
      <c r="IO235" s="9"/>
      <c r="IP235" s="16"/>
      <c r="IQ235" s="16"/>
      <c r="IR235" s="16"/>
      <c r="IS235" s="16"/>
      <c r="IT235" s="16"/>
      <c r="IU235" s="16"/>
      <c r="IV235" s="16"/>
      <c r="IW235" s="16"/>
      <c r="IX235" s="16"/>
      <c r="IY235" s="16"/>
      <c r="IZ235" s="16"/>
      <c r="JA235" s="16"/>
      <c r="JB235" s="16"/>
      <c r="JC235" s="16"/>
      <c r="JD235" s="16"/>
      <c r="JE235" s="16"/>
      <c r="JF235" s="16"/>
      <c r="JG235" s="16"/>
      <c r="JH235" s="16"/>
      <c r="JI235" s="16"/>
      <c r="JJ235" s="16"/>
      <c r="JM235" s="9"/>
      <c r="JN235" s="16"/>
      <c r="JO235" s="16"/>
      <c r="JP235" s="16"/>
      <c r="JQ235" s="16"/>
      <c r="JR235" s="16"/>
      <c r="JS235" s="16"/>
      <c r="JT235" s="16"/>
      <c r="JU235" s="16"/>
      <c r="JV235" s="16"/>
      <c r="JW235" s="16"/>
      <c r="JX235" s="16"/>
      <c r="JY235" s="16"/>
      <c r="JZ235" s="16"/>
      <c r="KA235" s="16"/>
      <c r="KB235" s="16"/>
      <c r="KC235" s="16"/>
      <c r="KD235" s="16"/>
      <c r="KE235" s="16"/>
      <c r="KF235" s="16"/>
      <c r="KG235" s="16"/>
      <c r="KH235" s="16"/>
      <c r="KK235" s="9"/>
      <c r="KL235" s="16"/>
      <c r="KM235" s="16"/>
      <c r="KN235" s="16"/>
      <c r="KO235" s="16"/>
      <c r="KP235" s="16"/>
      <c r="KQ235" s="16"/>
      <c r="KR235" s="16"/>
      <c r="KS235" s="16"/>
      <c r="KT235" s="16"/>
      <c r="KU235" s="16"/>
      <c r="KV235" s="16"/>
      <c r="KW235" s="16"/>
      <c r="KX235" s="16"/>
      <c r="KY235" s="16"/>
      <c r="KZ235" s="16"/>
      <c r="LA235" s="16"/>
      <c r="LB235" s="16"/>
      <c r="LC235" s="16"/>
      <c r="LD235" s="16"/>
      <c r="LE235" s="16"/>
      <c r="LF235" s="16"/>
      <c r="LI235" s="9"/>
      <c r="LJ235" s="16"/>
      <c r="LK235" s="16"/>
      <c r="LL235" s="16"/>
      <c r="LM235" s="16"/>
      <c r="LN235" s="16"/>
      <c r="LO235" s="16"/>
      <c r="LP235" s="16"/>
      <c r="LQ235" s="16"/>
      <c r="LR235" s="16"/>
      <c r="LS235" s="16"/>
      <c r="LT235" s="16"/>
      <c r="LU235" s="16"/>
      <c r="LV235" s="16"/>
      <c r="LW235" s="16"/>
      <c r="LX235" s="16"/>
      <c r="LY235" s="16"/>
      <c r="LZ235" s="16"/>
      <c r="MA235" s="16"/>
      <c r="MB235" s="16"/>
      <c r="MC235" s="16"/>
      <c r="MD235" s="16"/>
      <c r="MG235" s="9"/>
      <c r="MH235" s="16"/>
      <c r="MI235" s="16"/>
      <c r="MJ235" s="16"/>
      <c r="MK235" s="16"/>
      <c r="ML235" s="16"/>
      <c r="MM235" s="16"/>
      <c r="MN235" s="16"/>
      <c r="MO235" s="16"/>
      <c r="MP235" s="16"/>
      <c r="MQ235" s="16"/>
      <c r="MR235" s="16"/>
      <c r="MS235" s="16"/>
      <c r="MT235" s="16"/>
      <c r="MU235" s="16"/>
      <c r="MV235" s="16"/>
      <c r="MW235" s="16"/>
      <c r="MX235" s="16"/>
      <c r="MY235" s="16"/>
      <c r="MZ235" s="16"/>
      <c r="NA235" s="16"/>
      <c r="NB235" s="16"/>
      <c r="NE235" s="9"/>
      <c r="NF235" s="16"/>
      <c r="NG235" s="16"/>
      <c r="NH235" s="16"/>
      <c r="NI235" s="16"/>
      <c r="NJ235" s="16"/>
      <c r="NK235" s="16"/>
      <c r="NL235" s="16"/>
      <c r="NM235" s="16"/>
      <c r="NN235" s="16"/>
      <c r="NO235" s="16"/>
      <c r="NP235" s="16"/>
      <c r="NQ235" s="16"/>
      <c r="NR235" s="16"/>
      <c r="NS235" s="16"/>
      <c r="NT235" s="16"/>
      <c r="NU235" s="16"/>
      <c r="NV235" s="16"/>
      <c r="NW235" s="16"/>
      <c r="NX235" s="16"/>
      <c r="NY235" s="16"/>
      <c r="NZ235" s="16"/>
      <c r="OC235" s="9"/>
      <c r="OD235" s="16"/>
      <c r="OE235" s="16"/>
      <c r="OF235" s="16"/>
      <c r="OG235" s="16"/>
      <c r="OH235" s="16"/>
      <c r="OI235" s="16"/>
      <c r="OJ235" s="16"/>
      <c r="OK235" s="16"/>
      <c r="OL235" s="16"/>
      <c r="OM235" s="16"/>
      <c r="ON235" s="16"/>
      <c r="OO235" s="16"/>
      <c r="OP235" s="16"/>
      <c r="OQ235" s="16"/>
      <c r="OR235" s="16"/>
      <c r="OS235" s="16"/>
      <c r="OT235" s="16"/>
      <c r="OU235" s="16"/>
      <c r="OV235" s="16"/>
      <c r="OW235" s="16"/>
      <c r="OX235" s="16"/>
      <c r="PA235" s="9"/>
      <c r="PB235" s="16"/>
      <c r="PC235" s="16"/>
      <c r="PD235" s="16"/>
      <c r="PE235" s="16"/>
      <c r="PF235" s="16"/>
      <c r="PG235" s="16"/>
      <c r="PH235" s="16"/>
      <c r="PI235" s="16"/>
      <c r="PJ235" s="16"/>
      <c r="PK235" s="16"/>
      <c r="PL235" s="16"/>
      <c r="PM235" s="16"/>
      <c r="PN235" s="16"/>
      <c r="PO235" s="16"/>
      <c r="PP235" s="16"/>
      <c r="PQ235" s="16"/>
      <c r="PR235" s="16"/>
      <c r="PS235" s="16"/>
      <c r="PT235" s="16"/>
      <c r="PU235" s="16"/>
      <c r="PV235" s="16"/>
    </row>
    <row r="236" spans="3:438" x14ac:dyDescent="0.25">
      <c r="C236" s="1"/>
      <c r="D236" s="1"/>
    </row>
    <row r="237" spans="3:438" x14ac:dyDescent="0.25">
      <c r="C237" s="1"/>
      <c r="D237" s="1"/>
      <c r="I237" s="11" t="s">
        <v>14</v>
      </c>
      <c r="J237" s="24">
        <f>J174</f>
        <v>20</v>
      </c>
      <c r="K237" s="24">
        <f t="shared" ref="K237:AD237" si="272">K174</f>
        <v>19</v>
      </c>
      <c r="L237" s="24">
        <f t="shared" si="272"/>
        <v>18</v>
      </c>
      <c r="M237" s="24">
        <f t="shared" si="272"/>
        <v>17</v>
      </c>
      <c r="N237" s="24">
        <f t="shared" si="272"/>
        <v>16</v>
      </c>
      <c r="O237" s="24">
        <f t="shared" si="272"/>
        <v>15</v>
      </c>
      <c r="P237" s="24">
        <f t="shared" si="272"/>
        <v>14</v>
      </c>
      <c r="Q237" s="24">
        <f t="shared" si="272"/>
        <v>13</v>
      </c>
      <c r="R237" s="24">
        <f t="shared" si="272"/>
        <v>12</v>
      </c>
      <c r="S237" s="24">
        <f t="shared" si="272"/>
        <v>11</v>
      </c>
      <c r="T237" s="24">
        <f t="shared" si="272"/>
        <v>10</v>
      </c>
      <c r="U237" s="24">
        <f t="shared" si="272"/>
        <v>9</v>
      </c>
      <c r="V237" s="24">
        <f t="shared" si="272"/>
        <v>8</v>
      </c>
      <c r="W237" s="24">
        <f t="shared" si="272"/>
        <v>7</v>
      </c>
      <c r="X237" s="24">
        <f t="shared" si="272"/>
        <v>6</v>
      </c>
      <c r="Y237" s="24">
        <f t="shared" si="272"/>
        <v>5</v>
      </c>
      <c r="Z237" s="24">
        <f t="shared" si="272"/>
        <v>4</v>
      </c>
      <c r="AA237" s="24">
        <f t="shared" si="272"/>
        <v>3</v>
      </c>
      <c r="AB237" s="24">
        <f t="shared" si="272"/>
        <v>2</v>
      </c>
      <c r="AC237" s="24">
        <f t="shared" si="272"/>
        <v>1</v>
      </c>
      <c r="AD237" s="24">
        <f t="shared" si="272"/>
        <v>0</v>
      </c>
      <c r="AG237" s="11" t="s">
        <v>14</v>
      </c>
      <c r="AH237" s="24">
        <f>J237</f>
        <v>20</v>
      </c>
      <c r="AI237" s="24">
        <f>K237</f>
        <v>19</v>
      </c>
      <c r="AJ237" s="24">
        <f>L237</f>
        <v>18</v>
      </c>
      <c r="AK237" s="24">
        <f>M237</f>
        <v>17</v>
      </c>
      <c r="AL237" s="24">
        <f>N237</f>
        <v>16</v>
      </c>
      <c r="AM237" s="24">
        <f t="shared" ref="AM237:BB237" si="273">O237</f>
        <v>15</v>
      </c>
      <c r="AN237" s="24">
        <f t="shared" si="273"/>
        <v>14</v>
      </c>
      <c r="AO237" s="24">
        <f t="shared" si="273"/>
        <v>13</v>
      </c>
      <c r="AP237" s="24">
        <f t="shared" si="273"/>
        <v>12</v>
      </c>
      <c r="AQ237" s="24">
        <f t="shared" si="273"/>
        <v>11</v>
      </c>
      <c r="AR237" s="24">
        <f t="shared" si="273"/>
        <v>10</v>
      </c>
      <c r="AS237" s="24">
        <f t="shared" si="273"/>
        <v>9</v>
      </c>
      <c r="AT237" s="24">
        <f t="shared" si="273"/>
        <v>8</v>
      </c>
      <c r="AU237" s="24">
        <f t="shared" si="273"/>
        <v>7</v>
      </c>
      <c r="AV237" s="24">
        <f t="shared" si="273"/>
        <v>6</v>
      </c>
      <c r="AW237" s="24">
        <f t="shared" si="273"/>
        <v>5</v>
      </c>
      <c r="AX237" s="24">
        <f t="shared" si="273"/>
        <v>4</v>
      </c>
      <c r="AY237" s="24">
        <f t="shared" si="273"/>
        <v>3</v>
      </c>
      <c r="AZ237" s="24">
        <f t="shared" si="273"/>
        <v>2</v>
      </c>
      <c r="BA237" s="24">
        <f t="shared" si="273"/>
        <v>1</v>
      </c>
      <c r="BB237" s="24">
        <f t="shared" si="273"/>
        <v>0</v>
      </c>
      <c r="BE237" s="11" t="s">
        <v>14</v>
      </c>
      <c r="BF237" s="24">
        <f>AH237</f>
        <v>20</v>
      </c>
      <c r="BG237" s="24">
        <f>AI237</f>
        <v>19</v>
      </c>
      <c r="BH237" s="24">
        <f>AJ237</f>
        <v>18</v>
      </c>
      <c r="BI237" s="24">
        <f>AK237</f>
        <v>17</v>
      </c>
      <c r="BJ237" s="24">
        <f>AL237</f>
        <v>16</v>
      </c>
      <c r="BK237" s="24">
        <f t="shared" ref="BK237:BZ237" si="274">AM237</f>
        <v>15</v>
      </c>
      <c r="BL237" s="24">
        <f t="shared" si="274"/>
        <v>14</v>
      </c>
      <c r="BM237" s="24">
        <f t="shared" si="274"/>
        <v>13</v>
      </c>
      <c r="BN237" s="24">
        <f t="shared" si="274"/>
        <v>12</v>
      </c>
      <c r="BO237" s="24">
        <f t="shared" si="274"/>
        <v>11</v>
      </c>
      <c r="BP237" s="24">
        <f t="shared" si="274"/>
        <v>10</v>
      </c>
      <c r="BQ237" s="24">
        <f t="shared" si="274"/>
        <v>9</v>
      </c>
      <c r="BR237" s="24">
        <f t="shared" si="274"/>
        <v>8</v>
      </c>
      <c r="BS237" s="24">
        <f t="shared" si="274"/>
        <v>7</v>
      </c>
      <c r="BT237" s="24">
        <f t="shared" si="274"/>
        <v>6</v>
      </c>
      <c r="BU237" s="24">
        <f t="shared" si="274"/>
        <v>5</v>
      </c>
      <c r="BV237" s="24">
        <f t="shared" si="274"/>
        <v>4</v>
      </c>
      <c r="BW237" s="24">
        <f t="shared" si="274"/>
        <v>3</v>
      </c>
      <c r="BX237" s="24">
        <f t="shared" si="274"/>
        <v>2</v>
      </c>
      <c r="BY237" s="24">
        <f t="shared" si="274"/>
        <v>1</v>
      </c>
      <c r="BZ237" s="24">
        <f t="shared" si="274"/>
        <v>0</v>
      </c>
      <c r="CC237" s="11" t="s">
        <v>14</v>
      </c>
      <c r="CD237" s="24">
        <f>BF237</f>
        <v>20</v>
      </c>
      <c r="CE237" s="24">
        <f>BG237</f>
        <v>19</v>
      </c>
      <c r="CF237" s="24">
        <f>BH237</f>
        <v>18</v>
      </c>
      <c r="CG237" s="24">
        <f>BI237</f>
        <v>17</v>
      </c>
      <c r="CH237" s="24">
        <f>BJ237</f>
        <v>16</v>
      </c>
      <c r="CI237" s="24">
        <f t="shared" ref="CI237:CX237" si="275">BK237</f>
        <v>15</v>
      </c>
      <c r="CJ237" s="24">
        <f t="shared" si="275"/>
        <v>14</v>
      </c>
      <c r="CK237" s="24">
        <f t="shared" si="275"/>
        <v>13</v>
      </c>
      <c r="CL237" s="24">
        <f t="shared" si="275"/>
        <v>12</v>
      </c>
      <c r="CM237" s="24">
        <f t="shared" si="275"/>
        <v>11</v>
      </c>
      <c r="CN237" s="24">
        <f t="shared" si="275"/>
        <v>10</v>
      </c>
      <c r="CO237" s="24">
        <f t="shared" si="275"/>
        <v>9</v>
      </c>
      <c r="CP237" s="24">
        <f t="shared" si="275"/>
        <v>8</v>
      </c>
      <c r="CQ237" s="24">
        <f t="shared" si="275"/>
        <v>7</v>
      </c>
      <c r="CR237" s="24">
        <f t="shared" si="275"/>
        <v>6</v>
      </c>
      <c r="CS237" s="24">
        <f t="shared" si="275"/>
        <v>5</v>
      </c>
      <c r="CT237" s="24">
        <f t="shared" si="275"/>
        <v>4</v>
      </c>
      <c r="CU237" s="24">
        <f t="shared" si="275"/>
        <v>3</v>
      </c>
      <c r="CV237" s="24">
        <f t="shared" si="275"/>
        <v>2</v>
      </c>
      <c r="CW237" s="24">
        <f t="shared" si="275"/>
        <v>1</v>
      </c>
      <c r="CX237" s="24">
        <f t="shared" si="275"/>
        <v>0</v>
      </c>
      <c r="DA237" s="11" t="s">
        <v>14</v>
      </c>
      <c r="DB237" s="24">
        <f>CD237</f>
        <v>20</v>
      </c>
      <c r="DC237" s="24">
        <f>CE237</f>
        <v>19</v>
      </c>
      <c r="DD237" s="24">
        <f>CF237</f>
        <v>18</v>
      </c>
      <c r="DE237" s="24">
        <f>CG237</f>
        <v>17</v>
      </c>
      <c r="DF237" s="24">
        <f>CH237</f>
        <v>16</v>
      </c>
      <c r="DG237" s="24">
        <f t="shared" ref="DG237:DV237" si="276">CI237</f>
        <v>15</v>
      </c>
      <c r="DH237" s="24">
        <f t="shared" si="276"/>
        <v>14</v>
      </c>
      <c r="DI237" s="24">
        <f t="shared" si="276"/>
        <v>13</v>
      </c>
      <c r="DJ237" s="24">
        <f t="shared" si="276"/>
        <v>12</v>
      </c>
      <c r="DK237" s="24">
        <f t="shared" si="276"/>
        <v>11</v>
      </c>
      <c r="DL237" s="24">
        <f t="shared" si="276"/>
        <v>10</v>
      </c>
      <c r="DM237" s="24">
        <f t="shared" si="276"/>
        <v>9</v>
      </c>
      <c r="DN237" s="24">
        <f t="shared" si="276"/>
        <v>8</v>
      </c>
      <c r="DO237" s="24">
        <f t="shared" si="276"/>
        <v>7</v>
      </c>
      <c r="DP237" s="24">
        <f t="shared" si="276"/>
        <v>6</v>
      </c>
      <c r="DQ237" s="24">
        <f t="shared" si="276"/>
        <v>5</v>
      </c>
      <c r="DR237" s="24">
        <f t="shared" si="276"/>
        <v>4</v>
      </c>
      <c r="DS237" s="24">
        <f t="shared" si="276"/>
        <v>3</v>
      </c>
      <c r="DT237" s="24">
        <f t="shared" si="276"/>
        <v>2</v>
      </c>
      <c r="DU237" s="24">
        <f t="shared" si="276"/>
        <v>1</v>
      </c>
      <c r="DV237" s="24">
        <f t="shared" si="276"/>
        <v>0</v>
      </c>
      <c r="DY237" s="11" t="s">
        <v>14</v>
      </c>
      <c r="DZ237" s="24">
        <f>DB237</f>
        <v>20</v>
      </c>
      <c r="EA237" s="24">
        <f>DC237</f>
        <v>19</v>
      </c>
      <c r="EB237" s="24">
        <f>DD237</f>
        <v>18</v>
      </c>
      <c r="EC237" s="24">
        <f>DE237</f>
        <v>17</v>
      </c>
      <c r="ED237" s="24">
        <f>DF237</f>
        <v>16</v>
      </c>
      <c r="EE237" s="24">
        <f t="shared" ref="EE237:ET237" si="277">DG237</f>
        <v>15</v>
      </c>
      <c r="EF237" s="24">
        <f t="shared" si="277"/>
        <v>14</v>
      </c>
      <c r="EG237" s="24">
        <f t="shared" si="277"/>
        <v>13</v>
      </c>
      <c r="EH237" s="24">
        <f t="shared" si="277"/>
        <v>12</v>
      </c>
      <c r="EI237" s="24">
        <f t="shared" si="277"/>
        <v>11</v>
      </c>
      <c r="EJ237" s="24">
        <f t="shared" si="277"/>
        <v>10</v>
      </c>
      <c r="EK237" s="24">
        <f t="shared" si="277"/>
        <v>9</v>
      </c>
      <c r="EL237" s="24">
        <f t="shared" si="277"/>
        <v>8</v>
      </c>
      <c r="EM237" s="24">
        <f t="shared" si="277"/>
        <v>7</v>
      </c>
      <c r="EN237" s="24">
        <f t="shared" si="277"/>
        <v>6</v>
      </c>
      <c r="EO237" s="24">
        <f t="shared" si="277"/>
        <v>5</v>
      </c>
      <c r="EP237" s="24">
        <f t="shared" si="277"/>
        <v>4</v>
      </c>
      <c r="EQ237" s="24">
        <f t="shared" si="277"/>
        <v>3</v>
      </c>
      <c r="ER237" s="24">
        <f t="shared" si="277"/>
        <v>2</v>
      </c>
      <c r="ES237" s="24">
        <f t="shared" si="277"/>
        <v>1</v>
      </c>
      <c r="ET237" s="24">
        <f t="shared" si="277"/>
        <v>0</v>
      </c>
      <c r="EW237" s="11" t="s">
        <v>14</v>
      </c>
      <c r="EX237" s="24">
        <f>DZ237</f>
        <v>20</v>
      </c>
      <c r="EY237" s="24">
        <f>EA237</f>
        <v>19</v>
      </c>
      <c r="EZ237" s="24">
        <f>EB237</f>
        <v>18</v>
      </c>
      <c r="FA237" s="24">
        <f>EC237</f>
        <v>17</v>
      </c>
      <c r="FB237" s="24">
        <f>ED237</f>
        <v>16</v>
      </c>
      <c r="FC237" s="24">
        <f t="shared" ref="FC237:FR237" si="278">EE237</f>
        <v>15</v>
      </c>
      <c r="FD237" s="24">
        <f t="shared" si="278"/>
        <v>14</v>
      </c>
      <c r="FE237" s="24">
        <f t="shared" si="278"/>
        <v>13</v>
      </c>
      <c r="FF237" s="24">
        <f t="shared" si="278"/>
        <v>12</v>
      </c>
      <c r="FG237" s="24">
        <f t="shared" si="278"/>
        <v>11</v>
      </c>
      <c r="FH237" s="24">
        <f t="shared" si="278"/>
        <v>10</v>
      </c>
      <c r="FI237" s="24">
        <f t="shared" si="278"/>
        <v>9</v>
      </c>
      <c r="FJ237" s="24">
        <f t="shared" si="278"/>
        <v>8</v>
      </c>
      <c r="FK237" s="24">
        <f t="shared" si="278"/>
        <v>7</v>
      </c>
      <c r="FL237" s="24">
        <f t="shared" si="278"/>
        <v>6</v>
      </c>
      <c r="FM237" s="24">
        <f t="shared" si="278"/>
        <v>5</v>
      </c>
      <c r="FN237" s="24">
        <f t="shared" si="278"/>
        <v>4</v>
      </c>
      <c r="FO237" s="24">
        <f t="shared" si="278"/>
        <v>3</v>
      </c>
      <c r="FP237" s="24">
        <f t="shared" si="278"/>
        <v>2</v>
      </c>
      <c r="FQ237" s="24">
        <f t="shared" si="278"/>
        <v>1</v>
      </c>
      <c r="FR237" s="24">
        <f t="shared" si="278"/>
        <v>0</v>
      </c>
      <c r="FU237" s="11" t="s">
        <v>14</v>
      </c>
      <c r="FV237" s="24">
        <f>EX237</f>
        <v>20</v>
      </c>
      <c r="FW237" s="24">
        <f>EY237</f>
        <v>19</v>
      </c>
      <c r="FX237" s="24">
        <f>EZ237</f>
        <v>18</v>
      </c>
      <c r="FY237" s="24">
        <f>FA237</f>
        <v>17</v>
      </c>
      <c r="FZ237" s="24">
        <f>FB237</f>
        <v>16</v>
      </c>
      <c r="GA237" s="24">
        <f t="shared" ref="GA237:GP237" si="279">FC237</f>
        <v>15</v>
      </c>
      <c r="GB237" s="24">
        <f t="shared" si="279"/>
        <v>14</v>
      </c>
      <c r="GC237" s="24">
        <f t="shared" si="279"/>
        <v>13</v>
      </c>
      <c r="GD237" s="24">
        <f t="shared" si="279"/>
        <v>12</v>
      </c>
      <c r="GE237" s="24">
        <f t="shared" si="279"/>
        <v>11</v>
      </c>
      <c r="GF237" s="24">
        <f t="shared" si="279"/>
        <v>10</v>
      </c>
      <c r="GG237" s="24">
        <f t="shared" si="279"/>
        <v>9</v>
      </c>
      <c r="GH237" s="24">
        <f t="shared" si="279"/>
        <v>8</v>
      </c>
      <c r="GI237" s="24">
        <f t="shared" si="279"/>
        <v>7</v>
      </c>
      <c r="GJ237" s="24">
        <f t="shared" si="279"/>
        <v>6</v>
      </c>
      <c r="GK237" s="24">
        <f t="shared" si="279"/>
        <v>5</v>
      </c>
      <c r="GL237" s="24">
        <f t="shared" si="279"/>
        <v>4</v>
      </c>
      <c r="GM237" s="24">
        <f t="shared" si="279"/>
        <v>3</v>
      </c>
      <c r="GN237" s="24">
        <f t="shared" si="279"/>
        <v>2</v>
      </c>
      <c r="GO237" s="24">
        <f t="shared" si="279"/>
        <v>1</v>
      </c>
      <c r="GP237" s="24">
        <f t="shared" si="279"/>
        <v>0</v>
      </c>
      <c r="GS237" s="11" t="s">
        <v>14</v>
      </c>
      <c r="GT237" s="24">
        <f>FV237</f>
        <v>20</v>
      </c>
      <c r="GU237" s="24">
        <f>FW237</f>
        <v>19</v>
      </c>
      <c r="GV237" s="24">
        <f>FX237</f>
        <v>18</v>
      </c>
      <c r="GW237" s="24">
        <f>FY237</f>
        <v>17</v>
      </c>
      <c r="GX237" s="24">
        <f>FZ237</f>
        <v>16</v>
      </c>
      <c r="GY237" s="24">
        <f t="shared" ref="GY237:HN237" si="280">GA237</f>
        <v>15</v>
      </c>
      <c r="GZ237" s="24">
        <f t="shared" si="280"/>
        <v>14</v>
      </c>
      <c r="HA237" s="24">
        <f t="shared" si="280"/>
        <v>13</v>
      </c>
      <c r="HB237" s="24">
        <f t="shared" si="280"/>
        <v>12</v>
      </c>
      <c r="HC237" s="24">
        <f t="shared" si="280"/>
        <v>11</v>
      </c>
      <c r="HD237" s="24">
        <f t="shared" si="280"/>
        <v>10</v>
      </c>
      <c r="HE237" s="24">
        <f t="shared" si="280"/>
        <v>9</v>
      </c>
      <c r="HF237" s="24">
        <f t="shared" si="280"/>
        <v>8</v>
      </c>
      <c r="HG237" s="24">
        <f t="shared" si="280"/>
        <v>7</v>
      </c>
      <c r="HH237" s="24">
        <f t="shared" si="280"/>
        <v>6</v>
      </c>
      <c r="HI237" s="24">
        <f t="shared" si="280"/>
        <v>5</v>
      </c>
      <c r="HJ237" s="24">
        <f t="shared" si="280"/>
        <v>4</v>
      </c>
      <c r="HK237" s="24">
        <f t="shared" si="280"/>
        <v>3</v>
      </c>
      <c r="HL237" s="24">
        <f t="shared" si="280"/>
        <v>2</v>
      </c>
      <c r="HM237" s="24">
        <f t="shared" si="280"/>
        <v>1</v>
      </c>
      <c r="HN237" s="24">
        <f t="shared" si="280"/>
        <v>0</v>
      </c>
      <c r="HQ237" s="11" t="s">
        <v>14</v>
      </c>
      <c r="HR237" s="24">
        <f>GT237</f>
        <v>20</v>
      </c>
      <c r="HS237" s="24">
        <f>GU237</f>
        <v>19</v>
      </c>
      <c r="HT237" s="24">
        <f>GV237</f>
        <v>18</v>
      </c>
      <c r="HU237" s="24">
        <f>GW237</f>
        <v>17</v>
      </c>
      <c r="HV237" s="24">
        <f>GX237</f>
        <v>16</v>
      </c>
      <c r="HW237" s="24">
        <f t="shared" ref="HW237:IL237" si="281">GY237</f>
        <v>15</v>
      </c>
      <c r="HX237" s="24">
        <f t="shared" si="281"/>
        <v>14</v>
      </c>
      <c r="HY237" s="24">
        <f t="shared" si="281"/>
        <v>13</v>
      </c>
      <c r="HZ237" s="24">
        <f t="shared" si="281"/>
        <v>12</v>
      </c>
      <c r="IA237" s="24">
        <f t="shared" si="281"/>
        <v>11</v>
      </c>
      <c r="IB237" s="24">
        <f t="shared" si="281"/>
        <v>10</v>
      </c>
      <c r="IC237" s="24">
        <f t="shared" si="281"/>
        <v>9</v>
      </c>
      <c r="ID237" s="24">
        <f t="shared" si="281"/>
        <v>8</v>
      </c>
      <c r="IE237" s="24">
        <f t="shared" si="281"/>
        <v>7</v>
      </c>
      <c r="IF237" s="24">
        <f t="shared" si="281"/>
        <v>6</v>
      </c>
      <c r="IG237" s="24">
        <f t="shared" si="281"/>
        <v>5</v>
      </c>
      <c r="IH237" s="24">
        <f t="shared" si="281"/>
        <v>4</v>
      </c>
      <c r="II237" s="24">
        <f t="shared" si="281"/>
        <v>3</v>
      </c>
      <c r="IJ237" s="24">
        <f t="shared" si="281"/>
        <v>2</v>
      </c>
      <c r="IK237" s="24">
        <f t="shared" si="281"/>
        <v>1</v>
      </c>
      <c r="IL237" s="24">
        <f t="shared" si="281"/>
        <v>0</v>
      </c>
      <c r="IO237" s="11" t="s">
        <v>14</v>
      </c>
      <c r="IP237" s="24">
        <f>HR237</f>
        <v>20</v>
      </c>
      <c r="IQ237" s="24">
        <f>HS237</f>
        <v>19</v>
      </c>
      <c r="IR237" s="24">
        <f>HT237</f>
        <v>18</v>
      </c>
      <c r="IS237" s="24">
        <f>HU237</f>
        <v>17</v>
      </c>
      <c r="IT237" s="24">
        <f>HV237</f>
        <v>16</v>
      </c>
      <c r="IU237" s="24">
        <f t="shared" ref="IU237:JJ237" si="282">HW237</f>
        <v>15</v>
      </c>
      <c r="IV237" s="24">
        <f t="shared" si="282"/>
        <v>14</v>
      </c>
      <c r="IW237" s="24">
        <f t="shared" si="282"/>
        <v>13</v>
      </c>
      <c r="IX237" s="24">
        <f t="shared" si="282"/>
        <v>12</v>
      </c>
      <c r="IY237" s="24">
        <f t="shared" si="282"/>
        <v>11</v>
      </c>
      <c r="IZ237" s="24">
        <f t="shared" si="282"/>
        <v>10</v>
      </c>
      <c r="JA237" s="24">
        <f t="shared" si="282"/>
        <v>9</v>
      </c>
      <c r="JB237" s="24">
        <f t="shared" si="282"/>
        <v>8</v>
      </c>
      <c r="JC237" s="24">
        <f t="shared" si="282"/>
        <v>7</v>
      </c>
      <c r="JD237" s="24">
        <f t="shared" si="282"/>
        <v>6</v>
      </c>
      <c r="JE237" s="24">
        <f t="shared" si="282"/>
        <v>5</v>
      </c>
      <c r="JF237" s="24">
        <f t="shared" si="282"/>
        <v>4</v>
      </c>
      <c r="JG237" s="24">
        <f t="shared" si="282"/>
        <v>3</v>
      </c>
      <c r="JH237" s="24">
        <f t="shared" si="282"/>
        <v>2</v>
      </c>
      <c r="JI237" s="24">
        <f t="shared" si="282"/>
        <v>1</v>
      </c>
      <c r="JJ237" s="24">
        <f t="shared" si="282"/>
        <v>0</v>
      </c>
      <c r="JM237" s="11" t="s">
        <v>14</v>
      </c>
      <c r="JN237" s="24">
        <f>IP237</f>
        <v>20</v>
      </c>
      <c r="JO237" s="24">
        <f>IQ237</f>
        <v>19</v>
      </c>
      <c r="JP237" s="24">
        <f>IR237</f>
        <v>18</v>
      </c>
      <c r="JQ237" s="24">
        <f>IS237</f>
        <v>17</v>
      </c>
      <c r="JR237" s="24">
        <f>IT237</f>
        <v>16</v>
      </c>
      <c r="JS237" s="24">
        <f t="shared" ref="JS237:KH237" si="283">IU237</f>
        <v>15</v>
      </c>
      <c r="JT237" s="24">
        <f t="shared" si="283"/>
        <v>14</v>
      </c>
      <c r="JU237" s="24">
        <f t="shared" si="283"/>
        <v>13</v>
      </c>
      <c r="JV237" s="24">
        <f t="shared" si="283"/>
        <v>12</v>
      </c>
      <c r="JW237" s="24">
        <f t="shared" si="283"/>
        <v>11</v>
      </c>
      <c r="JX237" s="24">
        <f t="shared" si="283"/>
        <v>10</v>
      </c>
      <c r="JY237" s="24">
        <f t="shared" si="283"/>
        <v>9</v>
      </c>
      <c r="JZ237" s="24">
        <f t="shared" si="283"/>
        <v>8</v>
      </c>
      <c r="KA237" s="24">
        <f t="shared" si="283"/>
        <v>7</v>
      </c>
      <c r="KB237" s="24">
        <f t="shared" si="283"/>
        <v>6</v>
      </c>
      <c r="KC237" s="24">
        <f t="shared" si="283"/>
        <v>5</v>
      </c>
      <c r="KD237" s="24">
        <f t="shared" si="283"/>
        <v>4</v>
      </c>
      <c r="KE237" s="24">
        <f t="shared" si="283"/>
        <v>3</v>
      </c>
      <c r="KF237" s="24">
        <f t="shared" si="283"/>
        <v>2</v>
      </c>
      <c r="KG237" s="24">
        <f t="shared" si="283"/>
        <v>1</v>
      </c>
      <c r="KH237" s="24">
        <f t="shared" si="283"/>
        <v>0</v>
      </c>
      <c r="KK237" s="11" t="s">
        <v>14</v>
      </c>
      <c r="KL237" s="24">
        <f>JN237</f>
        <v>20</v>
      </c>
      <c r="KM237" s="24">
        <f>JO237</f>
        <v>19</v>
      </c>
      <c r="KN237" s="24">
        <f>JP237</f>
        <v>18</v>
      </c>
      <c r="KO237" s="24">
        <f>JQ237</f>
        <v>17</v>
      </c>
      <c r="KP237" s="24">
        <f>JR237</f>
        <v>16</v>
      </c>
      <c r="KQ237" s="24">
        <f t="shared" ref="KQ237:LF237" si="284">JS237</f>
        <v>15</v>
      </c>
      <c r="KR237" s="24">
        <f t="shared" si="284"/>
        <v>14</v>
      </c>
      <c r="KS237" s="24">
        <f t="shared" si="284"/>
        <v>13</v>
      </c>
      <c r="KT237" s="24">
        <f t="shared" si="284"/>
        <v>12</v>
      </c>
      <c r="KU237" s="24">
        <f t="shared" si="284"/>
        <v>11</v>
      </c>
      <c r="KV237" s="24">
        <f t="shared" si="284"/>
        <v>10</v>
      </c>
      <c r="KW237" s="24">
        <f t="shared" si="284"/>
        <v>9</v>
      </c>
      <c r="KX237" s="24">
        <f t="shared" si="284"/>
        <v>8</v>
      </c>
      <c r="KY237" s="24">
        <f t="shared" si="284"/>
        <v>7</v>
      </c>
      <c r="KZ237" s="24">
        <f t="shared" si="284"/>
        <v>6</v>
      </c>
      <c r="LA237" s="24">
        <f t="shared" si="284"/>
        <v>5</v>
      </c>
      <c r="LB237" s="24">
        <f t="shared" si="284"/>
        <v>4</v>
      </c>
      <c r="LC237" s="24">
        <f t="shared" si="284"/>
        <v>3</v>
      </c>
      <c r="LD237" s="24">
        <f t="shared" si="284"/>
        <v>2</v>
      </c>
      <c r="LE237" s="24">
        <f t="shared" si="284"/>
        <v>1</v>
      </c>
      <c r="LF237" s="24">
        <f t="shared" si="284"/>
        <v>0</v>
      </c>
      <c r="LI237" s="11" t="s">
        <v>14</v>
      </c>
      <c r="LJ237" s="24">
        <f>KL237</f>
        <v>20</v>
      </c>
      <c r="LK237" s="24">
        <f>KM237</f>
        <v>19</v>
      </c>
      <c r="LL237" s="24">
        <f>KN237</f>
        <v>18</v>
      </c>
      <c r="LM237" s="24">
        <f>KO237</f>
        <v>17</v>
      </c>
      <c r="LN237" s="24">
        <f>KP237</f>
        <v>16</v>
      </c>
      <c r="LO237" s="24">
        <f t="shared" ref="LO237:MD237" si="285">KQ237</f>
        <v>15</v>
      </c>
      <c r="LP237" s="24">
        <f t="shared" si="285"/>
        <v>14</v>
      </c>
      <c r="LQ237" s="24">
        <f t="shared" si="285"/>
        <v>13</v>
      </c>
      <c r="LR237" s="24">
        <f t="shared" si="285"/>
        <v>12</v>
      </c>
      <c r="LS237" s="24">
        <f t="shared" si="285"/>
        <v>11</v>
      </c>
      <c r="LT237" s="24">
        <f t="shared" si="285"/>
        <v>10</v>
      </c>
      <c r="LU237" s="24">
        <f t="shared" si="285"/>
        <v>9</v>
      </c>
      <c r="LV237" s="24">
        <f t="shared" si="285"/>
        <v>8</v>
      </c>
      <c r="LW237" s="24">
        <f t="shared" si="285"/>
        <v>7</v>
      </c>
      <c r="LX237" s="24">
        <f t="shared" si="285"/>
        <v>6</v>
      </c>
      <c r="LY237" s="24">
        <f t="shared" si="285"/>
        <v>5</v>
      </c>
      <c r="LZ237" s="24">
        <f t="shared" si="285"/>
        <v>4</v>
      </c>
      <c r="MA237" s="24">
        <f t="shared" si="285"/>
        <v>3</v>
      </c>
      <c r="MB237" s="24">
        <f t="shared" si="285"/>
        <v>2</v>
      </c>
      <c r="MC237" s="24">
        <f t="shared" si="285"/>
        <v>1</v>
      </c>
      <c r="MD237" s="24">
        <f t="shared" si="285"/>
        <v>0</v>
      </c>
      <c r="MG237" s="11" t="s">
        <v>14</v>
      </c>
      <c r="MH237" s="24">
        <f>LJ237</f>
        <v>20</v>
      </c>
      <c r="MI237" s="24">
        <f>LK237</f>
        <v>19</v>
      </c>
      <c r="MJ237" s="24">
        <f>LL237</f>
        <v>18</v>
      </c>
      <c r="MK237" s="24">
        <f>LM237</f>
        <v>17</v>
      </c>
      <c r="ML237" s="24">
        <f>LN237</f>
        <v>16</v>
      </c>
      <c r="MM237" s="24">
        <f t="shared" ref="MM237:NB237" si="286">LO237</f>
        <v>15</v>
      </c>
      <c r="MN237" s="24">
        <f t="shared" si="286"/>
        <v>14</v>
      </c>
      <c r="MO237" s="24">
        <f t="shared" si="286"/>
        <v>13</v>
      </c>
      <c r="MP237" s="24">
        <f t="shared" si="286"/>
        <v>12</v>
      </c>
      <c r="MQ237" s="24">
        <f t="shared" si="286"/>
        <v>11</v>
      </c>
      <c r="MR237" s="24">
        <f t="shared" si="286"/>
        <v>10</v>
      </c>
      <c r="MS237" s="24">
        <f t="shared" si="286"/>
        <v>9</v>
      </c>
      <c r="MT237" s="24">
        <f t="shared" si="286"/>
        <v>8</v>
      </c>
      <c r="MU237" s="24">
        <f t="shared" si="286"/>
        <v>7</v>
      </c>
      <c r="MV237" s="24">
        <f t="shared" si="286"/>
        <v>6</v>
      </c>
      <c r="MW237" s="24">
        <f t="shared" si="286"/>
        <v>5</v>
      </c>
      <c r="MX237" s="24">
        <f t="shared" si="286"/>
        <v>4</v>
      </c>
      <c r="MY237" s="24">
        <f t="shared" si="286"/>
        <v>3</v>
      </c>
      <c r="MZ237" s="24">
        <f t="shared" si="286"/>
        <v>2</v>
      </c>
      <c r="NA237" s="24">
        <f t="shared" si="286"/>
        <v>1</v>
      </c>
      <c r="NB237" s="24">
        <f t="shared" si="286"/>
        <v>0</v>
      </c>
      <c r="NE237" s="11" t="s">
        <v>14</v>
      </c>
      <c r="NF237" s="24">
        <f>MH237</f>
        <v>20</v>
      </c>
      <c r="NG237" s="24">
        <f>MI237</f>
        <v>19</v>
      </c>
      <c r="NH237" s="24">
        <f>MJ237</f>
        <v>18</v>
      </c>
      <c r="NI237" s="24">
        <f>MK237</f>
        <v>17</v>
      </c>
      <c r="NJ237" s="24">
        <f>ML237</f>
        <v>16</v>
      </c>
      <c r="NK237" s="24">
        <f t="shared" ref="NK237:NZ237" si="287">MM237</f>
        <v>15</v>
      </c>
      <c r="NL237" s="24">
        <f t="shared" si="287"/>
        <v>14</v>
      </c>
      <c r="NM237" s="24">
        <f t="shared" si="287"/>
        <v>13</v>
      </c>
      <c r="NN237" s="24">
        <f t="shared" si="287"/>
        <v>12</v>
      </c>
      <c r="NO237" s="24">
        <f t="shared" si="287"/>
        <v>11</v>
      </c>
      <c r="NP237" s="24">
        <f t="shared" si="287"/>
        <v>10</v>
      </c>
      <c r="NQ237" s="24">
        <f t="shared" si="287"/>
        <v>9</v>
      </c>
      <c r="NR237" s="24">
        <f t="shared" si="287"/>
        <v>8</v>
      </c>
      <c r="NS237" s="24">
        <f t="shared" si="287"/>
        <v>7</v>
      </c>
      <c r="NT237" s="24">
        <f t="shared" si="287"/>
        <v>6</v>
      </c>
      <c r="NU237" s="24">
        <f t="shared" si="287"/>
        <v>5</v>
      </c>
      <c r="NV237" s="24">
        <f t="shared" si="287"/>
        <v>4</v>
      </c>
      <c r="NW237" s="24">
        <f t="shared" si="287"/>
        <v>3</v>
      </c>
      <c r="NX237" s="24">
        <f t="shared" si="287"/>
        <v>2</v>
      </c>
      <c r="NY237" s="24">
        <f t="shared" si="287"/>
        <v>1</v>
      </c>
      <c r="NZ237" s="24">
        <f t="shared" si="287"/>
        <v>0</v>
      </c>
      <c r="OC237" s="11" t="s">
        <v>14</v>
      </c>
      <c r="OD237" s="24">
        <f>NF237</f>
        <v>20</v>
      </c>
      <c r="OE237" s="24">
        <f>NG237</f>
        <v>19</v>
      </c>
      <c r="OF237" s="24">
        <f>NH237</f>
        <v>18</v>
      </c>
      <c r="OG237" s="24">
        <f>NI237</f>
        <v>17</v>
      </c>
      <c r="OH237" s="24">
        <f>NJ237</f>
        <v>16</v>
      </c>
      <c r="OI237" s="24">
        <f t="shared" ref="OI237:OX237" si="288">NK237</f>
        <v>15</v>
      </c>
      <c r="OJ237" s="24">
        <f t="shared" si="288"/>
        <v>14</v>
      </c>
      <c r="OK237" s="24">
        <f t="shared" si="288"/>
        <v>13</v>
      </c>
      <c r="OL237" s="24">
        <f t="shared" si="288"/>
        <v>12</v>
      </c>
      <c r="OM237" s="24">
        <f t="shared" si="288"/>
        <v>11</v>
      </c>
      <c r="ON237" s="24">
        <f t="shared" si="288"/>
        <v>10</v>
      </c>
      <c r="OO237" s="24">
        <f t="shared" si="288"/>
        <v>9</v>
      </c>
      <c r="OP237" s="24">
        <f t="shared" si="288"/>
        <v>8</v>
      </c>
      <c r="OQ237" s="24">
        <f t="shared" si="288"/>
        <v>7</v>
      </c>
      <c r="OR237" s="24">
        <f t="shared" si="288"/>
        <v>6</v>
      </c>
      <c r="OS237" s="24">
        <f t="shared" si="288"/>
        <v>5</v>
      </c>
      <c r="OT237" s="24">
        <f t="shared" si="288"/>
        <v>4</v>
      </c>
      <c r="OU237" s="24">
        <f t="shared" si="288"/>
        <v>3</v>
      </c>
      <c r="OV237" s="24">
        <f t="shared" si="288"/>
        <v>2</v>
      </c>
      <c r="OW237" s="24">
        <f t="shared" si="288"/>
        <v>1</v>
      </c>
      <c r="OX237" s="24">
        <f t="shared" si="288"/>
        <v>0</v>
      </c>
      <c r="PA237" s="11" t="s">
        <v>14</v>
      </c>
      <c r="PB237" s="24">
        <f>OD237</f>
        <v>20</v>
      </c>
      <c r="PC237" s="24">
        <f>OE237</f>
        <v>19</v>
      </c>
      <c r="PD237" s="24">
        <f>OF237</f>
        <v>18</v>
      </c>
      <c r="PE237" s="24">
        <f>OG237</f>
        <v>17</v>
      </c>
      <c r="PF237" s="24">
        <f>OH237</f>
        <v>16</v>
      </c>
      <c r="PG237" s="24">
        <f t="shared" ref="PG237:PV237" si="289">OI237</f>
        <v>15</v>
      </c>
      <c r="PH237" s="24">
        <f t="shared" si="289"/>
        <v>14</v>
      </c>
      <c r="PI237" s="24">
        <f t="shared" si="289"/>
        <v>13</v>
      </c>
      <c r="PJ237" s="24">
        <f t="shared" si="289"/>
        <v>12</v>
      </c>
      <c r="PK237" s="24">
        <f t="shared" si="289"/>
        <v>11</v>
      </c>
      <c r="PL237" s="24">
        <f t="shared" si="289"/>
        <v>10</v>
      </c>
      <c r="PM237" s="24">
        <f t="shared" si="289"/>
        <v>9</v>
      </c>
      <c r="PN237" s="24">
        <f t="shared" si="289"/>
        <v>8</v>
      </c>
      <c r="PO237" s="24">
        <f t="shared" si="289"/>
        <v>7</v>
      </c>
      <c r="PP237" s="24">
        <f t="shared" si="289"/>
        <v>6</v>
      </c>
      <c r="PQ237" s="24">
        <f t="shared" si="289"/>
        <v>5</v>
      </c>
      <c r="PR237" s="24">
        <f t="shared" si="289"/>
        <v>4</v>
      </c>
      <c r="PS237" s="24">
        <f t="shared" si="289"/>
        <v>3</v>
      </c>
      <c r="PT237" s="24">
        <f t="shared" si="289"/>
        <v>2</v>
      </c>
      <c r="PU237" s="24">
        <f t="shared" si="289"/>
        <v>1</v>
      </c>
      <c r="PV237" s="24">
        <f t="shared" si="289"/>
        <v>0</v>
      </c>
    </row>
    <row r="238" spans="3:438" x14ac:dyDescent="0.25">
      <c r="C238" s="1"/>
      <c r="D238" s="1"/>
      <c r="E238" s="48"/>
      <c r="I238" s="9">
        <f>J237</f>
        <v>20</v>
      </c>
      <c r="J238" s="32">
        <f t="array" ref="J238:AD258">IF(K109="Implicit",MINVERSE(J111:AD131),MMULT(MINVERSE(J111:AD131),J175:AD195))</f>
        <v>0.99925513499326524</v>
      </c>
      <c r="K238" s="16">
        <v>1.8635590104146397E-3</v>
      </c>
      <c r="L238" s="16">
        <v>2.7071351308245985E-5</v>
      </c>
      <c r="M238" s="16">
        <v>3.9197377957397613E-7</v>
      </c>
      <c r="N238" s="16">
        <v>5.6569181635806697E-9</v>
      </c>
      <c r="O238" s="16">
        <v>8.1371827141954546E-11</v>
      </c>
      <c r="P238" s="16">
        <v>1.1666348641897158E-12</v>
      </c>
      <c r="Q238" s="16">
        <v>1.6670858213661184E-14</v>
      </c>
      <c r="R238" s="16">
        <v>2.374315738108588E-16</v>
      </c>
      <c r="S238" s="16">
        <v>3.3703254783541663E-18</v>
      </c>
      <c r="T238" s="16">
        <v>4.7681882604290637E-20</v>
      </c>
      <c r="U238" s="16">
        <v>6.7232369718597229E-22</v>
      </c>
      <c r="V238" s="16">
        <v>9.4480498867955648E-24</v>
      </c>
      <c r="W238" s="16">
        <v>1.3232438799339895E-25</v>
      </c>
      <c r="X238" s="16">
        <v>1.8469994531301551E-27</v>
      </c>
      <c r="Y238" s="16">
        <v>2.5693185987038954E-29</v>
      </c>
      <c r="Z238" s="16">
        <v>3.5619564681975378E-31</v>
      </c>
      <c r="AA238" s="16">
        <v>4.9212316349096126E-33</v>
      </c>
      <c r="AB238" s="16">
        <v>6.7759256772669821E-35</v>
      </c>
      <c r="AC238" s="16">
        <v>9.2958125192453343E-37</v>
      </c>
      <c r="AD238" s="16">
        <v>1.3064677559847357E-38</v>
      </c>
      <c r="AF238" s="19"/>
      <c r="AG238" s="9">
        <f>AH237</f>
        <v>20</v>
      </c>
      <c r="AH238" s="32">
        <f t="array" ref="AH238:BB258">IF(AI109="Implicit",MINVERSE(AH111:BB131),MMULT(MINVERSE(AH111:BB131),AH175:BB195))</f>
        <v>0.99762873681664499</v>
      </c>
      <c r="AI238" s="16">
        <v>6.28904018778478E-3</v>
      </c>
      <c r="AJ238" s="16">
        <v>6.1766278468929927E-4</v>
      </c>
      <c r="AK238" s="16">
        <v>6.0444746793372495E-5</v>
      </c>
      <c r="AL238" s="16">
        <v>5.8938792365462347E-6</v>
      </c>
      <c r="AM238" s="16">
        <v>5.7263107918228182E-7</v>
      </c>
      <c r="AN238" s="16">
        <v>5.5433845270228477E-8</v>
      </c>
      <c r="AO238" s="16">
        <v>5.34683635603875E-9</v>
      </c>
      <c r="AP238" s="16">
        <v>5.1384949802776514E-10</v>
      </c>
      <c r="AQ238" s="16">
        <v>4.9202533681942803E-11</v>
      </c>
      <c r="AR238" s="16">
        <v>4.6940399562236944E-12</v>
      </c>
      <c r="AS238" s="16">
        <v>4.4617902923415536E-13</v>
      </c>
      <c r="AT238" s="16">
        <v>4.2254193902451933E-14</v>
      </c>
      <c r="AU238" s="16">
        <v>3.9867957249229764E-15</v>
      </c>
      <c r="AV238" s="16">
        <v>3.7477172712670837E-16</v>
      </c>
      <c r="AW238" s="16">
        <v>3.5098897296721331E-17</v>
      </c>
      <c r="AX238" s="16">
        <v>3.2749075794520293E-18</v>
      </c>
      <c r="AY238" s="16">
        <v>3.0442361848801945E-19</v>
      </c>
      <c r="AZ238" s="16">
        <v>2.8189982352188551E-20</v>
      </c>
      <c r="BA238" s="16">
        <v>2.5793923058069918E-21</v>
      </c>
      <c r="BB238" s="16">
        <v>2.8709063078885496E-22</v>
      </c>
      <c r="BE238" s="9">
        <f>BF237</f>
        <v>20</v>
      </c>
      <c r="BF238" s="32">
        <f t="array" ref="BF238:BZ258">IF(BG109="Implicit",MINVERSE(BF111:BZ131),MMULT(MINVERSE(BF111:BZ131),BF175:BZ195))</f>
        <v>0.9976289687671539</v>
      </c>
      <c r="BG238" s="16">
        <v>6.2883618663761142E-3</v>
      </c>
      <c r="BH238" s="16">
        <v>6.1752943454295253E-4</v>
      </c>
      <c r="BI238" s="16">
        <v>6.0425170032069606E-5</v>
      </c>
      <c r="BJ238" s="16">
        <v>5.891334204383782E-6</v>
      </c>
      <c r="BK238" s="16">
        <v>5.7232203767503275E-7</v>
      </c>
      <c r="BL238" s="16">
        <v>5.53979512259358E-8</v>
      </c>
      <c r="BM238" s="16">
        <v>5.3427979833588693E-9</v>
      </c>
      <c r="BN238" s="16">
        <v>5.1340604550779723E-10</v>
      </c>
      <c r="BO238" s="16">
        <v>4.9154774465596492E-11</v>
      </c>
      <c r="BP238" s="16">
        <v>4.688978477766783E-12</v>
      </c>
      <c r="BQ238" s="16">
        <v>4.4564993389366145E-13</v>
      </c>
      <c r="BR238" s="16">
        <v>4.2199544777196934E-14</v>
      </c>
      <c r="BS238" s="16">
        <v>3.9812110432350827E-15</v>
      </c>
      <c r="BT238" s="16">
        <v>3.7420649868317669E-16</v>
      </c>
      <c r="BU238" s="16">
        <v>3.504219361696835E-17</v>
      </c>
      <c r="BV238" s="16">
        <v>3.2692654593876039E-18</v>
      </c>
      <c r="BW238" s="16">
        <v>3.0386650103917923E-19</v>
      </c>
      <c r="BX238" s="16">
        <v>2.8135371915427168E-20</v>
      </c>
      <c r="BY238" s="16">
        <v>2.5741236033901001E-21</v>
      </c>
      <c r="BZ238" s="16">
        <v>2.8646732347836493E-22</v>
      </c>
      <c r="CC238" s="9">
        <f>CD237</f>
        <v>20</v>
      </c>
      <c r="CD238" s="32">
        <f t="array" ref="CD238:CX258">IF(CE109="Implicit",MINVERSE(CD111:CX131),MMULT(MINVERSE(CD111:CX131),CD175:CX195))</f>
        <v>0.9976289687671539</v>
      </c>
      <c r="CE238" s="16">
        <v>6.2883618663760969E-3</v>
      </c>
      <c r="CF238" s="16">
        <v>6.1752943454294927E-4</v>
      </c>
      <c r="CG238" s="16">
        <v>6.0425170032069145E-5</v>
      </c>
      <c r="CH238" s="16">
        <v>5.8913342043837244E-6</v>
      </c>
      <c r="CI238" s="16">
        <v>5.7232203767502587E-7</v>
      </c>
      <c r="CJ238" s="16">
        <v>5.5397951225934993E-8</v>
      </c>
      <c r="CK238" s="16">
        <v>5.3427979833587808E-9</v>
      </c>
      <c r="CL238" s="16">
        <v>5.1340604550778751E-10</v>
      </c>
      <c r="CM238" s="16">
        <v>4.9154774465595451E-11</v>
      </c>
      <c r="CN238" s="16">
        <v>4.688978477766674E-12</v>
      </c>
      <c r="CO238" s="16">
        <v>4.4564993389364968E-13</v>
      </c>
      <c r="CP238" s="16">
        <v>4.2199544777195741E-14</v>
      </c>
      <c r="CQ238" s="16">
        <v>3.9812110432349589E-15</v>
      </c>
      <c r="CR238" s="16">
        <v>3.7420649868316441E-16</v>
      </c>
      <c r="CS238" s="16">
        <v>3.5042193616967117E-17</v>
      </c>
      <c r="CT238" s="16">
        <v>3.2692654593874795E-18</v>
      </c>
      <c r="CU238" s="16">
        <v>3.0386650103916686E-19</v>
      </c>
      <c r="CV238" s="16">
        <v>2.8135371915425964E-20</v>
      </c>
      <c r="CW238" s="16">
        <v>2.5741236033899824E-21</v>
      </c>
      <c r="CX238" s="16">
        <v>2.864673234783511E-22</v>
      </c>
      <c r="DA238" s="9">
        <f>DB237</f>
        <v>20</v>
      </c>
      <c r="DB238" s="32">
        <f t="array" ref="DB238:DV258">IF(DC109="Implicit",MINVERSE(DB111:DV131),MMULT(MINVERSE(DB111:DV131),DB175:DV195))</f>
        <v>0.99925475989183843</v>
      </c>
      <c r="DC238" s="16">
        <v>1.8645042102934501E-3</v>
      </c>
      <c r="DD238" s="16">
        <v>2.7098823849983991E-5</v>
      </c>
      <c r="DE238" s="16">
        <v>3.9257062521702892E-7</v>
      </c>
      <c r="DF238" s="16">
        <v>5.6684059169544152E-9</v>
      </c>
      <c r="DG238" s="16">
        <v>8.1578434314762662E-11</v>
      </c>
      <c r="DH238" s="16">
        <v>1.1701902845557082E-12</v>
      </c>
      <c r="DI238" s="16">
        <v>1.6730145647994093E-14</v>
      </c>
      <c r="DJ238" s="16">
        <v>2.3839681549245058E-16</v>
      </c>
      <c r="DK238" s="16">
        <v>3.3857432737448289E-18</v>
      </c>
      <c r="DL238" s="16">
        <v>4.7924298554076627E-20</v>
      </c>
      <c r="DM238" s="16">
        <v>6.760844817067242E-22</v>
      </c>
      <c r="DN238" s="16">
        <v>9.505717248015605E-24</v>
      </c>
      <c r="DO238" s="16">
        <v>1.3319955114943805E-25</v>
      </c>
      <c r="DP238" s="16">
        <v>1.8601577463925344E-27</v>
      </c>
      <c r="DQ238" s="16">
        <v>2.588934706653237E-29</v>
      </c>
      <c r="DR238" s="16">
        <v>3.5909706938465639E-31</v>
      </c>
      <c r="DS238" s="16">
        <v>4.9638330296091842E-33</v>
      </c>
      <c r="DT238" s="16">
        <v>6.8380470230784798E-35</v>
      </c>
      <c r="DU238" s="16">
        <v>9.3857893555651626E-37</v>
      </c>
      <c r="DV238" s="16">
        <v>1.3198004929898888E-38</v>
      </c>
      <c r="DY238" s="9">
        <f>DZ237</f>
        <v>20</v>
      </c>
      <c r="DZ238" s="32">
        <f t="array" ref="DZ238:ET258">IF(EA109="Implicit",MINVERSE(DZ111:ET131),MMULT(MINVERSE(DZ111:ET131),DZ175:ET195))</f>
        <v>0.99745467532813292</v>
      </c>
      <c r="EA238" s="16">
        <v>6.6065645150060739E-3</v>
      </c>
      <c r="EB238" s="16">
        <v>4.9987947179927484E-4</v>
      </c>
      <c r="EC238" s="16">
        <v>3.7642513120505195E-5</v>
      </c>
      <c r="ED238" s="16">
        <v>2.8210266862186927E-6</v>
      </c>
      <c r="EE238" s="16">
        <v>2.1039847897561685E-7</v>
      </c>
      <c r="EF238" s="16">
        <v>1.5616230827695003E-8</v>
      </c>
      <c r="EG238" s="16">
        <v>1.1534517374436354E-9</v>
      </c>
      <c r="EH238" s="16">
        <v>8.4781969950822345E-11</v>
      </c>
      <c r="EI238" s="16">
        <v>6.2012558985120893E-12</v>
      </c>
      <c r="EJ238" s="16">
        <v>4.5135577245662549E-13</v>
      </c>
      <c r="EK238" s="16">
        <v>3.268982537502971E-14</v>
      </c>
      <c r="EL238" s="16">
        <v>2.3558705142243727E-15</v>
      </c>
      <c r="EM238" s="16">
        <v>1.6893760217150168E-16</v>
      </c>
      <c r="EN238" s="16">
        <v>1.2053915163812665E-17</v>
      </c>
      <c r="EO238" s="16">
        <v>8.5575125714237882E-19</v>
      </c>
      <c r="EP238" s="16">
        <v>6.0447062372872889E-20</v>
      </c>
      <c r="EQ238" s="16">
        <v>4.2481670092333748E-21</v>
      </c>
      <c r="ER238" s="16">
        <v>2.970343413465321E-22</v>
      </c>
      <c r="ES238" s="16">
        <v>2.056675433171951E-23</v>
      </c>
      <c r="ET238" s="16">
        <v>1.6409042716743933E-24</v>
      </c>
      <c r="EW238" s="9">
        <f>EX237</f>
        <v>20</v>
      </c>
      <c r="EX238" s="32">
        <f t="array" ref="EX238:FR258">IF(EY109="Implicit",MINVERSE(EX111:FR131),MMULT(MINVERSE(EX111:FR131),EX175:FR195))</f>
        <v>0.99745467532813292</v>
      </c>
      <c r="EY238" s="16">
        <v>6.6065645150060913E-3</v>
      </c>
      <c r="EZ238" s="16">
        <v>4.9987947179927733E-4</v>
      </c>
      <c r="FA238" s="16">
        <v>3.764251312050548E-5</v>
      </c>
      <c r="FB238" s="16">
        <v>2.8210266862187215E-6</v>
      </c>
      <c r="FC238" s="16">
        <v>2.1039847897561947E-7</v>
      </c>
      <c r="FD238" s="16">
        <v>1.5616230827695241E-8</v>
      </c>
      <c r="FE238" s="16">
        <v>1.1534517374436555E-9</v>
      </c>
      <c r="FF238" s="16">
        <v>8.4781969950824E-11</v>
      </c>
      <c r="FG238" s="16">
        <v>6.2012558985122291E-12</v>
      </c>
      <c r="FH238" s="16">
        <v>4.5135577245663675E-13</v>
      </c>
      <c r="FI238" s="16">
        <v>3.2689825375030631E-14</v>
      </c>
      <c r="FJ238" s="16">
        <v>2.3558705142244441E-15</v>
      </c>
      <c r="FK238" s="16">
        <v>1.6893760217150728E-16</v>
      </c>
      <c r="FL238" s="16">
        <v>1.2053915163813097E-17</v>
      </c>
      <c r="FM238" s="16">
        <v>8.5575125714241146E-19</v>
      </c>
      <c r="FN238" s="16">
        <v>6.0447062372875309E-20</v>
      </c>
      <c r="FO238" s="16">
        <v>4.2481670092335569E-21</v>
      </c>
      <c r="FP238" s="16">
        <v>2.9703434134654569E-22</v>
      </c>
      <c r="FQ238" s="16">
        <v>2.0566754331720516E-23</v>
      </c>
      <c r="FR238" s="16">
        <v>1.6409042716744767E-24</v>
      </c>
      <c r="FU238" s="9">
        <f>FV237</f>
        <v>20</v>
      </c>
      <c r="FV238" s="32">
        <f t="array" ref="FV238:GP258">IF(FW109="Implicit",MINVERSE(FV111:GP131),MMULT(MINVERSE(FV111:GP131),FV175:GP195))</f>
        <v>0.99745440459131129</v>
      </c>
      <c r="FW238" s="16">
        <v>6.6073102962355299E-3</v>
      </c>
      <c r="FX238" s="16">
        <v>4.9999244900305337E-4</v>
      </c>
      <c r="FY238" s="16">
        <v>3.7655277718370793E-5</v>
      </c>
      <c r="FZ238" s="16">
        <v>2.8223022413985523E-6</v>
      </c>
      <c r="GA238" s="16">
        <v>2.1051739343361163E-7</v>
      </c>
      <c r="GB238" s="16">
        <v>1.5626821465344298E-8</v>
      </c>
      <c r="GC238" s="16">
        <v>1.1543642833368685E-9</v>
      </c>
      <c r="GD238" s="16">
        <v>8.4858619057719296E-11</v>
      </c>
      <c r="GE238" s="16">
        <v>6.2075623920205405E-12</v>
      </c>
      <c r="GF238" s="16">
        <v>4.5186573001751622E-13</v>
      </c>
      <c r="GG238" s="16">
        <v>3.273044794683266E-14</v>
      </c>
      <c r="GH238" s="16">
        <v>2.3590638182215847E-15</v>
      </c>
      <c r="GI238" s="16">
        <v>1.6918564204139723E-16</v>
      </c>
      <c r="GJ238" s="16">
        <v>1.207297201754207E-17</v>
      </c>
      <c r="GK238" s="16">
        <v>8.5720061707173348E-19</v>
      </c>
      <c r="GL238" s="16">
        <v>6.0556250238135586E-20</v>
      </c>
      <c r="GM238" s="16">
        <v>4.2563191349925402E-21</v>
      </c>
      <c r="GN238" s="16">
        <v>2.9763778666412539E-22</v>
      </c>
      <c r="GO238" s="16">
        <v>2.0610830817292813E-23</v>
      </c>
      <c r="GP238" s="16">
        <v>1.6446326564416373E-24</v>
      </c>
      <c r="GS238" s="9">
        <f>GT237</f>
        <v>20</v>
      </c>
      <c r="GT238" s="32">
        <f t="array" ref="GT238:HN258">IF(GU109="Implicit",MINVERSE(GT111:HN131),MMULT(MINVERSE(GT111:HN131),GT175:HN195))</f>
        <v>0.99872056013740684</v>
      </c>
      <c r="GU238" s="16">
        <v>3.2058882194373893E-3</v>
      </c>
      <c r="GV238" s="16">
        <v>5.8760056877029013E-5</v>
      </c>
      <c r="GW238" s="16">
        <v>1.0721861079812413E-6</v>
      </c>
      <c r="GX238" s="16">
        <v>1.9476185101815075E-8</v>
      </c>
      <c r="GY238" s="16">
        <v>3.5218830413818957E-10</v>
      </c>
      <c r="GZ238" s="16">
        <v>6.3397876871447597E-12</v>
      </c>
      <c r="HA238" s="16">
        <v>1.1360426440124049E-13</v>
      </c>
      <c r="HB238" s="16">
        <v>2.0264038322576016E-15</v>
      </c>
      <c r="HC238" s="16">
        <v>3.5979907074237421E-17</v>
      </c>
      <c r="HD238" s="16">
        <v>6.3589864574586999E-19</v>
      </c>
      <c r="HE238" s="16">
        <v>1.1186665806127246E-20</v>
      </c>
      <c r="HF238" s="16">
        <v>1.9587964972416232E-22</v>
      </c>
      <c r="HG238" s="16">
        <v>3.413852592137875E-24</v>
      </c>
      <c r="HH238" s="16">
        <v>5.9218558058446885E-26</v>
      </c>
      <c r="HI238" s="16">
        <v>1.0223962506121683E-27</v>
      </c>
      <c r="HJ238" s="16">
        <v>1.7567892945568775E-29</v>
      </c>
      <c r="HK238" s="16">
        <v>3.0043441390447781E-31</v>
      </c>
      <c r="HL238" s="16">
        <v>5.113281780668646E-33</v>
      </c>
      <c r="HM238" s="16">
        <v>8.6584039872345934E-35</v>
      </c>
      <c r="HN238" s="16">
        <v>1.509668820197961E-36</v>
      </c>
      <c r="HQ238" s="9">
        <f>HR237</f>
        <v>20</v>
      </c>
      <c r="HR238" s="32">
        <f t="array" ref="HR238:IL258">IF(HS109="Implicit",MINVERSE(HR111:IL131),MMULT(MINVERSE(HR111:IL131),HR175:IL195))</f>
        <v>0.99327888502072881</v>
      </c>
      <c r="HS238" s="16">
        <v>1.7840433264041503E-2</v>
      </c>
      <c r="HT238" s="16">
        <v>1.8238485057772516E-3</v>
      </c>
      <c r="HU238" s="16">
        <v>1.8553878666287117E-4</v>
      </c>
      <c r="HV238" s="16">
        <v>1.8781696479692155E-5</v>
      </c>
      <c r="HW238" s="16">
        <v>1.8918234210777428E-6</v>
      </c>
      <c r="HX238" s="16">
        <v>1.8961095957563965E-7</v>
      </c>
      <c r="HY238" s="16">
        <v>1.8909266088316532E-8</v>
      </c>
      <c r="HZ238" s="16">
        <v>1.8763142325501703E-9</v>
      </c>
      <c r="IA238" s="16">
        <v>1.8524535222517028E-10</v>
      </c>
      <c r="IB238" s="16">
        <v>1.8196632340454641E-11</v>
      </c>
      <c r="IC238" s="16">
        <v>1.778392860689497E-12</v>
      </c>
      <c r="ID238" s="16">
        <v>1.7292123283333609E-13</v>
      </c>
      <c r="IE238" s="16">
        <v>1.6727988781138655E-14</v>
      </c>
      <c r="IF238" s="16">
        <v>1.6099215213814034E-15</v>
      </c>
      <c r="IG238" s="16">
        <v>1.541423413658862E-16</v>
      </c>
      <c r="IH238" s="16">
        <v>1.4682028797609386E-17</v>
      </c>
      <c r="II238" s="16">
        <v>1.391192634720961E-18</v>
      </c>
      <c r="IJ238" s="16">
        <v>1.3112392424585957E-19</v>
      </c>
      <c r="IK238" s="16">
        <v>1.2191565610498437E-20</v>
      </c>
      <c r="IL238" s="16">
        <v>1.3803378929865658E-21</v>
      </c>
      <c r="IO238" s="9">
        <f>IP237</f>
        <v>20</v>
      </c>
      <c r="IP238" s="32">
        <f t="array" ref="IP238:JJ258">IF(IQ109="Implicit",MINVERSE(IP111:JJ131),MMULT(MINVERSE(IP111:JJ131),IP175:JJ195))</f>
        <v>0.99872022829809726</v>
      </c>
      <c r="IQ238" s="16">
        <v>3.2067271674313673E-3</v>
      </c>
      <c r="IR238" s="16">
        <v>5.8790822993869144E-5</v>
      </c>
      <c r="IS238" s="16">
        <v>1.0730283441310367E-6</v>
      </c>
      <c r="IT238" s="16">
        <v>1.949658675386372E-8</v>
      </c>
      <c r="IU238" s="16">
        <v>3.5264951147018983E-10</v>
      </c>
      <c r="IV238" s="16">
        <v>6.3497514287332144E-12</v>
      </c>
      <c r="IW238" s="16">
        <v>1.1381258478107919E-13</v>
      </c>
      <c r="IX238" s="16">
        <v>2.0306509668023399E-15</v>
      </c>
      <c r="IY238" s="16">
        <v>3.6064751327609044E-17</v>
      </c>
      <c r="IZ238" s="16">
        <v>6.3756492146865068E-19</v>
      </c>
      <c r="JA238" s="16">
        <v>1.1218912918854363E-20</v>
      </c>
      <c r="JB238" s="16">
        <v>1.9649568580453337E-22</v>
      </c>
      <c r="JC238" s="16">
        <v>3.4254847817441642E-24</v>
      </c>
      <c r="JD238" s="16">
        <v>5.9435876576095117E-26</v>
      </c>
      <c r="JE238" s="16">
        <v>1.0264165526746805E-27</v>
      </c>
      <c r="JF238" s="16">
        <v>1.7641585731470784E-29</v>
      </c>
      <c r="JG238" s="16">
        <v>3.0177353827690538E-31</v>
      </c>
      <c r="JH238" s="16">
        <v>5.1374158979372105E-33</v>
      </c>
      <c r="JI238" s="16">
        <v>8.7015434299149921E-35</v>
      </c>
      <c r="JJ238" s="16">
        <v>1.5176006357144166E-36</v>
      </c>
      <c r="JM238" s="9">
        <f>JN237</f>
        <v>20</v>
      </c>
      <c r="JN238" s="32">
        <f t="array" ref="JN238:KH258">IF(JO109="Implicit",MINVERSE(JN111:KH131),MMULT(MINVERSE(JN111:KH131),JN175:KH195))</f>
        <v>0.99327897653451092</v>
      </c>
      <c r="JO238" s="16">
        <v>1.7840164742173578E-2</v>
      </c>
      <c r="JP238" s="16">
        <v>1.8237935348183988E-3</v>
      </c>
      <c r="JQ238" s="16">
        <v>1.855303965189546E-4</v>
      </c>
      <c r="JR238" s="16">
        <v>1.8780564087487149E-5</v>
      </c>
      <c r="JS238" s="16">
        <v>1.8916808612515662E-6</v>
      </c>
      <c r="JT238" s="16">
        <v>1.8959381670108932E-7</v>
      </c>
      <c r="JU238" s="16">
        <v>1.8907271967651732E-8</v>
      </c>
      <c r="JV238" s="16">
        <v>1.8760881452769068E-9</v>
      </c>
      <c r="JW238" s="16">
        <v>1.852202468382727E-10</v>
      </c>
      <c r="JX238" s="16">
        <v>1.8193892906008594E-11</v>
      </c>
      <c r="JY238" s="16">
        <v>1.7780984318423821E-12</v>
      </c>
      <c r="JZ238" s="16">
        <v>1.7289000962330475E-13</v>
      </c>
      <c r="KA238" s="16">
        <v>1.672471747282164E-14</v>
      </c>
      <c r="KB238" s="16">
        <v>1.6095825583882037E-15</v>
      </c>
      <c r="KC238" s="16">
        <v>1.5410757839569596E-16</v>
      </c>
      <c r="KD238" s="16">
        <v>1.4678497836006469E-17</v>
      </c>
      <c r="KE238" s="16">
        <v>1.3908372444060412E-18</v>
      </c>
      <c r="KF238" s="16">
        <v>1.31088467553307E-19</v>
      </c>
      <c r="KG238" s="16">
        <v>1.2188089765149896E-20</v>
      </c>
      <c r="KH238" s="16">
        <v>1.3799195657058208E-21</v>
      </c>
      <c r="KK238" s="9">
        <f>KL237</f>
        <v>20</v>
      </c>
      <c r="KL238" s="32">
        <f t="array" ref="KL238:LF258">IF(KM109="Implicit",MINVERSE(KL111:LF131),MMULT(MINVERSE(KL111:LF131),KL175:LF195))</f>
        <v>0.99892369463640007</v>
      </c>
      <c r="KM238" s="16">
        <v>2.6931096085396115E-3</v>
      </c>
      <c r="KN238" s="16">
        <v>4.1462552323504624E-5</v>
      </c>
      <c r="KO238" s="16">
        <v>6.3550478720965854E-7</v>
      </c>
      <c r="KP238" s="16">
        <v>9.696924714991373E-9</v>
      </c>
      <c r="KQ238" s="16">
        <v>1.4729676022900603E-10</v>
      </c>
      <c r="KR238" s="16">
        <v>2.2273464284043096E-12</v>
      </c>
      <c r="KS238" s="16">
        <v>3.3528114909128148E-14</v>
      </c>
      <c r="KT238" s="16">
        <v>5.0239881153681331E-16</v>
      </c>
      <c r="KU238" s="16">
        <v>7.4937189767987954E-18</v>
      </c>
      <c r="KV238" s="16">
        <v>1.1126195392446972E-19</v>
      </c>
      <c r="KW238" s="16">
        <v>1.6443244769137699E-21</v>
      </c>
      <c r="KX238" s="16">
        <v>2.4188609860207157E-23</v>
      </c>
      <c r="KY238" s="16">
        <v>3.5416671886098539E-25</v>
      </c>
      <c r="KZ238" s="16">
        <v>5.1614159939422624E-27</v>
      </c>
      <c r="LA238" s="16">
        <v>7.4866062822602861E-29</v>
      </c>
      <c r="LB238" s="16">
        <v>1.0808036283156128E-30</v>
      </c>
      <c r="LC238" s="16">
        <v>1.5529047846525345E-32</v>
      </c>
      <c r="LD238" s="16">
        <v>2.2205961787300782E-34</v>
      </c>
      <c r="LE238" s="16">
        <v>3.1595483485694619E-36</v>
      </c>
      <c r="LF238" s="16">
        <v>4.6035803655066057E-38</v>
      </c>
      <c r="LI238" s="9">
        <f>LJ237</f>
        <v>20</v>
      </c>
      <c r="LJ238" s="32">
        <f t="array" ref="LJ238:MD258">IF(LK109="Implicit",MINVERSE(LJ111:MD131),MMULT(MINVERSE(LJ111:MD131),LJ175:MD195))</f>
        <v>0.99327899941310516</v>
      </c>
      <c r="LK238" s="16">
        <v>1.7840097611448717E-2</v>
      </c>
      <c r="LL238" s="16">
        <v>1.8237797921556035E-3</v>
      </c>
      <c r="LM238" s="16">
        <v>1.8552829901448737E-4</v>
      </c>
      <c r="LN238" s="16">
        <v>1.8780280996355561E-5</v>
      </c>
      <c r="LO238" s="16">
        <v>1.8916452225016514E-6</v>
      </c>
      <c r="LP238" s="16">
        <v>1.8958953116786897E-7</v>
      </c>
      <c r="LQ238" s="16">
        <v>1.8906773463741349E-8</v>
      </c>
      <c r="LR238" s="16">
        <v>1.8760316269665395E-9</v>
      </c>
      <c r="LS238" s="16">
        <v>1.852139709400277E-10</v>
      </c>
      <c r="LT238" s="16">
        <v>1.8193208102762458E-11</v>
      </c>
      <c r="LU238" s="16">
        <v>1.7780248312716948E-12</v>
      </c>
      <c r="LV238" s="16">
        <v>1.7288220459825045E-13</v>
      </c>
      <c r="LW238" s="16">
        <v>1.6723899734861214E-14</v>
      </c>
      <c r="LX238" s="16">
        <v>1.6094978276677696E-15</v>
      </c>
      <c r="LY238" s="16">
        <v>1.5409888876292263E-16</v>
      </c>
      <c r="LZ238" s="16">
        <v>1.4677615216586384E-17</v>
      </c>
      <c r="MA238" s="16">
        <v>1.3907484098346858E-18</v>
      </c>
      <c r="MB238" s="16">
        <v>1.3107960476069291E-19</v>
      </c>
      <c r="MC238" s="16">
        <v>1.2187220947113455E-20</v>
      </c>
      <c r="MD238" s="16">
        <v>1.3798150023166878E-21</v>
      </c>
      <c r="MG238" s="9">
        <f>MH237</f>
        <v>20</v>
      </c>
      <c r="MH238" s="32">
        <f t="array" ref="MH238:NB258">IF(MI109="Implicit",MINVERSE(MH111:NB131),MMULT(MINVERSE(MH111:NB131),MH175:NB195))</f>
        <v>0.99882157880132405</v>
      </c>
      <c r="MI238" s="16">
        <v>2.9506901628083286E-3</v>
      </c>
      <c r="MJ238" s="16">
        <v>4.9775317154682281E-5</v>
      </c>
      <c r="MK238" s="16">
        <v>8.3591460116899836E-7</v>
      </c>
      <c r="ML238" s="16">
        <v>1.3975226251680399E-8</v>
      </c>
      <c r="MM238" s="16">
        <v>2.3259287910366864E-10</v>
      </c>
      <c r="MN238" s="16">
        <v>3.8535947597413303E-12</v>
      </c>
      <c r="MO238" s="16">
        <v>6.355637499098448E-14</v>
      </c>
      <c r="MP238" s="16">
        <v>1.0434387284086907E-15</v>
      </c>
      <c r="MQ238" s="16">
        <v>1.7052213970680769E-17</v>
      </c>
      <c r="MR238" s="16">
        <v>2.7739059487192009E-19</v>
      </c>
      <c r="MS238" s="16">
        <v>4.4914948410709913E-21</v>
      </c>
      <c r="MT238" s="16">
        <v>7.2388450935399794E-23</v>
      </c>
      <c r="MU238" s="16">
        <v>1.1612287144899491E-24</v>
      </c>
      <c r="MV238" s="16">
        <v>1.8540745040355273E-26</v>
      </c>
      <c r="MW238" s="16">
        <v>2.9463766766349511E-28</v>
      </c>
      <c r="MX238" s="16">
        <v>4.6600618129034917E-30</v>
      </c>
      <c r="MY238" s="16">
        <v>7.335470514275111E-32</v>
      </c>
      <c r="MZ238" s="16">
        <v>1.149178906983867E-33</v>
      </c>
      <c r="NA238" s="16">
        <v>1.7912547504040337E-35</v>
      </c>
      <c r="NB238" s="16">
        <v>2.8670928002228864E-37</v>
      </c>
      <c r="NE238" s="9">
        <f>NF237</f>
        <v>20</v>
      </c>
      <c r="NF238" s="32">
        <f t="array" ref="NF238:NZ258">IF(NG109="Implicit",MINVERSE(NF111:NZ131),MMULT(MINVERSE(NF111:NZ131),NF175:NZ195))</f>
        <v>0.99327899941310516</v>
      </c>
      <c r="NG238" s="16">
        <v>1.7840097611448717E-2</v>
      </c>
      <c r="NH238" s="16">
        <v>1.8237797921556035E-3</v>
      </c>
      <c r="NI238" s="16">
        <v>1.8552829901448737E-4</v>
      </c>
      <c r="NJ238" s="16">
        <v>1.8780280996355561E-5</v>
      </c>
      <c r="NK238" s="16">
        <v>1.8916452225016514E-6</v>
      </c>
      <c r="NL238" s="16">
        <v>1.8958953116786897E-7</v>
      </c>
      <c r="NM238" s="16">
        <v>1.8906773463741349E-8</v>
      </c>
      <c r="NN238" s="16">
        <v>1.8760316269665395E-9</v>
      </c>
      <c r="NO238" s="16">
        <v>1.852139709400277E-10</v>
      </c>
      <c r="NP238" s="16">
        <v>1.8193208102762458E-11</v>
      </c>
      <c r="NQ238" s="16">
        <v>1.7780248312716948E-12</v>
      </c>
      <c r="NR238" s="16">
        <v>1.7288220459825045E-13</v>
      </c>
      <c r="NS238" s="16">
        <v>1.6723899734861214E-14</v>
      </c>
      <c r="NT238" s="16">
        <v>1.6094978276677696E-15</v>
      </c>
      <c r="NU238" s="16">
        <v>1.5409888876292263E-16</v>
      </c>
      <c r="NV238" s="16">
        <v>1.4677615216586384E-17</v>
      </c>
      <c r="NW238" s="16">
        <v>1.3907484098346858E-18</v>
      </c>
      <c r="NX238" s="16">
        <v>1.3107960476069291E-19</v>
      </c>
      <c r="NY238" s="16">
        <v>1.2187220947113455E-20</v>
      </c>
      <c r="NZ238" s="16">
        <v>1.3798150023166878E-21</v>
      </c>
      <c r="OC238" s="9">
        <f>OD237</f>
        <v>20</v>
      </c>
      <c r="OD238" s="32">
        <f t="array" ref="OD238:OX258">IF(OE109="Implicit",MINVERSE(OD111:OX131),MMULT(MINVERSE(OD111:OX131),OD175:OX195))</f>
        <v>0.99872022829809726</v>
      </c>
      <c r="OE238" s="16">
        <v>3.2067271674313651E-3</v>
      </c>
      <c r="OF238" s="16">
        <v>5.8790822993869056E-5</v>
      </c>
      <c r="OG238" s="16">
        <v>1.0730283441310344E-6</v>
      </c>
      <c r="OH238" s="16">
        <v>1.9496586753863664E-8</v>
      </c>
      <c r="OI238" s="16">
        <v>3.5264951147018849E-10</v>
      </c>
      <c r="OJ238" s="16">
        <v>6.3497514287331853E-12</v>
      </c>
      <c r="OK238" s="16">
        <v>1.1381258478107858E-13</v>
      </c>
      <c r="OL238" s="16">
        <v>2.0306509668023288E-15</v>
      </c>
      <c r="OM238" s="16">
        <v>3.6064751327608822E-17</v>
      </c>
      <c r="ON238" s="16">
        <v>6.3756492146864615E-19</v>
      </c>
      <c r="OO238" s="16">
        <v>1.1218912918854273E-20</v>
      </c>
      <c r="OP238" s="16">
        <v>1.9649568580453156E-22</v>
      </c>
      <c r="OQ238" s="16">
        <v>3.4254847817441312E-24</v>
      </c>
      <c r="OR238" s="16">
        <v>5.9435876576094497E-26</v>
      </c>
      <c r="OS238" s="16">
        <v>1.0264165526746687E-27</v>
      </c>
      <c r="OT238" s="16">
        <v>1.7641585731470568E-29</v>
      </c>
      <c r="OU238" s="16">
        <v>3.0177353827690153E-31</v>
      </c>
      <c r="OV238" s="16">
        <v>5.1374158979371407E-33</v>
      </c>
      <c r="OW238" s="16">
        <v>8.7015434299148617E-35</v>
      </c>
      <c r="OX238" s="16">
        <v>1.5176006357143926E-36</v>
      </c>
      <c r="PA238" s="9">
        <f>PB237</f>
        <v>20</v>
      </c>
      <c r="PB238" s="32">
        <f t="array" ref="PB238:PV258">IF(PC109="Implicit",MINVERSE(PB111:PV131),MMULT(MINVERSE(PB111:PV131),PB175:PV195))</f>
        <v>0.99327920532312808</v>
      </c>
      <c r="PC238" s="16">
        <v>1.7839493430283224E-2</v>
      </c>
      <c r="PD238" s="16">
        <v>1.8236561095750117E-3</v>
      </c>
      <c r="PE238" s="16">
        <v>1.8550942204149679E-4</v>
      </c>
      <c r="PF238" s="16">
        <v>1.8777733300723014E-5</v>
      </c>
      <c r="PG238" s="16">
        <v>1.8913244954709802E-6</v>
      </c>
      <c r="PH238" s="16">
        <v>1.8955096470621841E-7</v>
      </c>
      <c r="PI238" s="16">
        <v>1.8902287401119144E-8</v>
      </c>
      <c r="PJ238" s="16">
        <v>1.8755230253106926E-9</v>
      </c>
      <c r="PK238" s="16">
        <v>1.8515749592758857E-10</v>
      </c>
      <c r="PL238" s="16">
        <v>1.818704586999996E-11</v>
      </c>
      <c r="PM238" s="16">
        <v>1.7773625456581393E-12</v>
      </c>
      <c r="PN238" s="16">
        <v>1.7281197336468771E-13</v>
      </c>
      <c r="PO238" s="16">
        <v>1.6716541697071377E-14</v>
      </c>
      <c r="PP238" s="16">
        <v>1.6087354316502351E-15</v>
      </c>
      <c r="PQ238" s="16">
        <v>1.5402070203965308E-16</v>
      </c>
      <c r="PR238" s="16">
        <v>1.4669673818956218E-17</v>
      </c>
      <c r="PS238" s="16">
        <v>1.3899491327672561E-18</v>
      </c>
      <c r="PT238" s="16">
        <v>1.3099986447001181E-19</v>
      </c>
      <c r="PU238" s="16">
        <v>1.217940416346998E-20</v>
      </c>
      <c r="PV238" s="16">
        <v>1.3788742634727472E-21</v>
      </c>
    </row>
    <row r="239" spans="3:438" x14ac:dyDescent="0.25">
      <c r="C239" s="1"/>
      <c r="D239" s="1"/>
      <c r="E239" s="48"/>
      <c r="I239" s="9">
        <f>I238-1</f>
        <v>19</v>
      </c>
      <c r="J239" s="16">
        <v>2.7366981700261216E-2</v>
      </c>
      <c r="K239" s="16">
        <v>0.94499506499154617</v>
      </c>
      <c r="L239" s="16">
        <v>2.8254347945480679E-2</v>
      </c>
      <c r="M239" s="16">
        <v>4.09102723668427E-4</v>
      </c>
      <c r="N239" s="16">
        <v>5.904121012394107E-6</v>
      </c>
      <c r="O239" s="16">
        <v>8.4927711618443638E-8</v>
      </c>
      <c r="P239" s="16">
        <v>1.2176158848821259E-9</v>
      </c>
      <c r="Q239" s="16">
        <v>1.7399361530027602E-11</v>
      </c>
      <c r="R239" s="16">
        <v>2.478071457648909E-13</v>
      </c>
      <c r="S239" s="16">
        <v>3.5176060356444444E-15</v>
      </c>
      <c r="T239" s="16">
        <v>4.9765543155092665E-17</v>
      </c>
      <c r="U239" s="16">
        <v>7.0170371090778203E-19</v>
      </c>
      <c r="V239" s="16">
        <v>9.8609221929186901E-21</v>
      </c>
      <c r="W239" s="16">
        <v>1.3810685907280339E-22</v>
      </c>
      <c r="X239" s="16">
        <v>1.9277118681532549E-24</v>
      </c>
      <c r="Y239" s="16">
        <v>2.6815957889941866E-26</v>
      </c>
      <c r="Z239" s="16">
        <v>3.7176111481532645E-28</v>
      </c>
      <c r="AA239" s="16">
        <v>5.1362855643888443E-30</v>
      </c>
      <c r="AB239" s="16">
        <v>7.0720282692316993E-32</v>
      </c>
      <c r="AC239" s="16">
        <v>9.7020321728346885E-34</v>
      </c>
      <c r="AD239" s="16">
        <v>1.3635593634330391E-35</v>
      </c>
      <c r="AF239" s="19"/>
      <c r="AG239" s="9">
        <f>AG238-1</f>
        <v>19</v>
      </c>
      <c r="AH239" s="16">
        <v>9.2356639510448715E-2</v>
      </c>
      <c r="AI239" s="16">
        <v>0.82226998942994867</v>
      </c>
      <c r="AJ239" s="16">
        <v>8.0757246936378355E-2</v>
      </c>
      <c r="AK239" s="16">
        <v>7.9029390531513005E-3</v>
      </c>
      <c r="AL239" s="16">
        <v>7.7060407833763958E-4</v>
      </c>
      <c r="AM239" s="16">
        <v>7.4869509077239244E-5</v>
      </c>
      <c r="AN239" s="16">
        <v>7.2477812199300973E-6</v>
      </c>
      <c r="AO239" s="16">
        <v>6.9908013666426648E-7</v>
      </c>
      <c r="AP239" s="16">
        <v>6.7184023109367708E-8</v>
      </c>
      <c r="AQ239" s="16">
        <v>6.4330590428025934E-9</v>
      </c>
      <c r="AR239" s="16">
        <v>6.1372929253730203E-10</v>
      </c>
      <c r="AS239" s="16">
        <v>5.8336346198713275E-11</v>
      </c>
      <c r="AT239" s="16">
        <v>5.5245879396707005E-12</v>
      </c>
      <c r="AU239" s="16">
        <v>5.2125958504114525E-13</v>
      </c>
      <c r="AV239" s="16">
        <v>4.9000091413260325E-14</v>
      </c>
      <c r="AW239" s="16">
        <v>4.589057955971446E-15</v>
      </c>
      <c r="AX239" s="16">
        <v>4.2818270202350188E-16</v>
      </c>
      <c r="AY239" s="16">
        <v>3.980232246608387E-17</v>
      </c>
      <c r="AZ239" s="16">
        <v>3.6857415120015712E-18</v>
      </c>
      <c r="BA239" s="16">
        <v>3.372465146829792E-19</v>
      </c>
      <c r="BB239" s="16">
        <v>3.7536094999472372E-20</v>
      </c>
      <c r="BE239" s="9">
        <f>BE238-1</f>
        <v>19</v>
      </c>
      <c r="BF239" s="16">
        <v>9.2346678135748927E-2</v>
      </c>
      <c r="BG239" s="16">
        <v>0.82228815187615534</v>
      </c>
      <c r="BH239" s="16">
        <v>8.0750304809045853E-2</v>
      </c>
      <c r="BI239" s="16">
        <v>7.9014061926284719E-3</v>
      </c>
      <c r="BJ239" s="16">
        <v>7.7037142867213181E-4</v>
      </c>
      <c r="BK239" s="16">
        <v>7.4838827764376958E-5</v>
      </c>
      <c r="BL239" s="16">
        <v>7.2440295102723915E-6</v>
      </c>
      <c r="BM239" s="16">
        <v>6.9864291733510191E-7</v>
      </c>
      <c r="BN239" s="16">
        <v>6.7134766938267935E-8</v>
      </c>
      <c r="BO239" s="16">
        <v>6.4276499206140065E-9</v>
      </c>
      <c r="BP239" s="16">
        <v>6.1314719613804472E-10</v>
      </c>
      <c r="BQ239" s="16">
        <v>5.8274741230235642E-11</v>
      </c>
      <c r="BR239" s="16">
        <v>5.5181598041293251E-12</v>
      </c>
      <c r="BS239" s="16">
        <v>5.2059705540726153E-13</v>
      </c>
      <c r="BT239" s="16">
        <v>4.8932548215384796E-14</v>
      </c>
      <c r="BU239" s="16">
        <v>4.5822395783321589E-15</v>
      </c>
      <c r="BV239" s="16">
        <v>4.275005652849931E-16</v>
      </c>
      <c r="BW239" s="16">
        <v>3.9734644549101678E-17</v>
      </c>
      <c r="BX239" s="16">
        <v>3.6790794592133512E-18</v>
      </c>
      <c r="BY239" s="16">
        <v>3.3660138928236329E-19</v>
      </c>
      <c r="BZ239" s="16">
        <v>3.7459467346411203E-20</v>
      </c>
      <c r="CC239" s="9">
        <f>CC238-1</f>
        <v>19</v>
      </c>
      <c r="CD239" s="16">
        <v>9.2346678135748719E-2</v>
      </c>
      <c r="CE239" s="16">
        <v>0.82228815187615556</v>
      </c>
      <c r="CF239" s="16">
        <v>8.0750304809045659E-2</v>
      </c>
      <c r="CG239" s="16">
        <v>7.9014061926284355E-3</v>
      </c>
      <c r="CH239" s="16">
        <v>7.703714286721266E-4</v>
      </c>
      <c r="CI239" s="16">
        <v>7.4838827764376294E-5</v>
      </c>
      <c r="CJ239" s="16">
        <v>7.2440295102723077E-6</v>
      </c>
      <c r="CK239" s="16">
        <v>6.9864291733509238E-7</v>
      </c>
      <c r="CL239" s="16">
        <v>6.713476693826685E-8</v>
      </c>
      <c r="CM239" s="16">
        <v>6.4276499206138891E-9</v>
      </c>
      <c r="CN239" s="16">
        <v>6.1314719613803231E-10</v>
      </c>
      <c r="CO239" s="16">
        <v>5.8274741230234272E-11</v>
      </c>
      <c r="CP239" s="16">
        <v>5.5181598041291845E-12</v>
      </c>
      <c r="CQ239" s="16">
        <v>5.2059705540724688E-13</v>
      </c>
      <c r="CR239" s="16">
        <v>4.8932548215383332E-14</v>
      </c>
      <c r="CS239" s="16">
        <v>4.5822395783320114E-15</v>
      </c>
      <c r="CT239" s="16">
        <v>4.2750056528497811E-16</v>
      </c>
      <c r="CU239" s="16">
        <v>3.9734644549100181E-17</v>
      </c>
      <c r="CV239" s="16">
        <v>3.6790794592132041E-18</v>
      </c>
      <c r="CW239" s="16">
        <v>3.3660138928234889E-19</v>
      </c>
      <c r="CX239" s="16">
        <v>3.7459467346409506E-20</v>
      </c>
      <c r="DA239" s="9">
        <f>DA238-1</f>
        <v>19</v>
      </c>
      <c r="DB239" s="16">
        <v>2.7380862273745567E-2</v>
      </c>
      <c r="DC239" s="16">
        <v>0.94496737159421695</v>
      </c>
      <c r="DD239" s="16">
        <v>2.8268280600183094E-2</v>
      </c>
      <c r="DE239" s="16">
        <v>4.0951211205540359E-4</v>
      </c>
      <c r="DF239" s="16">
        <v>5.913027439982427E-6</v>
      </c>
      <c r="DG239" s="16">
        <v>8.5098972741382598E-8</v>
      </c>
      <c r="DH239" s="16">
        <v>1.2206901488622504E-9</v>
      </c>
      <c r="DI239" s="16">
        <v>1.7452139409353312E-11</v>
      </c>
      <c r="DJ239" s="16">
        <v>2.4868489170738123E-13</v>
      </c>
      <c r="DK239" s="16">
        <v>3.5318559001761957E-15</v>
      </c>
      <c r="DL239" s="16">
        <v>4.9992484049981643E-17</v>
      </c>
      <c r="DM239" s="16">
        <v>7.0526108233019598E-19</v>
      </c>
      <c r="DN239" s="16">
        <v>9.9159389337505912E-21</v>
      </c>
      <c r="DO239" s="16">
        <v>1.3894781222074994E-22</v>
      </c>
      <c r="DP239" s="16">
        <v>1.9404333349197904E-24</v>
      </c>
      <c r="DQ239" s="16">
        <v>2.7006608533406767E-26</v>
      </c>
      <c r="DR239" s="16">
        <v>3.7459399626581513E-28</v>
      </c>
      <c r="DS239" s="16">
        <v>5.1780485275021369E-30</v>
      </c>
      <c r="DT239" s="16">
        <v>7.1331447104758132E-32</v>
      </c>
      <c r="DU239" s="16">
        <v>9.7908355220916502E-34</v>
      </c>
      <c r="DV239" s="16">
        <v>1.376756824526176E-35</v>
      </c>
      <c r="DY239" s="9">
        <f>DY238-1</f>
        <v>19</v>
      </c>
      <c r="DZ239" s="16">
        <v>6.9555459547806966E-2</v>
      </c>
      <c r="EA239" s="16">
        <v>0.86389744113527223</v>
      </c>
      <c r="EB239" s="16">
        <v>6.5365984935522564E-2</v>
      </c>
      <c r="EC239" s="16">
        <v>4.9222664349741008E-3</v>
      </c>
      <c r="ED239" s="16">
        <v>3.6888729839284774E-4</v>
      </c>
      <c r="EE239" s="16">
        <v>2.7512439664054604E-5</v>
      </c>
      <c r="EF239" s="16">
        <v>2.042032863159146E-6</v>
      </c>
      <c r="EG239" s="16">
        <v>1.5082937617383948E-7</v>
      </c>
      <c r="EH239" s="16">
        <v>1.1086386385625968E-8</v>
      </c>
      <c r="EI239" s="16">
        <v>8.1089787140974912E-10</v>
      </c>
      <c r="EJ239" s="16">
        <v>5.902085660122467E-11</v>
      </c>
      <c r="EK239" s="16">
        <v>4.2746356943160938E-12</v>
      </c>
      <c r="EL239" s="16">
        <v>3.0806185336746117E-13</v>
      </c>
      <c r="EM239" s="16">
        <v>2.2090870662958287E-14</v>
      </c>
      <c r="EN239" s="16">
        <v>1.5762120300235716E-15</v>
      </c>
      <c r="EO239" s="16">
        <v>1.1190102202353407E-16</v>
      </c>
      <c r="EP239" s="16">
        <v>7.9042689115435169E-18</v>
      </c>
      <c r="EQ239" s="16">
        <v>5.5550514953059845E-19</v>
      </c>
      <c r="ER239" s="16">
        <v>3.8841247494929536E-20</v>
      </c>
      <c r="ES239" s="16">
        <v>2.6893806000491202E-21</v>
      </c>
      <c r="ET239" s="16">
        <v>2.1457037136738574E-22</v>
      </c>
      <c r="EW239" s="9">
        <f>EW238-1</f>
        <v>19</v>
      </c>
      <c r="EX239" s="16">
        <v>6.9555459547807133E-2</v>
      </c>
      <c r="EY239" s="16">
        <v>0.86389744113527189</v>
      </c>
      <c r="EZ239" s="16">
        <v>6.5365984935522703E-2</v>
      </c>
      <c r="FA239" s="16">
        <v>4.9222664349741234E-3</v>
      </c>
      <c r="FB239" s="16">
        <v>3.6888729839285039E-4</v>
      </c>
      <c r="FC239" s="16">
        <v>2.7512439664054865E-5</v>
      </c>
      <c r="FD239" s="16">
        <v>2.042032863159171E-6</v>
      </c>
      <c r="FE239" s="16">
        <v>1.5082937617384165E-7</v>
      </c>
      <c r="FF239" s="16">
        <v>1.1086386385626152E-8</v>
      </c>
      <c r="FG239" s="16">
        <v>8.1089787140976504E-10</v>
      </c>
      <c r="FH239" s="16">
        <v>5.9020856601225976E-11</v>
      </c>
      <c r="FI239" s="16">
        <v>4.2746356943162013E-12</v>
      </c>
      <c r="FJ239" s="16">
        <v>3.080618533674696E-13</v>
      </c>
      <c r="FK239" s="16">
        <v>2.2090870662958949E-14</v>
      </c>
      <c r="FL239" s="16">
        <v>1.5762120300236235E-15</v>
      </c>
      <c r="FM239" s="16">
        <v>1.1190102202353801E-16</v>
      </c>
      <c r="FN239" s="16">
        <v>7.9042689115438112E-18</v>
      </c>
      <c r="FO239" s="16">
        <v>5.555051495306206E-19</v>
      </c>
      <c r="FP239" s="16">
        <v>3.8841247494931204E-20</v>
      </c>
      <c r="FQ239" s="16">
        <v>2.6893806000492436E-21</v>
      </c>
      <c r="FR239" s="16">
        <v>2.1457037136739599E-22</v>
      </c>
      <c r="FU239" s="9">
        <f>FU238-1</f>
        <v>19</v>
      </c>
      <c r="FV239" s="16">
        <v>6.9563311307374157E-2</v>
      </c>
      <c r="FW239" s="16">
        <v>0.86388269198828027</v>
      </c>
      <c r="FX239" s="16">
        <v>6.5372262456731098E-2</v>
      </c>
      <c r="FY239" s="16">
        <v>4.923295747355178E-3</v>
      </c>
      <c r="FZ239" s="16">
        <v>3.690061384423025E-4</v>
      </c>
      <c r="GA239" s="16">
        <v>2.7524412264003879E-5</v>
      </c>
      <c r="GB239" s="16">
        <v>2.0431522040660419E-6</v>
      </c>
      <c r="GC239" s="16">
        <v>1.5092908913213052E-7</v>
      </c>
      <c r="GD239" s="16">
        <v>1.1094967389643741E-8</v>
      </c>
      <c r="GE239" s="16">
        <v>8.1161705285117621E-10</v>
      </c>
      <c r="GF239" s="16">
        <v>5.9079862419536393E-11</v>
      </c>
      <c r="GG239" s="16">
        <v>4.2793914943576545E-12</v>
      </c>
      <c r="GH239" s="16">
        <v>3.08439336202891E-13</v>
      </c>
      <c r="GI239" s="16">
        <v>2.212043045348718E-14</v>
      </c>
      <c r="GJ239" s="16">
        <v>1.5784988292067399E-15</v>
      </c>
      <c r="GK239" s="16">
        <v>1.1207598000533603E-16</v>
      </c>
      <c r="GL239" s="16">
        <v>7.9175177382303015E-18</v>
      </c>
      <c r="GM239" s="16">
        <v>5.5649882742657133E-19</v>
      </c>
      <c r="GN239" s="16">
        <v>3.8915098709278546E-20</v>
      </c>
      <c r="GO239" s="16">
        <v>2.6947939800409244E-21</v>
      </c>
      <c r="GP239" s="16">
        <v>2.1502996270481076E-22</v>
      </c>
      <c r="GS239" s="9">
        <f>GS238-1</f>
        <v>19</v>
      </c>
      <c r="GT239" s="16">
        <v>3.3752342515596133E-2</v>
      </c>
      <c r="GU239" s="16">
        <v>0.93196645503646991</v>
      </c>
      <c r="GV239" s="16">
        <v>3.5410610418094186E-2</v>
      </c>
      <c r="GW239" s="16">
        <v>6.4613219563200777E-4</v>
      </c>
      <c r="GX239" s="16">
        <v>1.1736945805113288E-5</v>
      </c>
      <c r="GY239" s="16">
        <v>2.1223946154010707E-7</v>
      </c>
      <c r="GZ239" s="16">
        <v>3.8205502828686897E-9</v>
      </c>
      <c r="HA239" s="16">
        <v>6.8461410052159426E-11</v>
      </c>
      <c r="HB239" s="16">
        <v>1.2211730292224847E-12</v>
      </c>
      <c r="HC239" s="16">
        <v>2.1682594265546448E-14</v>
      </c>
      <c r="HD239" s="16">
        <v>3.8321200500238882E-16</v>
      </c>
      <c r="HE239" s="16">
        <v>6.7414275239247568E-18</v>
      </c>
      <c r="HF239" s="16">
        <v>1.1804307779570291E-19</v>
      </c>
      <c r="HG239" s="16">
        <v>2.0572921571192918E-21</v>
      </c>
      <c r="HH239" s="16">
        <v>3.5686917276431689E-23</v>
      </c>
      <c r="HI239" s="16">
        <v>6.1612730224399666E-25</v>
      </c>
      <c r="HJ239" s="16">
        <v>1.0586950490266013E-26</v>
      </c>
      <c r="HK239" s="16">
        <v>1.8105098177872671E-28</v>
      </c>
      <c r="HL239" s="16">
        <v>3.0814202489987659E-30</v>
      </c>
      <c r="HM239" s="16">
        <v>5.2178194972832986E-32</v>
      </c>
      <c r="HN239" s="16">
        <v>9.0977268051747335E-34</v>
      </c>
      <c r="HQ239" s="9">
        <f>HQ238-1</f>
        <v>19</v>
      </c>
      <c r="HR239" s="16">
        <v>0.18782826254005752</v>
      </c>
      <c r="HS239" s="16">
        <v>0.63763334120921622</v>
      </c>
      <c r="HT239" s="16">
        <v>0.16741718534355929</v>
      </c>
      <c r="HU239" s="16">
        <v>1.7031228929795052E-2</v>
      </c>
      <c r="HV239" s="16">
        <v>1.724035055897961E-3</v>
      </c>
      <c r="HW239" s="16">
        <v>1.7365683132157062E-4</v>
      </c>
      <c r="HX239" s="16">
        <v>1.7405027370360949E-5</v>
      </c>
      <c r="HY239" s="16">
        <v>1.7357450991080303E-6</v>
      </c>
      <c r="HZ239" s="16">
        <v>1.7223319077136917E-7</v>
      </c>
      <c r="IA239" s="16">
        <v>1.7004293596357466E-8</v>
      </c>
      <c r="IB239" s="16">
        <v>1.6703300518220578E-9</v>
      </c>
      <c r="IC239" s="16">
        <v>1.6324465887852564E-10</v>
      </c>
      <c r="ID239" s="16">
        <v>1.587302124896501E-11</v>
      </c>
      <c r="IE239" s="16">
        <v>1.5355183225612189E-12</v>
      </c>
      <c r="IF239" s="16">
        <v>1.4778010831488059E-13</v>
      </c>
      <c r="IG239" s="16">
        <v>1.4149243674570017E-14</v>
      </c>
      <c r="IH239" s="16">
        <v>1.3477127780310533E-15</v>
      </c>
      <c r="II239" s="16">
        <v>1.2770224853539409E-16</v>
      </c>
      <c r="IJ239" s="16">
        <v>1.2036305789053821E-17</v>
      </c>
      <c r="IK239" s="16">
        <v>1.1191047902145548E-18</v>
      </c>
      <c r="IL239" s="16">
        <v>1.2670585530259689E-19</v>
      </c>
      <c r="IO239" s="9">
        <f>IO238-1</f>
        <v>19</v>
      </c>
      <c r="IP239" s="16">
        <v>3.3761175156695043E-2</v>
      </c>
      <c r="IQ239" s="16">
        <v>0.9319488171247281</v>
      </c>
      <c r="IR239" s="16">
        <v>3.5419558637342571E-2</v>
      </c>
      <c r="IS239" s="16">
        <v>6.4646467627172419E-4</v>
      </c>
      <c r="IT239" s="16">
        <v>1.1746059377813537E-5</v>
      </c>
      <c r="IU239" s="16">
        <v>2.124598604658275E-7</v>
      </c>
      <c r="IV239" s="16">
        <v>3.825518705292143E-9</v>
      </c>
      <c r="IW239" s="16">
        <v>6.8568380489270234E-11</v>
      </c>
      <c r="IX239" s="16">
        <v>1.2234011590232776E-12</v>
      </c>
      <c r="IY239" s="16">
        <v>2.1727839641275942E-14</v>
      </c>
      <c r="IZ239" s="16">
        <v>3.8411212789837151E-16</v>
      </c>
      <c r="JA239" s="16">
        <v>6.7590301298901836E-18</v>
      </c>
      <c r="JB239" s="16">
        <v>1.1838225952482916E-19</v>
      </c>
      <c r="JC239" s="16">
        <v>2.0637431644895421E-21</v>
      </c>
      <c r="JD239" s="16">
        <v>3.5808182439772814E-23</v>
      </c>
      <c r="JE239" s="16">
        <v>6.1838258800342155E-25</v>
      </c>
      <c r="JF239" s="16">
        <v>1.0628481597148199E-26</v>
      </c>
      <c r="JG239" s="16">
        <v>1.8180874139679651E-28</v>
      </c>
      <c r="JH239" s="16">
        <v>3.0951259801275235E-30</v>
      </c>
      <c r="JI239" s="16">
        <v>5.2423968921713745E-32</v>
      </c>
      <c r="JJ239" s="16">
        <v>9.1430502189705026E-34</v>
      </c>
      <c r="JM239" s="9">
        <f>JM238-1</f>
        <v>19</v>
      </c>
      <c r="JN239" s="16">
        <v>0.18782543547890035</v>
      </c>
      <c r="JO239" s="16">
        <v>0.63763849454452559</v>
      </c>
      <c r="JP239" s="16">
        <v>0.16741518600775834</v>
      </c>
      <c r="JQ239" s="16">
        <v>1.7030768697404532E-2</v>
      </c>
      <c r="JR239" s="16">
        <v>1.723962482601059E-3</v>
      </c>
      <c r="JS239" s="16">
        <v>1.7364690531446696E-4</v>
      </c>
      <c r="JT239" s="16">
        <v>1.7403770483315291E-5</v>
      </c>
      <c r="JU239" s="16">
        <v>1.7355936365235968E-6</v>
      </c>
      <c r="JV239" s="16">
        <v>1.7221557145159976E-7</v>
      </c>
      <c r="JW239" s="16">
        <v>1.7002298497521528E-8</v>
      </c>
      <c r="JX239" s="16">
        <v>1.6701089826858922E-9</v>
      </c>
      <c r="JY239" s="16">
        <v>1.6322060256488237E-10</v>
      </c>
      <c r="JZ239" s="16">
        <v>1.5870443977010144E-11</v>
      </c>
      <c r="KA239" s="16">
        <v>1.5352459766880598E-12</v>
      </c>
      <c r="KB239" s="16">
        <v>1.4775168255777185E-13</v>
      </c>
      <c r="KC239" s="16">
        <v>1.4146310100221747E-14</v>
      </c>
      <c r="KD239" s="16">
        <v>1.3474131795155163E-15</v>
      </c>
      <c r="KE239" s="16">
        <v>1.2767194944681105E-16</v>
      </c>
      <c r="KF239" s="16">
        <v>1.2033270082347418E-17</v>
      </c>
      <c r="KG239" s="16">
        <v>1.1188060907974445E-18</v>
      </c>
      <c r="KH239" s="16">
        <v>1.2666976078045397E-19</v>
      </c>
      <c r="KK239" s="9">
        <f>KK238-1</f>
        <v>19</v>
      </c>
      <c r="KL239" s="16">
        <v>2.8353689123766162E-2</v>
      </c>
      <c r="KM239" s="16">
        <v>0.94276328547628552</v>
      </c>
      <c r="KN239" s="16">
        <v>2.9910377253425283E-2</v>
      </c>
      <c r="KO239" s="16">
        <v>4.5844230194731956E-4</v>
      </c>
      <c r="KP239" s="16">
        <v>6.9951959098050005E-6</v>
      </c>
      <c r="KQ239" s="16">
        <v>1.0625736766714573E-7</v>
      </c>
      <c r="KR239" s="16">
        <v>1.6067696804539398E-9</v>
      </c>
      <c r="KS239" s="16">
        <v>2.4186609586977072E-11</v>
      </c>
      <c r="KT239" s="16">
        <v>3.6242192394460966E-13</v>
      </c>
      <c r="KU239" s="16">
        <v>5.4058409110560656E-15</v>
      </c>
      <c r="KV239" s="16">
        <v>8.0262473710465997E-17</v>
      </c>
      <c r="KW239" s="16">
        <v>1.1861876000250747E-18</v>
      </c>
      <c r="KX239" s="16">
        <v>1.7449250121164891E-20</v>
      </c>
      <c r="KY239" s="16">
        <v>2.5548982342157189E-22</v>
      </c>
      <c r="KZ239" s="16">
        <v>3.7233573644032512E-24</v>
      </c>
      <c r="LA239" s="16">
        <v>5.4007099346686197E-26</v>
      </c>
      <c r="LB239" s="16">
        <v>7.7967328223219132E-28</v>
      </c>
      <c r="LC239" s="16">
        <v>1.120238995062435E-29</v>
      </c>
      <c r="LD239" s="16">
        <v>1.6019001656026651E-31</v>
      </c>
      <c r="LE239" s="16">
        <v>2.2792442278710526E-33</v>
      </c>
      <c r="LF239" s="16">
        <v>3.3209442673577633E-35</v>
      </c>
      <c r="LI239" s="9">
        <f>LI238-1</f>
        <v>19</v>
      </c>
      <c r="LJ239" s="16">
        <v>0.18782472871089614</v>
      </c>
      <c r="LK239" s="16">
        <v>0.637639782884735</v>
      </c>
      <c r="LL239" s="16">
        <v>0.16741468616957489</v>
      </c>
      <c r="LM239" s="16">
        <v>1.7030653639589957E-2</v>
      </c>
      <c r="LN239" s="16">
        <v>1.7239443395000865E-3</v>
      </c>
      <c r="LO239" s="16">
        <v>1.7364442386708383E-4</v>
      </c>
      <c r="LP239" s="16">
        <v>1.740345627143432E-5</v>
      </c>
      <c r="LQ239" s="16">
        <v>1.7355557724270726E-6</v>
      </c>
      <c r="LR239" s="16">
        <v>1.7221116684354812E-7</v>
      </c>
      <c r="LS239" s="16">
        <v>1.7001799752642485E-8</v>
      </c>
      <c r="LT239" s="16">
        <v>1.6700537192276764E-9</v>
      </c>
      <c r="LU239" s="16">
        <v>1.6321458895935904E-10</v>
      </c>
      <c r="LV239" s="16">
        <v>1.5869799715738342E-11</v>
      </c>
      <c r="LW239" s="16">
        <v>1.5351778968523341E-12</v>
      </c>
      <c r="LX239" s="16">
        <v>1.4774457687741646E-13</v>
      </c>
      <c r="LY239" s="16">
        <v>1.4145576791830042E-14</v>
      </c>
      <c r="LZ239" s="16">
        <v>1.3473382892888946E-15</v>
      </c>
      <c r="MA239" s="16">
        <v>1.2766437569642959E-16</v>
      </c>
      <c r="MB239" s="16">
        <v>1.2032511265137989E-17</v>
      </c>
      <c r="MC239" s="16">
        <v>1.1187314273993173E-18</v>
      </c>
      <c r="MD239" s="16">
        <v>1.2666073863659231E-19</v>
      </c>
      <c r="MG239" s="9">
        <f>MG238-1</f>
        <v>19</v>
      </c>
      <c r="MH239" s="16">
        <v>3.106555756644086E-2</v>
      </c>
      <c r="MI239" s="16">
        <v>0.93733573195816877</v>
      </c>
      <c r="MJ239" s="16">
        <v>3.2680998401247732E-2</v>
      </c>
      <c r="MK239" s="16">
        <v>5.4883675898012541E-4</v>
      </c>
      <c r="ML239" s="16">
        <v>9.1757194709361897E-6</v>
      </c>
      <c r="MM239" s="16">
        <v>1.5271359269307145E-7</v>
      </c>
      <c r="MN239" s="16">
        <v>2.5301561372435402E-9</v>
      </c>
      <c r="MO239" s="16">
        <v>4.1729232643856235E-11</v>
      </c>
      <c r="MP239" s="16">
        <v>6.8509095198636216E-13</v>
      </c>
      <c r="MQ239" s="16">
        <v>1.1195978436093796E-14</v>
      </c>
      <c r="MR239" s="16">
        <v>1.8212644551030471E-16</v>
      </c>
      <c r="MS239" s="16">
        <v>2.9489824296668595E-18</v>
      </c>
      <c r="MT239" s="16">
        <v>4.7528112014572277E-20</v>
      </c>
      <c r="MU239" s="16">
        <v>7.6242836673033808E-22</v>
      </c>
      <c r="MV239" s="16">
        <v>1.2173303831270388E-23</v>
      </c>
      <c r="MW239" s="16">
        <v>1.9345036247453131E-25</v>
      </c>
      <c r="MX239" s="16">
        <v>3.0596585087331467E-27</v>
      </c>
      <c r="MY239" s="16">
        <v>4.8162525897009532E-29</v>
      </c>
      <c r="MZ239" s="16">
        <v>7.5451682015760935E-31</v>
      </c>
      <c r="NA239" s="16">
        <v>1.1760847942417353E-32</v>
      </c>
      <c r="NB239" s="16">
        <v>1.8824481806742016E-34</v>
      </c>
      <c r="NE239" s="9">
        <f>NE238-1</f>
        <v>19</v>
      </c>
      <c r="NF239" s="16">
        <v>0.18782472871089614</v>
      </c>
      <c r="NG239" s="16">
        <v>0.637639782884735</v>
      </c>
      <c r="NH239" s="16">
        <v>0.16741468616957489</v>
      </c>
      <c r="NI239" s="16">
        <v>1.7030653639589957E-2</v>
      </c>
      <c r="NJ239" s="16">
        <v>1.7239443395000865E-3</v>
      </c>
      <c r="NK239" s="16">
        <v>1.7364442386708383E-4</v>
      </c>
      <c r="NL239" s="16">
        <v>1.740345627143432E-5</v>
      </c>
      <c r="NM239" s="16">
        <v>1.7355557724270726E-6</v>
      </c>
      <c r="NN239" s="16">
        <v>1.7221116684354812E-7</v>
      </c>
      <c r="NO239" s="16">
        <v>1.7001799752642485E-8</v>
      </c>
      <c r="NP239" s="16">
        <v>1.6700537192276764E-9</v>
      </c>
      <c r="NQ239" s="16">
        <v>1.6321458895935904E-10</v>
      </c>
      <c r="NR239" s="16">
        <v>1.5869799715738342E-11</v>
      </c>
      <c r="NS239" s="16">
        <v>1.5351778968523341E-12</v>
      </c>
      <c r="NT239" s="16">
        <v>1.4774457687741646E-13</v>
      </c>
      <c r="NU239" s="16">
        <v>1.4145576791830042E-14</v>
      </c>
      <c r="NV239" s="16">
        <v>1.3473382892888946E-15</v>
      </c>
      <c r="NW239" s="16">
        <v>1.2766437569642959E-16</v>
      </c>
      <c r="NX239" s="16">
        <v>1.2032511265137989E-17</v>
      </c>
      <c r="NY239" s="16">
        <v>1.1187314273993173E-18</v>
      </c>
      <c r="NZ239" s="16">
        <v>1.2666073863659231E-19</v>
      </c>
      <c r="OC239" s="9">
        <f>OC238-1</f>
        <v>19</v>
      </c>
      <c r="OD239" s="16">
        <v>3.3761175156695016E-2</v>
      </c>
      <c r="OE239" s="16">
        <v>0.93194881712472821</v>
      </c>
      <c r="OF239" s="16">
        <v>3.5419558637342544E-2</v>
      </c>
      <c r="OG239" s="16">
        <v>6.4646467627172321E-4</v>
      </c>
      <c r="OH239" s="16">
        <v>1.1746059377813514E-5</v>
      </c>
      <c r="OI239" s="16">
        <v>2.1245986046582683E-7</v>
      </c>
      <c r="OJ239" s="16">
        <v>3.8255187052921281E-9</v>
      </c>
      <c r="OK239" s="16">
        <v>6.8568380489269924E-11</v>
      </c>
      <c r="OL239" s="16">
        <v>1.2234011590232715E-12</v>
      </c>
      <c r="OM239" s="16">
        <v>2.1727839641275819E-14</v>
      </c>
      <c r="ON239" s="16">
        <v>3.8411212789836909E-16</v>
      </c>
      <c r="OO239" s="16">
        <v>6.759030129890135E-18</v>
      </c>
      <c r="OP239" s="16">
        <v>1.183822595248282E-19</v>
      </c>
      <c r="OQ239" s="16">
        <v>2.0637431644895237E-21</v>
      </c>
      <c r="OR239" s="16">
        <v>3.5808182439772467E-23</v>
      </c>
      <c r="OS239" s="16">
        <v>6.1838258800341485E-25</v>
      </c>
      <c r="OT239" s="16">
        <v>1.0628481597148079E-26</v>
      </c>
      <c r="OU239" s="16">
        <v>1.8180874139679433E-28</v>
      </c>
      <c r="OV239" s="16">
        <v>3.0951259801274835E-30</v>
      </c>
      <c r="OW239" s="16">
        <v>5.2423968921713001E-32</v>
      </c>
      <c r="OX239" s="16">
        <v>9.1430502189703675E-34</v>
      </c>
      <c r="PA239" s="9">
        <f>PA238-1</f>
        <v>19</v>
      </c>
      <c r="PB239" s="16">
        <v>0.18781836774998814</v>
      </c>
      <c r="PC239" s="16">
        <v>0.6376513780614923</v>
      </c>
      <c r="PD239" s="16">
        <v>0.16741018754972367</v>
      </c>
      <c r="PE239" s="16">
        <v>1.7029618124354162E-2</v>
      </c>
      <c r="PF239" s="16">
        <v>1.7237810556099407E-3</v>
      </c>
      <c r="PG239" s="16">
        <v>1.736220918196965E-4</v>
      </c>
      <c r="PH239" s="16">
        <v>1.7400628542348444E-5</v>
      </c>
      <c r="PI239" s="16">
        <v>1.7352150234495584E-6</v>
      </c>
      <c r="PJ239" s="16">
        <v>1.7217152936485327E-7</v>
      </c>
      <c r="PK239" s="16">
        <v>1.6997311585624799E-8</v>
      </c>
      <c r="PL239" s="16">
        <v>1.6695564169615633E-9</v>
      </c>
      <c r="PM239" s="16">
        <v>1.631604750206028E-10</v>
      </c>
      <c r="PN239" s="16">
        <v>1.5864002385056156E-11</v>
      </c>
      <c r="PO239" s="16">
        <v>1.5345652976984062E-12</v>
      </c>
      <c r="PP239" s="16">
        <v>1.4768063941244604E-13</v>
      </c>
      <c r="PQ239" s="16">
        <v>1.4138978549528906E-14</v>
      </c>
      <c r="PR239" s="16">
        <v>1.3466644464547917E-15</v>
      </c>
      <c r="PS239" s="16">
        <v>1.2759623033060165E-16</v>
      </c>
      <c r="PT239" s="16">
        <v>1.2025683880182777E-17</v>
      </c>
      <c r="PU239" s="16">
        <v>1.118059662973167E-18</v>
      </c>
      <c r="PV239" s="16">
        <v>1.2657956609442914E-19</v>
      </c>
    </row>
    <row r="240" spans="3:438" x14ac:dyDescent="0.25">
      <c r="C240" s="1"/>
      <c r="D240" s="1"/>
      <c r="I240" s="9">
        <f t="shared" ref="I240:I258" si="290">I239-1</f>
        <v>18</v>
      </c>
      <c r="J240" s="16">
        <v>3.7586991054418256E-4</v>
      </c>
      <c r="K240" s="16">
        <v>2.6713399712627831E-2</v>
      </c>
      <c r="L240" s="16">
        <v>0.94524932070839651</v>
      </c>
      <c r="M240" s="16">
        <v>2.8165817057662905E-2</v>
      </c>
      <c r="N240" s="16">
        <v>4.0648566411446231E-4</v>
      </c>
      <c r="O240" s="16">
        <v>5.8470849744568593E-6</v>
      </c>
      <c r="P240" s="16">
        <v>8.3830158725342789E-8</v>
      </c>
      <c r="Q240" s="16">
        <v>1.1979075313419053E-9</v>
      </c>
      <c r="R240" s="16">
        <v>1.7060973514447873E-11</v>
      </c>
      <c r="S240" s="16">
        <v>2.4217939003797105E-13</v>
      </c>
      <c r="T240" s="16">
        <v>3.4262475001697113E-15</v>
      </c>
      <c r="U240" s="16">
        <v>4.8310747415434725E-17</v>
      </c>
      <c r="V240" s="16">
        <v>6.7890266780697761E-19</v>
      </c>
      <c r="W240" s="16">
        <v>9.5083515753019646E-21</v>
      </c>
      <c r="X240" s="16">
        <v>1.3271869551838059E-22</v>
      </c>
      <c r="Y240" s="16">
        <v>1.8462193489727314E-24</v>
      </c>
      <c r="Z240" s="16">
        <v>2.5594929936296109E-26</v>
      </c>
      <c r="AA240" s="16">
        <v>3.5362189296921548E-28</v>
      </c>
      <c r="AB240" s="16">
        <v>4.8689349381902712E-30</v>
      </c>
      <c r="AC240" s="16">
        <v>6.6796344159541743E-32</v>
      </c>
      <c r="AD240" s="16">
        <v>9.38780442069256E-34</v>
      </c>
      <c r="AF240" s="19"/>
      <c r="AG240" s="9">
        <f t="shared" ref="AG240:AG258" si="291">AG239-1</f>
        <v>18</v>
      </c>
      <c r="AH240" s="16">
        <v>8.5758872168646E-3</v>
      </c>
      <c r="AI240" s="16">
        <v>7.6352872176189315E-2</v>
      </c>
      <c r="AJ240" s="16">
        <v>0.82887561469497584</v>
      </c>
      <c r="AK240" s="16">
        <v>8.1114125531524472E-2</v>
      </c>
      <c r="AL240" s="16">
        <v>7.9093202573110276E-3</v>
      </c>
      <c r="AM240" s="16">
        <v>7.6844509579675853E-4</v>
      </c>
      <c r="AN240" s="16">
        <v>7.4389721563651828E-5</v>
      </c>
      <c r="AO240" s="16">
        <v>7.1752133706977446E-6</v>
      </c>
      <c r="AP240" s="16">
        <v>6.8956286358213451E-7</v>
      </c>
      <c r="AQ240" s="16">
        <v>6.6027582300729684E-8</v>
      </c>
      <c r="AR240" s="16">
        <v>6.299190028220423E-9</v>
      </c>
      <c r="AS240" s="16">
        <v>5.9875214483984291E-10</v>
      </c>
      <c r="AT240" s="16">
        <v>5.6703223526658278E-11</v>
      </c>
      <c r="AU240" s="16">
        <v>5.3501001502318352E-12</v>
      </c>
      <c r="AV240" s="16">
        <v>5.029267642354522E-13</v>
      </c>
      <c r="AW240" s="16">
        <v>4.7101138020756861E-14</v>
      </c>
      <c r="AX240" s="16">
        <v>4.3947783487603133E-15</v>
      </c>
      <c r="AY240" s="16">
        <v>4.0852277352091758E-16</v>
      </c>
      <c r="AZ240" s="16">
        <v>3.7829685598047671E-17</v>
      </c>
      <c r="BA240" s="16">
        <v>3.4614282032399432E-18</v>
      </c>
      <c r="BB240" s="16">
        <v>3.8526268534695977E-19</v>
      </c>
      <c r="BE240" s="9">
        <f t="shared" ref="BE240:BE258" si="292">BE239-1</f>
        <v>18</v>
      </c>
      <c r="BF240" s="16">
        <v>8.5740357279231096E-3</v>
      </c>
      <c r="BG240" s="16">
        <v>7.6346308661694243E-2</v>
      </c>
      <c r="BH240" s="16">
        <v>0.82889247523163601</v>
      </c>
      <c r="BI240" s="16">
        <v>8.1107014423117185E-2</v>
      </c>
      <c r="BJ240" s="16">
        <v>7.9077730030839774E-3</v>
      </c>
      <c r="BK240" s="16">
        <v>7.6821185177866191E-4</v>
      </c>
      <c r="BL240" s="16">
        <v>7.435911933236514E-5</v>
      </c>
      <c r="BM240" s="16">
        <v>7.1714881872256626E-6</v>
      </c>
      <c r="BN240" s="16">
        <v>6.8913056456136305E-7</v>
      </c>
      <c r="BO240" s="16">
        <v>6.5979077914555885E-8</v>
      </c>
      <c r="BP240" s="16">
        <v>6.2938845653901209E-9</v>
      </c>
      <c r="BQ240" s="16">
        <v>5.9818343244695739E-10</v>
      </c>
      <c r="BR240" s="16">
        <v>5.6643267781895605E-11</v>
      </c>
      <c r="BS240" s="16">
        <v>5.3438681485507695E-12</v>
      </c>
      <c r="BT240" s="16">
        <v>5.0228690907799602E-13</v>
      </c>
      <c r="BU240" s="16">
        <v>4.7036155655014066E-14</v>
      </c>
      <c r="BV240" s="16">
        <v>4.3882435188319706E-15</v>
      </c>
      <c r="BW240" s="16">
        <v>4.0787149906912272E-16</v>
      </c>
      <c r="BX240" s="16">
        <v>3.7765322208165881E-17</v>
      </c>
      <c r="BY240" s="16">
        <v>3.4551740626669507E-18</v>
      </c>
      <c r="BZ240" s="16">
        <v>3.8451707003522219E-19</v>
      </c>
      <c r="CC240" s="9">
        <f t="shared" ref="CC240:CC258" si="293">CC239-1</f>
        <v>18</v>
      </c>
      <c r="CD240" s="16">
        <v>8.5740357279230663E-3</v>
      </c>
      <c r="CE240" s="16">
        <v>7.6346308661694062E-2</v>
      </c>
      <c r="CF240" s="16">
        <v>0.82889247523163623</v>
      </c>
      <c r="CG240" s="16">
        <v>8.1107014423117019E-2</v>
      </c>
      <c r="CH240" s="16">
        <v>7.9077730030839444E-3</v>
      </c>
      <c r="CI240" s="16">
        <v>7.6821185177865703E-4</v>
      </c>
      <c r="CJ240" s="16">
        <v>7.4359119332364463E-5</v>
      </c>
      <c r="CK240" s="16">
        <v>7.1714881872255821E-6</v>
      </c>
      <c r="CL240" s="16">
        <v>6.8913056456135363E-7</v>
      </c>
      <c r="CM240" s="16">
        <v>6.597907791455484E-8</v>
      </c>
      <c r="CN240" s="16">
        <v>6.2938845653900092E-9</v>
      </c>
      <c r="CO240" s="16">
        <v>5.9818343244694488E-10</v>
      </c>
      <c r="CP240" s="16">
        <v>5.66432677818943E-11</v>
      </c>
      <c r="CQ240" s="16">
        <v>5.343868148550633E-12</v>
      </c>
      <c r="CR240" s="16">
        <v>5.0228690907798229E-13</v>
      </c>
      <c r="CS240" s="16">
        <v>4.7036155655012672E-14</v>
      </c>
      <c r="CT240" s="16">
        <v>4.3882435188318278E-15</v>
      </c>
      <c r="CU240" s="16">
        <v>4.0787149906910842E-16</v>
      </c>
      <c r="CV240" s="16">
        <v>3.776532220816447E-17</v>
      </c>
      <c r="CW240" s="16">
        <v>3.4551740626668121E-18</v>
      </c>
      <c r="CX240" s="16">
        <v>3.8451707003520578E-19</v>
      </c>
      <c r="DA240" s="9">
        <f t="shared" ref="DA240:DA258" si="294">DA239-1</f>
        <v>18</v>
      </c>
      <c r="DB240" s="16">
        <v>3.7625135074965672E-4</v>
      </c>
      <c r="DC240" s="16">
        <v>2.6726572501992556E-2</v>
      </c>
      <c r="DD240" s="16">
        <v>0.94522193637541829</v>
      </c>
      <c r="DE240" s="16">
        <v>2.8179709790217663E-2</v>
      </c>
      <c r="DF240" s="16">
        <v>4.068924760343967E-4</v>
      </c>
      <c r="DG240" s="16">
        <v>5.8559058076733197E-6</v>
      </c>
      <c r="DH240" s="16">
        <v>8.3999210587602734E-8</v>
      </c>
      <c r="DI240" s="16">
        <v>1.2009320586529101E-9</v>
      </c>
      <c r="DJ240" s="16">
        <v>1.7112724804040973E-11</v>
      </c>
      <c r="DK240" s="16">
        <v>2.4303719318164638E-13</v>
      </c>
      <c r="DL240" s="16">
        <v>3.440127045692785E-15</v>
      </c>
      <c r="DM240" s="16">
        <v>4.853104961083772E-17</v>
      </c>
      <c r="DN240" s="16">
        <v>6.8234436351129876E-19</v>
      </c>
      <c r="DO240" s="16">
        <v>9.5613997952682207E-21</v>
      </c>
      <c r="DP240" s="16">
        <v>1.3352681553386156E-22</v>
      </c>
      <c r="DQ240" s="16">
        <v>1.8584026417915964E-24</v>
      </c>
      <c r="DR240" s="16">
        <v>2.5776893511028595E-26</v>
      </c>
      <c r="DS240" s="16">
        <v>3.5631645680099664E-28</v>
      </c>
      <c r="DT240" s="16">
        <v>4.9085226520879951E-30</v>
      </c>
      <c r="DU240" s="16">
        <v>6.7373563685698634E-32</v>
      </c>
      <c r="DV240" s="16">
        <v>9.4738608760857356E-34</v>
      </c>
      <c r="DY240" s="9">
        <f t="shared" ref="DY240:DY258" si="295">DY239-1</f>
        <v>18</v>
      </c>
      <c r="DZ240" s="16">
        <v>4.8714124601855913E-3</v>
      </c>
      <c r="EA240" s="16">
        <v>6.050424778196295E-2</v>
      </c>
      <c r="EB240" s="16">
        <v>0.86767281154638265</v>
      </c>
      <c r="EC240" s="16">
        <v>6.5338520654545762E-2</v>
      </c>
      <c r="ED240" s="16">
        <v>4.8966366781743468E-3</v>
      </c>
      <c r="EE240" s="16">
        <v>3.6520211390309146E-4</v>
      </c>
      <c r="EF240" s="16">
        <v>2.7106091913020775E-5</v>
      </c>
      <c r="EG240" s="16">
        <v>2.002120047875571E-6</v>
      </c>
      <c r="EH240" s="16">
        <v>1.4716149469168435E-7</v>
      </c>
      <c r="EI240" s="16">
        <v>1.0763916992256813E-8</v>
      </c>
      <c r="EJ240" s="16">
        <v>7.8344711913352418E-10</v>
      </c>
      <c r="EK240" s="16">
        <v>5.674182336397648E-11</v>
      </c>
      <c r="EL240" s="16">
        <v>4.0892353217839203E-12</v>
      </c>
      <c r="EM240" s="16">
        <v>2.9323581487441233E-13</v>
      </c>
      <c r="EN240" s="16">
        <v>2.092275248407607E-14</v>
      </c>
      <c r="EO240" s="16">
        <v>1.4853822594403973E-15</v>
      </c>
      <c r="EP240" s="16">
        <v>1.0492183719808888E-16</v>
      </c>
      <c r="EQ240" s="16">
        <v>7.3738155310771008E-18</v>
      </c>
      <c r="ER240" s="16">
        <v>5.1558152839183531E-19</v>
      </c>
      <c r="ES240" s="16">
        <v>3.5699032591105292E-20</v>
      </c>
      <c r="ET240" s="16">
        <v>2.8482226280616309E-21</v>
      </c>
      <c r="EW240" s="9">
        <f t="shared" ref="EW240:EW258" si="296">EW239-1</f>
        <v>18</v>
      </c>
      <c r="EX240" s="16">
        <v>4.8714124601856165E-3</v>
      </c>
      <c r="EY240" s="16">
        <v>6.0504247781963082E-2</v>
      </c>
      <c r="EZ240" s="16">
        <v>0.86767281154638232</v>
      </c>
      <c r="FA240" s="16">
        <v>6.5338520654545887E-2</v>
      </c>
      <c r="FB240" s="16">
        <v>4.8966366781743702E-3</v>
      </c>
      <c r="FC240" s="16">
        <v>3.6520211390309411E-4</v>
      </c>
      <c r="FD240" s="16">
        <v>2.7106091913021039E-5</v>
      </c>
      <c r="FE240" s="16">
        <v>2.0021200478755947E-6</v>
      </c>
      <c r="FF240" s="16">
        <v>1.4716149469168644E-7</v>
      </c>
      <c r="FG240" s="16">
        <v>1.0763916992256997E-8</v>
      </c>
      <c r="FH240" s="16">
        <v>7.8344711913353949E-10</v>
      </c>
      <c r="FI240" s="16">
        <v>5.6741823363977766E-11</v>
      </c>
      <c r="FJ240" s="16">
        <v>4.0892353217840221E-12</v>
      </c>
      <c r="FK240" s="16">
        <v>2.9323581487442041E-13</v>
      </c>
      <c r="FL240" s="16">
        <v>2.0922752484076708E-14</v>
      </c>
      <c r="FM240" s="16">
        <v>1.485382259440446E-15</v>
      </c>
      <c r="FN240" s="16">
        <v>1.0492183719809254E-16</v>
      </c>
      <c r="FO240" s="16">
        <v>7.3738155310773766E-18</v>
      </c>
      <c r="FP240" s="16">
        <v>5.1558152839185611E-19</v>
      </c>
      <c r="FQ240" s="16">
        <v>3.5699032591106845E-20</v>
      </c>
      <c r="FR240" s="16">
        <v>2.8482226280617595E-21</v>
      </c>
      <c r="FU240" s="9">
        <f t="shared" ref="FU240:FU258" si="297">FU239-1</f>
        <v>18</v>
      </c>
      <c r="FV240" s="16">
        <v>4.8725134427008831E-3</v>
      </c>
      <c r="FW240" s="16">
        <v>6.0510058398892112E-2</v>
      </c>
      <c r="FX240" s="16">
        <v>0.86765888275114489</v>
      </c>
      <c r="FY240" s="16">
        <v>6.5344859227276356E-2</v>
      </c>
      <c r="FZ240" s="16">
        <v>4.8976651836255339E-3</v>
      </c>
      <c r="GA240" s="16">
        <v>3.6532008983434703E-4</v>
      </c>
      <c r="GB240" s="16">
        <v>2.711791044166237E-5</v>
      </c>
      <c r="GC240" s="16">
        <v>2.0032191013384217E-6</v>
      </c>
      <c r="GD240" s="16">
        <v>1.472588931097559E-7</v>
      </c>
      <c r="GE240" s="16">
        <v>1.0772255981881187E-8</v>
      </c>
      <c r="GF240" s="16">
        <v>7.8414247103586596E-10</v>
      </c>
      <c r="GG240" s="16">
        <v>5.6798585566879034E-11</v>
      </c>
      <c r="GH240" s="16">
        <v>4.0937871780625434E-12</v>
      </c>
      <c r="GI240" s="16">
        <v>2.9359528417653636E-13</v>
      </c>
      <c r="GJ240" s="16">
        <v>2.095075922269061E-14</v>
      </c>
      <c r="GK240" s="16">
        <v>1.4875379241927514E-15</v>
      </c>
      <c r="GL240" s="16">
        <v>1.050859238574193E-16</v>
      </c>
      <c r="GM240" s="16">
        <v>7.3861777566112673E-18</v>
      </c>
      <c r="GN240" s="16">
        <v>5.1650393912237171E-19</v>
      </c>
      <c r="GO240" s="16">
        <v>3.5766881030229189E-20</v>
      </c>
      <c r="GP240" s="16">
        <v>2.8540033675898253E-21</v>
      </c>
      <c r="GS240" s="9">
        <f t="shared" ref="GS240:GS258" si="298">GS239-1</f>
        <v>18</v>
      </c>
      <c r="GT240" s="16">
        <v>5.7262698186356757E-4</v>
      </c>
      <c r="GU240" s="16">
        <v>3.2776869329824952E-2</v>
      </c>
      <c r="GV240" s="16">
        <v>0.93232805345166048</v>
      </c>
      <c r="GW240" s="16">
        <v>3.5258905540359278E-2</v>
      </c>
      <c r="GX240" s="16">
        <v>6.40475534685313E-4</v>
      </c>
      <c r="GY240" s="16">
        <v>1.1581733857201783E-5</v>
      </c>
      <c r="GZ240" s="16">
        <v>2.0848430467715101E-7</v>
      </c>
      <c r="HA240" s="16">
        <v>3.7358831621566006E-9</v>
      </c>
      <c r="HB240" s="16">
        <v>6.6638413589147937E-11</v>
      </c>
      <c r="HC240" s="16">
        <v>1.1832014381067104E-12</v>
      </c>
      <c r="HD240" s="16">
        <v>2.0911565740962093E-14</v>
      </c>
      <c r="HE240" s="16">
        <v>3.6787418717115898E-16</v>
      </c>
      <c r="HF240" s="16">
        <v>6.4415142254610652E-18</v>
      </c>
      <c r="HG240" s="16">
        <v>1.1226475066118457E-19</v>
      </c>
      <c r="HH240" s="16">
        <v>1.9474058927609151E-21</v>
      </c>
      <c r="HI240" s="16">
        <v>3.3621563044708486E-23</v>
      </c>
      <c r="HJ240" s="16">
        <v>5.7772123076396992E-25</v>
      </c>
      <c r="HK240" s="16">
        <v>9.8798040210352319E-27</v>
      </c>
      <c r="HL240" s="16">
        <v>1.6815058315322824E-28</v>
      </c>
      <c r="HM240" s="16">
        <v>2.8473214308939333E-30</v>
      </c>
      <c r="HN240" s="16">
        <v>4.9645551208276624E-32</v>
      </c>
      <c r="HQ240" s="9">
        <f t="shared" ref="HQ240:HQ258" si="299">HQ239-1</f>
        <v>18</v>
      </c>
      <c r="HR240" s="16">
        <v>1.7773721142327302E-2</v>
      </c>
      <c r="HS240" s="16">
        <v>0.15496516842784946</v>
      </c>
      <c r="HT240" s="16">
        <v>0.65091666826409456</v>
      </c>
      <c r="HU240" s="16">
        <v>0.16794655616459392</v>
      </c>
      <c r="HV240" s="16">
        <v>1.7000872429032636E-2</v>
      </c>
      <c r="HW240" s="16">
        <v>1.7124464062538169E-3</v>
      </c>
      <c r="HX240" s="16">
        <v>1.7163261787226741E-4</v>
      </c>
      <c r="HY240" s="16">
        <v>1.711634627051387E-5</v>
      </c>
      <c r="HZ240" s="16">
        <v>1.6984077524016381E-6</v>
      </c>
      <c r="IA240" s="16">
        <v>1.6768094429896548E-7</v>
      </c>
      <c r="IB240" s="16">
        <v>1.647128231427737E-8</v>
      </c>
      <c r="IC240" s="16">
        <v>1.6097709909206301E-9</v>
      </c>
      <c r="ID240" s="16">
        <v>1.5652536089321267E-10</v>
      </c>
      <c r="IE240" s="16">
        <v>1.5141891126284923E-11</v>
      </c>
      <c r="IF240" s="16">
        <v>1.4572735980135481E-12</v>
      </c>
      <c r="IG240" s="16">
        <v>1.3952702751358616E-13</v>
      </c>
      <c r="IH240" s="16">
        <v>1.3289922923492577E-14</v>
      </c>
      <c r="II240" s="16">
        <v>1.2592839274489502E-15</v>
      </c>
      <c r="IJ240" s="16">
        <v>1.1869114757063397E-16</v>
      </c>
      <c r="IK240" s="16">
        <v>1.1035597975847097E-17</v>
      </c>
      <c r="IL240" s="16">
        <v>1.2494583997243334E-18</v>
      </c>
      <c r="IO240" s="9">
        <f t="shared" ref="IO240:IO258" si="300">IO239-1</f>
        <v>18</v>
      </c>
      <c r="IP240" s="16">
        <v>5.729268030272317E-4</v>
      </c>
      <c r="IQ240" s="16">
        <v>3.2785152005824492E-2</v>
      </c>
      <c r="IR240" s="16">
        <v>0.93231064961062038</v>
      </c>
      <c r="IS240" s="16">
        <v>3.5267818872252797E-2</v>
      </c>
      <c r="IT240" s="16">
        <v>6.4080515116239991E-4</v>
      </c>
      <c r="IU240" s="16">
        <v>1.1590727462088622E-5</v>
      </c>
      <c r="IV240" s="16">
        <v>2.0870080878780954E-7</v>
      </c>
      <c r="IW240" s="16">
        <v>3.7407414700611495E-9</v>
      </c>
      <c r="IX240" s="16">
        <v>6.674253376591534E-11</v>
      </c>
      <c r="IY240" s="16">
        <v>1.1853602231961443E-12</v>
      </c>
      <c r="IZ240" s="16">
        <v>2.0955200571022898E-14</v>
      </c>
      <c r="JA240" s="16">
        <v>3.6873824529411907E-16</v>
      </c>
      <c r="JB240" s="16">
        <v>6.458332898694705E-18</v>
      </c>
      <c r="JC240" s="16">
        <v>1.1258731187576023E-19</v>
      </c>
      <c r="JD240" s="16">
        <v>1.9535119841562297E-21</v>
      </c>
      <c r="JE240" s="16">
        <v>3.3735803220117099E-23</v>
      </c>
      <c r="JF240" s="16">
        <v>5.7983580172869251E-25</v>
      </c>
      <c r="JG240" s="16">
        <v>9.9185585791842323E-27</v>
      </c>
      <c r="JH240" s="16">
        <v>1.6885430319793623E-28</v>
      </c>
      <c r="JI240" s="16">
        <v>2.859984633898981E-30</v>
      </c>
      <c r="JJ240" s="16">
        <v>4.9879823430140126E-32</v>
      </c>
      <c r="JM240" s="9">
        <f t="shared" ref="JM240:JM258" si="301">JM239-1</f>
        <v>18</v>
      </c>
      <c r="JN240" s="16">
        <v>1.7773185440765206E-2</v>
      </c>
      <c r="JO240" s="16">
        <v>0.15496331779699282</v>
      </c>
      <c r="JP240" s="16">
        <v>0.65092145468109741</v>
      </c>
      <c r="JQ240" s="16">
        <v>0.16794451030836244</v>
      </c>
      <c r="JR240" s="16">
        <v>1.7000409087497479E-2</v>
      </c>
      <c r="JS240" s="16">
        <v>1.7123739390603751E-3</v>
      </c>
      <c r="JT240" s="16">
        <v>1.716227707199711E-4</v>
      </c>
      <c r="JU240" s="16">
        <v>1.711510669654548E-5</v>
      </c>
      <c r="JV240" s="16">
        <v>1.6982592112428548E-6</v>
      </c>
      <c r="JW240" s="16">
        <v>1.6766375881307257E-7</v>
      </c>
      <c r="JX240" s="16">
        <v>1.6469346759522676E-8</v>
      </c>
      <c r="JY240" s="16">
        <v>1.6095576574986055E-9</v>
      </c>
      <c r="JZ240" s="16">
        <v>1.5650226889062644E-10</v>
      </c>
      <c r="KA240" s="16">
        <v>1.5139430188905902E-11</v>
      </c>
      <c r="KB240" s="16">
        <v>1.4570149131426606E-12</v>
      </c>
      <c r="KC240" s="16">
        <v>1.3950016964378426E-13</v>
      </c>
      <c r="KD240" s="16">
        <v>1.3287165754958168E-14</v>
      </c>
      <c r="KE240" s="16">
        <v>1.2590038307094378E-15</v>
      </c>
      <c r="KF240" s="16">
        <v>1.1866297330995349E-16</v>
      </c>
      <c r="KG240" s="16">
        <v>1.1032816215607777E-17</v>
      </c>
      <c r="KH240" s="16">
        <v>1.249121006992057E-18</v>
      </c>
      <c r="KK240" s="9">
        <f t="shared" ref="KK240:KK258" si="302">KK239-1</f>
        <v>18</v>
      </c>
      <c r="KL240" s="16">
        <v>4.0405978923839958E-4</v>
      </c>
      <c r="KM240" s="16">
        <v>2.7685727957412962E-2</v>
      </c>
      <c r="KN240" s="16">
        <v>0.94299503000787066</v>
      </c>
      <c r="KO240" s="16">
        <v>2.978067132627029E-2</v>
      </c>
      <c r="KP240" s="16">
        <v>4.5441188426087177E-4</v>
      </c>
      <c r="KQ240" s="16">
        <v>6.9025387252626524E-6</v>
      </c>
      <c r="KR240" s="16">
        <v>1.0437666757051081E-7</v>
      </c>
      <c r="KS240" s="16">
        <v>1.5711758438237501E-9</v>
      </c>
      <c r="KT240" s="16">
        <v>2.3543133241812428E-11</v>
      </c>
      <c r="KU240" s="16">
        <v>3.5116648426733939E-13</v>
      </c>
      <c r="KV240" s="16">
        <v>5.2138957056355321E-15</v>
      </c>
      <c r="KW240" s="16">
        <v>7.705541765581535E-17</v>
      </c>
      <c r="KX240" s="16">
        <v>1.1335131608513898E-18</v>
      </c>
      <c r="KY240" s="16">
        <v>1.6596763488459646E-20</v>
      </c>
      <c r="KZ240" s="16">
        <v>2.4187140110879886E-22</v>
      </c>
      <c r="LA240" s="16">
        <v>3.508331731380471E-24</v>
      </c>
      <c r="LB240" s="16">
        <v>5.0648017561650376E-26</v>
      </c>
      <c r="LC240" s="16">
        <v>7.2771358962985342E-28</v>
      </c>
      <c r="LD240" s="16">
        <v>1.0406034113054616E-29</v>
      </c>
      <c r="LE240" s="16">
        <v>1.4806099466433281E-31</v>
      </c>
      <c r="LF240" s="16">
        <v>2.1573041863490125E-33</v>
      </c>
      <c r="LI240" s="9">
        <f t="shared" ref="LI240:LI258" si="303">LI239-1</f>
        <v>18</v>
      </c>
      <c r="LJ240" s="16">
        <v>1.7773051516124252E-2</v>
      </c>
      <c r="LK240" s="16">
        <v>0.15496285513536023</v>
      </c>
      <c r="LL240" s="16">
        <v>0.65092265129194415</v>
      </c>
      <c r="LM240" s="16">
        <v>0.16794399884026642</v>
      </c>
      <c r="LN240" s="16">
        <v>1.7000293252435451E-2</v>
      </c>
      <c r="LO240" s="16">
        <v>1.7123558224894058E-3</v>
      </c>
      <c r="LP240" s="16">
        <v>1.7162030898637689E-4</v>
      </c>
      <c r="LQ240" s="16">
        <v>1.7114796812856079E-5</v>
      </c>
      <c r="LR240" s="16">
        <v>1.6982220774792362E-6</v>
      </c>
      <c r="LS240" s="16">
        <v>1.6765946265870855E-7</v>
      </c>
      <c r="LT240" s="16">
        <v>1.646886289984513E-8</v>
      </c>
      <c r="LU240" s="16">
        <v>1.6095043278424116E-9</v>
      </c>
      <c r="LV240" s="16">
        <v>1.5649649634465767E-10</v>
      </c>
      <c r="LW240" s="16">
        <v>1.5138815008792497E-11</v>
      </c>
      <c r="LX240" s="16">
        <v>1.4569502482321572E-12</v>
      </c>
      <c r="LY240" s="16">
        <v>1.394934558941099E-13</v>
      </c>
      <c r="LZ240" s="16">
        <v>1.3286476542965421E-14</v>
      </c>
      <c r="MA240" s="16">
        <v>1.2589338153212964E-15</v>
      </c>
      <c r="MB240" s="16">
        <v>1.1865593069547511E-16</v>
      </c>
      <c r="MC240" s="16">
        <v>1.1032120875793007E-17</v>
      </c>
      <c r="MD240" s="16">
        <v>1.2490366719244315E-18</v>
      </c>
      <c r="MG240" s="9">
        <f t="shared" ref="MG240:MG258" si="304">MG239-1</f>
        <v>18</v>
      </c>
      <c r="MH240" s="16">
        <v>4.8506912941280857E-4</v>
      </c>
      <c r="MI240" s="16">
        <v>3.0250278137497477E-2</v>
      </c>
      <c r="MJ240" s="16">
        <v>0.93762939678738766</v>
      </c>
      <c r="MK240" s="16">
        <v>3.2540078034972275E-2</v>
      </c>
      <c r="ML240" s="16">
        <v>5.4402082718750695E-4</v>
      </c>
      <c r="MM240" s="16">
        <v>9.0542627510368078E-6</v>
      </c>
      <c r="MN240" s="16">
        <v>1.5001086716487629E-7</v>
      </c>
      <c r="MO240" s="16">
        <v>2.474091730105428E-9</v>
      </c>
      <c r="MP240" s="16">
        <v>4.0618476576014002E-11</v>
      </c>
      <c r="MQ240" s="16">
        <v>6.6380031225560038E-13</v>
      </c>
      <c r="MR240" s="16">
        <v>1.0798126496028029E-14</v>
      </c>
      <c r="MS240" s="16">
        <v>1.7484273204192703E-16</v>
      </c>
      <c r="MT240" s="16">
        <v>2.8179024974256323E-18</v>
      </c>
      <c r="MU240" s="16">
        <v>4.5203748006208284E-20</v>
      </c>
      <c r="MV240" s="16">
        <v>7.2174512754767903E-22</v>
      </c>
      <c r="MW240" s="16">
        <v>1.1469512177924061E-23</v>
      </c>
      <c r="MX240" s="16">
        <v>1.8140462533805765E-25</v>
      </c>
      <c r="MY240" s="16">
        <v>2.8555163724134147E-27</v>
      </c>
      <c r="MZ240" s="16">
        <v>4.4734678945797128E-29</v>
      </c>
      <c r="NA240" s="16">
        <v>6.9729095863559342E-31</v>
      </c>
      <c r="NB240" s="16">
        <v>1.1160879750430181E-32</v>
      </c>
      <c r="NE240" s="9">
        <f t="shared" ref="NE240:NE258" si="305">NE239-1</f>
        <v>18</v>
      </c>
      <c r="NF240" s="16">
        <v>1.7773051516124252E-2</v>
      </c>
      <c r="NG240" s="16">
        <v>0.15496285513536023</v>
      </c>
      <c r="NH240" s="16">
        <v>0.65092265129194415</v>
      </c>
      <c r="NI240" s="16">
        <v>0.16794399884026642</v>
      </c>
      <c r="NJ240" s="16">
        <v>1.7000293252435451E-2</v>
      </c>
      <c r="NK240" s="16">
        <v>1.7123558224894058E-3</v>
      </c>
      <c r="NL240" s="16">
        <v>1.7162030898637689E-4</v>
      </c>
      <c r="NM240" s="16">
        <v>1.7114796812856079E-5</v>
      </c>
      <c r="NN240" s="16">
        <v>1.6982220774792362E-6</v>
      </c>
      <c r="NO240" s="16">
        <v>1.6765946265870855E-7</v>
      </c>
      <c r="NP240" s="16">
        <v>1.646886289984513E-8</v>
      </c>
      <c r="NQ240" s="16">
        <v>1.6095043278424116E-9</v>
      </c>
      <c r="NR240" s="16">
        <v>1.5649649634465767E-10</v>
      </c>
      <c r="NS240" s="16">
        <v>1.5138815008792497E-11</v>
      </c>
      <c r="NT240" s="16">
        <v>1.4569502482321572E-12</v>
      </c>
      <c r="NU240" s="16">
        <v>1.394934558941099E-13</v>
      </c>
      <c r="NV240" s="16">
        <v>1.3286476542965421E-14</v>
      </c>
      <c r="NW240" s="16">
        <v>1.2589338153212964E-15</v>
      </c>
      <c r="NX240" s="16">
        <v>1.1865593069547511E-16</v>
      </c>
      <c r="NY240" s="16">
        <v>1.1032120875793007E-17</v>
      </c>
      <c r="NZ240" s="16">
        <v>1.2490366719244315E-18</v>
      </c>
      <c r="OC240" s="9">
        <f t="shared" ref="OC240:OC258" si="306">OC239-1</f>
        <v>18</v>
      </c>
      <c r="OD240" s="16">
        <v>5.7292680302723062E-4</v>
      </c>
      <c r="OE240" s="16">
        <v>3.2785152005824457E-2</v>
      </c>
      <c r="OF240" s="16">
        <v>0.93231064961062038</v>
      </c>
      <c r="OG240" s="16">
        <v>3.5267818872252783E-2</v>
      </c>
      <c r="OH240" s="16">
        <v>6.4080515116239905E-4</v>
      </c>
      <c r="OI240" s="16">
        <v>1.1590727462088597E-5</v>
      </c>
      <c r="OJ240" s="16">
        <v>2.0870080878780894E-7</v>
      </c>
      <c r="OK240" s="16">
        <v>3.7407414700611363E-9</v>
      </c>
      <c r="OL240" s="16">
        <v>6.6742533765915082E-11</v>
      </c>
      <c r="OM240" s="16">
        <v>1.1853602231961382E-12</v>
      </c>
      <c r="ON240" s="16">
        <v>2.0955200571022778E-14</v>
      </c>
      <c r="OO240" s="16">
        <v>3.6873824529411665E-16</v>
      </c>
      <c r="OP240" s="16">
        <v>6.4583328986946557E-18</v>
      </c>
      <c r="OQ240" s="16">
        <v>1.1258731187575929E-19</v>
      </c>
      <c r="OR240" s="16">
        <v>1.9535119841562124E-21</v>
      </c>
      <c r="OS240" s="16">
        <v>3.373580322011677E-23</v>
      </c>
      <c r="OT240" s="16">
        <v>5.7983580172868626E-25</v>
      </c>
      <c r="OU240" s="16">
        <v>9.9185585791841204E-27</v>
      </c>
      <c r="OV240" s="16">
        <v>1.6885430319793417E-28</v>
      </c>
      <c r="OW240" s="16">
        <v>2.8599846338989421E-30</v>
      </c>
      <c r="OX240" s="16">
        <v>4.9879823430139414E-32</v>
      </c>
      <c r="PA240" s="9">
        <f t="shared" ref="PA240:PA258" si="307">PA239-1</f>
        <v>18</v>
      </c>
      <c r="PB240" s="16">
        <v>1.7771846207848576E-2</v>
      </c>
      <c r="PC240" s="16">
        <v>0.15495869111013486</v>
      </c>
      <c r="PD240" s="16">
        <v>0.65093342090830386</v>
      </c>
      <c r="PE240" s="16">
        <v>0.16793939555471499</v>
      </c>
      <c r="PF240" s="16">
        <v>1.6999250742669298E-2</v>
      </c>
      <c r="PG240" s="16">
        <v>1.7121927774437901E-3</v>
      </c>
      <c r="PH240" s="16">
        <v>1.7159815436465896E-4</v>
      </c>
      <c r="PI240" s="16">
        <v>1.7112008036095113E-5</v>
      </c>
      <c r="PJ240" s="16">
        <v>1.6978879010747565E-6</v>
      </c>
      <c r="PK240" s="16">
        <v>1.6762080117713964E-7</v>
      </c>
      <c r="PL240" s="16">
        <v>1.6464508684903589E-8</v>
      </c>
      <c r="PM240" s="16">
        <v>1.6090244275174773E-9</v>
      </c>
      <c r="PN240" s="16">
        <v>1.5644455161415586E-10</v>
      </c>
      <c r="PO240" s="16">
        <v>1.5133279363801662E-11</v>
      </c>
      <c r="PP240" s="16">
        <v>1.4563683775498982E-12</v>
      </c>
      <c r="PQ240" s="16">
        <v>1.3943304506477398E-13</v>
      </c>
      <c r="PR240" s="16">
        <v>1.3280275077290932E-14</v>
      </c>
      <c r="PS240" s="16">
        <v>1.2583038351362969E-15</v>
      </c>
      <c r="PT240" s="16">
        <v>1.1859256427375508E-16</v>
      </c>
      <c r="PU240" s="16">
        <v>1.1025864621432489E-17</v>
      </c>
      <c r="PV240" s="16">
        <v>1.2482778923313472E-18</v>
      </c>
    </row>
    <row r="241" spans="3:438" x14ac:dyDescent="0.25">
      <c r="C241" s="1"/>
      <c r="D241" s="1"/>
      <c r="I241" s="9">
        <f t="shared" si="290"/>
        <v>17</v>
      </c>
      <c r="J241" s="16">
        <v>5.1795877562762162E-6</v>
      </c>
      <c r="K241" s="16">
        <v>3.6811778277148186E-4</v>
      </c>
      <c r="L241" s="16">
        <v>2.6806055185046477E-2</v>
      </c>
      <c r="M241" s="16">
        <v>0.94514110722263356</v>
      </c>
      <c r="N241" s="16">
        <v>2.8072041125134672E-2</v>
      </c>
      <c r="O241" s="16">
        <v>4.0380171886920447E-4</v>
      </c>
      <c r="P241" s="16">
        <v>5.789339873500997E-6</v>
      </c>
      <c r="Q241" s="16">
        <v>8.2727910115101364E-8</v>
      </c>
      <c r="R241" s="16">
        <v>1.1782367557187711E-9</v>
      </c>
      <c r="S241" s="16">
        <v>1.672499277832237E-11</v>
      </c>
      <c r="T241" s="16">
        <v>2.3661784220407388E-13</v>
      </c>
      <c r="U241" s="16">
        <v>3.3363569935154957E-15</v>
      </c>
      <c r="V241" s="16">
        <v>4.6885254003138778E-17</v>
      </c>
      <c r="W241" s="16">
        <v>6.5665006178164773E-19</v>
      </c>
      <c r="X241" s="16">
        <v>9.1655992020842637E-21</v>
      </c>
      <c r="Y241" s="16">
        <v>1.2750054938170679E-22</v>
      </c>
      <c r="Z241" s="16">
        <v>1.7675947498220305E-24</v>
      </c>
      <c r="AA241" s="16">
        <v>2.4421250731697333E-26</v>
      </c>
      <c r="AB241" s="16">
        <v>3.3625033767979173E-28</v>
      </c>
      <c r="AC241" s="16">
        <v>4.612978724207339E-30</v>
      </c>
      <c r="AD241" s="16">
        <v>6.4832503342158175E-32</v>
      </c>
      <c r="AF241" s="19"/>
      <c r="AG241" s="9">
        <f t="shared" si="291"/>
        <v>17</v>
      </c>
      <c r="AH241" s="16">
        <v>7.9872401353591502E-4</v>
      </c>
      <c r="AI241" s="16">
        <v>7.1112027207672493E-3</v>
      </c>
      <c r="AJ241" s="16">
        <v>7.7198176812458913E-2</v>
      </c>
      <c r="AK241" s="16">
        <v>0.8286205505884745</v>
      </c>
      <c r="AL241" s="16">
        <v>8.0797583200801881E-2</v>
      </c>
      <c r="AM241" s="16">
        <v>7.8500433087780076E-3</v>
      </c>
      <c r="AN241" s="16">
        <v>7.5992746807385819E-4</v>
      </c>
      <c r="AO241" s="16">
        <v>7.3298321529789002E-5</v>
      </c>
      <c r="AP241" s="16">
        <v>7.0442226423895547E-6</v>
      </c>
      <c r="AQ241" s="16">
        <v>6.7450411678041271E-7</v>
      </c>
      <c r="AR241" s="16">
        <v>6.4349313701432391E-8</v>
      </c>
      <c r="AS241" s="16">
        <v>6.1165466393445825E-9</v>
      </c>
      <c r="AT241" s="16">
        <v>5.7925122154636721E-10</v>
      </c>
      <c r="AU241" s="16">
        <v>5.4653895399089862E-11</v>
      </c>
      <c r="AV241" s="16">
        <v>5.1376434074296808E-12</v>
      </c>
      <c r="AW241" s="16">
        <v>4.8116121161825165E-13</v>
      </c>
      <c r="AX241" s="16">
        <v>4.4894814943776863E-14</v>
      </c>
      <c r="AY241" s="16">
        <v>4.1732603699373363E-15</v>
      </c>
      <c r="AZ241" s="16">
        <v>3.8644878069554667E-16</v>
      </c>
      <c r="BA241" s="16">
        <v>3.5360185723464953E-17</v>
      </c>
      <c r="BB241" s="16">
        <v>3.9356471682521283E-18</v>
      </c>
      <c r="BE241" s="9">
        <f t="shared" si="292"/>
        <v>17</v>
      </c>
      <c r="BF241" s="16">
        <v>7.9846532390299551E-4</v>
      </c>
      <c r="BG241" s="16">
        <v>7.1098234260710382E-3</v>
      </c>
      <c r="BH241" s="16">
        <v>7.719140900721462E-2</v>
      </c>
      <c r="BI241" s="16">
        <v>0.82863741486799392</v>
      </c>
      <c r="BJ241" s="16">
        <v>8.0790504067312474E-2</v>
      </c>
      <c r="BK241" s="16">
        <v>7.8485083868083984E-3</v>
      </c>
      <c r="BL241" s="16">
        <v>7.5969691220528594E-4</v>
      </c>
      <c r="BM241" s="16">
        <v>7.3268181235447809E-5</v>
      </c>
      <c r="BN241" s="16">
        <v>7.0405670038064057E-6</v>
      </c>
      <c r="BO241" s="16">
        <v>6.7408143361406577E-7</v>
      </c>
      <c r="BP241" s="16">
        <v>6.4302061576759926E-8</v>
      </c>
      <c r="BQ241" s="16">
        <v>6.1113971042488745E-9</v>
      </c>
      <c r="BR241" s="16">
        <v>5.7870125436509171E-10</v>
      </c>
      <c r="BS241" s="16">
        <v>5.4596129810794926E-11</v>
      </c>
      <c r="BT241" s="16">
        <v>5.1316612850416571E-12</v>
      </c>
      <c r="BU241" s="16">
        <v>4.8054929286350947E-13</v>
      </c>
      <c r="BV241" s="16">
        <v>4.4832901212299368E-14</v>
      </c>
      <c r="BW241" s="16">
        <v>4.1670573992998638E-15</v>
      </c>
      <c r="BX241" s="16">
        <v>3.858329540152824E-16</v>
      </c>
      <c r="BY241" s="16">
        <v>3.5300109658471743E-17</v>
      </c>
      <c r="BZ241" s="16">
        <v>3.9284546861064957E-18</v>
      </c>
      <c r="CC241" s="9">
        <f t="shared" si="293"/>
        <v>17</v>
      </c>
      <c r="CD241" s="16">
        <v>7.9846532390298965E-4</v>
      </c>
      <c r="CE241" s="16">
        <v>7.1098234260710035E-3</v>
      </c>
      <c r="CF241" s="16">
        <v>7.7191409007214468E-2</v>
      </c>
      <c r="CG241" s="16">
        <v>0.82863741486799436</v>
      </c>
      <c r="CH241" s="16">
        <v>8.0790504067312335E-2</v>
      </c>
      <c r="CI241" s="16">
        <v>7.8485083868083672E-3</v>
      </c>
      <c r="CJ241" s="16">
        <v>7.5969691220528106E-4</v>
      </c>
      <c r="CK241" s="16">
        <v>7.3268181235447172E-5</v>
      </c>
      <c r="CL241" s="16">
        <v>7.0405670038063269E-6</v>
      </c>
      <c r="CM241" s="16">
        <v>6.7408143361405687E-7</v>
      </c>
      <c r="CN241" s="16">
        <v>6.4302061576758947E-8</v>
      </c>
      <c r="CO241" s="16">
        <v>6.1113971042487621E-9</v>
      </c>
      <c r="CP241" s="16">
        <v>5.7870125436507982E-10</v>
      </c>
      <c r="CQ241" s="16">
        <v>5.4596129810793672E-11</v>
      </c>
      <c r="CR241" s="16">
        <v>5.1316612850415295E-12</v>
      </c>
      <c r="CS241" s="16">
        <v>4.8054929286349644E-13</v>
      </c>
      <c r="CT241" s="16">
        <v>4.4832901212298024E-14</v>
      </c>
      <c r="CU241" s="16">
        <v>4.1670573992997282E-15</v>
      </c>
      <c r="CV241" s="16">
        <v>3.8583295401526894E-16</v>
      </c>
      <c r="CW241" s="16">
        <v>3.5300109658470418E-17</v>
      </c>
      <c r="CX241" s="16">
        <v>3.9284546861063385E-18</v>
      </c>
      <c r="DA241" s="9">
        <f t="shared" si="294"/>
        <v>17</v>
      </c>
      <c r="DB241" s="16">
        <v>5.1874745450009675E-6</v>
      </c>
      <c r="DC241" s="16">
        <v>3.6848615759909188E-4</v>
      </c>
      <c r="DD241" s="16">
        <v>2.6819277217795295E-2</v>
      </c>
      <c r="DE241" s="16">
        <v>0.94511366962218668</v>
      </c>
      <c r="DF241" s="16">
        <v>2.8085886018445399E-2</v>
      </c>
      <c r="DG241" s="16">
        <v>4.0420581046861614E-4</v>
      </c>
      <c r="DH241" s="16">
        <v>5.7980729385700603E-6</v>
      </c>
      <c r="DI241" s="16">
        <v>8.2894727481692991E-8</v>
      </c>
      <c r="DJ241" s="16">
        <v>1.1812114173148003E-9</v>
      </c>
      <c r="DK241" s="16">
        <v>1.6775721616846966E-11</v>
      </c>
      <c r="DL241" s="16">
        <v>2.3745589261309213E-13</v>
      </c>
      <c r="DM241" s="16">
        <v>3.3498715459419862E-15</v>
      </c>
      <c r="DN241" s="16">
        <v>4.7099042493199012E-17</v>
      </c>
      <c r="DO241" s="16">
        <v>6.5997874289518524E-19</v>
      </c>
      <c r="DP241" s="16">
        <v>9.2167320419387531E-21</v>
      </c>
      <c r="DQ241" s="16">
        <v>1.2827684916278544E-22</v>
      </c>
      <c r="DR241" s="16">
        <v>1.7792584913739063E-24</v>
      </c>
      <c r="DS241" s="16">
        <v>2.4594859776574325E-26</v>
      </c>
      <c r="DT241" s="16">
        <v>3.3881237881097301E-28</v>
      </c>
      <c r="DU241" s="16">
        <v>4.6504822324928973E-30</v>
      </c>
      <c r="DV241" s="16">
        <v>6.5393634041505348E-32</v>
      </c>
      <c r="DY241" s="9">
        <f t="shared" si="295"/>
        <v>17</v>
      </c>
      <c r="DZ241" s="16">
        <v>3.4265294974796223E-4</v>
      </c>
      <c r="EA241" s="16">
        <v>4.2558414308406468E-3</v>
      </c>
      <c r="EB241" s="16">
        <v>6.1031713229462166E-2</v>
      </c>
      <c r="EC241" s="16">
        <v>0.86734884629109965</v>
      </c>
      <c r="ED241" s="16">
        <v>6.5001351897392895E-2</v>
      </c>
      <c r="EE241" s="16">
        <v>4.8479461883084362E-3</v>
      </c>
      <c r="EF241" s="16">
        <v>3.5982506663293119E-4</v>
      </c>
      <c r="EG241" s="16">
        <v>2.6577530318485147E-5</v>
      </c>
      <c r="EH241" s="16">
        <v>1.9535237614907028E-6</v>
      </c>
      <c r="EI241" s="16">
        <v>1.4288770072050258E-7</v>
      </c>
      <c r="EJ241" s="16">
        <v>1.0400020510156316E-8</v>
      </c>
      <c r="EK241" s="16">
        <v>7.5323032321783006E-10</v>
      </c>
      <c r="EL241" s="16">
        <v>5.4283346225643961E-11</v>
      </c>
      <c r="EM241" s="16">
        <v>3.89261561441332E-12</v>
      </c>
      <c r="EN241" s="16">
        <v>2.7774312987961823E-13</v>
      </c>
      <c r="EO241" s="16">
        <v>1.9717994471263903E-14</v>
      </c>
      <c r="EP241" s="16">
        <v>1.3928052476984511E-15</v>
      </c>
      <c r="EQ241" s="16">
        <v>9.7885142326039997E-17</v>
      </c>
      <c r="ER241" s="16">
        <v>6.8441868493474723E-18</v>
      </c>
      <c r="ES241" s="16">
        <v>4.73893721826243E-19</v>
      </c>
      <c r="ET241" s="16">
        <v>3.7809282880627748E-20</v>
      </c>
      <c r="EW241" s="9">
        <f t="shared" si="296"/>
        <v>17</v>
      </c>
      <c r="EX241" s="16">
        <v>3.4265294974796483E-4</v>
      </c>
      <c r="EY241" s="16">
        <v>4.2558414308406676E-3</v>
      </c>
      <c r="EZ241" s="16">
        <v>6.1031713229462298E-2</v>
      </c>
      <c r="FA241" s="16">
        <v>0.86734884629109932</v>
      </c>
      <c r="FB241" s="16">
        <v>6.5001351897393048E-2</v>
      </c>
      <c r="FC241" s="16">
        <v>4.8479461883084597E-3</v>
      </c>
      <c r="FD241" s="16">
        <v>3.5982506663293379E-4</v>
      </c>
      <c r="FE241" s="16">
        <v>2.6577530318485394E-5</v>
      </c>
      <c r="FF241" s="16">
        <v>1.9535237614907257E-6</v>
      </c>
      <c r="FG241" s="16">
        <v>1.4288770072050467E-7</v>
      </c>
      <c r="FH241" s="16">
        <v>1.0400020510156493E-8</v>
      </c>
      <c r="FI241" s="16">
        <v>7.5323032321784526E-10</v>
      </c>
      <c r="FJ241" s="16">
        <v>5.4283346225645189E-11</v>
      </c>
      <c r="FK241" s="16">
        <v>3.8926156144134177E-12</v>
      </c>
      <c r="FL241" s="16">
        <v>2.7774312987962595E-13</v>
      </c>
      <c r="FM241" s="16">
        <v>1.97179944712645E-14</v>
      </c>
      <c r="FN241" s="16">
        <v>1.3928052476984964E-15</v>
      </c>
      <c r="FO241" s="16">
        <v>9.7885142326043424E-17</v>
      </c>
      <c r="FP241" s="16">
        <v>6.8441868493477304E-18</v>
      </c>
      <c r="FQ241" s="16">
        <v>4.7389372182626245E-19</v>
      </c>
      <c r="FR241" s="16">
        <v>3.7809282880629361E-20</v>
      </c>
      <c r="FU241" s="9">
        <f t="shared" si="297"/>
        <v>17</v>
      </c>
      <c r="FV241" s="16">
        <v>3.4276914356044748E-4</v>
      </c>
      <c r="FW241" s="16">
        <v>4.2567313847540617E-3</v>
      </c>
      <c r="FX241" s="16">
        <v>6.1037633993343929E-2</v>
      </c>
      <c r="FY241" s="16">
        <v>0.86733489249325779</v>
      </c>
      <c r="FZ241" s="16">
        <v>6.5007652564268617E-2</v>
      </c>
      <c r="GA241" s="16">
        <v>4.8489638601874677E-3</v>
      </c>
      <c r="GB241" s="16">
        <v>3.599412442799041E-4</v>
      </c>
      <c r="GC241" s="16">
        <v>2.6589112662355335E-5</v>
      </c>
      <c r="GD241" s="16">
        <v>1.9545956290118077E-6</v>
      </c>
      <c r="GE241" s="16">
        <v>1.4298222682611179E-7</v>
      </c>
      <c r="GF241" s="16">
        <v>1.0408073930495147E-8</v>
      </c>
      <c r="GG241" s="16">
        <v>7.5389855742247155E-10</v>
      </c>
      <c r="GH241" s="16">
        <v>5.4337625085785184E-11</v>
      </c>
      <c r="GI241" s="16">
        <v>3.8969467108667226E-12</v>
      </c>
      <c r="GJ241" s="16">
        <v>2.7808345924906952E-13</v>
      </c>
      <c r="GK241" s="16">
        <v>1.9744377152484693E-14</v>
      </c>
      <c r="GL241" s="16">
        <v>1.3948256917107825E-15</v>
      </c>
      <c r="GM241" s="16">
        <v>9.8038158873137512E-17</v>
      </c>
      <c r="GN241" s="16">
        <v>6.8556561879323653E-18</v>
      </c>
      <c r="GO241" s="16">
        <v>4.7474069544286013E-19</v>
      </c>
      <c r="GP241" s="16">
        <v>3.7881735966318236E-20</v>
      </c>
      <c r="GS241" s="9">
        <f t="shared" si="298"/>
        <v>17</v>
      </c>
      <c r="GT241" s="16">
        <v>9.7599151098769366E-6</v>
      </c>
      <c r="GU241" s="16">
        <v>5.5865244279187454E-4</v>
      </c>
      <c r="GV241" s="16">
        <v>3.2934804617040077E-2</v>
      </c>
      <c r="GW241" s="16">
        <v>0.93214323586096814</v>
      </c>
      <c r="GX241" s="16">
        <v>3.5097245734419212E-2</v>
      </c>
      <c r="GY241" s="16">
        <v>6.3466430363585133E-4</v>
      </c>
      <c r="GZ241" s="16">
        <v>1.1424675068375079E-5</v>
      </c>
      <c r="HA241" s="16">
        <v>2.0472165176724901E-7</v>
      </c>
      <c r="HB241" s="16">
        <v>3.6517004170023888E-9</v>
      </c>
      <c r="HC241" s="16">
        <v>6.483793584239414E-11</v>
      </c>
      <c r="HD241" s="16">
        <v>1.1459272396136367E-12</v>
      </c>
      <c r="HE241" s="16">
        <v>2.0159038163479078E-14</v>
      </c>
      <c r="HF241" s="16">
        <v>3.5298679719881012E-16</v>
      </c>
      <c r="HG241" s="16">
        <v>6.1519657315323374E-18</v>
      </c>
      <c r="HH241" s="16">
        <v>1.0671536922400603E-19</v>
      </c>
      <c r="HI241" s="16">
        <v>1.8424189469394587E-21</v>
      </c>
      <c r="HJ241" s="16">
        <v>3.1658389593408338E-23</v>
      </c>
      <c r="HK241" s="16">
        <v>5.4140071049637865E-25</v>
      </c>
      <c r="HL241" s="16">
        <v>9.21443836291796E-27</v>
      </c>
      <c r="HM241" s="16">
        <v>1.560295975927683E-28</v>
      </c>
      <c r="HN241" s="16">
        <v>2.7205131437747845E-30</v>
      </c>
      <c r="HQ241" s="9">
        <f t="shared" si="299"/>
        <v>17</v>
      </c>
      <c r="HR241" s="16">
        <v>1.6889258254135777E-3</v>
      </c>
      <c r="HS241" s="16">
        <v>1.4725373088816752E-2</v>
      </c>
      <c r="HT241" s="16">
        <v>0.15687631049847064</v>
      </c>
      <c r="HU241" s="16">
        <v>0.65015576842883138</v>
      </c>
      <c r="HV241" s="16">
        <v>0.16704175630488563</v>
      </c>
      <c r="HW241" s="16">
        <v>1.6825610360450407E-2</v>
      </c>
      <c r="HX241" s="16">
        <v>1.6863730992786579E-3</v>
      </c>
      <c r="HY241" s="16">
        <v>1.6817634238973603E-4</v>
      </c>
      <c r="HZ241" s="16">
        <v>1.6687673827756967E-5</v>
      </c>
      <c r="IA241" s="16">
        <v>1.6475460039761426E-6</v>
      </c>
      <c r="IB241" s="16">
        <v>1.6183827846810384E-7</v>
      </c>
      <c r="IC241" s="16">
        <v>1.581677497402048E-8</v>
      </c>
      <c r="ID241" s="16">
        <v>1.5379370264085939E-9</v>
      </c>
      <c r="IE241" s="16">
        <v>1.4877637004043547E-10</v>
      </c>
      <c r="IF241" s="16">
        <v>1.4318414672250682E-11</v>
      </c>
      <c r="IG241" s="16">
        <v>1.370920217486492E-12</v>
      </c>
      <c r="IH241" s="16">
        <v>1.3057989085934682E-13</v>
      </c>
      <c r="II241" s="16">
        <v>1.237307084125659E-14</v>
      </c>
      <c r="IJ241" s="16">
        <v>1.1661976660787867E-15</v>
      </c>
      <c r="IK241" s="16">
        <v>1.0843006295442399E-16</v>
      </c>
      <c r="IL241" s="16">
        <v>1.2276530301081752E-17</v>
      </c>
      <c r="IO241" s="9">
        <f t="shared" si="300"/>
        <v>17</v>
      </c>
      <c r="IP241" s="16">
        <v>9.7675818323454357E-6</v>
      </c>
      <c r="IQ241" s="16">
        <v>5.5893990892158334E-4</v>
      </c>
      <c r="IR241" s="16">
        <v>3.2943130424092248E-2</v>
      </c>
      <c r="IS241" s="16">
        <v>0.93212578543923896</v>
      </c>
      <c r="IT241" s="16">
        <v>3.5106116442524288E-2</v>
      </c>
      <c r="IU241" s="16">
        <v>6.3499088170488932E-4</v>
      </c>
      <c r="IV241" s="16">
        <v>1.1433545566329306E-5</v>
      </c>
      <c r="IW241" s="16">
        <v>2.0493422281504865E-7</v>
      </c>
      <c r="IX241" s="16">
        <v>3.6564487002095374E-9</v>
      </c>
      <c r="IY241" s="16">
        <v>6.4939231444027967E-11</v>
      </c>
      <c r="IZ241" s="16">
        <v>1.1480177866677965E-12</v>
      </c>
      <c r="JA241" s="16">
        <v>2.0201098185034358E-14</v>
      </c>
      <c r="JB241" s="16">
        <v>3.5381579931885107E-16</v>
      </c>
      <c r="JC241" s="16">
        <v>6.1680266981180191E-18</v>
      </c>
      <c r="JD241" s="16">
        <v>1.0702195365198446E-19</v>
      </c>
      <c r="JE241" s="16">
        <v>1.848195249334645E-21</v>
      </c>
      <c r="JF241" s="16">
        <v>3.1765948098430803E-23</v>
      </c>
      <c r="JG241" s="16">
        <v>5.4338213697441813E-25</v>
      </c>
      <c r="JH241" s="16">
        <v>9.2505792425906332E-27</v>
      </c>
      <c r="JI241" s="16">
        <v>1.566825007560568E-28</v>
      </c>
      <c r="JJ241" s="16">
        <v>2.7326354763138762E-30</v>
      </c>
      <c r="JM241" s="9">
        <f t="shared" si="301"/>
        <v>17</v>
      </c>
      <c r="JN241" s="16">
        <v>1.688849451459677E-3</v>
      </c>
      <c r="JO241" s="16">
        <v>1.4724975167228959E-2</v>
      </c>
      <c r="JP241" s="16">
        <v>0.15687439949544246</v>
      </c>
      <c r="JQ241" s="16">
        <v>0.65016055862843436</v>
      </c>
      <c r="JR241" s="16">
        <v>0.16703972344929868</v>
      </c>
      <c r="JS241" s="16">
        <v>1.6825152133120611E-2</v>
      </c>
      <c r="JT241" s="16">
        <v>1.6863017831582291E-3</v>
      </c>
      <c r="JU241" s="16">
        <v>1.6816669967658037E-4</v>
      </c>
      <c r="JV241" s="16">
        <v>1.6686466045093788E-5</v>
      </c>
      <c r="JW241" s="16">
        <v>1.6474019984143926E-6</v>
      </c>
      <c r="JX241" s="16">
        <v>1.6182170169801675E-7</v>
      </c>
      <c r="JY241" s="16">
        <v>1.5814917429369061E-8</v>
      </c>
      <c r="JZ241" s="16">
        <v>1.5377333321880807E-9</v>
      </c>
      <c r="KA241" s="16">
        <v>1.4875443402092071E-10</v>
      </c>
      <c r="KB241" s="16">
        <v>1.4316088918815557E-11</v>
      </c>
      <c r="KC241" s="16">
        <v>1.3706770018590251E-12</v>
      </c>
      <c r="KD241" s="16">
        <v>1.3055476969465797E-13</v>
      </c>
      <c r="KE241" s="16">
        <v>1.2370505357896041E-14</v>
      </c>
      <c r="KF241" s="16">
        <v>1.1659384279136736E-15</v>
      </c>
      <c r="KG241" s="16">
        <v>1.084043660383084E-16</v>
      </c>
      <c r="KH241" s="16">
        <v>1.2273400392235923E-17</v>
      </c>
      <c r="KK241" s="9">
        <f t="shared" si="302"/>
        <v>17</v>
      </c>
      <c r="KL241" s="16">
        <v>5.7848844793978535E-6</v>
      </c>
      <c r="KM241" s="16">
        <v>3.9637385908542887E-4</v>
      </c>
      <c r="KN241" s="16">
        <v>2.7817669790467514E-2</v>
      </c>
      <c r="KO241" s="16">
        <v>0.94283886196803435</v>
      </c>
      <c r="KP241" s="16">
        <v>2.9645035815675465E-2</v>
      </c>
      <c r="KQ241" s="16">
        <v>4.5030954254714244E-4</v>
      </c>
      <c r="KR241" s="16">
        <v>6.8093510658983515E-6</v>
      </c>
      <c r="KS241" s="16">
        <v>1.0250076148127247E-7</v>
      </c>
      <c r="KT241" s="16">
        <v>1.5359127970475194E-9</v>
      </c>
      <c r="KU241" s="16">
        <v>2.2909486666052232E-11</v>
      </c>
      <c r="KV241" s="16">
        <v>3.4014542815968151E-13</v>
      </c>
      <c r="KW241" s="16">
        <v>5.0269605512497693E-15</v>
      </c>
      <c r="KX241" s="16">
        <v>7.3948414235768356E-17</v>
      </c>
      <c r="KY241" s="16">
        <v>1.0827437949603092E-18</v>
      </c>
      <c r="KZ241" s="16">
        <v>1.5779266777586266E-20</v>
      </c>
      <c r="LA241" s="16">
        <v>2.2887742031486384E-22</v>
      </c>
      <c r="LB241" s="16">
        <v>3.3041879990667587E-24</v>
      </c>
      <c r="LC241" s="16">
        <v>4.7474760619917981E-26</v>
      </c>
      <c r="LD241" s="16">
        <v>6.7887144827300874E-28</v>
      </c>
      <c r="LE241" s="16">
        <v>9.6592400897879189E-30</v>
      </c>
      <c r="LF241" s="16">
        <v>1.4073874844547053E-31</v>
      </c>
      <c r="LI241" s="9">
        <f t="shared" si="303"/>
        <v>17</v>
      </c>
      <c r="LJ241" s="16">
        <v>1.6888303582580475E-3</v>
      </c>
      <c r="LK241" s="16">
        <v>1.4724875687076734E-2</v>
      </c>
      <c r="LL241" s="16">
        <v>0.15687392174091347</v>
      </c>
      <c r="LM241" s="16">
        <v>0.65016175618499161</v>
      </c>
      <c r="LN241" s="16">
        <v>0.16703921523138504</v>
      </c>
      <c r="LO241" s="16">
        <v>1.6825037576604553E-2</v>
      </c>
      <c r="LP241" s="16">
        <v>1.6862839543515143E-3</v>
      </c>
      <c r="LQ241" s="16">
        <v>1.6816428905157469E-4</v>
      </c>
      <c r="LR241" s="16">
        <v>1.6686164108969455E-5</v>
      </c>
      <c r="LS241" s="16">
        <v>1.6473659985020729E-6</v>
      </c>
      <c r="LT241" s="16">
        <v>1.6181755771473554E-7</v>
      </c>
      <c r="LU241" s="16">
        <v>1.5814453071025642E-8</v>
      </c>
      <c r="LV241" s="16">
        <v>1.5376824121623893E-9</v>
      </c>
      <c r="LW241" s="16">
        <v>1.4874895044763663E-10</v>
      </c>
      <c r="LX241" s="16">
        <v>1.431550753167193E-11</v>
      </c>
      <c r="LY241" s="16">
        <v>1.3706162038780052E-12</v>
      </c>
      <c r="LZ241" s="16">
        <v>1.3054849007438185E-13</v>
      </c>
      <c r="MA241" s="16">
        <v>1.2369864061574149E-14</v>
      </c>
      <c r="MB241" s="16">
        <v>1.1658736265083159E-15</v>
      </c>
      <c r="MC241" s="16">
        <v>1.0839794267467982E-16</v>
      </c>
      <c r="MD241" s="16">
        <v>1.2272618029314796E-17</v>
      </c>
      <c r="MG241" s="9">
        <f t="shared" si="304"/>
        <v>17</v>
      </c>
      <c r="MH241" s="16">
        <v>7.6091785612454511E-6</v>
      </c>
      <c r="MI241" s="16">
        <v>4.7452982248983282E-4</v>
      </c>
      <c r="MJ241" s="16">
        <v>3.0395189410468849E-2</v>
      </c>
      <c r="MK241" s="16">
        <v>0.93745879299058166</v>
      </c>
      <c r="ML241" s="16">
        <v>3.2391376998901003E-2</v>
      </c>
      <c r="MM241" s="16">
        <v>5.3909707783091076E-4</v>
      </c>
      <c r="MN241" s="16">
        <v>8.9317509724582705E-6</v>
      </c>
      <c r="MO241" s="16">
        <v>1.4730913589101744E-7</v>
      </c>
      <c r="MP241" s="16">
        <v>2.4184522395890237E-9</v>
      </c>
      <c r="MQ241" s="16">
        <v>3.9523130534207463E-11</v>
      </c>
      <c r="MR241" s="16">
        <v>6.4292793351845779E-13</v>
      </c>
      <c r="MS241" s="16">
        <v>1.0410257413060201E-14</v>
      </c>
      <c r="MT241" s="16">
        <v>1.6777986720129455E-16</v>
      </c>
      <c r="MU241" s="16">
        <v>2.6914624776447105E-18</v>
      </c>
      <c r="MV241" s="16">
        <v>4.2973204986247694E-20</v>
      </c>
      <c r="MW241" s="16">
        <v>6.8290270221690511E-22</v>
      </c>
      <c r="MX241" s="16">
        <v>1.0800957086600952E-23</v>
      </c>
      <c r="MY241" s="16">
        <v>1.7001942338045324E-25</v>
      </c>
      <c r="MZ241" s="16">
        <v>2.663533780773219E-27</v>
      </c>
      <c r="NA241" s="16">
        <v>4.1517186825102621E-29</v>
      </c>
      <c r="NB241" s="16">
        <v>6.6452651363470847E-31</v>
      </c>
      <c r="NE241" s="9">
        <f t="shared" si="305"/>
        <v>17</v>
      </c>
      <c r="NF241" s="16">
        <v>1.6888303582580475E-3</v>
      </c>
      <c r="NG241" s="16">
        <v>1.4724875687076734E-2</v>
      </c>
      <c r="NH241" s="16">
        <v>0.15687392174091347</v>
      </c>
      <c r="NI241" s="16">
        <v>0.65016175618499161</v>
      </c>
      <c r="NJ241" s="16">
        <v>0.16703921523138504</v>
      </c>
      <c r="NK241" s="16">
        <v>1.6825037576604553E-2</v>
      </c>
      <c r="NL241" s="16">
        <v>1.6862839543515143E-3</v>
      </c>
      <c r="NM241" s="16">
        <v>1.6816428905157469E-4</v>
      </c>
      <c r="NN241" s="16">
        <v>1.6686164108969455E-5</v>
      </c>
      <c r="NO241" s="16">
        <v>1.6473659985020729E-6</v>
      </c>
      <c r="NP241" s="16">
        <v>1.6181755771473554E-7</v>
      </c>
      <c r="NQ241" s="16">
        <v>1.5814453071025642E-8</v>
      </c>
      <c r="NR241" s="16">
        <v>1.5376824121623893E-9</v>
      </c>
      <c r="NS241" s="16">
        <v>1.4874895044763663E-10</v>
      </c>
      <c r="NT241" s="16">
        <v>1.431550753167193E-11</v>
      </c>
      <c r="NU241" s="16">
        <v>1.3706162038780052E-12</v>
      </c>
      <c r="NV241" s="16">
        <v>1.3054849007438185E-13</v>
      </c>
      <c r="NW241" s="16">
        <v>1.2369864061574149E-14</v>
      </c>
      <c r="NX241" s="16">
        <v>1.1658736265083159E-15</v>
      </c>
      <c r="NY241" s="16">
        <v>1.0839794267467982E-16</v>
      </c>
      <c r="NZ241" s="16">
        <v>1.2272618029314796E-17</v>
      </c>
      <c r="OC241" s="9">
        <f t="shared" si="306"/>
        <v>17</v>
      </c>
      <c r="OD241" s="16">
        <v>9.767581832345412E-6</v>
      </c>
      <c r="OE241" s="16">
        <v>5.5893990892158247E-4</v>
      </c>
      <c r="OF241" s="16">
        <v>3.2943130424092228E-2</v>
      </c>
      <c r="OG241" s="16">
        <v>0.93212578543923919</v>
      </c>
      <c r="OH241" s="16">
        <v>3.5106116442524274E-2</v>
      </c>
      <c r="OI241" s="16">
        <v>6.3499088170488845E-4</v>
      </c>
      <c r="OJ241" s="16">
        <v>1.1433545566329279E-5</v>
      </c>
      <c r="OK241" s="16">
        <v>2.0493422281504807E-7</v>
      </c>
      <c r="OL241" s="16">
        <v>3.656448700209525E-9</v>
      </c>
      <c r="OM241" s="16">
        <v>6.4939231444027683E-11</v>
      </c>
      <c r="ON241" s="16">
        <v>1.1480177866677908E-12</v>
      </c>
      <c r="OO241" s="16">
        <v>2.0201098185034242E-14</v>
      </c>
      <c r="OP241" s="16">
        <v>3.538157993188487E-16</v>
      </c>
      <c r="OQ241" s="16">
        <v>6.1680266981179728E-18</v>
      </c>
      <c r="OR241" s="16">
        <v>1.0702195365198359E-19</v>
      </c>
      <c r="OS241" s="16">
        <v>1.848195249334628E-21</v>
      </c>
      <c r="OT241" s="16">
        <v>3.1765948098430492E-23</v>
      </c>
      <c r="OU241" s="16">
        <v>5.4338213697441244E-25</v>
      </c>
      <c r="OV241" s="16">
        <v>9.250579242590527E-27</v>
      </c>
      <c r="OW241" s="16">
        <v>1.5668250075605481E-28</v>
      </c>
      <c r="OX241" s="16">
        <v>2.7326354763138394E-30</v>
      </c>
      <c r="PA241" s="9">
        <f t="shared" si="307"/>
        <v>17</v>
      </c>
      <c r="PB241" s="16">
        <v>1.6886585246066435E-3</v>
      </c>
      <c r="PC241" s="16">
        <v>1.4723980370112287E-2</v>
      </c>
      <c r="PD241" s="16">
        <v>0.1568696218822562</v>
      </c>
      <c r="PE241" s="16">
        <v>0.65017253431382183</v>
      </c>
      <c r="PF241" s="16">
        <v>0.16703464119785649</v>
      </c>
      <c r="PG241" s="16">
        <v>1.6824006573655407E-2</v>
      </c>
      <c r="PH241" s="16">
        <v>1.6861234991121989E-3</v>
      </c>
      <c r="PI241" s="16">
        <v>1.6814259438561359E-4</v>
      </c>
      <c r="PJ241" s="16">
        <v>1.6683446855591855E-5</v>
      </c>
      <c r="PK241" s="16">
        <v>1.6470420258960373E-6</v>
      </c>
      <c r="PL241" s="16">
        <v>1.6178026563128528E-7</v>
      </c>
      <c r="PM241" s="16">
        <v>1.5810274346642521E-8</v>
      </c>
      <c r="PN241" s="16">
        <v>1.5372241954545549E-9</v>
      </c>
      <c r="PO241" s="16">
        <v>1.4869960605584977E-10</v>
      </c>
      <c r="PP241" s="16">
        <v>1.4310275969125052E-11</v>
      </c>
      <c r="PQ241" s="16">
        <v>1.3700691286974896E-12</v>
      </c>
      <c r="PR241" s="16">
        <v>1.3049198556593588E-13</v>
      </c>
      <c r="PS241" s="16">
        <v>1.2364093735749829E-14</v>
      </c>
      <c r="PT241" s="16">
        <v>1.1652905602761821E-15</v>
      </c>
      <c r="PU241" s="16">
        <v>1.0834014797571738E-16</v>
      </c>
      <c r="PV241" s="16">
        <v>1.2265578819742889E-17</v>
      </c>
    </row>
    <row r="242" spans="3:438" x14ac:dyDescent="0.25">
      <c r="C242" s="1"/>
      <c r="D242" s="1"/>
      <c r="I242" s="9">
        <f t="shared" si="290"/>
        <v>16</v>
      </c>
      <c r="J242" s="16">
        <v>7.1613486109449425E-8</v>
      </c>
      <c r="K242" s="16">
        <v>5.089632411614842E-6</v>
      </c>
      <c r="L242" s="16">
        <v>3.706231366226683E-4</v>
      </c>
      <c r="M242" s="16">
        <v>2.6893710893152907E-2</v>
      </c>
      <c r="N242" s="16">
        <v>0.94503281839842002</v>
      </c>
      <c r="O242" s="16">
        <v>2.7978286004399947E-2</v>
      </c>
      <c r="P242" s="16">
        <v>4.0112708586550897E-4</v>
      </c>
      <c r="Q242" s="16">
        <v>5.7319843417910646E-6</v>
      </c>
      <c r="R242" s="16">
        <v>8.1636712752760277E-8</v>
      </c>
      <c r="S242" s="16">
        <v>1.1588277352652788E-9</v>
      </c>
      <c r="T242" s="16">
        <v>1.63945851480486E-11</v>
      </c>
      <c r="U242" s="16">
        <v>2.3116679750338573E-13</v>
      </c>
      <c r="V242" s="16">
        <v>3.2485474543352545E-15</v>
      </c>
      <c r="W242" s="16">
        <v>4.5497436922215524E-17</v>
      </c>
      <c r="X242" s="16">
        <v>6.3505860399934622E-19</v>
      </c>
      <c r="Y242" s="16">
        <v>8.8341546596412091E-21</v>
      </c>
      <c r="Z242" s="16">
        <v>1.2247167146511156E-22</v>
      </c>
      <c r="AA242" s="16">
        <v>1.6920798144940686E-24</v>
      </c>
      <c r="AB242" s="16">
        <v>2.3297840690293165E-26</v>
      </c>
      <c r="AC242" s="16">
        <v>3.1962032860957147E-28</v>
      </c>
      <c r="AD242" s="16">
        <v>4.4920619108995389E-30</v>
      </c>
      <c r="AF242" s="19"/>
      <c r="AG242" s="9">
        <f t="shared" si="291"/>
        <v>16</v>
      </c>
      <c r="AH242" s="16">
        <v>7.4613283528572445E-5</v>
      </c>
      <c r="AI242" s="16">
        <v>6.6429727395432092E-4</v>
      </c>
      <c r="AJ242" s="16">
        <v>7.2115140609051703E-3</v>
      </c>
      <c r="AK242" s="16">
        <v>7.7406086496583856E-2</v>
      </c>
      <c r="AL242" s="16">
        <v>0.82830283740518351</v>
      </c>
      <c r="AM242" s="16">
        <v>8.0475342068769537E-2</v>
      </c>
      <c r="AN242" s="16">
        <v>7.7904567573930435E-3</v>
      </c>
      <c r="AO242" s="16">
        <v>7.514235611388823E-4</v>
      </c>
      <c r="AP242" s="16">
        <v>7.2214407546130656E-5</v>
      </c>
      <c r="AQ242" s="16">
        <v>6.9147324912207066E-6</v>
      </c>
      <c r="AR242" s="16">
        <v>6.5968209706851382E-7</v>
      </c>
      <c r="AS242" s="16">
        <v>6.2704263367619834E-8</v>
      </c>
      <c r="AT242" s="16">
        <v>5.9382398751317202E-9</v>
      </c>
      <c r="AU242" s="16">
        <v>5.6028874677854164E-10</v>
      </c>
      <c r="AV242" s="16">
        <v>5.2668959186242162E-11</v>
      </c>
      <c r="AW242" s="16">
        <v>4.932662352563515E-12</v>
      </c>
      <c r="AX242" s="16">
        <v>4.6024275887427719E-13</v>
      </c>
      <c r="AY242" s="16">
        <v>4.2782509930512314E-14</v>
      </c>
      <c r="AZ242" s="16">
        <v>3.9617103492610158E-15</v>
      </c>
      <c r="BA242" s="16">
        <v>3.6249775062120428E-16</v>
      </c>
      <c r="BB242" s="16">
        <v>4.0346599333141445E-17</v>
      </c>
      <c r="BE242" s="9">
        <f t="shared" si="292"/>
        <v>16</v>
      </c>
      <c r="BF242" s="16">
        <v>7.4581064815106295E-5</v>
      </c>
      <c r="BG242" s="16">
        <v>6.6409671890546064E-4</v>
      </c>
      <c r="BH242" s="16">
        <v>7.2101033144375661E-3</v>
      </c>
      <c r="BI242" s="16">
        <v>7.7399304511312828E-2</v>
      </c>
      <c r="BJ242" s="16">
        <v>0.82831973086679511</v>
      </c>
      <c r="BK242" s="16">
        <v>8.0468297972870653E-2</v>
      </c>
      <c r="BL242" s="16">
        <v>7.7889344685103754E-3</v>
      </c>
      <c r="BM242" s="16">
        <v>7.5119571121230863E-4</v>
      </c>
      <c r="BN242" s="16">
        <v>7.2184728057688897E-5</v>
      </c>
      <c r="BO242" s="16">
        <v>6.9111457852559024E-6</v>
      </c>
      <c r="BP242" s="16">
        <v>6.5926889495657624E-7</v>
      </c>
      <c r="BQ242" s="16">
        <v>6.265824013666084E-8</v>
      </c>
      <c r="BR242" s="16">
        <v>5.9332426849149046E-9</v>
      </c>
      <c r="BS242" s="16">
        <v>5.5975701690841835E-10</v>
      </c>
      <c r="BT242" s="16">
        <v>5.2613315681057336E-11</v>
      </c>
      <c r="BU242" s="16">
        <v>4.926921369388755E-12</v>
      </c>
      <c r="BV242" s="16">
        <v>4.5965769238435163E-13</v>
      </c>
      <c r="BW242" s="16">
        <v>4.2723534199250987E-14</v>
      </c>
      <c r="BX242" s="16">
        <v>3.9558244167309932E-15</v>
      </c>
      <c r="BY242" s="16">
        <v>3.6192096669568831E-16</v>
      </c>
      <c r="BZ242" s="16">
        <v>4.0277215322322705E-17</v>
      </c>
      <c r="CC242" s="9">
        <f t="shared" si="293"/>
        <v>16</v>
      </c>
      <c r="CD242" s="16">
        <v>7.4581064815105563E-5</v>
      </c>
      <c r="CE242" s="16">
        <v>6.6409671890545587E-4</v>
      </c>
      <c r="CF242" s="16">
        <v>7.2101033144375366E-3</v>
      </c>
      <c r="CG242" s="16">
        <v>7.7399304511312689E-2</v>
      </c>
      <c r="CH242" s="16">
        <v>0.82831973086679556</v>
      </c>
      <c r="CI242" s="16">
        <v>8.0468297972870501E-2</v>
      </c>
      <c r="CJ242" s="16">
        <v>7.7889344685103425E-3</v>
      </c>
      <c r="CK242" s="16">
        <v>7.5119571121230375E-4</v>
      </c>
      <c r="CL242" s="16">
        <v>7.218472805768826E-5</v>
      </c>
      <c r="CM242" s="16">
        <v>6.911145785255827E-6</v>
      </c>
      <c r="CN242" s="16">
        <v>6.5926889495656766E-7</v>
      </c>
      <c r="CO242" s="16">
        <v>6.2658240136659834E-8</v>
      </c>
      <c r="CP242" s="16">
        <v>5.9332426849147962E-9</v>
      </c>
      <c r="CQ242" s="16">
        <v>5.5975701690840667E-10</v>
      </c>
      <c r="CR242" s="16">
        <v>5.261331568105614E-11</v>
      </c>
      <c r="CS242" s="16">
        <v>4.9269213693886315E-12</v>
      </c>
      <c r="CT242" s="16">
        <v>4.5965769238433891E-13</v>
      </c>
      <c r="CU242" s="16">
        <v>4.2723534199249693E-14</v>
      </c>
      <c r="CV242" s="16">
        <v>3.9558244167308638E-15</v>
      </c>
      <c r="CW242" s="16">
        <v>3.6192096669567559E-16</v>
      </c>
      <c r="CX242" s="16">
        <v>4.0277215322321189E-17</v>
      </c>
      <c r="DA242" s="9">
        <f t="shared" si="294"/>
        <v>16</v>
      </c>
      <c r="DB242" s="16">
        <v>7.1758914776237583E-8</v>
      </c>
      <c r="DC242" s="16">
        <v>5.0973101747281063E-6</v>
      </c>
      <c r="DD242" s="16">
        <v>3.7099405723092636E-4</v>
      </c>
      <c r="DE242" s="16">
        <v>2.6906974643956964E-2</v>
      </c>
      <c r="DF242" s="16">
        <v>0.94500532738078957</v>
      </c>
      <c r="DG242" s="16">
        <v>2.799208307700897E-2</v>
      </c>
      <c r="DH242" s="16">
        <v>4.0152846688385781E-4</v>
      </c>
      <c r="DI242" s="16">
        <v>5.7406302388959156E-6</v>
      </c>
      <c r="DJ242" s="16">
        <v>8.1801318211269612E-8</v>
      </c>
      <c r="DK242" s="16">
        <v>1.1617531985280944E-9</v>
      </c>
      <c r="DL242" s="16">
        <v>1.6444308570044865E-11</v>
      </c>
      <c r="DM242" s="16">
        <v>2.3198548903244218E-13</v>
      </c>
      <c r="DN242" s="16">
        <v>3.2617054880747869E-15</v>
      </c>
      <c r="DO242" s="16">
        <v>4.5704884298332868E-17</v>
      </c>
      <c r="DP242" s="16">
        <v>6.3827763563659037E-19</v>
      </c>
      <c r="DQ242" s="16">
        <v>8.8834354322089451E-21</v>
      </c>
      <c r="DR242" s="16">
        <v>1.2321730716406676E-22</v>
      </c>
      <c r="DS242" s="16">
        <v>1.7032445855617138E-24</v>
      </c>
      <c r="DT242" s="16">
        <v>2.3463453541651066E-26</v>
      </c>
      <c r="DU242" s="16">
        <v>3.2205545202127334E-28</v>
      </c>
      <c r="DV242" s="16">
        <v>4.528643550856292E-30</v>
      </c>
      <c r="DY242" s="9">
        <f t="shared" si="295"/>
        <v>16</v>
      </c>
      <c r="DZ242" s="16">
        <v>2.4205846281288817E-5</v>
      </c>
      <c r="EA242" s="16">
        <v>3.0064309543589911E-4</v>
      </c>
      <c r="EB242" s="16">
        <v>4.3114301797276388E-3</v>
      </c>
      <c r="EC242" s="16">
        <v>6.127165361050687E-2</v>
      </c>
      <c r="ED242" s="16">
        <v>0.86700305688108503</v>
      </c>
      <c r="EE242" s="16">
        <v>6.4663026878168703E-2</v>
      </c>
      <c r="EF242" s="16">
        <v>4.799429913483139E-3</v>
      </c>
      <c r="EG242" s="16">
        <v>3.5449724287042945E-4</v>
      </c>
      <c r="EH242" s="16">
        <v>2.60565514941268E-5</v>
      </c>
      <c r="EI242" s="16">
        <v>1.9058691811662793E-6</v>
      </c>
      <c r="EJ242" s="16">
        <v>1.3871787756299203E-7</v>
      </c>
      <c r="EK242" s="16">
        <v>1.004676016271562E-8</v>
      </c>
      <c r="EL242" s="16">
        <v>7.2404381972946745E-10</v>
      </c>
      <c r="EM242" s="16">
        <v>5.1920606855789935E-11</v>
      </c>
      <c r="EN242" s="16">
        <v>3.7046020675611136E-12</v>
      </c>
      <c r="EO242" s="16">
        <v>2.630031681361971E-13</v>
      </c>
      <c r="EP242" s="16">
        <v>1.8577558345259701E-14</v>
      </c>
      <c r="EQ242" s="16">
        <v>1.305614654813366E-15</v>
      </c>
      <c r="ER242" s="16">
        <v>9.1289346252621269E-17</v>
      </c>
      <c r="ES242" s="16">
        <v>6.3209040037917504E-18</v>
      </c>
      <c r="ET242" s="16">
        <v>5.0430895480038039E-19</v>
      </c>
      <c r="EW242" s="9">
        <f t="shared" si="296"/>
        <v>16</v>
      </c>
      <c r="EX242" s="16">
        <v>2.4205846281289061E-5</v>
      </c>
      <c r="EY242" s="16">
        <v>3.0064309543590133E-4</v>
      </c>
      <c r="EZ242" s="16">
        <v>4.3114301797276587E-3</v>
      </c>
      <c r="FA242" s="16">
        <v>6.1271653610507015E-2</v>
      </c>
      <c r="FB242" s="16">
        <v>0.86700305688108492</v>
      </c>
      <c r="FC242" s="16">
        <v>6.4663026878168842E-2</v>
      </c>
      <c r="FD242" s="16">
        <v>4.7994299134831615E-3</v>
      </c>
      <c r="FE242" s="16">
        <v>3.5449724287043189E-4</v>
      </c>
      <c r="FF242" s="16">
        <v>2.6056551494127044E-5</v>
      </c>
      <c r="FG242" s="16">
        <v>1.9058691811663019E-6</v>
      </c>
      <c r="FH242" s="16">
        <v>1.3871787756299404E-7</v>
      </c>
      <c r="FI242" s="16">
        <v>1.0046760162715799E-8</v>
      </c>
      <c r="FJ242" s="16">
        <v>7.2404381972948203E-10</v>
      </c>
      <c r="FK242" s="16">
        <v>5.1920606855791104E-11</v>
      </c>
      <c r="FL242" s="16">
        <v>3.7046020675612073E-12</v>
      </c>
      <c r="FM242" s="16">
        <v>2.6300316813620437E-13</v>
      </c>
      <c r="FN242" s="16">
        <v>1.8577558345260259E-14</v>
      </c>
      <c r="FO242" s="16">
        <v>1.3056146548134084E-15</v>
      </c>
      <c r="FP242" s="16">
        <v>9.1289346252624486E-17</v>
      </c>
      <c r="FQ242" s="16">
        <v>6.3209040037919939E-18</v>
      </c>
      <c r="FR242" s="16">
        <v>5.0430895480040062E-19</v>
      </c>
      <c r="FU242" s="9">
        <f t="shared" si="297"/>
        <v>16</v>
      </c>
      <c r="FV242" s="16">
        <v>2.4216791194627579E-5</v>
      </c>
      <c r="FW242" s="16">
        <v>3.0073995005920959E-4</v>
      </c>
      <c r="FX242" s="16">
        <v>4.3123357665076478E-3</v>
      </c>
      <c r="FY242" s="16">
        <v>6.1277592752802458E-2</v>
      </c>
      <c r="FZ242" s="16">
        <v>0.86698906866454306</v>
      </c>
      <c r="GA242" s="16">
        <v>6.4669288849889706E-2</v>
      </c>
      <c r="GB242" s="16">
        <v>4.800436746176512E-3</v>
      </c>
      <c r="GC242" s="16">
        <v>3.5461163592950324E-4</v>
      </c>
      <c r="GD242" s="16">
        <v>2.6067900888089842E-5</v>
      </c>
      <c r="GE242" s="16">
        <v>1.9069143828720528E-6</v>
      </c>
      <c r="GF242" s="16">
        <v>1.3880960114150555E-7</v>
      </c>
      <c r="GG242" s="16">
        <v>1.0054536387405468E-8</v>
      </c>
      <c r="GH242" s="16">
        <v>7.2468586556011149E-10</v>
      </c>
      <c r="GI242" s="16">
        <v>5.1972499639938449E-11</v>
      </c>
      <c r="GJ242" s="16">
        <v>3.7087221247838595E-12</v>
      </c>
      <c r="GK242" s="16">
        <v>2.6332529300101452E-13</v>
      </c>
      <c r="GL242" s="16">
        <v>1.8602404174034091E-14</v>
      </c>
      <c r="GM242" s="16">
        <v>1.3075077887326616E-15</v>
      </c>
      <c r="GN242" s="16">
        <v>9.14319889890438E-17</v>
      </c>
      <c r="GO242" s="16">
        <v>6.3314852507902349E-18</v>
      </c>
      <c r="GP242" s="16">
        <v>5.0521822722893579E-19</v>
      </c>
      <c r="GS242" s="9">
        <f t="shared" si="298"/>
        <v>16</v>
      </c>
      <c r="GT242" s="16">
        <v>1.6711559129289142E-7</v>
      </c>
      <c r="GU242" s="16">
        <v>9.5656091526762759E-6</v>
      </c>
      <c r="GV242" s="16">
        <v>5.639310676096549E-4</v>
      </c>
      <c r="GW242" s="16">
        <v>3.3083408583820931E-2</v>
      </c>
      <c r="GX242" s="16">
        <v>0.93195823716471915</v>
      </c>
      <c r="GY242" s="16">
        <v>3.4935645335874219E-2</v>
      </c>
      <c r="GZ242" s="16">
        <v>6.2888111711945668E-4</v>
      </c>
      <c r="HA242" s="16">
        <v>1.1269080327572005E-5</v>
      </c>
      <c r="HB242" s="16">
        <v>2.0101100678014076E-7</v>
      </c>
      <c r="HC242" s="16">
        <v>3.5690602384969126E-9</v>
      </c>
      <c r="HD242" s="16">
        <v>6.3078555693955203E-11</v>
      </c>
      <c r="HE242" s="16">
        <v>1.1096716855778037E-12</v>
      </c>
      <c r="HF242" s="16">
        <v>1.9430463450579323E-14</v>
      </c>
      <c r="HG242" s="16">
        <v>3.3864027279306559E-16</v>
      </c>
      <c r="HH242" s="16">
        <v>5.8742397669742546E-18</v>
      </c>
      <c r="HI242" s="16">
        <v>1.0141754392303564E-19</v>
      </c>
      <c r="HJ242" s="16">
        <v>1.7426634275855436E-21</v>
      </c>
      <c r="HK242" s="16">
        <v>2.9801870214122067E-23</v>
      </c>
      <c r="HL242" s="16">
        <v>5.0721672665692828E-25</v>
      </c>
      <c r="HM242" s="16">
        <v>8.5887841055067767E-27</v>
      </c>
      <c r="HN242" s="16">
        <v>1.4975299820396453E-28</v>
      </c>
      <c r="HQ242" s="9">
        <f t="shared" si="299"/>
        <v>16</v>
      </c>
      <c r="HR242" s="16">
        <v>1.6115652507301653E-4</v>
      </c>
      <c r="HS242" s="16">
        <v>1.40508832400399E-3</v>
      </c>
      <c r="HT242" s="16">
        <v>1.4969065358461337E-2</v>
      </c>
      <c r="HU242" s="16">
        <v>0.1574571040762332</v>
      </c>
      <c r="HV242" s="16">
        <v>0.64925866549765221</v>
      </c>
      <c r="HW242" s="16">
        <v>0.16612483191694202</v>
      </c>
      <c r="HX242" s="16">
        <v>1.6650120956409706E-2</v>
      </c>
      <c r="HY242" s="16">
        <v>1.6604608102402953E-3</v>
      </c>
      <c r="HZ242" s="16">
        <v>1.6476293877797061E-4</v>
      </c>
      <c r="IA242" s="16">
        <v>1.6266768166063693E-5</v>
      </c>
      <c r="IB242" s="16">
        <v>1.5978830028916294E-6</v>
      </c>
      <c r="IC242" s="16">
        <v>1.561642655296167E-7</v>
      </c>
      <c r="ID242" s="16">
        <v>1.5184562374718514E-8</v>
      </c>
      <c r="IE242" s="16">
        <v>1.4689184485262558E-9</v>
      </c>
      <c r="IF242" s="16">
        <v>1.4137045728432322E-10</v>
      </c>
      <c r="IG242" s="16">
        <v>1.3535550023005795E-11</v>
      </c>
      <c r="IH242" s="16">
        <v>1.2892585740444385E-12</v>
      </c>
      <c r="II242" s="16">
        <v>1.2216343239658521E-13</v>
      </c>
      <c r="IJ242" s="16">
        <v>1.1514256369246056E-14</v>
      </c>
      <c r="IK242" s="16">
        <v>1.0705659763397097E-15</v>
      </c>
      <c r="IL242" s="16">
        <v>1.2121025562224284E-16</v>
      </c>
      <c r="IO242" s="9">
        <f t="shared" si="300"/>
        <v>16</v>
      </c>
      <c r="IP242" s="16">
        <v>1.6729064786211366E-7</v>
      </c>
      <c r="IQ242" s="16">
        <v>9.5730367131236585E-6</v>
      </c>
      <c r="IR242" s="16">
        <v>5.6422129098550452E-4</v>
      </c>
      <c r="IS242" s="16">
        <v>3.3091770301514944E-2</v>
      </c>
      <c r="IT242" s="16">
        <v>0.93194073997940474</v>
      </c>
      <c r="IU242" s="16">
        <v>3.4944473447798677E-2</v>
      </c>
      <c r="IV242" s="16">
        <v>6.2920467201681119E-4</v>
      </c>
      <c r="IW242" s="16">
        <v>1.1277828885476709E-5</v>
      </c>
      <c r="IX242" s="16">
        <v>2.0121969968238419E-7</v>
      </c>
      <c r="IY242" s="16">
        <v>3.5737005275154889E-9</v>
      </c>
      <c r="IZ242" s="16">
        <v>6.3177091545162782E-11</v>
      </c>
      <c r="JA242" s="16">
        <v>1.1116958675815765E-12</v>
      </c>
      <c r="JB242" s="16">
        <v>1.9470998971691305E-14</v>
      </c>
      <c r="JC242" s="16">
        <v>3.3943549645783652E-16</v>
      </c>
      <c r="JD242" s="16">
        <v>5.8895740481851327E-18</v>
      </c>
      <c r="JE242" s="16">
        <v>1.017088775248548E-19</v>
      </c>
      <c r="JF242" s="16">
        <v>1.7481264091374097E-21</v>
      </c>
      <c r="JG242" s="16">
        <v>2.9903110744723084E-23</v>
      </c>
      <c r="JH242" s="16">
        <v>5.0907285448186767E-25</v>
      </c>
      <c r="JI242" s="16">
        <v>8.6224663143262332E-27</v>
      </c>
      <c r="JJ242" s="16">
        <v>1.5038091190881376E-28</v>
      </c>
      <c r="JM242" s="9">
        <f t="shared" si="301"/>
        <v>16</v>
      </c>
      <c r="JN242" s="16">
        <v>1.6114680857094366E-4</v>
      </c>
      <c r="JO242" s="16">
        <v>1.4050291767773945E-3</v>
      </c>
      <c r="JP242" s="16">
        <v>1.4968657391767162E-2</v>
      </c>
      <c r="JQ242" s="16">
        <v>0.15745518786342028</v>
      </c>
      <c r="JR242" s="16">
        <v>0.64926346717441874</v>
      </c>
      <c r="JS242" s="16">
        <v>0.16612281300399911</v>
      </c>
      <c r="JT242" s="16">
        <v>1.6649667924277342E-2</v>
      </c>
      <c r="JU242" s="16">
        <v>1.6603906450794632E-3</v>
      </c>
      <c r="JV242" s="16">
        <v>1.6475349860581404E-4</v>
      </c>
      <c r="JW242" s="16">
        <v>1.6265591654668147E-5</v>
      </c>
      <c r="JX242" s="16">
        <v>1.5977434306968508E-6</v>
      </c>
      <c r="JY242" s="16">
        <v>1.5614828026553391E-7</v>
      </c>
      <c r="JZ242" s="16">
        <v>1.5182780207391643E-8</v>
      </c>
      <c r="KA242" s="16">
        <v>1.4687240169274963E-9</v>
      </c>
      <c r="KB242" s="16">
        <v>1.4134962605939442E-10</v>
      </c>
      <c r="KC242" s="16">
        <v>1.3533352772512295E-11</v>
      </c>
      <c r="KD242" s="16">
        <v>1.2890299844642936E-12</v>
      </c>
      <c r="KE242" s="16">
        <v>1.221399445351453E-13</v>
      </c>
      <c r="KF242" s="16">
        <v>1.1511870436713598E-14</v>
      </c>
      <c r="KG242" s="16">
        <v>1.0703284039107764E-15</v>
      </c>
      <c r="KH242" s="16">
        <v>1.2118118054154307E-16</v>
      </c>
      <c r="KK242" s="9">
        <f t="shared" si="302"/>
        <v>16</v>
      </c>
      <c r="KL242" s="16">
        <v>8.3204554639266267E-8</v>
      </c>
      <c r="KM242" s="16">
        <v>5.7010836661138109E-6</v>
      </c>
      <c r="KN242" s="16">
        <v>4.0010424309440011E-4</v>
      </c>
      <c r="KO242" s="16">
        <v>2.7944039819916264E-2</v>
      </c>
      <c r="KP242" s="16">
        <v>0.94268260130702208</v>
      </c>
      <c r="KQ242" s="16">
        <v>2.9509443636640289E-2</v>
      </c>
      <c r="KR242" s="16">
        <v>4.4622674515094847E-4</v>
      </c>
      <c r="KS242" s="16">
        <v>6.7170249747209457E-6</v>
      </c>
      <c r="KT242" s="16">
        <v>1.0065061437271982E-7</v>
      </c>
      <c r="KU242" s="16">
        <v>1.5012922037854795E-9</v>
      </c>
      <c r="KV242" s="16">
        <v>2.2290227925801027E-11</v>
      </c>
      <c r="KW242" s="16">
        <v>3.2942408506741652E-13</v>
      </c>
      <c r="KX242" s="16">
        <v>4.8459478552597729E-15</v>
      </c>
      <c r="KY242" s="16">
        <v>7.09537861657869E-17</v>
      </c>
      <c r="KZ242" s="16">
        <v>1.0340384548967126E-18</v>
      </c>
      <c r="LA242" s="16">
        <v>1.49986724604532E-20</v>
      </c>
      <c r="LB242" s="16">
        <v>2.1652827735294126E-22</v>
      </c>
      <c r="LC242" s="16">
        <v>3.1110905728358964E-24</v>
      </c>
      <c r="LD242" s="16">
        <v>4.4487439964120829E-26</v>
      </c>
      <c r="LE242" s="16">
        <v>6.3298414550593817E-28</v>
      </c>
      <c r="LF242" s="16">
        <v>9.2228162460228618E-30</v>
      </c>
      <c r="LI242" s="9">
        <f t="shared" si="303"/>
        <v>16</v>
      </c>
      <c r="LJ242" s="16">
        <v>1.6114437950479955E-4</v>
      </c>
      <c r="LK242" s="16">
        <v>1.4050143901526962E-3</v>
      </c>
      <c r="LL242" s="16">
        <v>1.4968555400376921E-2</v>
      </c>
      <c r="LM242" s="16">
        <v>0.15745470880643064</v>
      </c>
      <c r="LN242" s="16">
        <v>0.64926466760028589</v>
      </c>
      <c r="LO242" s="16">
        <v>0.16612230827176011</v>
      </c>
      <c r="LP242" s="16">
        <v>1.6649554666554125E-2</v>
      </c>
      <c r="LQ242" s="16">
        <v>1.6603731040085302E-3</v>
      </c>
      <c r="LR242" s="16">
        <v>1.6475113861485989E-4</v>
      </c>
      <c r="LS242" s="16">
        <v>1.6265297536102453E-5</v>
      </c>
      <c r="LT242" s="16">
        <v>1.597708539079267E-6</v>
      </c>
      <c r="LU242" s="16">
        <v>1.5614428415109577E-7</v>
      </c>
      <c r="LV242" s="16">
        <v>1.5182334692226877E-8</v>
      </c>
      <c r="LW242" s="16">
        <v>1.4686754123939297E-9</v>
      </c>
      <c r="LX242" s="16">
        <v>1.4134441866269133E-10</v>
      </c>
      <c r="LY242" s="16">
        <v>1.3532803508236885E-11</v>
      </c>
      <c r="LZ242" s="16">
        <v>1.2889728426345608E-12</v>
      </c>
      <c r="MA242" s="16">
        <v>1.2213407319660125E-13</v>
      </c>
      <c r="MB242" s="16">
        <v>1.1511274022831352E-14</v>
      </c>
      <c r="MC242" s="16">
        <v>1.0702690182438086E-15</v>
      </c>
      <c r="MD242" s="16">
        <v>1.2117391276452845E-16</v>
      </c>
      <c r="MG242" s="9">
        <f t="shared" si="304"/>
        <v>16</v>
      </c>
      <c r="MH242" s="16">
        <v>1.1991456161935202E-7</v>
      </c>
      <c r="MI242" s="16">
        <v>7.4782100566008385E-6</v>
      </c>
      <c r="MJ242" s="16">
        <v>4.7900384833352721E-4</v>
      </c>
      <c r="MK242" s="16">
        <v>3.0532799295880549E-2</v>
      </c>
      <c r="ML242" s="16">
        <v>0.93728805763142387</v>
      </c>
      <c r="MM242" s="16">
        <v>3.2242727156096398E-2</v>
      </c>
      <c r="MN242" s="16">
        <v>5.3419694053971048E-4</v>
      </c>
      <c r="MO242" s="16">
        <v>8.8103765934790357E-6</v>
      </c>
      <c r="MP242" s="16">
        <v>1.4464462692854184E-7</v>
      </c>
      <c r="MQ242" s="16">
        <v>2.3638293854171701E-9</v>
      </c>
      <c r="MR242" s="16">
        <v>3.8452721771143528E-11</v>
      </c>
      <c r="MS242" s="16">
        <v>6.226245757898713E-13</v>
      </c>
      <c r="MT242" s="16">
        <v>1.003470562708965E-14</v>
      </c>
      <c r="MU242" s="16">
        <v>1.6097303043588078E-16</v>
      </c>
      <c r="MV242" s="16">
        <v>2.5701740565345349E-18</v>
      </c>
      <c r="MW242" s="16">
        <v>4.0843563074639456E-20</v>
      </c>
      <c r="MX242" s="16">
        <v>6.4599183837017686E-22</v>
      </c>
      <c r="MY242" s="16">
        <v>1.0168650702670292E-23</v>
      </c>
      <c r="MZ242" s="16">
        <v>1.5930264973807398E-25</v>
      </c>
      <c r="NA242" s="16">
        <v>2.4830914173686693E-27</v>
      </c>
      <c r="NB242" s="16">
        <v>3.9744506042075498E-29</v>
      </c>
      <c r="NE242" s="9">
        <f t="shared" si="305"/>
        <v>16</v>
      </c>
      <c r="NF242" s="16">
        <v>1.6114437950479955E-4</v>
      </c>
      <c r="NG242" s="16">
        <v>1.4050143901526962E-3</v>
      </c>
      <c r="NH242" s="16">
        <v>1.4968555400376921E-2</v>
      </c>
      <c r="NI242" s="16">
        <v>0.15745470880643064</v>
      </c>
      <c r="NJ242" s="16">
        <v>0.64926466760028589</v>
      </c>
      <c r="NK242" s="16">
        <v>0.16612230827176011</v>
      </c>
      <c r="NL242" s="16">
        <v>1.6649554666554125E-2</v>
      </c>
      <c r="NM242" s="16">
        <v>1.6603731040085302E-3</v>
      </c>
      <c r="NN242" s="16">
        <v>1.6475113861485989E-4</v>
      </c>
      <c r="NO242" s="16">
        <v>1.6265297536102453E-5</v>
      </c>
      <c r="NP242" s="16">
        <v>1.597708539079267E-6</v>
      </c>
      <c r="NQ242" s="16">
        <v>1.5614428415109577E-7</v>
      </c>
      <c r="NR242" s="16">
        <v>1.5182334692226877E-8</v>
      </c>
      <c r="NS242" s="16">
        <v>1.4686754123939297E-9</v>
      </c>
      <c r="NT242" s="16">
        <v>1.4134441866269133E-10</v>
      </c>
      <c r="NU242" s="16">
        <v>1.3532803508236885E-11</v>
      </c>
      <c r="NV242" s="16">
        <v>1.2889728426345608E-12</v>
      </c>
      <c r="NW242" s="16">
        <v>1.2213407319660125E-13</v>
      </c>
      <c r="NX242" s="16">
        <v>1.1511274022831352E-14</v>
      </c>
      <c r="NY242" s="16">
        <v>1.0702690182438086E-15</v>
      </c>
      <c r="NZ242" s="16">
        <v>1.2117391276452845E-16</v>
      </c>
      <c r="OC242" s="9">
        <f t="shared" si="306"/>
        <v>16</v>
      </c>
      <c r="OD242" s="16">
        <v>1.6729064786211313E-7</v>
      </c>
      <c r="OE242" s="16">
        <v>9.5730367131236348E-6</v>
      </c>
      <c r="OF242" s="16">
        <v>5.6422129098550365E-4</v>
      </c>
      <c r="OG242" s="16">
        <v>3.3091770301514917E-2</v>
      </c>
      <c r="OH242" s="16">
        <v>0.93194073997940474</v>
      </c>
      <c r="OI242" s="16">
        <v>3.4944473447798649E-2</v>
      </c>
      <c r="OJ242" s="16">
        <v>6.2920467201681011E-4</v>
      </c>
      <c r="OK242" s="16">
        <v>1.1277828885476682E-5</v>
      </c>
      <c r="OL242" s="16">
        <v>2.0121969968238358E-7</v>
      </c>
      <c r="OM242" s="16">
        <v>3.5737005275154756E-9</v>
      </c>
      <c r="ON242" s="16">
        <v>6.317709154516251E-11</v>
      </c>
      <c r="OO242" s="16">
        <v>1.1116958675815707E-12</v>
      </c>
      <c r="OP242" s="16">
        <v>1.9470998971691182E-14</v>
      </c>
      <c r="OQ242" s="16">
        <v>3.3943549645783415E-16</v>
      </c>
      <c r="OR242" s="16">
        <v>5.889574048185088E-18</v>
      </c>
      <c r="OS242" s="16">
        <v>1.0170887752485392E-19</v>
      </c>
      <c r="OT242" s="16">
        <v>1.7481264091373936E-21</v>
      </c>
      <c r="OU242" s="16">
        <v>2.9903110744722779E-23</v>
      </c>
      <c r="OV242" s="16">
        <v>5.0907285448186216E-25</v>
      </c>
      <c r="OW242" s="16">
        <v>8.622466314326127E-27</v>
      </c>
      <c r="OX242" s="16">
        <v>1.5038091190881183E-28</v>
      </c>
      <c r="PA242" s="9">
        <f t="shared" si="307"/>
        <v>16</v>
      </c>
      <c r="PB242" s="16">
        <v>1.6112251897822103E-4</v>
      </c>
      <c r="PC242" s="16">
        <v>1.4048813138055781E-3</v>
      </c>
      <c r="PD242" s="16">
        <v>1.4967637482964652E-2</v>
      </c>
      <c r="PE242" s="16">
        <v>0.1574503972253668</v>
      </c>
      <c r="PF242" s="16">
        <v>0.6492754715532465</v>
      </c>
      <c r="PG242" s="16">
        <v>0.16611776560954783</v>
      </c>
      <c r="PH242" s="16">
        <v>1.6648535352623419E-2</v>
      </c>
      <c r="PI242" s="16">
        <v>1.660215238317151E-3</v>
      </c>
      <c r="PJ242" s="16">
        <v>1.6472989963379456E-4</v>
      </c>
      <c r="PK242" s="16">
        <v>1.626265063610387E-5</v>
      </c>
      <c r="PL242" s="16">
        <v>1.5973945402797776E-6</v>
      </c>
      <c r="PM242" s="16">
        <v>1.5610832274939905E-7</v>
      </c>
      <c r="PN242" s="16">
        <v>1.517832553570873E-8</v>
      </c>
      <c r="PO242" s="16">
        <v>1.4682380321758719E-9</v>
      </c>
      <c r="PP242" s="16">
        <v>1.412975594630049E-10</v>
      </c>
      <c r="PQ242" s="16">
        <v>1.3527860999901947E-11</v>
      </c>
      <c r="PR242" s="16">
        <v>1.2884586663268756E-12</v>
      </c>
      <c r="PS242" s="16">
        <v>1.220812424304416E-13</v>
      </c>
      <c r="PT242" s="16">
        <v>1.1505907544169412E-14</v>
      </c>
      <c r="PU242" s="16">
        <v>1.0697346811380633E-15</v>
      </c>
      <c r="PV242" s="16">
        <v>1.2110852064418698E-16</v>
      </c>
    </row>
    <row r="243" spans="3:438" x14ac:dyDescent="0.25">
      <c r="C243" s="1"/>
      <c r="D243" s="1"/>
      <c r="I243" s="9">
        <f t="shared" si="290"/>
        <v>15</v>
      </c>
      <c r="J243" s="16">
        <v>9.9341682381851155E-10</v>
      </c>
      <c r="K243" s="16">
        <v>7.0602993087401334E-8</v>
      </c>
      <c r="L243" s="16">
        <v>5.1412559172812508E-6</v>
      </c>
      <c r="M243" s="16">
        <v>3.730675087557845E-4</v>
      </c>
      <c r="N243" s="16">
        <v>2.6981347084863792E-2</v>
      </c>
      <c r="O243" s="16">
        <v>0.94492452292045304</v>
      </c>
      <c r="P243" s="16">
        <v>2.7884549682019696E-2</v>
      </c>
      <c r="Q243" s="16">
        <v>3.9846175386127231E-4</v>
      </c>
      <c r="R243" s="16">
        <v>5.6750168533728825E-6</v>
      </c>
      <c r="S243" s="16">
        <v>8.0556488692815809E-8</v>
      </c>
      <c r="T243" s="16">
        <v>1.1396777734180229E-9</v>
      </c>
      <c r="U243" s="16">
        <v>1.6069675364624402E-11</v>
      </c>
      <c r="V243" s="16">
        <v>2.2582439849295382E-13</v>
      </c>
      <c r="W243" s="16">
        <v>3.1627770473905154E-15</v>
      </c>
      <c r="X243" s="16">
        <v>4.4146415981869492E-17</v>
      </c>
      <c r="Y243" s="16">
        <v>6.141106726161182E-19</v>
      </c>
      <c r="Z243" s="16">
        <v>8.5136793997349506E-21</v>
      </c>
      <c r="AA243" s="16">
        <v>1.1762577326683477E-22</v>
      </c>
      <c r="AB243" s="16">
        <v>1.6195610296684782E-24</v>
      </c>
      <c r="AC243" s="16">
        <v>2.2218566749903429E-26</v>
      </c>
      <c r="AD243" s="16">
        <v>3.1226792690629662E-28</v>
      </c>
      <c r="AF243" s="19"/>
      <c r="AG243" s="9">
        <f t="shared" si="291"/>
        <v>15</v>
      </c>
      <c r="AH243" s="16">
        <v>6.9908882211608776E-6</v>
      </c>
      <c r="AI243" s="16">
        <v>6.2241302998790503E-5</v>
      </c>
      <c r="AJ243" s="16">
        <v>6.7568248334510172E-4</v>
      </c>
      <c r="AK243" s="16">
        <v>7.2525597687696551E-3</v>
      </c>
      <c r="AL243" s="16">
        <v>7.7607796838917914E-2</v>
      </c>
      <c r="AM243" s="16">
        <v>0.82798446225193345</v>
      </c>
      <c r="AN243" s="16">
        <v>8.0153460465628129E-2</v>
      </c>
      <c r="AO243" s="16">
        <v>7.7311511476564152E-3</v>
      </c>
      <c r="AP243" s="16">
        <v>7.4299041000446865E-4</v>
      </c>
      <c r="AQ243" s="16">
        <v>7.1143420036249726E-5</v>
      </c>
      <c r="AR243" s="16">
        <v>6.7872532425117856E-6</v>
      </c>
      <c r="AS243" s="16">
        <v>6.451436483609611E-7</v>
      </c>
      <c r="AT243" s="16">
        <v>6.1096607026936771E-8</v>
      </c>
      <c r="AU243" s="16">
        <v>5.76462758382325E-9</v>
      </c>
      <c r="AV243" s="16">
        <v>5.4189368728528006E-10</v>
      </c>
      <c r="AW243" s="16">
        <v>5.0750548931715839E-11</v>
      </c>
      <c r="AX243" s="16">
        <v>4.7352871502704659E-12</v>
      </c>
      <c r="AY243" s="16">
        <v>4.4017524583284889E-13</v>
      </c>
      <c r="AZ243" s="16">
        <v>4.0760741474422116E-14</v>
      </c>
      <c r="BA243" s="16">
        <v>3.7296207434464709E-15</v>
      </c>
      <c r="BB243" s="16">
        <v>4.1511295874950372E-16</v>
      </c>
      <c r="BE243" s="9">
        <f t="shared" si="292"/>
        <v>15</v>
      </c>
      <c r="BF243" s="16">
        <v>6.9871153301819883E-6</v>
      </c>
      <c r="BG243" s="16">
        <v>6.2215796689028401E-5</v>
      </c>
      <c r="BH243" s="16">
        <v>6.7547739530662647E-4</v>
      </c>
      <c r="BI243" s="16">
        <v>7.2511416729850687E-3</v>
      </c>
      <c r="BJ243" s="16">
        <v>7.7601003742431673E-2</v>
      </c>
      <c r="BK243" s="16">
        <v>0.82800138526581557</v>
      </c>
      <c r="BL243" s="16">
        <v>8.0146451362070201E-2</v>
      </c>
      <c r="BM243" s="16">
        <v>7.7296414259840716E-3</v>
      </c>
      <c r="BN243" s="16">
        <v>7.4276524211998784E-4</v>
      </c>
      <c r="BO243" s="16">
        <v>7.1114195628881974E-5</v>
      </c>
      <c r="BP243" s="16">
        <v>6.7837343654360246E-6</v>
      </c>
      <c r="BQ243" s="16">
        <v>6.4473974146892814E-7</v>
      </c>
      <c r="BR243" s="16">
        <v>6.1051784193125385E-8</v>
      </c>
      <c r="BS243" s="16">
        <v>5.7597786592763522E-9</v>
      </c>
      <c r="BT243" s="16">
        <v>5.4137964098644669E-10</v>
      </c>
      <c r="BU243" s="16">
        <v>5.0696955468413333E-11</v>
      </c>
      <c r="BV243" s="16">
        <v>4.7297782559120003E-12</v>
      </c>
      <c r="BW243" s="16">
        <v>4.3961592815543036E-13</v>
      </c>
      <c r="BX243" s="16">
        <v>4.0704577820521171E-14</v>
      </c>
      <c r="BY243" s="16">
        <v>3.7240884836635312E-15</v>
      </c>
      <c r="BZ243" s="16">
        <v>4.1444383591630492E-16</v>
      </c>
      <c r="CC243" s="9">
        <f t="shared" si="293"/>
        <v>15</v>
      </c>
      <c r="CD243" s="16">
        <v>6.9871153301819019E-6</v>
      </c>
      <c r="CE243" s="16">
        <v>6.2215796689027805E-5</v>
      </c>
      <c r="CF243" s="16">
        <v>6.7547739530662192E-4</v>
      </c>
      <c r="CG243" s="16">
        <v>7.2511416729850384E-3</v>
      </c>
      <c r="CH243" s="16">
        <v>7.7601003742431535E-2</v>
      </c>
      <c r="CI243" s="16">
        <v>0.82800138526581601</v>
      </c>
      <c r="CJ243" s="16">
        <v>8.0146451362070062E-2</v>
      </c>
      <c r="CK243" s="16">
        <v>7.7296414259840403E-3</v>
      </c>
      <c r="CL243" s="16">
        <v>7.4276524211998297E-4</v>
      </c>
      <c r="CM243" s="16">
        <v>7.1114195628881364E-5</v>
      </c>
      <c r="CN243" s="16">
        <v>6.7837343654359518E-6</v>
      </c>
      <c r="CO243" s="16">
        <v>6.4473974146891935E-7</v>
      </c>
      <c r="CP243" s="16">
        <v>6.1051784193124419E-8</v>
      </c>
      <c r="CQ243" s="16">
        <v>5.7597786592762463E-9</v>
      </c>
      <c r="CR243" s="16">
        <v>5.4137964098643573E-10</v>
      </c>
      <c r="CS243" s="16">
        <v>5.0696955468412183E-11</v>
      </c>
      <c r="CT243" s="16">
        <v>4.7297782559118799E-12</v>
      </c>
      <c r="CU243" s="16">
        <v>4.3961592815541809E-13</v>
      </c>
      <c r="CV243" s="16">
        <v>4.0704577820519934E-14</v>
      </c>
      <c r="CW243" s="16">
        <v>3.7240884836634089E-15</v>
      </c>
      <c r="CX243" s="16">
        <v>4.1444383591629028E-16</v>
      </c>
      <c r="DA243" s="9">
        <f t="shared" si="294"/>
        <v>15</v>
      </c>
      <c r="DB243" s="16">
        <v>9.9593915923358176E-10</v>
      </c>
      <c r="DC243" s="16">
        <v>7.0745367674548118E-8</v>
      </c>
      <c r="DD243" s="16">
        <v>5.1490119463397619E-6</v>
      </c>
      <c r="DE243" s="16">
        <v>3.734408440816563E-4</v>
      </c>
      <c r="DF243" s="16">
        <v>2.6994652531979475E-2</v>
      </c>
      <c r="DG243" s="16">
        <v>0.94489697847986653</v>
      </c>
      <c r="DH243" s="16">
        <v>2.789829895358802E-2</v>
      </c>
      <c r="DI243" s="16">
        <v>3.9886043405497866E-4</v>
      </c>
      <c r="DJ243" s="16">
        <v>5.6835761807037367E-6</v>
      </c>
      <c r="DK243" s="16">
        <v>8.0718904675315935E-8</v>
      </c>
      <c r="DL243" s="16">
        <v>1.1425546988798177E-9</v>
      </c>
      <c r="DM243" s="16">
        <v>1.6118410174373549E-11</v>
      </c>
      <c r="DN243" s="16">
        <v>2.2662411836217268E-13</v>
      </c>
      <c r="DO243" s="16">
        <v>3.1755868660810567E-15</v>
      </c>
      <c r="DP243" s="16">
        <v>4.4347690794061587E-17</v>
      </c>
      <c r="DQ243" s="16">
        <v>6.172233300070036E-19</v>
      </c>
      <c r="DR243" s="16">
        <v>8.5611695185575234E-21</v>
      </c>
      <c r="DS243" s="16">
        <v>1.183418625529863E-22</v>
      </c>
      <c r="DT243" s="16">
        <v>1.630246658396814E-24</v>
      </c>
      <c r="DU243" s="16">
        <v>2.2376493875641605E-26</v>
      </c>
      <c r="DV243" s="16">
        <v>3.1465129388340858E-28</v>
      </c>
      <c r="DY243" s="9">
        <f t="shared" si="295"/>
        <v>15</v>
      </c>
      <c r="DZ243" s="16">
        <v>1.7172865686049124E-6</v>
      </c>
      <c r="EA243" s="16">
        <v>2.1329159234352743E-5</v>
      </c>
      <c r="EB243" s="16">
        <v>3.0587491356777794E-4</v>
      </c>
      <c r="EC243" s="16">
        <v>4.3469245635453053E-3</v>
      </c>
      <c r="ED243" s="16">
        <v>6.1509632310282246E-2</v>
      </c>
      <c r="EE243" s="16">
        <v>0.86665704072207761</v>
      </c>
      <c r="EF243" s="16">
        <v>6.4325162721026535E-2</v>
      </c>
      <c r="EG243" s="16">
        <v>4.7512086316198578E-3</v>
      </c>
      <c r="EH243" s="16">
        <v>3.4922729262069923E-4</v>
      </c>
      <c r="EI243" s="16">
        <v>2.5543730695827195E-5</v>
      </c>
      <c r="EJ243" s="16">
        <v>1.8591895719712847E-6</v>
      </c>
      <c r="EK243" s="16">
        <v>1.3465338465934442E-7</v>
      </c>
      <c r="EL243" s="16">
        <v>9.7041184809074126E-9</v>
      </c>
      <c r="EM243" s="16">
        <v>6.9587462360697452E-10</v>
      </c>
      <c r="EN243" s="16">
        <v>4.965154926902072E-11</v>
      </c>
      <c r="EO243" s="16">
        <v>3.5249439811547347E-12</v>
      </c>
      <c r="EP243" s="16">
        <v>2.4898883514499162E-13</v>
      </c>
      <c r="EQ243" s="16">
        <v>1.7498718938657486E-14</v>
      </c>
      <c r="ER243" s="16">
        <v>1.2235207427238591E-15</v>
      </c>
      <c r="ES243" s="16">
        <v>8.4716973873426448E-17</v>
      </c>
      <c r="ET243" s="16">
        <v>6.7590851755271175E-18</v>
      </c>
      <c r="EW243" s="9">
        <f t="shared" si="296"/>
        <v>15</v>
      </c>
      <c r="EX243" s="16">
        <v>1.7172865686049336E-6</v>
      </c>
      <c r="EY243" s="16">
        <v>2.1329159234352949E-5</v>
      </c>
      <c r="EZ243" s="16">
        <v>3.0587491356778011E-4</v>
      </c>
      <c r="FA243" s="16">
        <v>4.3469245635453253E-3</v>
      </c>
      <c r="FB243" s="16">
        <v>6.1509632310282392E-2</v>
      </c>
      <c r="FC243" s="16">
        <v>0.86665704072207705</v>
      </c>
      <c r="FD243" s="16">
        <v>6.432516272102666E-2</v>
      </c>
      <c r="FE243" s="16">
        <v>4.7512086316198777E-3</v>
      </c>
      <c r="FF243" s="16">
        <v>3.4922729262070156E-4</v>
      </c>
      <c r="FG243" s="16">
        <v>2.5543730695827432E-5</v>
      </c>
      <c r="FH243" s="16">
        <v>1.859189571971307E-6</v>
      </c>
      <c r="FI243" s="16">
        <v>1.3465338465934646E-7</v>
      </c>
      <c r="FJ243" s="16">
        <v>9.7041184809075814E-9</v>
      </c>
      <c r="FK243" s="16">
        <v>6.9587462360698827E-10</v>
      </c>
      <c r="FL243" s="16">
        <v>4.9651549269021851E-11</v>
      </c>
      <c r="FM243" s="16">
        <v>3.5249439811548223E-12</v>
      </c>
      <c r="FN243" s="16">
        <v>2.4898883514499844E-13</v>
      </c>
      <c r="FO243" s="16">
        <v>1.7498718938658007E-14</v>
      </c>
      <c r="FP243" s="16">
        <v>1.2235207427238989E-15</v>
      </c>
      <c r="FQ243" s="16">
        <v>8.4716973873429481E-17</v>
      </c>
      <c r="FR243" s="16">
        <v>6.7590851755273709E-18</v>
      </c>
      <c r="FU243" s="9">
        <f t="shared" si="297"/>
        <v>15</v>
      </c>
      <c r="FV243" s="16">
        <v>1.7182571564272277E-6</v>
      </c>
      <c r="FW243" s="16">
        <v>2.133844105355474E-5</v>
      </c>
      <c r="FX243" s="16">
        <v>3.0597372427122716E-4</v>
      </c>
      <c r="FY243" s="16">
        <v>4.347837061893422E-3</v>
      </c>
      <c r="FZ243" s="16">
        <v>6.1515588907068583E-2</v>
      </c>
      <c r="GA243" s="16">
        <v>0.8666430179893525</v>
      </c>
      <c r="GB243" s="16">
        <v>6.433138609317636E-2</v>
      </c>
      <c r="GC243" s="16">
        <v>4.7522046993502751E-3</v>
      </c>
      <c r="GD243" s="16">
        <v>3.493399216240188E-4</v>
      </c>
      <c r="GE243" s="16">
        <v>2.5554850922446135E-5</v>
      </c>
      <c r="GF243" s="16">
        <v>1.8602086678022562E-6</v>
      </c>
      <c r="GG243" s="16">
        <v>1.3474237793910267E-7</v>
      </c>
      <c r="GH243" s="16">
        <v>9.7116259787711005E-9</v>
      </c>
      <c r="GI243" s="16">
        <v>6.9649140637617542E-10</v>
      </c>
      <c r="GJ243" s="16">
        <v>4.9701151694542711E-11</v>
      </c>
      <c r="GK243" s="16">
        <v>3.5288624739487756E-12</v>
      </c>
      <c r="GL243" s="16">
        <v>2.492936598184059E-13</v>
      </c>
      <c r="GM243" s="16">
        <v>1.7522111596156685E-14</v>
      </c>
      <c r="GN243" s="16">
        <v>1.2252940505061593E-15</v>
      </c>
      <c r="GO243" s="16">
        <v>8.4849200968278169E-17</v>
      </c>
      <c r="GP243" s="16">
        <v>6.7705066342269219E-18</v>
      </c>
      <c r="GS243" s="9">
        <f t="shared" si="298"/>
        <v>15</v>
      </c>
      <c r="GT243" s="16">
        <v>2.8745846797986886E-9</v>
      </c>
      <c r="GU243" s="16">
        <v>1.645397255306542E-7</v>
      </c>
      <c r="GV243" s="16">
        <v>9.7002774838171995E-6</v>
      </c>
      <c r="GW243" s="16">
        <v>5.6907353009268493E-4</v>
      </c>
      <c r="GX243" s="16">
        <v>3.3231953449700743E-2</v>
      </c>
      <c r="GY243" s="16">
        <v>0.9317732210569647</v>
      </c>
      <c r="GZ243" s="16">
        <v>3.4774102198486125E-2</v>
      </c>
      <c r="HA243" s="16">
        <v>6.2312596184932348E-4</v>
      </c>
      <c r="HB243" s="16">
        <v>1.1114942240292215E-5</v>
      </c>
      <c r="HC243" s="16">
        <v>1.97351871613709E-7</v>
      </c>
      <c r="HD243" s="16">
        <v>3.487940856423965E-9</v>
      </c>
      <c r="HE243" s="16">
        <v>6.1359509056016234E-11</v>
      </c>
      <c r="HF243" s="16">
        <v>1.0744112096882204E-12</v>
      </c>
      <c r="HG243" s="16">
        <v>1.8725178947283347E-14</v>
      </c>
      <c r="HH243" s="16">
        <v>3.2481721653660735E-16</v>
      </c>
      <c r="HI243" s="16">
        <v>5.6079025766474022E-18</v>
      </c>
      <c r="HJ243" s="16">
        <v>9.6360909047477226E-20</v>
      </c>
      <c r="HK243" s="16">
        <v>1.6479001393439003E-21</v>
      </c>
      <c r="HL243" s="16">
        <v>2.8046646352396782E-23</v>
      </c>
      <c r="HM243" s="16">
        <v>4.7491846728305203E-25</v>
      </c>
      <c r="HN243" s="16">
        <v>8.2806208078357629E-27</v>
      </c>
      <c r="HQ243" s="9">
        <f t="shared" si="299"/>
        <v>15</v>
      </c>
      <c r="HR243" s="16">
        <v>1.544119029285144E-5</v>
      </c>
      <c r="HS243" s="16">
        <v>1.3462834458225764E-4</v>
      </c>
      <c r="HT243" s="16">
        <v>1.4342589392604944E-3</v>
      </c>
      <c r="HU243" s="16">
        <v>1.5086730778669063E-2</v>
      </c>
      <c r="HV243" s="16">
        <v>0.15802349228208501</v>
      </c>
      <c r="HW243" s="16">
        <v>0.64835988228584662</v>
      </c>
      <c r="HX243" s="16">
        <v>0.16520944583091932</v>
      </c>
      <c r="HY243" s="16">
        <v>1.6475784830749445E-2</v>
      </c>
      <c r="HZ243" s="16">
        <v>1.6348466104387865E-3</v>
      </c>
      <c r="IA243" s="16">
        <v>1.6140565952710748E-4</v>
      </c>
      <c r="IB243" s="16">
        <v>1.5854861721514783E-5</v>
      </c>
      <c r="IC243" s="16">
        <v>1.5495269874786406E-6</v>
      </c>
      <c r="ID243" s="16">
        <v>1.5066756221650984E-7</v>
      </c>
      <c r="IE243" s="16">
        <v>1.4575221614736293E-8</v>
      </c>
      <c r="IF243" s="16">
        <v>1.4027366507397989E-9</v>
      </c>
      <c r="IG243" s="16">
        <v>1.3430537376706664E-10</v>
      </c>
      <c r="IH243" s="16">
        <v>1.279256139389464E-11</v>
      </c>
      <c r="II243" s="16">
        <v>1.2121565374738765E-12</v>
      </c>
      <c r="IJ243" s="16">
        <v>1.1424925493925436E-13</v>
      </c>
      <c r="IK243" s="16">
        <v>1.0622602210492218E-14</v>
      </c>
      <c r="IL243" s="16">
        <v>1.2026987198952369E-15</v>
      </c>
      <c r="IO243" s="9">
        <f t="shared" si="300"/>
        <v>15</v>
      </c>
      <c r="IP243" s="16">
        <v>2.8783490851329975E-9</v>
      </c>
      <c r="IQ243" s="16">
        <v>1.6471059092242509E-7</v>
      </c>
      <c r="IR243" s="16">
        <v>9.7078100747105687E-6</v>
      </c>
      <c r="IS243" s="16">
        <v>5.6936635723537059E-4</v>
      </c>
      <c r="IT243" s="16">
        <v>3.3240351044813182E-2</v>
      </c>
      <c r="IU243" s="16">
        <v>0.93175567709984597</v>
      </c>
      <c r="IV243" s="16">
        <v>3.4782887744522303E-2</v>
      </c>
      <c r="IW243" s="16">
        <v>6.2344650885711556E-4</v>
      </c>
      <c r="IX243" s="16">
        <v>1.1123570019918506E-5</v>
      </c>
      <c r="IY243" s="16">
        <v>1.9755674077033907E-7</v>
      </c>
      <c r="IZ243" s="16">
        <v>3.4924751531121711E-9</v>
      </c>
      <c r="JA243" s="16">
        <v>6.145534877259489E-11</v>
      </c>
      <c r="JB243" s="16">
        <v>1.0763708561400396E-12</v>
      </c>
      <c r="JC243" s="16">
        <v>1.8764238879465402E-14</v>
      </c>
      <c r="JD243" s="16">
        <v>3.2557989807107132E-16</v>
      </c>
      <c r="JE243" s="16">
        <v>5.6225400523947004E-18</v>
      </c>
      <c r="JF243" s="16">
        <v>9.6637687793006094E-20</v>
      </c>
      <c r="JG243" s="16">
        <v>1.6530655135026265E-21</v>
      </c>
      <c r="JH243" s="16">
        <v>2.8141914290733751E-23</v>
      </c>
      <c r="JI243" s="16">
        <v>4.7665615217192985E-25</v>
      </c>
      <c r="JJ243" s="16">
        <v>8.3131651916650292E-27</v>
      </c>
      <c r="JM243" s="9">
        <f t="shared" si="301"/>
        <v>15</v>
      </c>
      <c r="JN243" s="16">
        <v>1.5440026709940071E-5</v>
      </c>
      <c r="JO243" s="16">
        <v>1.346206493946022E-4</v>
      </c>
      <c r="JP243" s="16">
        <v>1.4341982443858304E-3</v>
      </c>
      <c r="JQ243" s="16">
        <v>1.5086319907847028E-2</v>
      </c>
      <c r="JR243" s="16">
        <v>0.15802157182461835</v>
      </c>
      <c r="JS243" s="16">
        <v>0.64836469556234522</v>
      </c>
      <c r="JT243" s="16">
        <v>0.16520744082605246</v>
      </c>
      <c r="JU243" s="16">
        <v>1.6475336955226544E-2</v>
      </c>
      <c r="JV243" s="16">
        <v>1.6347775820872129E-3</v>
      </c>
      <c r="JW243" s="16">
        <v>1.6139641841571173E-4</v>
      </c>
      <c r="JX243" s="16">
        <v>1.5853715790762287E-5</v>
      </c>
      <c r="JY243" s="16">
        <v>1.5493917289751427E-6</v>
      </c>
      <c r="JZ243" s="16">
        <v>1.506521495861297E-7</v>
      </c>
      <c r="KA243" s="16">
        <v>1.4573512049603419E-8</v>
      </c>
      <c r="KB243" s="16">
        <v>1.4025510952648989E-9</v>
      </c>
      <c r="KC243" s="16">
        <v>1.34285595815567E-10</v>
      </c>
      <c r="KD243" s="16">
        <v>1.2790486023500392E-11</v>
      </c>
      <c r="KE243" s="16">
        <v>1.2119417486918536E-12</v>
      </c>
      <c r="KF243" s="16">
        <v>1.1422730246754102E-13</v>
      </c>
      <c r="KG243" s="16">
        <v>1.0620404998930793E-14</v>
      </c>
      <c r="KH243" s="16">
        <v>1.2024283489976635E-15</v>
      </c>
      <c r="KK243" s="9">
        <f t="shared" si="302"/>
        <v>15</v>
      </c>
      <c r="KL243" s="16">
        <v>1.2022460864348964E-9</v>
      </c>
      <c r="KM243" s="16">
        <v>8.2376566472102956E-8</v>
      </c>
      <c r="KN243" s="16">
        <v>5.7812190992634914E-6</v>
      </c>
      <c r="KO243" s="16">
        <v>4.0377131586520919E-4</v>
      </c>
      <c r="KP243" s="16">
        <v>2.8070369040883166E-2</v>
      </c>
      <c r="KQ243" s="16">
        <v>0.94252632789977098</v>
      </c>
      <c r="KR243" s="16">
        <v>2.9373891671494307E-2</v>
      </c>
      <c r="KS243" s="16">
        <v>4.4216346533740579E-4</v>
      </c>
      <c r="KT243" s="16">
        <v>6.6255558981645154E-6</v>
      </c>
      <c r="KU243" s="16">
        <v>9.8825978138840612E-8</v>
      </c>
      <c r="KV243" s="16">
        <v>1.4673050137411852E-9</v>
      </c>
      <c r="KW243" s="16">
        <v>2.1685090582094281E-11</v>
      </c>
      <c r="KX243" s="16">
        <v>3.1899555302979175E-13</v>
      </c>
      <c r="KY243" s="16">
        <v>4.6706945542028452E-15</v>
      </c>
      <c r="KZ243" s="16">
        <v>6.8067936062462227E-17</v>
      </c>
      <c r="LA243" s="16">
        <v>9.873217705060295E-19</v>
      </c>
      <c r="LB243" s="16">
        <v>1.4253466946785164E-20</v>
      </c>
      <c r="LC243" s="16">
        <v>2.0479462170241575E-22</v>
      </c>
      <c r="LD243" s="16">
        <v>2.9284870448680553E-24</v>
      </c>
      <c r="LE243" s="16">
        <v>4.1667622844021047E-26</v>
      </c>
      <c r="LF243" s="16">
        <v>6.0711288209569461E-28</v>
      </c>
      <c r="LI243" s="9">
        <f t="shared" si="303"/>
        <v>15</v>
      </c>
      <c r="LJ243" s="16">
        <v>1.5439735824060814E-5</v>
      </c>
      <c r="LK243" s="16">
        <v>1.3461872563985656E-4</v>
      </c>
      <c r="LL243" s="16">
        <v>1.4341830708576157E-3</v>
      </c>
      <c r="LM243" s="16">
        <v>1.5086217190425208E-2</v>
      </c>
      <c r="LN243" s="16">
        <v>0.15802109170644363</v>
      </c>
      <c r="LO243" s="16">
        <v>0.64836589888816309</v>
      </c>
      <c r="LP243" s="16">
        <v>0.16520693957084592</v>
      </c>
      <c r="LQ243" s="16">
        <v>1.6475224986649245E-2</v>
      </c>
      <c r="LR243" s="16">
        <v>1.6347603252145357E-3</v>
      </c>
      <c r="LS243" s="16">
        <v>1.613941081887718E-4</v>
      </c>
      <c r="LT243" s="16">
        <v>1.5853429317105082E-5</v>
      </c>
      <c r="LU243" s="16">
        <v>1.5493579157346891E-6</v>
      </c>
      <c r="LV243" s="16">
        <v>1.5064829662271067E-7</v>
      </c>
      <c r="LW243" s="16">
        <v>1.4573084683878104E-8</v>
      </c>
      <c r="LX243" s="16">
        <v>1.4025047096059326E-9</v>
      </c>
      <c r="LY243" s="16">
        <v>1.3428065171620213E-10</v>
      </c>
      <c r="LZ243" s="16">
        <v>1.2789967226532549E-11</v>
      </c>
      <c r="MA243" s="16">
        <v>1.2118880567217109E-12</v>
      </c>
      <c r="MB243" s="16">
        <v>1.1422181493500218E-13</v>
      </c>
      <c r="MC243" s="16">
        <v>1.0619855759670482E-14</v>
      </c>
      <c r="MD243" s="16">
        <v>1.2023607648717722E-15</v>
      </c>
      <c r="MG243" s="9">
        <f t="shared" si="304"/>
        <v>15</v>
      </c>
      <c r="MH243" s="16">
        <v>1.8984387586003713E-9</v>
      </c>
      <c r="MI243" s="16">
        <v>1.1839199197068143E-7</v>
      </c>
      <c r="MJ243" s="16">
        <v>7.5833948681037248E-6</v>
      </c>
      <c r="MK243" s="16">
        <v>4.8338290870682168E-4</v>
      </c>
      <c r="ML243" s="16">
        <v>3.0670359675380683E-2</v>
      </c>
      <c r="MM243" s="16">
        <v>0.93711730727172526</v>
      </c>
      <c r="MN243" s="16">
        <v>3.2094125723339112E-2</v>
      </c>
      <c r="MO243" s="16">
        <v>5.2932039216735426E-4</v>
      </c>
      <c r="MP243" s="16">
        <v>8.6901337120350201E-6</v>
      </c>
      <c r="MQ243" s="16">
        <v>1.4201698236506941E-7</v>
      </c>
      <c r="MR243" s="16">
        <v>2.3102088261322039E-9</v>
      </c>
      <c r="MS243" s="16">
        <v>3.7406787454926218E-11</v>
      </c>
      <c r="MT243" s="16">
        <v>6.02877103090734E-13</v>
      </c>
      <c r="MU243" s="16">
        <v>9.6711311593369321E-15</v>
      </c>
      <c r="MV243" s="16">
        <v>1.5441400547510622E-16</v>
      </c>
      <c r="MW243" s="16">
        <v>2.4538486629710789E-18</v>
      </c>
      <c r="MX243" s="16">
        <v>3.8810673936014853E-20</v>
      </c>
      <c r="MY243" s="16">
        <v>6.1092441629953669E-22</v>
      </c>
      <c r="MZ243" s="16">
        <v>9.5707760205241027E-24</v>
      </c>
      <c r="NA243" s="16">
        <v>1.4918215003451576E-25</v>
      </c>
      <c r="NB243" s="16">
        <v>2.3878181938624572E-27</v>
      </c>
      <c r="NE243" s="9">
        <f t="shared" si="305"/>
        <v>15</v>
      </c>
      <c r="NF243" s="16">
        <v>1.5439735824060814E-5</v>
      </c>
      <c r="NG243" s="16">
        <v>1.3461872563985656E-4</v>
      </c>
      <c r="NH243" s="16">
        <v>1.4341830708576157E-3</v>
      </c>
      <c r="NI243" s="16">
        <v>1.5086217190425208E-2</v>
      </c>
      <c r="NJ243" s="16">
        <v>0.15802109170644363</v>
      </c>
      <c r="NK243" s="16">
        <v>0.64836589888816309</v>
      </c>
      <c r="NL243" s="16">
        <v>0.16520693957084592</v>
      </c>
      <c r="NM243" s="16">
        <v>1.6475224986649245E-2</v>
      </c>
      <c r="NN243" s="16">
        <v>1.6347603252145357E-3</v>
      </c>
      <c r="NO243" s="16">
        <v>1.613941081887718E-4</v>
      </c>
      <c r="NP243" s="16">
        <v>1.5853429317105082E-5</v>
      </c>
      <c r="NQ243" s="16">
        <v>1.5493579157346891E-6</v>
      </c>
      <c r="NR243" s="16">
        <v>1.5064829662271067E-7</v>
      </c>
      <c r="NS243" s="16">
        <v>1.4573084683878104E-8</v>
      </c>
      <c r="NT243" s="16">
        <v>1.4025047096059326E-9</v>
      </c>
      <c r="NU243" s="16">
        <v>1.3428065171620213E-10</v>
      </c>
      <c r="NV243" s="16">
        <v>1.2789967226532549E-11</v>
      </c>
      <c r="NW243" s="16">
        <v>1.2118880567217109E-12</v>
      </c>
      <c r="NX243" s="16">
        <v>1.1422181493500218E-13</v>
      </c>
      <c r="NY243" s="16">
        <v>1.0619855759670482E-14</v>
      </c>
      <c r="NZ243" s="16">
        <v>1.2023607648717722E-15</v>
      </c>
      <c r="OC243" s="9">
        <f t="shared" si="306"/>
        <v>15</v>
      </c>
      <c r="OD243" s="16">
        <v>2.8783490851329855E-9</v>
      </c>
      <c r="OE243" s="16">
        <v>1.6471059092242456E-7</v>
      </c>
      <c r="OF243" s="16">
        <v>9.7078100747105484E-6</v>
      </c>
      <c r="OG243" s="16">
        <v>5.6936635723536973E-4</v>
      </c>
      <c r="OH243" s="16">
        <v>3.3240351044813155E-2</v>
      </c>
      <c r="OI243" s="16">
        <v>0.93175567709984619</v>
      </c>
      <c r="OJ243" s="16">
        <v>3.4782887744522276E-2</v>
      </c>
      <c r="OK243" s="16">
        <v>6.234465088571148E-4</v>
      </c>
      <c r="OL243" s="16">
        <v>1.1123570019918486E-5</v>
      </c>
      <c r="OM243" s="16">
        <v>1.9755674077033849E-7</v>
      </c>
      <c r="ON243" s="16">
        <v>3.4924751531121591E-9</v>
      </c>
      <c r="OO243" s="16">
        <v>6.1455348772594618E-11</v>
      </c>
      <c r="OP243" s="16">
        <v>1.0763708561400339E-12</v>
      </c>
      <c r="OQ243" s="16">
        <v>1.8764238879465292E-14</v>
      </c>
      <c r="OR243" s="16">
        <v>3.2557989807106916E-16</v>
      </c>
      <c r="OS243" s="16">
        <v>5.6225400523946573E-18</v>
      </c>
      <c r="OT243" s="16">
        <v>9.6637687793005275E-20</v>
      </c>
      <c r="OU243" s="16">
        <v>1.6530655135026111E-21</v>
      </c>
      <c r="OV243" s="16">
        <v>2.8141914290733469E-23</v>
      </c>
      <c r="OW243" s="16">
        <v>4.7665615217192443E-25</v>
      </c>
      <c r="OX243" s="16">
        <v>8.3131651916649288E-27</v>
      </c>
      <c r="PA243" s="9">
        <f t="shared" si="307"/>
        <v>15</v>
      </c>
      <c r="PB243" s="16">
        <v>1.5437118028415893E-5</v>
      </c>
      <c r="PC243" s="16">
        <v>1.3460141260616821E-4</v>
      </c>
      <c r="PD243" s="16">
        <v>1.4340465125318646E-3</v>
      </c>
      <c r="PE243" s="16">
        <v>1.5085292738735641E-2</v>
      </c>
      <c r="PF243" s="16">
        <v>0.15801677057432412</v>
      </c>
      <c r="PG243" s="16">
        <v>0.64837672894100074</v>
      </c>
      <c r="PH243" s="16">
        <v>0.16520242820216866</v>
      </c>
      <c r="PI243" s="16">
        <v>1.6474217274915822E-2</v>
      </c>
      <c r="PJ243" s="16">
        <v>1.6346050172343922E-3</v>
      </c>
      <c r="PK243" s="16">
        <v>1.6137331706266589E-4</v>
      </c>
      <c r="PL243" s="16">
        <v>1.5850851216742179E-5</v>
      </c>
      <c r="PM243" s="16">
        <v>1.5490536215069961E-6</v>
      </c>
      <c r="PN243" s="16">
        <v>1.5061362344687829E-7</v>
      </c>
      <c r="PO243" s="16">
        <v>1.4569238852353857E-8</v>
      </c>
      <c r="PP243" s="16">
        <v>1.4020872964449965E-9</v>
      </c>
      <c r="PQ243" s="16">
        <v>1.3423616181426198E-10</v>
      </c>
      <c r="PR243" s="16">
        <v>1.278529887506209E-11</v>
      </c>
      <c r="PS243" s="16">
        <v>1.2114049230323763E-12</v>
      </c>
      <c r="PT243" s="16">
        <v>1.141724376773429E-13</v>
      </c>
      <c r="PU243" s="16">
        <v>1.0614913751451012E-14</v>
      </c>
      <c r="PV243" s="16">
        <v>1.2017526624790725E-15</v>
      </c>
    </row>
    <row r="244" spans="3:438" x14ac:dyDescent="0.25">
      <c r="C244" s="1"/>
      <c r="D244" s="1"/>
      <c r="I244" s="9">
        <f t="shared" si="290"/>
        <v>14</v>
      </c>
      <c r="J244" s="16">
        <v>1.3826121860024467E-11</v>
      </c>
      <c r="K244" s="16">
        <v>9.8263444176098716E-10</v>
      </c>
      <c r="L244" s="16">
        <v>7.1554687943244254E-8</v>
      </c>
      <c r="M244" s="16">
        <v>5.1922583898333051E-6</v>
      </c>
      <c r="N244" s="16">
        <v>3.75519503796017E-4</v>
      </c>
      <c r="O244" s="16">
        <v>2.7068963216351605E-2</v>
      </c>
      <c r="P244" s="16">
        <v>0.94481622257917408</v>
      </c>
      <c r="Q244" s="16">
        <v>2.7790833699080319E-2</v>
      </c>
      <c r="R244" s="16">
        <v>3.9580574065954904E-4</v>
      </c>
      <c r="S244" s="16">
        <v>5.6184362964564997E-6</v>
      </c>
      <c r="T244" s="16">
        <v>7.9487165743454217E-8</v>
      </c>
      <c r="U244" s="16">
        <v>1.1207842944243236E-9</v>
      </c>
      <c r="V244" s="16">
        <v>1.5750189931396804E-11</v>
      </c>
      <c r="W244" s="16">
        <v>2.2058882715729812E-13</v>
      </c>
      <c r="X244" s="16">
        <v>3.0790049310220616E-15</v>
      </c>
      <c r="Y244" s="16">
        <v>4.2831331765524446E-17</v>
      </c>
      <c r="Z244" s="16">
        <v>5.937891054098382E-19</v>
      </c>
      <c r="AA244" s="16">
        <v>8.2038445896175849E-21</v>
      </c>
      <c r="AB244" s="16">
        <v>1.1295676637687589E-22</v>
      </c>
      <c r="AC244" s="16">
        <v>1.5496405554482897E-24</v>
      </c>
      <c r="AD244" s="16">
        <v>2.1779219566530438E-26</v>
      </c>
      <c r="AF244" s="19"/>
      <c r="AG244" s="9">
        <f t="shared" si="291"/>
        <v>14</v>
      </c>
      <c r="AH244" s="16">
        <v>6.569622796317215E-7</v>
      </c>
      <c r="AI244" s="16">
        <v>5.8490691042037675E-6</v>
      </c>
      <c r="AJ244" s="16">
        <v>6.3496638842254152E-5</v>
      </c>
      <c r="AK244" s="16">
        <v>6.8155262223103111E-4</v>
      </c>
      <c r="AL244" s="16">
        <v>7.2931212051370216E-3</v>
      </c>
      <c r="AM244" s="16">
        <v>7.780907698883914E-2</v>
      </c>
      <c r="AN244" s="16">
        <v>0.82766599540018249</v>
      </c>
      <c r="AO244" s="16">
        <v>7.9831998182514963E-2</v>
      </c>
      <c r="AP244" s="16">
        <v>7.6721316047588953E-3</v>
      </c>
      <c r="AQ244" s="16">
        <v>7.3462816475311705E-4</v>
      </c>
      <c r="AR244" s="16">
        <v>7.0085292367452992E-5</v>
      </c>
      <c r="AS244" s="16">
        <v>6.6617642806046718E-6</v>
      </c>
      <c r="AT244" s="16">
        <v>6.3088460282021251E-7</v>
      </c>
      <c r="AU244" s="16">
        <v>5.9525642430901997E-8</v>
      </c>
      <c r="AV244" s="16">
        <v>5.5956034272578646E-9</v>
      </c>
      <c r="AW244" s="16">
        <v>5.2405103104296877E-10</v>
      </c>
      <c r="AX244" s="16">
        <v>4.8896655614949624E-11</v>
      </c>
      <c r="AY244" s="16">
        <v>4.5452570715770146E-12</v>
      </c>
      <c r="AZ244" s="16">
        <v>4.2089610940932575E-13</v>
      </c>
      <c r="BA244" s="16">
        <v>3.8512127201464063E-14</v>
      </c>
      <c r="BB244" s="16">
        <v>4.286463469088233E-15</v>
      </c>
      <c r="BE244" s="9">
        <f t="shared" si="292"/>
        <v>14</v>
      </c>
      <c r="BF244" s="16">
        <v>6.5653688909551098E-7</v>
      </c>
      <c r="BG244" s="16">
        <v>5.8460414177462252E-6</v>
      </c>
      <c r="BH244" s="16">
        <v>6.3470517776239473E-5</v>
      </c>
      <c r="BI244" s="16">
        <v>6.8134584465896297E-4</v>
      </c>
      <c r="BJ244" s="16">
        <v>7.2916960977683172E-3</v>
      </c>
      <c r="BK244" s="16">
        <v>7.7802272892357305E-2</v>
      </c>
      <c r="BL244" s="16">
        <v>0.82768294798545827</v>
      </c>
      <c r="BM244" s="16">
        <v>7.9825023985488214E-2</v>
      </c>
      <c r="BN244" s="16">
        <v>7.6706343800762439E-3</v>
      </c>
      <c r="BO244" s="16">
        <v>7.3440565466612138E-4</v>
      </c>
      <c r="BP244" s="16">
        <v>7.0056517319387897E-5</v>
      </c>
      <c r="BQ244" s="16">
        <v>6.6583121377590158E-6</v>
      </c>
      <c r="BR244" s="16">
        <v>6.3048980787005087E-7</v>
      </c>
      <c r="BS244" s="16">
        <v>5.9481992021292675E-8</v>
      </c>
      <c r="BT244" s="16">
        <v>5.590898781116002E-9</v>
      </c>
      <c r="BU244" s="16">
        <v>5.2355412925795676E-10</v>
      </c>
      <c r="BV244" s="16">
        <v>4.8845042339871413E-11</v>
      </c>
      <c r="BW244" s="16">
        <v>4.5399715297844144E-12</v>
      </c>
      <c r="BX244" s="16">
        <v>4.2036153060342089E-13</v>
      </c>
      <c r="BY244" s="16">
        <v>3.8459151744503492E-14</v>
      </c>
      <c r="BZ244" s="16">
        <v>4.2800160213699607E-15</v>
      </c>
      <c r="CC244" s="9">
        <f t="shared" si="293"/>
        <v>14</v>
      </c>
      <c r="CD244" s="16">
        <v>6.5653688909550134E-7</v>
      </c>
      <c r="CE244" s="16">
        <v>5.8460414177461566E-6</v>
      </c>
      <c r="CF244" s="16">
        <v>6.3470517776238904E-5</v>
      </c>
      <c r="CG244" s="16">
        <v>6.8134584465895853E-4</v>
      </c>
      <c r="CH244" s="16">
        <v>7.2916960977682868E-3</v>
      </c>
      <c r="CI244" s="16">
        <v>7.7802272892357152E-2</v>
      </c>
      <c r="CJ244" s="16">
        <v>0.82768294798545872</v>
      </c>
      <c r="CK244" s="16">
        <v>7.9825023985488061E-2</v>
      </c>
      <c r="CL244" s="16">
        <v>7.6706343800762109E-3</v>
      </c>
      <c r="CM244" s="16">
        <v>7.3440565466611671E-4</v>
      </c>
      <c r="CN244" s="16">
        <v>7.0056517319387301E-5</v>
      </c>
      <c r="CO244" s="16">
        <v>6.6583121377589404E-6</v>
      </c>
      <c r="CP244" s="16">
        <v>6.304898078700423E-7</v>
      </c>
      <c r="CQ244" s="16">
        <v>5.9481992021291722E-8</v>
      </c>
      <c r="CR244" s="16">
        <v>5.5908987811159019E-9</v>
      </c>
      <c r="CS244" s="16">
        <v>5.23554129257946E-10</v>
      </c>
      <c r="CT244" s="16">
        <v>4.8845042339870276E-11</v>
      </c>
      <c r="CU244" s="16">
        <v>4.5399715297842981E-12</v>
      </c>
      <c r="CV244" s="16">
        <v>4.2036153060340913E-13</v>
      </c>
      <c r="CW244" s="16">
        <v>3.8459151744502319E-14</v>
      </c>
      <c r="CX244" s="16">
        <v>4.2800160213698195E-15</v>
      </c>
      <c r="DA244" s="9">
        <f t="shared" si="294"/>
        <v>14</v>
      </c>
      <c r="DB244" s="16">
        <v>1.386825815883803E-11</v>
      </c>
      <c r="DC244" s="16">
        <v>9.8511541930689676E-10</v>
      </c>
      <c r="DD244" s="16">
        <v>7.1698985096371026E-8</v>
      </c>
      <c r="DE244" s="16">
        <v>5.2000907733804091E-6</v>
      </c>
      <c r="DF244" s="16">
        <v>3.7589526102148145E-4</v>
      </c>
      <c r="DG244" s="16">
        <v>2.7082310339779401E-2</v>
      </c>
      <c r="DH244" s="16">
        <v>0.94478862471076352</v>
      </c>
      <c r="DI244" s="16">
        <v>2.7804535190040929E-2</v>
      </c>
      <c r="DJ244" s="16">
        <v>3.9620172980073736E-4</v>
      </c>
      <c r="DK244" s="16">
        <v>5.6269096503992214E-6</v>
      </c>
      <c r="DL244" s="16">
        <v>7.9647414531900167E-8</v>
      </c>
      <c r="DM244" s="16">
        <v>1.1236133359848581E-9</v>
      </c>
      <c r="DN244" s="16">
        <v>1.5797952707047602E-11</v>
      </c>
      <c r="DO244" s="16">
        <v>2.2136995607544247E-13</v>
      </c>
      <c r="DP244" s="16">
        <v>3.0914746713397363E-15</v>
      </c>
      <c r="DQ244" s="16">
        <v>4.3026598614512944E-17</v>
      </c>
      <c r="DR244" s="16">
        <v>5.967985762002836E-19</v>
      </c>
      <c r="DS244" s="16">
        <v>8.2496036228951762E-21</v>
      </c>
      <c r="DT244" s="16">
        <v>1.1364438964530843E-22</v>
      </c>
      <c r="DU244" s="16">
        <v>1.5598639480727563E-24</v>
      </c>
      <c r="DV244" s="16">
        <v>2.1934321447805536E-26</v>
      </c>
      <c r="DY244" s="9">
        <f t="shared" si="295"/>
        <v>14</v>
      </c>
      <c r="DZ244" s="16">
        <v>1.223524080084517E-7</v>
      </c>
      <c r="EA244" s="16">
        <v>1.5196496850486677E-6</v>
      </c>
      <c r="EB244" s="16">
        <v>2.1792828819943298E-5</v>
      </c>
      <c r="EC244" s="16">
        <v>3.0970759190932542E-4</v>
      </c>
      <c r="ED244" s="16">
        <v>4.3824087176034593E-3</v>
      </c>
      <c r="EE244" s="16">
        <v>6.1747164269716319E-2</v>
      </c>
      <c r="EF244" s="16">
        <v>0.86631091831862372</v>
      </c>
      <c r="EG244" s="16">
        <v>6.3987773037323836E-2</v>
      </c>
      <c r="EH244" s="16">
        <v>4.7032825689731356E-3</v>
      </c>
      <c r="EI244" s="16">
        <v>3.4401487474437797E-4</v>
      </c>
      <c r="EJ244" s="16">
        <v>2.5038976308665748E-5</v>
      </c>
      <c r="EK244" s="16">
        <v>1.8134691368735018E-6</v>
      </c>
      <c r="EL244" s="16">
        <v>1.3069199419093935E-7</v>
      </c>
      <c r="EM244" s="16">
        <v>9.3718190317850186E-9</v>
      </c>
      <c r="EN244" s="16">
        <v>6.686913398063969E-10</v>
      </c>
      <c r="EO244" s="16">
        <v>4.7472829110118584E-11</v>
      </c>
      <c r="EP244" s="16">
        <v>3.3533027714368111E-12</v>
      </c>
      <c r="EQ244" s="16">
        <v>2.3566720443277779E-13</v>
      </c>
      <c r="ER244" s="16">
        <v>1.6477989846802453E-14</v>
      </c>
      <c r="ES244" s="16">
        <v>1.140941372379504E-15</v>
      </c>
      <c r="ET244" s="16">
        <v>9.102921839155588E-17</v>
      </c>
      <c r="EW244" s="9">
        <f t="shared" si="296"/>
        <v>14</v>
      </c>
      <c r="EX244" s="16">
        <v>1.2235240800845355E-7</v>
      </c>
      <c r="EY244" s="16">
        <v>1.5196496850486861E-6</v>
      </c>
      <c r="EZ244" s="16">
        <v>2.1792828819943508E-5</v>
      </c>
      <c r="FA244" s="16">
        <v>3.0970759190932764E-4</v>
      </c>
      <c r="FB244" s="16">
        <v>4.3824087176034792E-3</v>
      </c>
      <c r="FC244" s="16">
        <v>6.1747164269716437E-2</v>
      </c>
      <c r="FD244" s="16">
        <v>0.86631091831862339</v>
      </c>
      <c r="FE244" s="16">
        <v>6.3987773037323961E-2</v>
      </c>
      <c r="FF244" s="16">
        <v>4.7032825689731564E-3</v>
      </c>
      <c r="FG244" s="16">
        <v>3.4401487474438035E-4</v>
      </c>
      <c r="FH244" s="16">
        <v>2.5038976308665988E-5</v>
      </c>
      <c r="FI244" s="16">
        <v>1.8134691368735249E-6</v>
      </c>
      <c r="FJ244" s="16">
        <v>1.3069199419094131E-7</v>
      </c>
      <c r="FK244" s="16">
        <v>9.3718190317851823E-9</v>
      </c>
      <c r="FL244" s="16">
        <v>6.6869133980641054E-10</v>
      </c>
      <c r="FM244" s="16">
        <v>4.7472829110119657E-11</v>
      </c>
      <c r="FN244" s="16">
        <v>3.3533027714368947E-12</v>
      </c>
      <c r="FO244" s="16">
        <v>2.3566720443278431E-13</v>
      </c>
      <c r="FP244" s="16">
        <v>1.6477989846802949E-14</v>
      </c>
      <c r="FQ244" s="16">
        <v>1.140941372379542E-15</v>
      </c>
      <c r="FR244" s="16">
        <v>9.1029218391559073E-17</v>
      </c>
      <c r="FU244" s="9">
        <f t="shared" si="297"/>
        <v>14</v>
      </c>
      <c r="FV244" s="16">
        <v>1.2243538513865897E-7</v>
      </c>
      <c r="FW244" s="16">
        <v>1.5204826814647954E-6</v>
      </c>
      <c r="FX244" s="16">
        <v>2.1802330712448362E-5</v>
      </c>
      <c r="FY244" s="16">
        <v>3.0980758799802033E-4</v>
      </c>
      <c r="FZ244" s="16">
        <v>4.3833280668703822E-3</v>
      </c>
      <c r="GA244" s="16">
        <v>6.1753138224016492E-2</v>
      </c>
      <c r="GB244" s="16">
        <v>0.86629686104823089</v>
      </c>
      <c r="GC244" s="16">
        <v>6.3993957912597613E-2</v>
      </c>
      <c r="GD244" s="16">
        <v>4.7042679463395352E-3</v>
      </c>
      <c r="GE244" s="16">
        <v>3.4412576011662782E-4</v>
      </c>
      <c r="GF244" s="16">
        <v>2.5049871107669746E-5</v>
      </c>
      <c r="GG244" s="16">
        <v>1.8144626775141145E-6</v>
      </c>
      <c r="GH244" s="16">
        <v>1.3077832784293514E-7</v>
      </c>
      <c r="GI244" s="16">
        <v>9.3790660474319842E-9</v>
      </c>
      <c r="GJ244" s="16">
        <v>6.6928375584979446E-10</v>
      </c>
      <c r="GK244" s="16">
        <v>4.7520233433567817E-11</v>
      </c>
      <c r="GL244" s="16">
        <v>3.3570287863394519E-12</v>
      </c>
      <c r="GM244" s="16">
        <v>2.3595559176514338E-13</v>
      </c>
      <c r="GN244" s="16">
        <v>1.6500008071909838E-14</v>
      </c>
      <c r="GO244" s="16">
        <v>1.1425930782030286E-15</v>
      </c>
      <c r="GP244" s="16">
        <v>9.1172738551627981E-17</v>
      </c>
      <c r="GS244" s="9">
        <f t="shared" si="298"/>
        <v>14</v>
      </c>
      <c r="GT244" s="16">
        <v>4.9671927774583715E-11</v>
      </c>
      <c r="GU244" s="16">
        <v>2.8431951996560599E-9</v>
      </c>
      <c r="GV244" s="16">
        <v>1.6761777308412147E-7</v>
      </c>
      <c r="GW244" s="16">
        <v>9.8334133218753578E-6</v>
      </c>
      <c r="GX244" s="16">
        <v>5.7423780317282709E-4</v>
      </c>
      <c r="GY244" s="16">
        <v>3.3380439472715878E-2</v>
      </c>
      <c r="GZ244" s="16">
        <v>0.93158819062888509</v>
      </c>
      <c r="HA244" s="16">
        <v>3.4612618963166718E-2</v>
      </c>
      <c r="HB244" s="16">
        <v>6.1739886333586689E-4</v>
      </c>
      <c r="HC244" s="16">
        <v>1.0962254105992239E-5</v>
      </c>
      <c r="HD244" s="16">
        <v>1.9374376164839808E-7</v>
      </c>
      <c r="HE244" s="16">
        <v>3.4083210085161267E-9</v>
      </c>
      <c r="HF244" s="16">
        <v>5.9680045588737285E-11</v>
      </c>
      <c r="HG244" s="16">
        <v>1.0401227417902898E-12</v>
      </c>
      <c r="HH244" s="16">
        <v>1.8042539128511861E-14</v>
      </c>
      <c r="HI244" s="16">
        <v>3.1150073492683852E-16</v>
      </c>
      <c r="HJ244" s="16">
        <v>5.3525348517114028E-18</v>
      </c>
      <c r="HK244" s="16">
        <v>9.1535488977511141E-20</v>
      </c>
      <c r="HL244" s="16">
        <v>1.5578999156272336E-21</v>
      </c>
      <c r="HM244" s="16">
        <v>2.6380175041742707E-23</v>
      </c>
      <c r="HN244" s="16">
        <v>4.5996153321789293E-25</v>
      </c>
      <c r="HQ244" s="9">
        <f t="shared" si="299"/>
        <v>14</v>
      </c>
      <c r="HR244" s="16">
        <v>1.4855926340259526E-6</v>
      </c>
      <c r="HS244" s="16">
        <v>1.2952555680574817E-5</v>
      </c>
      <c r="HT244" s="16">
        <v>1.3798965462123044E-4</v>
      </c>
      <c r="HU244" s="16">
        <v>1.451490182508757E-3</v>
      </c>
      <c r="HV244" s="16">
        <v>1.5203396349956573E-2</v>
      </c>
      <c r="HW244" s="16">
        <v>0.15858824694890378</v>
      </c>
      <c r="HX244" s="16">
        <v>0.6474607365651992</v>
      </c>
      <c r="HY244" s="16">
        <v>0.16429574275393102</v>
      </c>
      <c r="HZ244" s="16">
        <v>1.6302612646985445E-2</v>
      </c>
      <c r="IA244" s="16">
        <v>1.6095295604493503E-3</v>
      </c>
      <c r="IB244" s="16">
        <v>1.5810392703936824E-4</v>
      </c>
      <c r="IC244" s="16">
        <v>1.5451809424576228E-5</v>
      </c>
      <c r="ID244" s="16">
        <v>1.5024497647654454E-6</v>
      </c>
      <c r="IE244" s="16">
        <v>1.4534341675347809E-7</v>
      </c>
      <c r="IF244" s="16">
        <v>1.3988023167875609E-8</v>
      </c>
      <c r="IG244" s="16">
        <v>1.3392867997233255E-9</v>
      </c>
      <c r="IH244" s="16">
        <v>1.2756681381348061E-10</v>
      </c>
      <c r="II244" s="16">
        <v>1.208756734226207E-11</v>
      </c>
      <c r="IJ244" s="16">
        <v>1.1392881366291901E-12</v>
      </c>
      <c r="IK244" s="16">
        <v>1.0592808403853018E-13</v>
      </c>
      <c r="IL244" s="16">
        <v>1.1993254435175922E-14</v>
      </c>
      <c r="IO244" s="9">
        <f t="shared" si="300"/>
        <v>14</v>
      </c>
      <c r="IP244" s="16">
        <v>4.9749993204684762E-11</v>
      </c>
      <c r="IQ244" s="16">
        <v>2.846892623780423E-9</v>
      </c>
      <c r="IR244" s="16">
        <v>1.677918386424297E-7</v>
      </c>
      <c r="IS244" s="16">
        <v>9.8410483112499093E-6</v>
      </c>
      <c r="IT244" s="16">
        <v>5.7453324447072091E-4</v>
      </c>
      <c r="IU244" s="16">
        <v>3.3388872915109918E-2</v>
      </c>
      <c r="IV244" s="16">
        <v>0.93157059989258728</v>
      </c>
      <c r="IW244" s="16">
        <v>3.4621361974286433E-2</v>
      </c>
      <c r="IX244" s="16">
        <v>6.177164177435169E-4</v>
      </c>
      <c r="IY244" s="16">
        <v>1.0970762263483506E-5</v>
      </c>
      <c r="IZ244" s="16">
        <v>1.93944860937235E-7</v>
      </c>
      <c r="JA244" s="16">
        <v>3.4127512864133411E-9</v>
      </c>
      <c r="JB244" s="16">
        <v>5.9773251593486063E-11</v>
      </c>
      <c r="JC244" s="16">
        <v>1.0420196395178449E-12</v>
      </c>
      <c r="JD244" s="16">
        <v>1.808017102114083E-14</v>
      </c>
      <c r="JE244" s="16">
        <v>3.1223207060013143E-16</v>
      </c>
      <c r="JF244" s="16">
        <v>5.3665042981362414E-18</v>
      </c>
      <c r="JG244" s="16">
        <v>9.1798379968634454E-20</v>
      </c>
      <c r="JH244" s="16">
        <v>1.5627826725582561E-21</v>
      </c>
      <c r="JI244" s="16">
        <v>2.6469769173728839E-23</v>
      </c>
      <c r="JJ244" s="16">
        <v>4.6164842879669661E-25</v>
      </c>
      <c r="JM244" s="9">
        <f t="shared" si="301"/>
        <v>14</v>
      </c>
      <c r="JN244" s="16">
        <v>1.4854583204387267E-6</v>
      </c>
      <c r="JO244" s="16">
        <v>1.2951620324421877E-5</v>
      </c>
      <c r="JP244" s="16">
        <v>1.3798173768119181E-4</v>
      </c>
      <c r="JQ244" s="16">
        <v>1.4514287995035958E-3</v>
      </c>
      <c r="JR244" s="16">
        <v>1.5202982681666376E-2</v>
      </c>
      <c r="JS244" s="16">
        <v>0.15858632229982964</v>
      </c>
      <c r="JT244" s="16">
        <v>0.64746556145125056</v>
      </c>
      <c r="JU244" s="16">
        <v>0.16429375160904119</v>
      </c>
      <c r="JV244" s="16">
        <v>1.6302169888079983E-2</v>
      </c>
      <c r="JW244" s="16">
        <v>1.6094616547049072E-3</v>
      </c>
      <c r="JX244" s="16">
        <v>1.5809488153634049E-4</v>
      </c>
      <c r="JY244" s="16">
        <v>1.5450693394443218E-5</v>
      </c>
      <c r="JZ244" s="16">
        <v>1.5023187028426617E-6</v>
      </c>
      <c r="KA244" s="16">
        <v>1.453285583934201E-7</v>
      </c>
      <c r="KB244" s="16">
        <v>1.3986383519235978E-8</v>
      </c>
      <c r="KC244" s="16">
        <v>1.3391097483196515E-9</v>
      </c>
      <c r="KD244" s="16">
        <v>1.2754803980122849E-10</v>
      </c>
      <c r="KE244" s="16">
        <v>1.2085607545710344E-11</v>
      </c>
      <c r="KF244" s="16">
        <v>1.1390863877062934E-12</v>
      </c>
      <c r="KG244" s="16">
        <v>1.0590776902612748E-13</v>
      </c>
      <c r="KH244" s="16">
        <v>1.1990738947237222E-14</v>
      </c>
      <c r="KK244" s="9">
        <f t="shared" si="302"/>
        <v>14</v>
      </c>
      <c r="KL244" s="16">
        <v>1.7451150792480728E-11</v>
      </c>
      <c r="KM244" s="16">
        <v>1.1957334687895675E-9</v>
      </c>
      <c r="KN244" s="16">
        <v>8.3917034460714879E-8</v>
      </c>
      <c r="KO244" s="16">
        <v>5.8609249789591207E-6</v>
      </c>
      <c r="KP244" s="16">
        <v>4.0745422127815044E-4</v>
      </c>
      <c r="KQ244" s="16">
        <v>2.8196656449152407E-2</v>
      </c>
      <c r="KR244" s="16">
        <v>0.94237004433579141</v>
      </c>
      <c r="KS244" s="16">
        <v>2.9238382144799166E-2</v>
      </c>
      <c r="KT244" s="16">
        <v>4.3811972371900519E-4</v>
      </c>
      <c r="KU244" s="16">
        <v>6.5349399965735825E-6</v>
      </c>
      <c r="KV244" s="16">
        <v>9.7026615896469912E-8</v>
      </c>
      <c r="KW244" s="16">
        <v>1.4339424556482465E-9</v>
      </c>
      <c r="KX244" s="16">
        <v>2.1093813969590236E-11</v>
      </c>
      <c r="KY244" s="16">
        <v>3.0885308932796233E-13</v>
      </c>
      <c r="KZ244" s="16">
        <v>4.5010419955962415E-15</v>
      </c>
      <c r="LA244" s="16">
        <v>6.5287373310923929E-17</v>
      </c>
      <c r="LB244" s="16">
        <v>9.4252091397998315E-19</v>
      </c>
      <c r="LC244" s="16">
        <v>1.3542193962057896E-20</v>
      </c>
      <c r="LD244" s="16">
        <v>1.9364834509474398E-22</v>
      </c>
      <c r="LE244" s="16">
        <v>2.7553019986605992E-24</v>
      </c>
      <c r="LF244" s="16">
        <v>4.0145782823098918E-26</v>
      </c>
      <c r="LI244" s="9">
        <f t="shared" si="303"/>
        <v>14</v>
      </c>
      <c r="LJ244" s="16">
        <v>1.4854247434946548E-6</v>
      </c>
      <c r="LK244" s="16">
        <v>1.2951386492736512E-5</v>
      </c>
      <c r="LL244" s="16">
        <v>1.3797975848998305E-4</v>
      </c>
      <c r="LM244" s="16">
        <v>1.451413453944583E-3</v>
      </c>
      <c r="LN244" s="16">
        <v>1.5202879264876779E-2</v>
      </c>
      <c r="LO244" s="16">
        <v>0.15858584113373114</v>
      </c>
      <c r="LP244" s="16">
        <v>0.64746676767947431</v>
      </c>
      <c r="LQ244" s="16">
        <v>0.16429325381884238</v>
      </c>
      <c r="LR244" s="16">
        <v>1.6302059198650687E-2</v>
      </c>
      <c r="LS244" s="16">
        <v>1.6094446784800144E-3</v>
      </c>
      <c r="LT244" s="16">
        <v>1.5809262021033874E-4</v>
      </c>
      <c r="LU244" s="16">
        <v>1.545041439569454E-5</v>
      </c>
      <c r="LV244" s="16">
        <v>1.5022859387029865E-6</v>
      </c>
      <c r="LW244" s="16">
        <v>1.4532484399041993E-7</v>
      </c>
      <c r="LX244" s="16">
        <v>1.3985973631566949E-8</v>
      </c>
      <c r="LY244" s="16">
        <v>1.3390654885288127E-9</v>
      </c>
      <c r="LZ244" s="16">
        <v>1.2754334666665785E-10</v>
      </c>
      <c r="MA244" s="16">
        <v>1.2085117639628542E-11</v>
      </c>
      <c r="MB244" s="16">
        <v>1.1390359553797988E-12</v>
      </c>
      <c r="MC244" s="16">
        <v>1.0590269081344375E-13</v>
      </c>
      <c r="MD244" s="16">
        <v>1.1990110149328617E-14</v>
      </c>
      <c r="MG244" s="9">
        <f t="shared" si="304"/>
        <v>14</v>
      </c>
      <c r="MH244" s="16">
        <v>3.019272726853621E-11</v>
      </c>
      <c r="MI244" s="16">
        <v>1.8829035744007247E-9</v>
      </c>
      <c r="MJ244" s="16">
        <v>1.2060614122263112E-7</v>
      </c>
      <c r="MK244" s="16">
        <v>7.6877108954606143E-6</v>
      </c>
      <c r="ML244" s="16">
        <v>4.8778070965501736E-4</v>
      </c>
      <c r="MM244" s="16">
        <v>3.0807870035658155E-2</v>
      </c>
      <c r="MN244" s="16">
        <v>0.93694654475004868</v>
      </c>
      <c r="MO244" s="16">
        <v>3.1945575134602167E-2</v>
      </c>
      <c r="MP244" s="16">
        <v>5.2446745588403856E-4</v>
      </c>
      <c r="MQ244" s="16">
        <v>8.5710171904701504E-6</v>
      </c>
      <c r="MR244" s="16">
        <v>1.3942585761648472E-7</v>
      </c>
      <c r="MS244" s="16">
        <v>2.2575766149731562E-9</v>
      </c>
      <c r="MT244" s="16">
        <v>3.6384874036039727E-11</v>
      </c>
      <c r="MU244" s="16">
        <v>5.8367267095485326E-13</v>
      </c>
      <c r="MV244" s="16">
        <v>9.3192030511839176E-15</v>
      </c>
      <c r="MW244" s="16">
        <v>1.4809481741466966E-16</v>
      </c>
      <c r="MX244" s="16">
        <v>2.3423040536392438E-18</v>
      </c>
      <c r="MY244" s="16">
        <v>3.6870545951476163E-20</v>
      </c>
      <c r="MZ244" s="16">
        <v>5.7761603177274698E-22</v>
      </c>
      <c r="NA244" s="16">
        <v>9.0034498069410296E-24</v>
      </c>
      <c r="NB244" s="16">
        <v>1.4410974269754902E-25</v>
      </c>
      <c r="NE244" s="9">
        <f t="shared" si="305"/>
        <v>14</v>
      </c>
      <c r="NF244" s="16">
        <v>1.4854247434946548E-6</v>
      </c>
      <c r="NG244" s="16">
        <v>1.2951386492736512E-5</v>
      </c>
      <c r="NH244" s="16">
        <v>1.3797975848998305E-4</v>
      </c>
      <c r="NI244" s="16">
        <v>1.451413453944583E-3</v>
      </c>
      <c r="NJ244" s="16">
        <v>1.5202879264876779E-2</v>
      </c>
      <c r="NK244" s="16">
        <v>0.15858584113373114</v>
      </c>
      <c r="NL244" s="16">
        <v>0.64746676767947431</v>
      </c>
      <c r="NM244" s="16">
        <v>0.16429325381884238</v>
      </c>
      <c r="NN244" s="16">
        <v>1.6302059198650687E-2</v>
      </c>
      <c r="NO244" s="16">
        <v>1.6094446784800144E-3</v>
      </c>
      <c r="NP244" s="16">
        <v>1.5809262021033874E-4</v>
      </c>
      <c r="NQ244" s="16">
        <v>1.545041439569454E-5</v>
      </c>
      <c r="NR244" s="16">
        <v>1.5022859387029865E-6</v>
      </c>
      <c r="NS244" s="16">
        <v>1.4532484399041993E-7</v>
      </c>
      <c r="NT244" s="16">
        <v>1.3985973631566949E-8</v>
      </c>
      <c r="NU244" s="16">
        <v>1.3390654885288127E-9</v>
      </c>
      <c r="NV244" s="16">
        <v>1.2754334666665785E-10</v>
      </c>
      <c r="NW244" s="16">
        <v>1.2085117639628542E-11</v>
      </c>
      <c r="NX244" s="16">
        <v>1.1390359553797988E-12</v>
      </c>
      <c r="NY244" s="16">
        <v>1.0590269081344375E-13</v>
      </c>
      <c r="NZ244" s="16">
        <v>1.1990110149328617E-14</v>
      </c>
      <c r="OC244" s="9">
        <f t="shared" si="306"/>
        <v>14</v>
      </c>
      <c r="OD244" s="16">
        <v>4.974999320468451E-11</v>
      </c>
      <c r="OE244" s="16">
        <v>2.8468926237804114E-9</v>
      </c>
      <c r="OF244" s="16">
        <v>1.6779183864242919E-7</v>
      </c>
      <c r="OG244" s="16">
        <v>9.8410483112498839E-6</v>
      </c>
      <c r="OH244" s="16">
        <v>5.7453324447071983E-4</v>
      </c>
      <c r="OI244" s="16">
        <v>3.3388872915109891E-2</v>
      </c>
      <c r="OJ244" s="16">
        <v>0.93157059989258728</v>
      </c>
      <c r="OK244" s="16">
        <v>3.4621361974286405E-2</v>
      </c>
      <c r="OL244" s="16">
        <v>6.1771641774351592E-4</v>
      </c>
      <c r="OM244" s="16">
        <v>1.0970762263483479E-5</v>
      </c>
      <c r="ON244" s="16">
        <v>1.9394486093723441E-7</v>
      </c>
      <c r="OO244" s="16">
        <v>3.4127512864133275E-9</v>
      </c>
      <c r="OP244" s="16">
        <v>5.9773251593485766E-11</v>
      </c>
      <c r="OQ244" s="16">
        <v>1.0420196395178393E-12</v>
      </c>
      <c r="OR244" s="16">
        <v>1.8080171021140719E-14</v>
      </c>
      <c r="OS244" s="16">
        <v>3.1223207060012921E-16</v>
      </c>
      <c r="OT244" s="16">
        <v>5.3665042981361998E-18</v>
      </c>
      <c r="OU244" s="16">
        <v>9.1798379968633648E-20</v>
      </c>
      <c r="OV244" s="16">
        <v>1.5627826725582409E-21</v>
      </c>
      <c r="OW244" s="16">
        <v>2.6469769173728551E-23</v>
      </c>
      <c r="OX244" s="16">
        <v>4.6164842879669147E-25</v>
      </c>
      <c r="PA244" s="9">
        <f t="shared" si="307"/>
        <v>14</v>
      </c>
      <c r="PB244" s="16">
        <v>1.4851225771458494E-6</v>
      </c>
      <c r="PC244" s="16">
        <v>1.2949282139916205E-5</v>
      </c>
      <c r="PD244" s="16">
        <v>1.3796194655751347E-4</v>
      </c>
      <c r="PE244" s="16">
        <v>1.4512753473745141E-3</v>
      </c>
      <c r="PF244" s="16">
        <v>1.5201948518863934E-2</v>
      </c>
      <c r="PG244" s="16">
        <v>0.15858151056990494</v>
      </c>
      <c r="PH244" s="16">
        <v>0.6474776238542852</v>
      </c>
      <c r="PI244" s="16">
        <v>0.16428877363547884</v>
      </c>
      <c r="PJ244" s="16">
        <v>1.6301062999134891E-2</v>
      </c>
      <c r="PK244" s="16">
        <v>1.6092918962579447E-3</v>
      </c>
      <c r="PL244" s="16">
        <v>1.5807226917190922E-4</v>
      </c>
      <c r="PM244" s="16">
        <v>1.5447903565074358E-5</v>
      </c>
      <c r="PN244" s="16">
        <v>1.5019910855831463E-6</v>
      </c>
      <c r="PO244" s="16">
        <v>1.452914177294543E-7</v>
      </c>
      <c r="PP244" s="16">
        <v>1.398228508334455E-8</v>
      </c>
      <c r="PQ244" s="16">
        <v>1.3386672054870958E-9</v>
      </c>
      <c r="PR244" s="16">
        <v>1.2750111508759078E-10</v>
      </c>
      <c r="PS244" s="16">
        <v>1.2080709259796244E-11</v>
      </c>
      <c r="PT244" s="16">
        <v>1.1385821527038012E-12</v>
      </c>
      <c r="PU244" s="16">
        <v>1.0585699662512056E-13</v>
      </c>
      <c r="PV244" s="16">
        <v>1.1984452301262199E-14</v>
      </c>
    </row>
    <row r="245" spans="3:438" x14ac:dyDescent="0.25">
      <c r="C245" s="1"/>
      <c r="D245" s="1"/>
      <c r="I245" s="9">
        <f t="shared" si="290"/>
        <v>13</v>
      </c>
      <c r="J245" s="16">
        <v>1.9306189140856056E-13</v>
      </c>
      <c r="K245" s="16">
        <v>1.3721075642916075E-11</v>
      </c>
      <c r="L245" s="16">
        <v>9.99158226242309E-10</v>
      </c>
      <c r="M245" s="16">
        <v>7.2502415035231812E-8</v>
      </c>
      <c r="N245" s="16">
        <v>5.2435893736246076E-6</v>
      </c>
      <c r="O245" s="16">
        <v>3.7797911011673568E-4</v>
      </c>
      <c r="P245" s="16">
        <v>2.7156559313916175E-2</v>
      </c>
      <c r="Q245" s="16">
        <v>0.94470791740236537</v>
      </c>
      <c r="R245" s="16">
        <v>2.7697138054530727E-2</v>
      </c>
      <c r="S245" s="16">
        <v>3.9315904184268353E-4</v>
      </c>
      <c r="T245" s="16">
        <v>5.5622412133064211E-6</v>
      </c>
      <c r="U245" s="16">
        <v>7.8428668771435065E-8</v>
      </c>
      <c r="V245" s="16">
        <v>1.1021446636626813E-9</v>
      </c>
      <c r="W245" s="16">
        <v>1.5436055042763824E-11</v>
      </c>
      <c r="X245" s="16">
        <v>2.1545828138569591E-13</v>
      </c>
      <c r="Y245" s="16">
        <v>2.9971907607816483E-15</v>
      </c>
      <c r="Z245" s="16">
        <v>4.1551339807268669E-17</v>
      </c>
      <c r="AA245" s="16">
        <v>5.7407711115538932E-19</v>
      </c>
      <c r="AB245" s="16">
        <v>7.9043299051711892E-21</v>
      </c>
      <c r="AC245" s="16">
        <v>1.0843856970752975E-22</v>
      </c>
      <c r="AD245" s="16">
        <v>1.5240356293189535E-24</v>
      </c>
      <c r="AF245" s="19"/>
      <c r="AG245" s="9">
        <f t="shared" si="291"/>
        <v>13</v>
      </c>
      <c r="AH245" s="16">
        <v>6.1920647798623022E-8</v>
      </c>
      <c r="AI245" s="16">
        <v>5.5129215052382923E-7</v>
      </c>
      <c r="AJ245" s="16">
        <v>5.9847469665254441E-6</v>
      </c>
      <c r="AK245" s="16">
        <v>6.4238360688003665E-5</v>
      </c>
      <c r="AL245" s="16">
        <v>6.8739835375192715E-4</v>
      </c>
      <c r="AM245" s="16">
        <v>7.3337368082421863E-3</v>
      </c>
      <c r="AN245" s="16">
        <v>7.8009980458544501E-2</v>
      </c>
      <c r="AO245" s="16">
        <v>0.82734744330681864</v>
      </c>
      <c r="AP245" s="16">
        <v>7.9510955662149066E-2</v>
      </c>
      <c r="AQ245" s="16">
        <v>7.61339748129707E-3</v>
      </c>
      <c r="AR245" s="16">
        <v>7.2633641614551416E-4</v>
      </c>
      <c r="AS245" s="16">
        <v>6.9039905939347114E-5</v>
      </c>
      <c r="AT245" s="16">
        <v>6.5382399920845514E-6</v>
      </c>
      <c r="AU245" s="16">
        <v>6.1690035571712858E-7</v>
      </c>
      <c r="AV245" s="16">
        <v>5.7990634015154024E-8</v>
      </c>
      <c r="AW245" s="16">
        <v>5.4310588556790586E-9</v>
      </c>
      <c r="AX245" s="16">
        <v>5.0674571513034027E-10</v>
      </c>
      <c r="AY245" s="16">
        <v>4.7105257327319635E-11</v>
      </c>
      <c r="AZ245" s="16">
        <v>4.3620018031048406E-12</v>
      </c>
      <c r="BA245" s="16">
        <v>3.9912454531818275E-13</v>
      </c>
      <c r="BB245" s="16">
        <v>4.4423222175528199E-14</v>
      </c>
      <c r="BE245" s="9">
        <f t="shared" si="292"/>
        <v>13</v>
      </c>
      <c r="BF245" s="16">
        <v>6.1873880208268809E-8</v>
      </c>
      <c r="BG245" s="16">
        <v>5.5094736089016063E-7</v>
      </c>
      <c r="BH245" s="16">
        <v>5.9816398421331129E-6</v>
      </c>
      <c r="BI245" s="16">
        <v>6.4211945852592388E-5</v>
      </c>
      <c r="BJ245" s="16">
        <v>6.8718991782773054E-4</v>
      </c>
      <c r="BK245" s="16">
        <v>7.3323046927412476E-3</v>
      </c>
      <c r="BL245" s="16">
        <v>7.8003165434667412E-2</v>
      </c>
      <c r="BM245" s="16">
        <v>0.82736442547795219</v>
      </c>
      <c r="BN245" s="16">
        <v>7.9504016285381313E-2</v>
      </c>
      <c r="BO245" s="16">
        <v>7.6119126835596986E-3</v>
      </c>
      <c r="BP245" s="16">
        <v>7.2611653976425777E-4</v>
      </c>
      <c r="BQ245" s="16">
        <v>6.9011574584823738E-5</v>
      </c>
      <c r="BR245" s="16">
        <v>6.5348535034946125E-6</v>
      </c>
      <c r="BS245" s="16">
        <v>6.1651449254719514E-7</v>
      </c>
      <c r="BT245" s="16">
        <v>5.7948128631747796E-8</v>
      </c>
      <c r="BU245" s="16">
        <v>5.4264945969683266E-9</v>
      </c>
      <c r="BV245" s="16">
        <v>5.0626543376073122E-10</v>
      </c>
      <c r="BW245" s="16">
        <v>4.7055556627320306E-11</v>
      </c>
      <c r="BX245" s="16">
        <v>4.3569316850309853E-12</v>
      </c>
      <c r="BY245" s="16">
        <v>3.9861853337175546E-13</v>
      </c>
      <c r="BZ245" s="16">
        <v>4.4361189258157294E-14</v>
      </c>
      <c r="CC245" s="9">
        <f t="shared" si="293"/>
        <v>13</v>
      </c>
      <c r="CD245" s="16">
        <v>6.1873880208267763E-8</v>
      </c>
      <c r="CE245" s="16">
        <v>5.5094736089015291E-7</v>
      </c>
      <c r="CF245" s="16">
        <v>5.9816398421330459E-6</v>
      </c>
      <c r="CG245" s="16">
        <v>6.4211945852591832E-5</v>
      </c>
      <c r="CH245" s="16">
        <v>6.8718991782772598E-4</v>
      </c>
      <c r="CI245" s="16">
        <v>7.3323046927412172E-3</v>
      </c>
      <c r="CJ245" s="16">
        <v>7.8003165434667274E-2</v>
      </c>
      <c r="CK245" s="16">
        <v>0.82736442547795264</v>
      </c>
      <c r="CL245" s="16">
        <v>7.9504016285381174E-2</v>
      </c>
      <c r="CM245" s="16">
        <v>7.6119126835596674E-3</v>
      </c>
      <c r="CN245" s="16">
        <v>7.2611653976425322E-4</v>
      </c>
      <c r="CO245" s="16">
        <v>6.9011574584823115E-5</v>
      </c>
      <c r="CP245" s="16">
        <v>6.5348535034945388E-6</v>
      </c>
      <c r="CQ245" s="16">
        <v>6.1651449254718677E-7</v>
      </c>
      <c r="CR245" s="16">
        <v>5.7948128631746903E-8</v>
      </c>
      <c r="CS245" s="16">
        <v>5.4264945969682281E-9</v>
      </c>
      <c r="CT245" s="16">
        <v>5.0626543376072057E-10</v>
      </c>
      <c r="CU245" s="16">
        <v>4.7055556627319208E-11</v>
      </c>
      <c r="CV245" s="16">
        <v>4.3569316850308738E-12</v>
      </c>
      <c r="CW245" s="16">
        <v>3.9861853337174425E-13</v>
      </c>
      <c r="CX245" s="16">
        <v>4.4361189258155937E-14</v>
      </c>
      <c r="DA245" s="9">
        <f t="shared" si="294"/>
        <v>13</v>
      </c>
      <c r="DB245" s="16">
        <v>1.9374848738714618E-13</v>
      </c>
      <c r="DC245" s="16">
        <v>1.3762696093945322E-11</v>
      </c>
      <c r="DD245" s="16">
        <v>1.0016809429497489E-9</v>
      </c>
      <c r="DE245" s="16">
        <v>7.2648613119178121E-8</v>
      </c>
      <c r="DF245" s="16">
        <v>5.2514985951927658E-6</v>
      </c>
      <c r="DG245" s="16">
        <v>3.7835729643795216E-4</v>
      </c>
      <c r="DH245" s="16">
        <v>2.716994809368399E-2</v>
      </c>
      <c r="DI245" s="16">
        <v>0.94468026610129341</v>
      </c>
      <c r="DJ245" s="16">
        <v>2.7710791785315093E-2</v>
      </c>
      <c r="DK245" s="16">
        <v>3.9355234969673969E-4</v>
      </c>
      <c r="DL245" s="16">
        <v>5.5706291879194557E-6</v>
      </c>
      <c r="DM245" s="16">
        <v>7.858677249172815E-8</v>
      </c>
      <c r="DN245" s="16">
        <v>1.104926468441775E-9</v>
      </c>
      <c r="DO245" s="16">
        <v>1.5482862135448246E-11</v>
      </c>
      <c r="DP245" s="16">
        <v>2.1622119360800276E-13</v>
      </c>
      <c r="DQ245" s="16">
        <v>3.0093283944942437E-15</v>
      </c>
      <c r="DR245" s="16">
        <v>4.1740759413584444E-17</v>
      </c>
      <c r="DS245" s="16">
        <v>5.7698649730883601E-19</v>
      </c>
      <c r="DT245" s="16">
        <v>7.9484156230569297E-21</v>
      </c>
      <c r="DU245" s="16">
        <v>1.090986278636466E-22</v>
      </c>
      <c r="DV245" s="16">
        <v>1.5341109562999671E-24</v>
      </c>
      <c r="DY245" s="9">
        <f t="shared" si="295"/>
        <v>13</v>
      </c>
      <c r="DZ245" s="16">
        <v>8.7542741277925819E-9</v>
      </c>
      <c r="EA245" s="16">
        <v>1.0873042989240341E-7</v>
      </c>
      <c r="EB245" s="16">
        <v>1.5592696589728225E-6</v>
      </c>
      <c r="EC245" s="16">
        <v>2.215947526627727E-5</v>
      </c>
      <c r="ED245" s="16">
        <v>3.1355988720122707E-4</v>
      </c>
      <c r="EE245" s="16">
        <v>4.4179890811270059E-3</v>
      </c>
      <c r="EF245" s="16">
        <v>6.1984258277426679E-2</v>
      </c>
      <c r="EG245" s="16">
        <v>0.86596469168181678</v>
      </c>
      <c r="EH245" s="16">
        <v>6.3650857756177751E-2</v>
      </c>
      <c r="EI245" s="16">
        <v>4.655650928314185E-3</v>
      </c>
      <c r="EJ245" s="16">
        <v>3.3885957222662698E-4</v>
      </c>
      <c r="EK245" s="16">
        <v>2.4542192475914794E-5</v>
      </c>
      <c r="EL245" s="16">
        <v>1.7686918466255145E-6</v>
      </c>
      <c r="EM245" s="16">
        <v>1.2683148659703564E-7</v>
      </c>
      <c r="EN245" s="16">
        <v>9.0495896703262685E-9</v>
      </c>
      <c r="EO245" s="16">
        <v>6.4246326871898215E-10</v>
      </c>
      <c r="EP245" s="16">
        <v>4.5381198043714689E-11</v>
      </c>
      <c r="EQ245" s="16">
        <v>3.1893511578705401E-12</v>
      </c>
      <c r="ER245" s="16">
        <v>2.2300131290550041E-13</v>
      </c>
      <c r="ES245" s="16">
        <v>1.5440683381547608E-14</v>
      </c>
      <c r="ET245" s="16">
        <v>1.2319242457852116E-15</v>
      </c>
      <c r="EW245" s="9">
        <f t="shared" si="296"/>
        <v>13</v>
      </c>
      <c r="EX245" s="16">
        <v>8.7542741277927374E-9</v>
      </c>
      <c r="EY245" s="16">
        <v>1.0873042989240501E-7</v>
      </c>
      <c r="EZ245" s="16">
        <v>1.5592696589728418E-6</v>
      </c>
      <c r="FA245" s="16">
        <v>2.2159475266277487E-5</v>
      </c>
      <c r="FB245" s="16">
        <v>3.135598872012293E-4</v>
      </c>
      <c r="FC245" s="16">
        <v>4.4179890811270259E-3</v>
      </c>
      <c r="FD245" s="16">
        <v>6.1984258277426832E-2</v>
      </c>
      <c r="FE245" s="16">
        <v>0.86596469168181645</v>
      </c>
      <c r="FF245" s="16">
        <v>6.3650857756177862E-2</v>
      </c>
      <c r="FG245" s="16">
        <v>4.6556509283142058E-3</v>
      </c>
      <c r="FH245" s="16">
        <v>3.3885957222662936E-4</v>
      </c>
      <c r="FI245" s="16">
        <v>2.4542192475915041E-5</v>
      </c>
      <c r="FJ245" s="16">
        <v>1.7686918466255365E-6</v>
      </c>
      <c r="FK245" s="16">
        <v>1.2683148659703755E-7</v>
      </c>
      <c r="FL245" s="16">
        <v>9.0495896703264306E-9</v>
      </c>
      <c r="FM245" s="16">
        <v>6.4246326871899498E-10</v>
      </c>
      <c r="FN245" s="16">
        <v>4.538119804371571E-11</v>
      </c>
      <c r="FO245" s="16">
        <v>3.1893511578706205E-12</v>
      </c>
      <c r="FP245" s="16">
        <v>2.2300131290550657E-13</v>
      </c>
      <c r="FQ245" s="16">
        <v>1.5440683381548081E-14</v>
      </c>
      <c r="FR245" s="16">
        <v>1.2319242457852516E-15</v>
      </c>
      <c r="FU245" s="9">
        <f t="shared" si="297"/>
        <v>13</v>
      </c>
      <c r="FV245" s="16">
        <v>8.7612000152347949E-9</v>
      </c>
      <c r="FW245" s="16">
        <v>1.0880231133284869E-7</v>
      </c>
      <c r="FX245" s="16">
        <v>1.5601256120012304E-6</v>
      </c>
      <c r="FY245" s="16">
        <v>2.2169132245667068E-5</v>
      </c>
      <c r="FZ245" s="16">
        <v>3.1366107014530137E-4</v>
      </c>
      <c r="GA245" s="16">
        <v>4.4189152910029048E-3</v>
      </c>
      <c r="GB245" s="16">
        <v>6.1990249498689552E-2</v>
      </c>
      <c r="GC245" s="16">
        <v>0.86595059985322331</v>
      </c>
      <c r="GD245" s="16">
        <v>6.365700423728729E-2</v>
      </c>
      <c r="GE245" s="16">
        <v>4.6566256896462075E-3</v>
      </c>
      <c r="GF245" s="16">
        <v>3.3896873422892856E-4</v>
      </c>
      <c r="GG245" s="16">
        <v>2.4552865540065704E-5</v>
      </c>
      <c r="GH245" s="16">
        <v>1.7696603732193545E-6</v>
      </c>
      <c r="GI245" s="16">
        <v>1.2691522973042891E-7</v>
      </c>
      <c r="GJ245" s="16">
        <v>9.0565842269314666E-9</v>
      </c>
      <c r="GK245" s="16">
        <v>6.4303218599427442E-10</v>
      </c>
      <c r="GL245" s="16">
        <v>4.5426493157769208E-11</v>
      </c>
      <c r="GM245" s="16">
        <v>3.1928934057620671E-12</v>
      </c>
      <c r="GN245" s="16">
        <v>2.2327407701470872E-13</v>
      </c>
      <c r="GO245" s="16">
        <v>1.5461290311335438E-14</v>
      </c>
      <c r="GP245" s="16">
        <v>1.2337272176050439E-15</v>
      </c>
      <c r="GS245" s="9">
        <f t="shared" si="298"/>
        <v>13</v>
      </c>
      <c r="GT245" s="16">
        <v>8.622145516541701E-13</v>
      </c>
      <c r="GU245" s="16">
        <v>4.9352710558399158E-11</v>
      </c>
      <c r="GV245" s="16">
        <v>2.9095404495846027E-9</v>
      </c>
      <c r="GW245" s="16">
        <v>1.706902155484534E-7</v>
      </c>
      <c r="GX245" s="16">
        <v>9.9677264843116728E-6</v>
      </c>
      <c r="GY245" s="16">
        <v>5.7942387065383215E-4</v>
      </c>
      <c r="GZ245" s="16">
        <v>3.3528866713640068E-2</v>
      </c>
      <c r="HA245" s="16">
        <v>0.93140314595848284</v>
      </c>
      <c r="HB245" s="16">
        <v>3.4451195623972732E-2</v>
      </c>
      <c r="HC245" s="16">
        <v>6.1169979912934695E-4</v>
      </c>
      <c r="HD245" s="16">
        <v>1.0811008296013411E-5</v>
      </c>
      <c r="HE245" s="16">
        <v>1.9018618398363954E-7</v>
      </c>
      <c r="HF245" s="16">
        <v>3.3301793176556296E-9</v>
      </c>
      <c r="HG245" s="16">
        <v>5.8039420184138943E-11</v>
      </c>
      <c r="HH245" s="16">
        <v>1.0067835915846178E-12</v>
      </c>
      <c r="HI245" s="16">
        <v>1.7381912072192751E-14</v>
      </c>
      <c r="HJ245" s="16">
        <v>2.9867438411548639E-16</v>
      </c>
      <c r="HK245" s="16">
        <v>5.1077305524365981E-18</v>
      </c>
      <c r="HL245" s="16">
        <v>8.6931670825974549E-20</v>
      </c>
      <c r="HM245" s="16">
        <v>1.4720282542264989E-21</v>
      </c>
      <c r="HN245" s="16">
        <v>2.5666106145342323E-23</v>
      </c>
      <c r="HQ245" s="9">
        <f t="shared" si="299"/>
        <v>13</v>
      </c>
      <c r="HR245" s="16">
        <v>1.4351436953865976E-7</v>
      </c>
      <c r="HS245" s="16">
        <v>1.2512702471972595E-6</v>
      </c>
      <c r="HT245" s="16">
        <v>1.333036919559561E-5</v>
      </c>
      <c r="HU245" s="16">
        <v>1.402199322096662E-4</v>
      </c>
      <c r="HV245" s="16">
        <v>1.468710730005048E-3</v>
      </c>
      <c r="HW245" s="16">
        <v>1.5320278086890144E-2</v>
      </c>
      <c r="HX245" s="16">
        <v>0.15915149518957583</v>
      </c>
      <c r="HY245" s="16">
        <v>0.64656124710674567</v>
      </c>
      <c r="HZ245" s="16">
        <v>0.16338372352911318</v>
      </c>
      <c r="IA245" s="16">
        <v>1.6130600561439352E-2</v>
      </c>
      <c r="IB245" s="16">
        <v>1.5845072727679514E-3</v>
      </c>
      <c r="IC245" s="16">
        <v>1.5485702897543435E-4</v>
      </c>
      <c r="ID245" s="16">
        <v>1.5057453814202605E-5</v>
      </c>
      <c r="IE245" s="16">
        <v>1.4566222687023117E-6</v>
      </c>
      <c r="IF245" s="16">
        <v>1.4018705832415271E-7</v>
      </c>
      <c r="IG245" s="16">
        <v>1.3422245191641024E-8</v>
      </c>
      <c r="IH245" s="16">
        <v>1.2784663103337355E-9</v>
      </c>
      <c r="II245" s="16">
        <v>1.2114081365681398E-10</v>
      </c>
      <c r="IJ245" s="16">
        <v>1.1417871599215229E-11</v>
      </c>
      <c r="IK245" s="16">
        <v>1.0616043680409805E-12</v>
      </c>
      <c r="IL245" s="16">
        <v>1.2019561583666956E-13</v>
      </c>
      <c r="IO245" s="9">
        <f t="shared" si="300"/>
        <v>13</v>
      </c>
      <c r="IP245" s="16">
        <v>8.6379562665914206E-13</v>
      </c>
      <c r="IQ245" s="16">
        <v>4.9429823796601702E-11</v>
      </c>
      <c r="IR245" s="16">
        <v>2.9133241448318228E-9</v>
      </c>
      <c r="IS245" s="16">
        <v>1.7086745033361198E-7</v>
      </c>
      <c r="IT245" s="16">
        <v>9.9754647584024922E-6</v>
      </c>
      <c r="IU245" s="16">
        <v>5.7972193653353036E-4</v>
      </c>
      <c r="IV245" s="16">
        <v>3.3537335973213317E-2</v>
      </c>
      <c r="IW245" s="16">
        <v>0.93138550843567913</v>
      </c>
      <c r="IX245" s="16">
        <v>3.4459896131143412E-2</v>
      </c>
      <c r="IY245" s="16">
        <v>6.120143762086E-4</v>
      </c>
      <c r="IZ245" s="16">
        <v>1.0819397981164174E-5</v>
      </c>
      <c r="JA245" s="16">
        <v>1.903835667519201E-7</v>
      </c>
      <c r="JB245" s="16">
        <v>3.3345075218439105E-9</v>
      </c>
      <c r="JC245" s="16">
        <v>5.8130053715531679E-11</v>
      </c>
      <c r="JD245" s="16">
        <v>1.0086194854554053E-12</v>
      </c>
      <c r="JE245" s="16">
        <v>1.7418162141450203E-14</v>
      </c>
      <c r="JF245" s="16">
        <v>2.9937553121324743E-16</v>
      </c>
      <c r="JG245" s="16">
        <v>5.1210596769986528E-18</v>
      </c>
      <c r="JH245" s="16">
        <v>8.718131334218276E-20</v>
      </c>
      <c r="JI245" s="16">
        <v>1.4766411740747534E-21</v>
      </c>
      <c r="JJ245" s="16">
        <v>2.5753495371795445E-23</v>
      </c>
      <c r="JM245" s="9">
        <f t="shared" si="301"/>
        <v>13</v>
      </c>
      <c r="JN245" s="16">
        <v>1.4349923489680453E-7</v>
      </c>
      <c r="JO245" s="16">
        <v>1.2511610602978913E-6</v>
      </c>
      <c r="JP245" s="16">
        <v>1.332940380389444E-5</v>
      </c>
      <c r="JQ245" s="16">
        <v>1.4021189243090899E-4</v>
      </c>
      <c r="JR245" s="16">
        <v>1.468648667519772E-3</v>
      </c>
      <c r="JS245" s="16">
        <v>1.5319861622507435E-2</v>
      </c>
      <c r="JT245" s="16">
        <v>0.15914956638922445</v>
      </c>
      <c r="JU245" s="16">
        <v>0.64656608361045842</v>
      </c>
      <c r="JV245" s="16">
        <v>0.16338174619594623</v>
      </c>
      <c r="JW245" s="16">
        <v>1.6130162879321768E-2</v>
      </c>
      <c r="JX245" s="16">
        <v>1.5844404755550442E-3</v>
      </c>
      <c r="JY245" s="16">
        <v>1.5484817567556437E-4</v>
      </c>
      <c r="JZ245" s="16">
        <v>1.5056367017297194E-5</v>
      </c>
      <c r="KA245" s="16">
        <v>1.4564952889994091E-6</v>
      </c>
      <c r="KB245" s="16">
        <v>1.4017273639197195E-7</v>
      </c>
      <c r="KC245" s="16">
        <v>1.3420672863215185E-8</v>
      </c>
      <c r="KD245" s="16">
        <v>1.2782974051713258E-9</v>
      </c>
      <c r="KE245" s="16">
        <v>1.2112299639944551E-10</v>
      </c>
      <c r="KF245" s="16">
        <v>1.141602157069692E-11</v>
      </c>
      <c r="KG245" s="16">
        <v>1.0614167535977995E-12</v>
      </c>
      <c r="KH245" s="16">
        <v>1.2017221516086726E-13</v>
      </c>
      <c r="KK245" s="9">
        <f t="shared" si="302"/>
        <v>13</v>
      </c>
      <c r="KL245" s="16">
        <v>2.5446605122217366E-13</v>
      </c>
      <c r="KM245" s="16">
        <v>1.7435731186746574E-11</v>
      </c>
      <c r="KN245" s="16">
        <v>1.2236463167056072E-9</v>
      </c>
      <c r="KO245" s="16">
        <v>8.5461781497397812E-8</v>
      </c>
      <c r="KP245" s="16">
        <v>5.941342664182998E-6</v>
      </c>
      <c r="KQ245" s="16">
        <v>4.1115293252612421E-4</v>
      </c>
      <c r="KR245" s="16">
        <v>2.8322902086625412E-2</v>
      </c>
      <c r="KS245" s="16">
        <v>0.94221375066660407</v>
      </c>
      <c r="KT245" s="16">
        <v>2.9102915052933758E-2</v>
      </c>
      <c r="KU245" s="16">
        <v>4.3409550700410554E-4</v>
      </c>
      <c r="KV245" s="16">
        <v>6.4451728772650657E-6</v>
      </c>
      <c r="KW245" s="16">
        <v>9.5252286574277913E-8</v>
      </c>
      <c r="KX245" s="16">
        <v>1.4011957071649685E-9</v>
      </c>
      <c r="KY245" s="16">
        <v>2.0516139164537541E-11</v>
      </c>
      <c r="KZ245" s="16">
        <v>2.9899006083446614E-13</v>
      </c>
      <c r="LA245" s="16">
        <v>4.3368348344792215E-15</v>
      </c>
      <c r="LB245" s="16">
        <v>6.2608699426565097E-17</v>
      </c>
      <c r="LC245" s="16">
        <v>8.9956534520435476E-19</v>
      </c>
      <c r="LD245" s="16">
        <v>1.2863450404821534E-20</v>
      </c>
      <c r="LE245" s="16">
        <v>1.8302604441435147E-22</v>
      </c>
      <c r="LF245" s="16">
        <v>2.6667580663031736E-24</v>
      </c>
      <c r="LI245" s="9">
        <f t="shared" si="303"/>
        <v>13</v>
      </c>
      <c r="LJ245" s="16">
        <v>1.4349545143561271E-7</v>
      </c>
      <c r="LK245" s="16">
        <v>1.2511337646901193E-6</v>
      </c>
      <c r="LL245" s="16">
        <v>1.3329162463603582E-5</v>
      </c>
      <c r="LM245" s="16">
        <v>1.4020988253064551E-4</v>
      </c>
      <c r="LN245" s="16">
        <v>1.4686331520924064E-3</v>
      </c>
      <c r="LO245" s="16">
        <v>1.5319757506693907E-2</v>
      </c>
      <c r="LP245" s="16">
        <v>0.15914908418528473</v>
      </c>
      <c r="LQ245" s="16">
        <v>0.6465672927431152</v>
      </c>
      <c r="LR245" s="16">
        <v>0.16338125185869176</v>
      </c>
      <c r="LS245" s="16">
        <v>1.6130053459083186E-2</v>
      </c>
      <c r="LT245" s="16">
        <v>1.5844237764590955E-3</v>
      </c>
      <c r="LU245" s="16">
        <v>1.5484596239922021E-4</v>
      </c>
      <c r="LV245" s="16">
        <v>1.5056095326614882E-5</v>
      </c>
      <c r="LW245" s="16">
        <v>1.456463545371563E-6</v>
      </c>
      <c r="LX245" s="16">
        <v>1.4016915608901686E-7</v>
      </c>
      <c r="LY245" s="16">
        <v>1.3420279804573168E-8</v>
      </c>
      <c r="LZ245" s="16">
        <v>1.2782551817975498E-9</v>
      </c>
      <c r="MA245" s="16">
        <v>1.2111854243453464E-10</v>
      </c>
      <c r="MB245" s="16">
        <v>1.1415559104178423E-11</v>
      </c>
      <c r="MC245" s="16">
        <v>1.0613698545357101E-12</v>
      </c>
      <c r="MD245" s="16">
        <v>1.2016636562594845E-13</v>
      </c>
      <c r="MG245" s="9">
        <f t="shared" si="304"/>
        <v>13</v>
      </c>
      <c r="MH245" s="16">
        <v>4.8236949252247993E-13</v>
      </c>
      <c r="MI245" s="16">
        <v>3.0081921171756227E-11</v>
      </c>
      <c r="MJ245" s="16">
        <v>1.9268455816934757E-9</v>
      </c>
      <c r="MK245" s="16">
        <v>1.2282153812475591E-7</v>
      </c>
      <c r="ML245" s="16">
        <v>7.7929539549658948E-6</v>
      </c>
      <c r="MM245" s="16">
        <v>4.9219722692243613E-4</v>
      </c>
      <c r="MN245" s="16">
        <v>3.0945330427566555E-2</v>
      </c>
      <c r="MO245" s="16">
        <v>0.93677577013037217</v>
      </c>
      <c r="MP245" s="16">
        <v>3.1797075385187799E-2</v>
      </c>
      <c r="MQ245" s="16">
        <v>5.1963811419669453E-4</v>
      </c>
      <c r="MR245" s="16">
        <v>8.4530211656374937E-6</v>
      </c>
      <c r="MS245" s="16">
        <v>1.3687090210991144E-7</v>
      </c>
      <c r="MT245" s="16">
        <v>2.2059187269387387E-9</v>
      </c>
      <c r="MU245" s="16">
        <v>3.5386531061955648E-11</v>
      </c>
      <c r="MV245" s="16">
        <v>5.6499864505203019E-13</v>
      </c>
      <c r="MW245" s="16">
        <v>8.9785972812220498E-15</v>
      </c>
      <c r="MX245" s="16">
        <v>1.4200770273354277E-16</v>
      </c>
      <c r="MY245" s="16">
        <v>2.2353637312652145E-18</v>
      </c>
      <c r="MZ245" s="16">
        <v>3.5019333039478358E-20</v>
      </c>
      <c r="NA245" s="16">
        <v>5.4585536056856237E-22</v>
      </c>
      <c r="NB245" s="16">
        <v>8.736992735936579E-24</v>
      </c>
      <c r="NE245" s="9">
        <f t="shared" si="305"/>
        <v>13</v>
      </c>
      <c r="NF245" s="16">
        <v>1.4349545143561271E-7</v>
      </c>
      <c r="NG245" s="16">
        <v>1.2511337646901193E-6</v>
      </c>
      <c r="NH245" s="16">
        <v>1.3329162463603582E-5</v>
      </c>
      <c r="NI245" s="16">
        <v>1.4020988253064551E-4</v>
      </c>
      <c r="NJ245" s="16">
        <v>1.4686331520924064E-3</v>
      </c>
      <c r="NK245" s="16">
        <v>1.5319757506693907E-2</v>
      </c>
      <c r="NL245" s="16">
        <v>0.15914908418528473</v>
      </c>
      <c r="NM245" s="16">
        <v>0.6465672927431152</v>
      </c>
      <c r="NN245" s="16">
        <v>0.16338125185869176</v>
      </c>
      <c r="NO245" s="16">
        <v>1.6130053459083186E-2</v>
      </c>
      <c r="NP245" s="16">
        <v>1.5844237764590955E-3</v>
      </c>
      <c r="NQ245" s="16">
        <v>1.5484596239922021E-4</v>
      </c>
      <c r="NR245" s="16">
        <v>1.5056095326614882E-5</v>
      </c>
      <c r="NS245" s="16">
        <v>1.456463545371563E-6</v>
      </c>
      <c r="NT245" s="16">
        <v>1.4016915608901686E-7</v>
      </c>
      <c r="NU245" s="16">
        <v>1.3420279804573168E-8</v>
      </c>
      <c r="NV245" s="16">
        <v>1.2782551817975498E-9</v>
      </c>
      <c r="NW245" s="16">
        <v>1.2111854243453464E-10</v>
      </c>
      <c r="NX245" s="16">
        <v>1.1415559104178423E-11</v>
      </c>
      <c r="NY245" s="16">
        <v>1.0613698545357101E-12</v>
      </c>
      <c r="NZ245" s="16">
        <v>1.2016636562594845E-13</v>
      </c>
      <c r="OC245" s="9">
        <f t="shared" si="306"/>
        <v>13</v>
      </c>
      <c r="OD245" s="16">
        <v>8.6379562665913691E-13</v>
      </c>
      <c r="OE245" s="16">
        <v>4.9429823796601457E-11</v>
      </c>
      <c r="OF245" s="16">
        <v>2.9133241448318112E-9</v>
      </c>
      <c r="OG245" s="16">
        <v>1.7086745033361143E-7</v>
      </c>
      <c r="OH245" s="16">
        <v>9.9754647584024667E-6</v>
      </c>
      <c r="OI245" s="16">
        <v>5.7972193653352939E-4</v>
      </c>
      <c r="OJ245" s="16">
        <v>3.3537335973213289E-2</v>
      </c>
      <c r="OK245" s="16">
        <v>0.93138550843567913</v>
      </c>
      <c r="OL245" s="16">
        <v>3.4459896131143385E-2</v>
      </c>
      <c r="OM245" s="16">
        <v>6.1201437620859902E-4</v>
      </c>
      <c r="ON245" s="16">
        <v>1.0819397981164149E-5</v>
      </c>
      <c r="OO245" s="16">
        <v>1.9038356675191949E-7</v>
      </c>
      <c r="OP245" s="16">
        <v>3.3345075218438973E-9</v>
      </c>
      <c r="OQ245" s="16">
        <v>5.8130053715531407E-11</v>
      </c>
      <c r="OR245" s="16">
        <v>1.0086194854553999E-12</v>
      </c>
      <c r="OS245" s="16">
        <v>1.7418162141450096E-14</v>
      </c>
      <c r="OT245" s="16">
        <v>2.9937553121324531E-16</v>
      </c>
      <c r="OU245" s="16">
        <v>5.121059676998612E-18</v>
      </c>
      <c r="OV245" s="16">
        <v>8.718131334218199E-20</v>
      </c>
      <c r="OW245" s="16">
        <v>1.4766411740747383E-21</v>
      </c>
      <c r="OX245" s="16">
        <v>2.5753495371795168E-23</v>
      </c>
      <c r="PA245" s="9">
        <f t="shared" si="307"/>
        <v>13</v>
      </c>
      <c r="PB245" s="16">
        <v>1.4346140387152797E-7</v>
      </c>
      <c r="PC245" s="16">
        <v>1.2508881243264819E-6</v>
      </c>
      <c r="PD245" s="16">
        <v>1.3326990538401775E-5</v>
      </c>
      <c r="PE245" s="16">
        <v>1.4019179422793213E-4</v>
      </c>
      <c r="PF245" s="16">
        <v>1.4684935167373302E-3</v>
      </c>
      <c r="PG245" s="16">
        <v>1.5318820469451305E-2</v>
      </c>
      <c r="PH245" s="16">
        <v>0.1591447442804943</v>
      </c>
      <c r="PI245" s="16">
        <v>0.64657817505814486</v>
      </c>
      <c r="PJ245" s="16">
        <v>0.16337680275207164</v>
      </c>
      <c r="PK245" s="16">
        <v>1.6129068682170913E-2</v>
      </c>
      <c r="PL245" s="16">
        <v>1.5842734883266176E-3</v>
      </c>
      <c r="PM245" s="16">
        <v>1.5482604378733576E-4</v>
      </c>
      <c r="PN245" s="16">
        <v>1.5053650264262566E-5</v>
      </c>
      <c r="PO245" s="16">
        <v>1.4561778760816797E-6</v>
      </c>
      <c r="PP245" s="16">
        <v>1.4013693660383072E-7</v>
      </c>
      <c r="PQ245" s="16">
        <v>1.3416742699119631E-8</v>
      </c>
      <c r="PR245" s="16">
        <v>1.2778752239311026E-9</v>
      </c>
      <c r="PS245" s="16">
        <v>1.2107846303934917E-10</v>
      </c>
      <c r="PT245" s="16">
        <v>1.1411397636411208E-11</v>
      </c>
      <c r="PU245" s="16">
        <v>1.0609478448409696E-12</v>
      </c>
      <c r="PV245" s="16">
        <v>1.2011373122224221E-13</v>
      </c>
    </row>
    <row r="246" spans="3:438" x14ac:dyDescent="0.25">
      <c r="C246" s="1"/>
      <c r="D246" s="1"/>
      <c r="I246" s="9">
        <f t="shared" si="290"/>
        <v>12</v>
      </c>
      <c r="J246" s="16">
        <v>2.7046757300125109E-15</v>
      </c>
      <c r="K246" s="16">
        <v>1.9222364398433202E-13</v>
      </c>
      <c r="L246" s="16">
        <v>1.3997578627472696E-11</v>
      </c>
      <c r="M246" s="16">
        <v>1.0157132559014727E-9</v>
      </c>
      <c r="N246" s="16">
        <v>7.3459390734867344E-8</v>
      </c>
      <c r="O246" s="16">
        <v>5.2952497156522261E-6</v>
      </c>
      <c r="P246" s="16">
        <v>3.804463239799041E-4</v>
      </c>
      <c r="Q246" s="16">
        <v>2.7244135379521757E-2</v>
      </c>
      <c r="R246" s="16">
        <v>0.94459960739859827</v>
      </c>
      <c r="S246" s="16">
        <v>2.760346274431873E-2</v>
      </c>
      <c r="T246" s="16">
        <v>3.9052165095023681E-4</v>
      </c>
      <c r="U246" s="16">
        <v>5.5064302384404361E-6</v>
      </c>
      <c r="V246" s="16">
        <v>7.7380922030112714E-8</v>
      </c>
      <c r="W246" s="16">
        <v>1.0837562536910373E-9</v>
      </c>
      <c r="X246" s="16">
        <v>1.512719792812181E-11</v>
      </c>
      <c r="Y246" s="16">
        <v>2.1043098262498259E-13</v>
      </c>
      <c r="Z246" s="16">
        <v>2.9172948814068155E-15</v>
      </c>
      <c r="AA246" s="16">
        <v>4.0305612903809673E-17</v>
      </c>
      <c r="AB246" s="16">
        <v>5.5495830652548342E-19</v>
      </c>
      <c r="AC246" s="16">
        <v>7.6134075536960998E-21</v>
      </c>
      <c r="AD246" s="16">
        <v>1.070016360751871E-22</v>
      </c>
      <c r="AF246" s="19"/>
      <c r="AG246" s="9">
        <f t="shared" si="291"/>
        <v>12</v>
      </c>
      <c r="AH246" s="16">
        <v>5.8534601943966304E-9</v>
      </c>
      <c r="AI246" s="16">
        <v>5.2114549399890322E-8</v>
      </c>
      <c r="AJ246" s="16">
        <v>5.6574792718611849E-7</v>
      </c>
      <c r="AK246" s="16">
        <v>6.0725573876971706E-6</v>
      </c>
      <c r="AL246" s="16">
        <v>6.4980891583472041E-5</v>
      </c>
      <c r="AM246" s="16">
        <v>6.9327014508691292E-4</v>
      </c>
      <c r="AN246" s="16">
        <v>7.3744111473895736E-3</v>
      </c>
      <c r="AO246" s="16">
        <v>7.8210508101951404E-2</v>
      </c>
      <c r="AP246" s="16">
        <v>0.8270288069187971</v>
      </c>
      <c r="AQ246" s="16">
        <v>7.9190332742448966E-2</v>
      </c>
      <c r="AR246" s="16">
        <v>7.5549480529317967E-3</v>
      </c>
      <c r="AS246" s="16">
        <v>7.1811476246644507E-4</v>
      </c>
      <c r="AT246" s="16">
        <v>6.8007141594156255E-5</v>
      </c>
      <c r="AU246" s="16">
        <v>6.4166549241892054E-6</v>
      </c>
      <c r="AV246" s="16">
        <v>6.0318637177252063E-7</v>
      </c>
      <c r="AW246" s="16">
        <v>5.6490858251075594E-8</v>
      </c>
      <c r="AX246" s="16">
        <v>5.2708875236795325E-9</v>
      </c>
      <c r="AY246" s="16">
        <v>4.8996272831319561E-10</v>
      </c>
      <c r="AZ246" s="16">
        <v>4.537112045701115E-11</v>
      </c>
      <c r="BA246" s="16">
        <v>4.1514718792851984E-12</v>
      </c>
      <c r="BB246" s="16">
        <v>4.6206568804712979E-13</v>
      </c>
      <c r="BE246" s="9">
        <f t="shared" si="292"/>
        <v>12</v>
      </c>
      <c r="BF246" s="16">
        <v>5.8484086536562004E-9</v>
      </c>
      <c r="BG246" s="16">
        <v>5.2076341459323119E-8</v>
      </c>
      <c r="BH246" s="16">
        <v>5.6539324991470113E-7</v>
      </c>
      <c r="BI246" s="16">
        <v>6.0694060002110218E-6</v>
      </c>
      <c r="BJ246" s="16">
        <v>6.49541850066791E-5</v>
      </c>
      <c r="BK246" s="16">
        <v>6.9306004523926883E-4</v>
      </c>
      <c r="BL246" s="16">
        <v>7.3729720231723783E-3</v>
      </c>
      <c r="BM246" s="16">
        <v>7.8203682222694915E-2</v>
      </c>
      <c r="BN246" s="16">
        <v>0.82704581868993232</v>
      </c>
      <c r="BO246" s="16">
        <v>7.9183428099700526E-2</v>
      </c>
      <c r="BP246" s="16">
        <v>7.5534756123264339E-3</v>
      </c>
      <c r="BQ246" s="16">
        <v>7.1789749585369806E-4</v>
      </c>
      <c r="BR246" s="16">
        <v>6.7979248323964752E-5</v>
      </c>
      <c r="BS246" s="16">
        <v>6.4133330244934767E-6</v>
      </c>
      <c r="BT246" s="16">
        <v>6.0280926329259727E-7</v>
      </c>
      <c r="BU246" s="16">
        <v>5.6449471061393172E-8</v>
      </c>
      <c r="BV246" s="16">
        <v>5.2664598557651279E-9</v>
      </c>
      <c r="BW246" s="16">
        <v>4.8949855835029581E-10</v>
      </c>
      <c r="BX246" s="16">
        <v>4.5323271713571588E-11</v>
      </c>
      <c r="BY246" s="16">
        <v>4.1466558128842888E-12</v>
      </c>
      <c r="BZ246" s="16">
        <v>4.6147022254041549E-13</v>
      </c>
      <c r="CC246" s="9">
        <f t="shared" si="293"/>
        <v>12</v>
      </c>
      <c r="CD246" s="16">
        <v>5.8484086536560887E-9</v>
      </c>
      <c r="CE246" s="16">
        <v>5.2076341459322272E-8</v>
      </c>
      <c r="CF246" s="16">
        <v>5.653932499146935E-7</v>
      </c>
      <c r="CG246" s="16">
        <v>6.0694060002109549E-6</v>
      </c>
      <c r="CH246" s="16">
        <v>6.4954185006678531E-5</v>
      </c>
      <c r="CI246" s="16">
        <v>6.9306004523926438E-4</v>
      </c>
      <c r="CJ246" s="16">
        <v>7.3729720231723497E-3</v>
      </c>
      <c r="CK246" s="16">
        <v>7.8203682222694776E-2</v>
      </c>
      <c r="CL246" s="16">
        <v>0.82704581868993277</v>
      </c>
      <c r="CM246" s="16">
        <v>7.9183428099700387E-2</v>
      </c>
      <c r="CN246" s="16">
        <v>7.5534756123264045E-3</v>
      </c>
      <c r="CO246" s="16">
        <v>7.1789749585369339E-4</v>
      </c>
      <c r="CP246" s="16">
        <v>6.7979248323964155E-5</v>
      </c>
      <c r="CQ246" s="16">
        <v>6.4133330244934056E-6</v>
      </c>
      <c r="CR246" s="16">
        <v>6.0280926329258944E-7</v>
      </c>
      <c r="CS246" s="16">
        <v>5.6449471061392279E-8</v>
      </c>
      <c r="CT246" s="16">
        <v>5.2664598557650303E-9</v>
      </c>
      <c r="CU246" s="16">
        <v>4.8949855835028558E-10</v>
      </c>
      <c r="CV246" s="16">
        <v>4.5323271713570534E-11</v>
      </c>
      <c r="CW246" s="16">
        <v>4.1466558128841822E-12</v>
      </c>
      <c r="CX246" s="16">
        <v>4.6147022254040246E-13</v>
      </c>
      <c r="DA246" s="9">
        <f t="shared" si="294"/>
        <v>12</v>
      </c>
      <c r="DB246" s="16">
        <v>2.7156711747543175E-15</v>
      </c>
      <c r="DC246" s="16">
        <v>1.9290451024037627E-13</v>
      </c>
      <c r="DD246" s="16">
        <v>1.4040037678507444E-11</v>
      </c>
      <c r="DE246" s="16">
        <v>1.0182775989337559E-9</v>
      </c>
      <c r="DF246" s="16">
        <v>7.3607508123306896E-8</v>
      </c>
      <c r="DG246" s="16">
        <v>5.3032362603244138E-6</v>
      </c>
      <c r="DH246" s="16">
        <v>3.8082694658747416E-4</v>
      </c>
      <c r="DI246" s="16">
        <v>2.7257565795660514E-2</v>
      </c>
      <c r="DJ246" s="16">
        <v>0.9445719026600401</v>
      </c>
      <c r="DK246" s="16">
        <v>2.7617068735353589E-2</v>
      </c>
      <c r="DL246" s="16">
        <v>3.9091228727381941E-4</v>
      </c>
      <c r="DM246" s="16">
        <v>5.5147334255939542E-6</v>
      </c>
      <c r="DN246" s="16">
        <v>7.753690265089731E-8</v>
      </c>
      <c r="DO246" s="16">
        <v>1.0864914620486128E-9</v>
      </c>
      <c r="DP246" s="16">
        <v>1.5173065465150435E-11</v>
      </c>
      <c r="DQ246" s="16">
        <v>2.1117604603819569E-13</v>
      </c>
      <c r="DR246" s="16">
        <v>2.9291082182055354E-15</v>
      </c>
      <c r="DS246" s="16">
        <v>4.0489342187457002E-17</v>
      </c>
      <c r="DT246" s="16">
        <v>5.5777062636843921E-19</v>
      </c>
      <c r="DU246" s="16">
        <v>7.6558666387452927E-21</v>
      </c>
      <c r="DV246" s="16">
        <v>1.0765441436302574E-22</v>
      </c>
      <c r="DY246" s="9">
        <f t="shared" si="295"/>
        <v>12</v>
      </c>
      <c r="DZ246" s="16">
        <v>6.2900826037345187E-10</v>
      </c>
      <c r="EA246" s="16">
        <v>7.8124511019308916E-9</v>
      </c>
      <c r="EB246" s="16">
        <v>1.1203595881580088E-7</v>
      </c>
      <c r="EC246" s="16">
        <v>1.5921928859616641E-6</v>
      </c>
      <c r="ED246" s="16">
        <v>2.2529767321904997E-5</v>
      </c>
      <c r="EE246" s="16">
        <v>3.1743941138947688E-4</v>
      </c>
      <c r="EF246" s="16">
        <v>4.4536657066568232E-3</v>
      </c>
      <c r="EG246" s="16">
        <v>6.222091475640823E-2</v>
      </c>
      <c r="EH246" s="16">
        <v>0.865618361885236</v>
      </c>
      <c r="EI246" s="16">
        <v>6.3314416680985933E-2</v>
      </c>
      <c r="EJ246" s="16">
        <v>4.6083128831280462E-3</v>
      </c>
      <c r="EK246" s="16">
        <v>3.3376097663054098E-4</v>
      </c>
      <c r="EL246" s="16">
        <v>2.4053283693685275E-5</v>
      </c>
      <c r="EM246" s="16">
        <v>1.7248418565567505E-6</v>
      </c>
      <c r="EN246" s="16">
        <v>1.2306968456212335E-7</v>
      </c>
      <c r="EO246" s="16">
        <v>8.7371643029584083E-9</v>
      </c>
      <c r="EP246" s="16">
        <v>6.1716054890363397E-10</v>
      </c>
      <c r="EQ246" s="16">
        <v>4.3373507004856148E-11</v>
      </c>
      <c r="ER246" s="16">
        <v>3.0327011760777243E-12</v>
      </c>
      <c r="ES246" s="16">
        <v>2.0998521506690288E-13</v>
      </c>
      <c r="ET246" s="16">
        <v>1.6753525171462449E-14</v>
      </c>
      <c r="EW246" s="9">
        <f t="shared" si="296"/>
        <v>12</v>
      </c>
      <c r="EX246" s="16">
        <v>6.2900826037346459E-10</v>
      </c>
      <c r="EY246" s="16">
        <v>7.812451101931024E-9</v>
      </c>
      <c r="EZ246" s="16">
        <v>1.1203595881580249E-7</v>
      </c>
      <c r="FA246" s="16">
        <v>1.5921928859616832E-6</v>
      </c>
      <c r="FB246" s="16">
        <v>2.2529767321905211E-5</v>
      </c>
      <c r="FC246" s="16">
        <v>3.174394113894791E-4</v>
      </c>
      <c r="FD246" s="16">
        <v>4.4536657066568449E-3</v>
      </c>
      <c r="FE246" s="16">
        <v>6.2220914756408362E-2</v>
      </c>
      <c r="FF246" s="16">
        <v>0.86561836188523544</v>
      </c>
      <c r="FG246" s="16">
        <v>6.3314416680986058E-2</v>
      </c>
      <c r="FH246" s="16">
        <v>4.608312883128067E-3</v>
      </c>
      <c r="FI246" s="16">
        <v>3.3376097663054348E-4</v>
      </c>
      <c r="FJ246" s="16">
        <v>2.4053283693685512E-5</v>
      </c>
      <c r="FK246" s="16">
        <v>1.7248418565567719E-6</v>
      </c>
      <c r="FL246" s="16">
        <v>1.2306968456212523E-7</v>
      </c>
      <c r="FM246" s="16">
        <v>8.7371643029585605E-9</v>
      </c>
      <c r="FN246" s="16">
        <v>6.1716054890364627E-10</v>
      </c>
      <c r="FO246" s="16">
        <v>4.337350700485713E-11</v>
      </c>
      <c r="FP246" s="16">
        <v>3.0327011760778011E-12</v>
      </c>
      <c r="FQ246" s="16">
        <v>2.0998521506690879E-13</v>
      </c>
      <c r="FR246" s="16">
        <v>1.6753525171462951E-14</v>
      </c>
      <c r="FU246" s="9">
        <f t="shared" si="297"/>
        <v>12</v>
      </c>
      <c r="FV246" s="16">
        <v>6.2957692988439177E-10</v>
      </c>
      <c r="FW246" s="16">
        <v>7.8184980384133917E-9</v>
      </c>
      <c r="FX246" s="16">
        <v>1.1211010949753089E-7</v>
      </c>
      <c r="FY246" s="16">
        <v>1.5930664969591037E-6</v>
      </c>
      <c r="FZ246" s="16">
        <v>2.2539580562359694E-5</v>
      </c>
      <c r="GA246" s="16">
        <v>3.1754178850969245E-4</v>
      </c>
      <c r="GB246" s="16">
        <v>4.454598787185262E-3</v>
      </c>
      <c r="GC246" s="16">
        <v>6.2226923154262578E-2</v>
      </c>
      <c r="GD246" s="16">
        <v>0.8656042354782566</v>
      </c>
      <c r="GE246" s="16">
        <v>6.3320524870593323E-2</v>
      </c>
      <c r="GF246" s="16">
        <v>4.6092771024778536E-3</v>
      </c>
      <c r="GG246" s="16">
        <v>3.3386843536315766E-4</v>
      </c>
      <c r="GH246" s="16">
        <v>2.4063738668987406E-5</v>
      </c>
      <c r="GI246" s="16">
        <v>1.725785900823233E-6</v>
      </c>
      <c r="GJ246" s="16">
        <v>1.2315090475472746E-7</v>
      </c>
      <c r="GK246" s="16">
        <v>8.7439142073143474E-9</v>
      </c>
      <c r="GL246" s="16">
        <v>6.1770680778057183E-10</v>
      </c>
      <c r="GM246" s="16">
        <v>4.3416778539498826E-11</v>
      </c>
      <c r="GN246" s="16">
        <v>3.0360678931105516E-12</v>
      </c>
      <c r="GO246" s="16">
        <v>2.1024172500426185E-13</v>
      </c>
      <c r="GP246" s="16">
        <v>1.6776150838059599E-14</v>
      </c>
      <c r="GS246" s="9">
        <f t="shared" si="298"/>
        <v>12</v>
      </c>
      <c r="GT246" s="16">
        <v>1.5034148771039349E-14</v>
      </c>
      <c r="GU246" s="16">
        <v>8.6054682255771106E-13</v>
      </c>
      <c r="GV246" s="16">
        <v>5.073269047766723E-11</v>
      </c>
      <c r="GW246" s="16">
        <v>2.9762685974076499E-9</v>
      </c>
      <c r="GX246" s="16">
        <v>1.738039361394092E-7</v>
      </c>
      <c r="GY246" s="16">
        <v>1.0103221589323362E-5</v>
      </c>
      <c r="GZ246" s="16">
        <v>5.8463171298852906E-4</v>
      </c>
      <c r="HA246" s="16">
        <v>3.3677235181760024E-2</v>
      </c>
      <c r="HB246" s="16">
        <v>0.93121808708291698</v>
      </c>
      <c r="HC246" s="16">
        <v>3.428983216830829E-2</v>
      </c>
      <c r="HD246" s="16">
        <v>6.0602874247813918E-4</v>
      </c>
      <c r="HE246" s="16">
        <v>1.0661197435101673E-5</v>
      </c>
      <c r="HF246" s="16">
        <v>1.8667864539977825E-7</v>
      </c>
      <c r="HG246" s="16">
        <v>3.2534945737970059E-9</v>
      </c>
      <c r="HH246" s="16">
        <v>5.6436899986529566E-11</v>
      </c>
      <c r="HI246" s="16">
        <v>9.7437149491976432E-13</v>
      </c>
      <c r="HJ246" s="16">
        <v>1.6742680836040713E-14</v>
      </c>
      <c r="HK246" s="16">
        <v>2.8632218557743325E-16</v>
      </c>
      <c r="HL246" s="16">
        <v>4.8730969128583428E-18</v>
      </c>
      <c r="HM246" s="16">
        <v>8.2516950073022957E-20</v>
      </c>
      <c r="HN246" s="16">
        <v>1.4387555356245517E-21</v>
      </c>
      <c r="HQ246" s="9">
        <f t="shared" si="299"/>
        <v>12</v>
      </c>
      <c r="HR246" s="16">
        <v>1.3920614866756626E-8</v>
      </c>
      <c r="HS246" s="16">
        <v>1.2137078162596284E-7</v>
      </c>
      <c r="HT246" s="16">
        <v>1.2930198989835299E-6</v>
      </c>
      <c r="HU246" s="16">
        <v>1.3601060849921873E-5</v>
      </c>
      <c r="HV246" s="16">
        <v>1.4246208577438439E-4</v>
      </c>
      <c r="HW246" s="16">
        <v>1.4860371932425823E-3</v>
      </c>
      <c r="HX246" s="16">
        <v>1.5437385657787728E-2</v>
      </c>
      <c r="HY246" s="16">
        <v>0.15971324020850064</v>
      </c>
      <c r="HZ246" s="16">
        <v>0.64566141904438368</v>
      </c>
      <c r="IA246" s="16">
        <v>0.16247338741332024</v>
      </c>
      <c r="IB246" s="16">
        <v>1.5959744524519995E-2</v>
      </c>
      <c r="IC246" s="16">
        <v>1.5597773912118024E-3</v>
      </c>
      <c r="ID246" s="16">
        <v>1.5166425562984856E-4</v>
      </c>
      <c r="IE246" s="16">
        <v>1.4671639364965003E-5</v>
      </c>
      <c r="IF246" s="16">
        <v>1.4120160096135565E-6</v>
      </c>
      <c r="IG246" s="16">
        <v>1.3519382831853322E-7</v>
      </c>
      <c r="IH246" s="16">
        <v>1.2877186521516362E-8</v>
      </c>
      <c r="II246" s="16">
        <v>1.220175174127064E-9</v>
      </c>
      <c r="IJ246" s="16">
        <v>1.1500503460543876E-10</v>
      </c>
      <c r="IK246" s="16">
        <v>1.0692872662206969E-11</v>
      </c>
      <c r="IL246" s="16">
        <v>1.210654791359564E-12</v>
      </c>
      <c r="IO246" s="9">
        <f t="shared" si="300"/>
        <v>12</v>
      </c>
      <c r="IP246" s="16">
        <v>1.5065658804518253E-14</v>
      </c>
      <c r="IQ246" s="16">
        <v>8.6211696042878663E-13</v>
      </c>
      <c r="IR246" s="16">
        <v>5.0811958521666406E-11</v>
      </c>
      <c r="IS246" s="16">
        <v>2.9801386208452877E-9</v>
      </c>
      <c r="IT246" s="16">
        <v>1.7398438221763774E-7</v>
      </c>
      <c r="IU246" s="16">
        <v>1.0111064038479084E-5</v>
      </c>
      <c r="IV246" s="16">
        <v>5.849324138617188E-4</v>
      </c>
      <c r="IW246" s="16">
        <v>3.3685740228417499E-2</v>
      </c>
      <c r="IX246" s="16">
        <v>0.93120040276630878</v>
      </c>
      <c r="IY246" s="16">
        <v>3.4298490202489249E-2</v>
      </c>
      <c r="IZ246" s="16">
        <v>6.0634035748093073E-4</v>
      </c>
      <c r="JA246" s="16">
        <v>1.0669469791556069E-5</v>
      </c>
      <c r="JB246" s="16">
        <v>1.868723644640473E-7</v>
      </c>
      <c r="JC246" s="16">
        <v>3.2577226211313311E-9</v>
      </c>
      <c r="JD246" s="16">
        <v>5.6525021118361512E-11</v>
      </c>
      <c r="JE246" s="16">
        <v>9.7614808863619653E-13</v>
      </c>
      <c r="JF246" s="16">
        <v>1.6777593996718095E-14</v>
      </c>
      <c r="JG246" s="16">
        <v>2.8699426351062388E-16</v>
      </c>
      <c r="JH246" s="16">
        <v>4.8858123889688174E-18</v>
      </c>
      <c r="JI246" s="16">
        <v>8.2753877703573235E-20</v>
      </c>
      <c r="JJ246" s="16">
        <v>1.4432765683731434E-21</v>
      </c>
      <c r="JM246" s="9">
        <f t="shared" si="301"/>
        <v>12</v>
      </c>
      <c r="JN246" s="16">
        <v>1.3918937496408543E-8</v>
      </c>
      <c r="JO246" s="16">
        <v>1.2135836549059113E-7</v>
      </c>
      <c r="JP246" s="16">
        <v>1.2929068126685073E-6</v>
      </c>
      <c r="JQ246" s="16">
        <v>1.3600076463142445E-5</v>
      </c>
      <c r="JR246" s="16">
        <v>1.4245392334037179E-4</v>
      </c>
      <c r="JS246" s="16">
        <v>1.485974448091342E-3</v>
      </c>
      <c r="JT246" s="16">
        <v>1.5436966397382967E-2</v>
      </c>
      <c r="JU246" s="16">
        <v>0.15971130729694591</v>
      </c>
      <c r="JV246" s="16">
        <v>0.64566626717363618</v>
      </c>
      <c r="JW246" s="16">
        <v>0.16247142384364374</v>
      </c>
      <c r="JX246" s="16">
        <v>1.5959311879543282E-2</v>
      </c>
      <c r="JY246" s="16">
        <v>1.5597116885813784E-3</v>
      </c>
      <c r="JZ246" s="16">
        <v>1.5165559117501036E-4</v>
      </c>
      <c r="KA246" s="16">
        <v>1.4670581146372368E-5</v>
      </c>
      <c r="KB246" s="16">
        <v>1.411893000464296E-6</v>
      </c>
      <c r="KC246" s="16">
        <v>1.3518002548018942E-7</v>
      </c>
      <c r="KD246" s="16">
        <v>1.2875679003841103E-8</v>
      </c>
      <c r="KE246" s="16">
        <v>1.2200140713057631E-9</v>
      </c>
      <c r="KF246" s="16">
        <v>1.1498813081414259E-10</v>
      </c>
      <c r="KG246" s="16">
        <v>1.0691143824071756E-11</v>
      </c>
      <c r="KH246" s="16">
        <v>1.2104373061638776E-12</v>
      </c>
      <c r="KK246" s="9">
        <f t="shared" si="302"/>
        <v>12</v>
      </c>
      <c r="KL246" s="16">
        <v>3.727360931124431E-15</v>
      </c>
      <c r="KM246" s="16">
        <v>2.5539463091021535E-13</v>
      </c>
      <c r="KN246" s="16">
        <v>1.7923693366941983E-11</v>
      </c>
      <c r="KO246" s="16">
        <v>1.251824767695911E-9</v>
      </c>
      <c r="KP246" s="16">
        <v>8.7027438114183829E-8</v>
      </c>
      <c r="KQ246" s="16">
        <v>6.0224747861437899E-6</v>
      </c>
      <c r="KR246" s="16">
        <v>4.1486743786336186E-4</v>
      </c>
      <c r="KS246" s="16">
        <v>2.8449105958761885E-2</v>
      </c>
      <c r="KT246" s="16">
        <v>0.94205744691487625</v>
      </c>
      <c r="KU246" s="16">
        <v>2.896749038768982E-2</v>
      </c>
      <c r="KV246" s="16">
        <v>4.3009079881448575E-4</v>
      </c>
      <c r="KW246" s="16">
        <v>6.3562502979782647E-6</v>
      </c>
      <c r="KX246" s="16">
        <v>9.3502748873624222E-8</v>
      </c>
      <c r="KY246" s="16">
        <v>1.369056012910143E-9</v>
      </c>
      <c r="KZ246" s="16">
        <v>1.9951811464280553E-11</v>
      </c>
      <c r="LA246" s="16">
        <v>2.8939995773692039E-13</v>
      </c>
      <c r="LB246" s="16">
        <v>4.1779213780428112E-15</v>
      </c>
      <c r="LC246" s="16">
        <v>6.0028611376665487E-17</v>
      </c>
      <c r="LD246" s="16">
        <v>8.5838685252890283E-19</v>
      </c>
      <c r="LE246" s="16">
        <v>1.2213453253317072E-20</v>
      </c>
      <c r="LF246" s="16">
        <v>1.7795459157148309E-22</v>
      </c>
      <c r="LI246" s="9">
        <f t="shared" si="303"/>
        <v>12</v>
      </c>
      <c r="LJ246" s="16">
        <v>1.3918518179847434E-8</v>
      </c>
      <c r="LK246" s="16">
        <v>1.21355261613112E-7</v>
      </c>
      <c r="LL246" s="16">
        <v>1.2928785422515741E-6</v>
      </c>
      <c r="LM246" s="16">
        <v>1.3599830374224225E-5</v>
      </c>
      <c r="LN246" s="16">
        <v>1.4245188277690386E-4</v>
      </c>
      <c r="LO246" s="16">
        <v>1.4859587619991581E-3</v>
      </c>
      <c r="LP246" s="16">
        <v>1.5436861582563079E-2</v>
      </c>
      <c r="LQ246" s="16">
        <v>0.1597108240651835</v>
      </c>
      <c r="LR246" s="16">
        <v>0.64566747921269585</v>
      </c>
      <c r="LS246" s="16">
        <v>0.16247093294727555</v>
      </c>
      <c r="LT246" s="16">
        <v>1.5959203718583732E-2</v>
      </c>
      <c r="LU246" s="16">
        <v>1.5596952631271694E-3</v>
      </c>
      <c r="LV246" s="16">
        <v>1.5165342510881384E-4</v>
      </c>
      <c r="LW246" s="16">
        <v>1.4670316600033413E-5</v>
      </c>
      <c r="LX246" s="16">
        <v>1.4118622494329462E-6</v>
      </c>
      <c r="LY246" s="16">
        <v>1.3517657494399991E-7</v>
      </c>
      <c r="LZ246" s="16">
        <v>1.2875302146899486E-8</v>
      </c>
      <c r="MA246" s="16">
        <v>1.2199737983801771E-9</v>
      </c>
      <c r="MB246" s="16">
        <v>1.1498390519754994E-10</v>
      </c>
      <c r="MC246" s="16">
        <v>1.0690711652379876E-11</v>
      </c>
      <c r="MD246" s="16">
        <v>1.2103829402460621E-12</v>
      </c>
      <c r="MG246" s="9">
        <f t="shared" si="304"/>
        <v>12</v>
      </c>
      <c r="MH246" s="16">
        <v>7.7414051565839039E-15</v>
      </c>
      <c r="MI246" s="16">
        <v>4.8277584567214602E-13</v>
      </c>
      <c r="MJ246" s="16">
        <v>3.0923374204407481E-11</v>
      </c>
      <c r="MK246" s="16">
        <v>1.9711264980843313E-9</v>
      </c>
      <c r="ML246" s="16">
        <v>1.2506681054084784E-7</v>
      </c>
      <c r="MM246" s="16">
        <v>7.8991275559908519E-6</v>
      </c>
      <c r="MN246" s="16">
        <v>4.9663244516441358E-4</v>
      </c>
      <c r="MO246" s="16">
        <v>3.1082740858316797E-2</v>
      </c>
      <c r="MP246" s="16">
        <v>0.93660498344205534</v>
      </c>
      <c r="MQ246" s="16">
        <v>3.1648626464826891E-2</v>
      </c>
      <c r="MR246" s="16">
        <v>5.1483234593771912E-4</v>
      </c>
      <c r="MS246" s="16">
        <v>8.3361399720975852E-6</v>
      </c>
      <c r="MT246" s="16">
        <v>1.3435176499432901E-7</v>
      </c>
      <c r="MU246" s="16">
        <v>2.1552212450719275E-9</v>
      </c>
      <c r="MV246" s="16">
        <v>3.4411315455618226E-11</v>
      </c>
      <c r="MW246" s="16">
        <v>5.4684262714406287E-13</v>
      </c>
      <c r="MX246" s="16">
        <v>8.6489974775808354E-15</v>
      </c>
      <c r="MY246" s="16">
        <v>1.3614511678613213E-16</v>
      </c>
      <c r="MZ246" s="16">
        <v>2.1328570020833776E-18</v>
      </c>
      <c r="NA246" s="16">
        <v>3.3245391241487426E-20</v>
      </c>
      <c r="NB246" s="16">
        <v>5.3212767110631182E-22</v>
      </c>
      <c r="NE246" s="9">
        <f t="shared" si="305"/>
        <v>12</v>
      </c>
      <c r="NF246" s="16">
        <v>1.3918518179847434E-8</v>
      </c>
      <c r="NG246" s="16">
        <v>1.21355261613112E-7</v>
      </c>
      <c r="NH246" s="16">
        <v>1.2928785422515741E-6</v>
      </c>
      <c r="NI246" s="16">
        <v>1.3599830374224225E-5</v>
      </c>
      <c r="NJ246" s="16">
        <v>1.4245188277690386E-4</v>
      </c>
      <c r="NK246" s="16">
        <v>1.4859587619991581E-3</v>
      </c>
      <c r="NL246" s="16">
        <v>1.5436861582563079E-2</v>
      </c>
      <c r="NM246" s="16">
        <v>0.1597108240651835</v>
      </c>
      <c r="NN246" s="16">
        <v>0.64566747921269585</v>
      </c>
      <c r="NO246" s="16">
        <v>0.16247093294727555</v>
      </c>
      <c r="NP246" s="16">
        <v>1.5959203718583732E-2</v>
      </c>
      <c r="NQ246" s="16">
        <v>1.5596952631271694E-3</v>
      </c>
      <c r="NR246" s="16">
        <v>1.5165342510881384E-4</v>
      </c>
      <c r="NS246" s="16">
        <v>1.4670316600033413E-5</v>
      </c>
      <c r="NT246" s="16">
        <v>1.4118622494329462E-6</v>
      </c>
      <c r="NU246" s="16">
        <v>1.3517657494399991E-7</v>
      </c>
      <c r="NV246" s="16">
        <v>1.2875302146899486E-8</v>
      </c>
      <c r="NW246" s="16">
        <v>1.2199737983801771E-9</v>
      </c>
      <c r="NX246" s="16">
        <v>1.1498390519754994E-10</v>
      </c>
      <c r="NY246" s="16">
        <v>1.0690711652379876E-11</v>
      </c>
      <c r="NZ246" s="16">
        <v>1.2103829402460621E-12</v>
      </c>
      <c r="OC246" s="9">
        <f t="shared" si="306"/>
        <v>12</v>
      </c>
      <c r="OD246" s="16">
        <v>1.5065658804518155E-14</v>
      </c>
      <c r="OE246" s="16">
        <v>8.6211696042878158E-13</v>
      </c>
      <c r="OF246" s="16">
        <v>5.0811958521666167E-11</v>
      </c>
      <c r="OG246" s="16">
        <v>2.9801386208452761E-9</v>
      </c>
      <c r="OH246" s="16">
        <v>1.7398438221763716E-7</v>
      </c>
      <c r="OI246" s="16">
        <v>1.011106403847906E-5</v>
      </c>
      <c r="OJ246" s="16">
        <v>5.8493241386171793E-4</v>
      </c>
      <c r="OK246" s="16">
        <v>3.3685740228417471E-2</v>
      </c>
      <c r="OL246" s="16">
        <v>0.93120040276630889</v>
      </c>
      <c r="OM246" s="16">
        <v>3.4298490202489221E-2</v>
      </c>
      <c r="ON246" s="16">
        <v>6.0634035748092987E-4</v>
      </c>
      <c r="OO246" s="16">
        <v>1.0669469791556044E-5</v>
      </c>
      <c r="OP246" s="16">
        <v>1.8687236446404669E-7</v>
      </c>
      <c r="OQ246" s="16">
        <v>3.2577226211313187E-9</v>
      </c>
      <c r="OR246" s="16">
        <v>5.6525021118361254E-11</v>
      </c>
      <c r="OS246" s="16">
        <v>9.7614808863619108E-13</v>
      </c>
      <c r="OT246" s="16">
        <v>1.6777593996717991E-14</v>
      </c>
      <c r="OU246" s="16">
        <v>2.8699426351062181E-16</v>
      </c>
      <c r="OV246" s="16">
        <v>4.8858123889687789E-18</v>
      </c>
      <c r="OW246" s="16">
        <v>8.2753877703572453E-20</v>
      </c>
      <c r="OX246" s="16">
        <v>1.4432765683731291E-21</v>
      </c>
      <c r="PA246" s="9">
        <f t="shared" si="307"/>
        <v>12</v>
      </c>
      <c r="PB246" s="16">
        <v>1.3914744799222371E-8</v>
      </c>
      <c r="PC246" s="16">
        <v>1.2132732953016487E-7</v>
      </c>
      <c r="PD246" s="16">
        <v>1.2926241294109875E-6</v>
      </c>
      <c r="PE246" s="16">
        <v>1.3597615713935748E-5</v>
      </c>
      <c r="PF246" s="16">
        <v>1.4243351851631996E-4</v>
      </c>
      <c r="PG246" s="16">
        <v>1.4858175906908369E-3</v>
      </c>
      <c r="PH246" s="16">
        <v>1.5435918254248133E-2</v>
      </c>
      <c r="PI246" s="16">
        <v>0.1597064749095945</v>
      </c>
      <c r="PJ246" s="16">
        <v>0.64567838768567032</v>
      </c>
      <c r="PK246" s="16">
        <v>0.16246651480887728</v>
      </c>
      <c r="PL246" s="16">
        <v>1.5958230275071539E-2</v>
      </c>
      <c r="PM246" s="16">
        <v>1.5595474377005025E-3</v>
      </c>
      <c r="PN246" s="16">
        <v>1.516339313682735E-4</v>
      </c>
      <c r="PO246" s="16">
        <v>1.4667935832544354E-5</v>
      </c>
      <c r="PP246" s="16">
        <v>1.4115855127571152E-6</v>
      </c>
      <c r="PQ246" s="16">
        <v>1.3514552323922691E-7</v>
      </c>
      <c r="PR246" s="16">
        <v>1.2871910838980695E-8</v>
      </c>
      <c r="PS246" s="16">
        <v>1.2196113920801318E-9</v>
      </c>
      <c r="PT246" s="16">
        <v>1.149458806096702E-10</v>
      </c>
      <c r="PU246" s="16">
        <v>1.0686822788214559E-11</v>
      </c>
      <c r="PV246" s="16">
        <v>1.2098937438303065E-12</v>
      </c>
    </row>
    <row r="247" spans="3:438" x14ac:dyDescent="0.25">
      <c r="C247" s="1"/>
      <c r="D247" s="1"/>
      <c r="I247" s="9">
        <f t="shared" si="290"/>
        <v>11</v>
      </c>
      <c r="J247" s="16">
        <v>3.8014695956656827E-17</v>
      </c>
      <c r="K247" s="16">
        <v>2.7017373286782987E-15</v>
      </c>
      <c r="L247" s="16">
        <v>1.9673844437178094E-13</v>
      </c>
      <c r="M247" s="16">
        <v>1.4276029534254685E-11</v>
      </c>
      <c r="N247" s="16">
        <v>1.0324847348463167E-9</v>
      </c>
      <c r="O247" s="16">
        <v>7.4425671706737946E-8</v>
      </c>
      <c r="P247" s="16">
        <v>5.3472404005551211E-6</v>
      </c>
      <c r="Q247" s="16">
        <v>3.8292114339700395E-4</v>
      </c>
      <c r="R247" s="16">
        <v>2.7331691563760953E-2</v>
      </c>
      <c r="S247" s="16">
        <v>0.94449129238678509</v>
      </c>
      <c r="T247" s="16">
        <v>2.7509807620695617E-2</v>
      </c>
      <c r="U247" s="16">
        <v>3.8789356791790351E-4</v>
      </c>
      <c r="V247" s="16">
        <v>5.4510019441449801E-6</v>
      </c>
      <c r="W247" s="16">
        <v>7.6343849244264668E-8</v>
      </c>
      <c r="X247" s="16">
        <v>1.0656164743497022E-9</v>
      </c>
      <c r="Y247" s="16">
        <v>1.4823546493161988E-11</v>
      </c>
      <c r="Z247" s="16">
        <v>2.0550517689624362E-13</v>
      </c>
      <c r="AA247" s="16">
        <v>2.8392783199600948E-15</v>
      </c>
      <c r="AB247" s="16">
        <v>3.9093341464871789E-17</v>
      </c>
      <c r="AC247" s="16">
        <v>5.3631694076500602E-19</v>
      </c>
      <c r="AD247" s="16">
        <v>7.537595972888008E-21</v>
      </c>
      <c r="AF247" s="19"/>
      <c r="AG247" s="9">
        <f t="shared" si="291"/>
        <v>11</v>
      </c>
      <c r="AH247" s="16">
        <v>5.5496698174373518E-10</v>
      </c>
      <c r="AI247" s="16">
        <v>4.9409841742971237E-9</v>
      </c>
      <c r="AJ247" s="16">
        <v>5.3638601639217017E-8</v>
      </c>
      <c r="AK247" s="16">
        <v>5.7573960238800317E-7</v>
      </c>
      <c r="AL247" s="16">
        <v>6.1608430014810452E-6</v>
      </c>
      <c r="AM247" s="16">
        <v>6.5728992283953577E-5</v>
      </c>
      <c r="AN247" s="16">
        <v>6.9916845091418664E-4</v>
      </c>
      <c r="AO247" s="16">
        <v>7.4151438944666795E-3</v>
      </c>
      <c r="AP247" s="16">
        <v>7.8410660626036396E-2</v>
      </c>
      <c r="AQ247" s="16">
        <v>0.82671008646076916</v>
      </c>
      <c r="AR247" s="16">
        <v>7.8870128988584365E-2</v>
      </c>
      <c r="AS247" s="16">
        <v>7.4967827108164036E-3</v>
      </c>
      <c r="AT247" s="16">
        <v>7.0996279419744757E-4</v>
      </c>
      <c r="AU247" s="16">
        <v>6.6986880386245106E-5</v>
      </c>
      <c r="AV247" s="16">
        <v>6.2969839914906397E-6</v>
      </c>
      <c r="AW247" s="16">
        <v>5.8973817499766593E-7</v>
      </c>
      <c r="AX247" s="16">
        <v>5.5025603877660132E-8</v>
      </c>
      <c r="AY247" s="16">
        <v>5.1149820370590595E-9</v>
      </c>
      <c r="AZ247" s="16">
        <v>4.7365330611537598E-10</v>
      </c>
      <c r="BA247" s="16">
        <v>4.3339427394823964E-11</v>
      </c>
      <c r="BB247" s="16">
        <v>4.8237499665313854E-12</v>
      </c>
      <c r="BE247" s="9">
        <f t="shared" si="292"/>
        <v>11</v>
      </c>
      <c r="BF247" s="16">
        <v>5.5442829427862434E-10</v>
      </c>
      <c r="BG247" s="16">
        <v>4.9368296364710567E-9</v>
      </c>
      <c r="BH247" s="16">
        <v>5.3599198296597526E-8</v>
      </c>
      <c r="BI247" s="16">
        <v>5.7537881076038426E-7</v>
      </c>
      <c r="BJ247" s="16">
        <v>6.1576473417256326E-6</v>
      </c>
      <c r="BK247" s="16">
        <v>6.5701992023839566E-5</v>
      </c>
      <c r="BL247" s="16">
        <v>6.9895668115051331E-4</v>
      </c>
      <c r="BM247" s="16">
        <v>7.4136977610021054E-3</v>
      </c>
      <c r="BN247" s="16">
        <v>7.8403823963270322E-2</v>
      </c>
      <c r="BO247" s="16">
        <v>0.82672712784585201</v>
      </c>
      <c r="BP247" s="16">
        <v>7.8863258993657273E-2</v>
      </c>
      <c r="BQ247" s="16">
        <v>7.4953225577398556E-3</v>
      </c>
      <c r="BR247" s="16">
        <v>7.097481135728181E-4</v>
      </c>
      <c r="BS247" s="16">
        <v>6.6959419647537294E-5</v>
      </c>
      <c r="BT247" s="16">
        <v>6.2937256297274125E-6</v>
      </c>
      <c r="BU247" s="16">
        <v>5.8936964714690879E-7</v>
      </c>
      <c r="BV247" s="16">
        <v>5.4985308605105102E-8</v>
      </c>
      <c r="BW247" s="16">
        <v>5.1106872604718127E-9</v>
      </c>
      <c r="BX247" s="16">
        <v>4.7320479988766614E-10</v>
      </c>
      <c r="BY247" s="16">
        <v>4.3293817060240417E-11</v>
      </c>
      <c r="BZ247" s="16">
        <v>4.8180529793034659E-12</v>
      </c>
      <c r="CC247" s="9">
        <f t="shared" si="293"/>
        <v>11</v>
      </c>
      <c r="CD247" s="16">
        <v>5.5442829427861255E-10</v>
      </c>
      <c r="CE247" s="16">
        <v>4.9368296364709657E-9</v>
      </c>
      <c r="CF247" s="16">
        <v>5.3599198296596686E-8</v>
      </c>
      <c r="CG247" s="16">
        <v>5.7537881076037664E-7</v>
      </c>
      <c r="CH247" s="16">
        <v>6.157647341725564E-6</v>
      </c>
      <c r="CI247" s="16">
        <v>6.5701992023839011E-5</v>
      </c>
      <c r="CJ247" s="16">
        <v>6.9895668115050897E-4</v>
      </c>
      <c r="CK247" s="16">
        <v>7.4136977610020777E-3</v>
      </c>
      <c r="CL247" s="16">
        <v>7.8403823963270197E-2</v>
      </c>
      <c r="CM247" s="16">
        <v>0.82672712784585256</v>
      </c>
      <c r="CN247" s="16">
        <v>7.8863258993657148E-2</v>
      </c>
      <c r="CO247" s="16">
        <v>7.4953225577398253E-3</v>
      </c>
      <c r="CP247" s="16">
        <v>7.0974811357281365E-4</v>
      </c>
      <c r="CQ247" s="16">
        <v>6.6959419647536712E-5</v>
      </c>
      <c r="CR247" s="16">
        <v>6.2937256297273456E-6</v>
      </c>
      <c r="CS247" s="16">
        <v>5.8936964714690085E-7</v>
      </c>
      <c r="CT247" s="16">
        <v>5.4985308605104215E-8</v>
      </c>
      <c r="CU247" s="16">
        <v>5.1106872604717184E-9</v>
      </c>
      <c r="CV247" s="16">
        <v>4.7320479988765632E-10</v>
      </c>
      <c r="CW247" s="16">
        <v>4.3293817060239408E-11</v>
      </c>
      <c r="CX247" s="16">
        <v>4.8180529793033415E-12</v>
      </c>
      <c r="DA247" s="9">
        <f t="shared" si="294"/>
        <v>11</v>
      </c>
      <c r="DB247" s="16">
        <v>3.8188596907132435E-17</v>
      </c>
      <c r="DC247" s="16">
        <v>2.7126820992250615E-15</v>
      </c>
      <c r="DD247" s="16">
        <v>1.9743529498337686E-13</v>
      </c>
      <c r="DE247" s="16">
        <v>1.4319330383864272E-11</v>
      </c>
      <c r="DF247" s="16">
        <v>1.0350912449161843E-9</v>
      </c>
      <c r="DG247" s="16">
        <v>7.4575726889003593E-8</v>
      </c>
      <c r="DH247" s="16">
        <v>5.3553047547882187E-6</v>
      </c>
      <c r="DI247" s="16">
        <v>3.8330420947753038E-4</v>
      </c>
      <c r="DJ247" s="16">
        <v>2.7345163596376156E-2</v>
      </c>
      <c r="DK247" s="16">
        <v>0.94446353420582951</v>
      </c>
      <c r="DL247" s="16">
        <v>2.7523365892336199E-2</v>
      </c>
      <c r="DM247" s="16">
        <v>3.8828154246530508E-4</v>
      </c>
      <c r="DN247" s="16">
        <v>5.4592209334270899E-6</v>
      </c>
      <c r="DO247" s="16">
        <v>7.6497728575916382E-8</v>
      </c>
      <c r="DP247" s="16">
        <v>1.0683057199815851E-9</v>
      </c>
      <c r="DQ247" s="16">
        <v>1.4868490380131781E-11</v>
      </c>
      <c r="DR247" s="16">
        <v>2.0623275310721904E-13</v>
      </c>
      <c r="DS247" s="16">
        <v>2.8507750102640943E-15</v>
      </c>
      <c r="DT247" s="16">
        <v>3.9271533623558862E-17</v>
      </c>
      <c r="DU247" s="16">
        <v>5.390345240632425E-19</v>
      </c>
      <c r="DV247" s="16">
        <v>7.5797357435409861E-21</v>
      </c>
      <c r="DY247" s="9">
        <f t="shared" si="295"/>
        <v>11</v>
      </c>
      <c r="DZ247" s="16">
        <v>4.5384958595390868E-11</v>
      </c>
      <c r="EA247" s="16">
        <v>5.6369334415280478E-10</v>
      </c>
      <c r="EB247" s="16">
        <v>8.0837529049795731E-9</v>
      </c>
      <c r="EC247" s="16">
        <v>1.1488181119011568E-7</v>
      </c>
      <c r="ED247" s="16">
        <v>1.6255947997588568E-6</v>
      </c>
      <c r="EE247" s="16">
        <v>2.2904269228361193E-5</v>
      </c>
      <c r="EF247" s="16">
        <v>3.2134623092918498E-4</v>
      </c>
      <c r="EG247" s="16">
        <v>4.4894380851379324E-3</v>
      </c>
      <c r="EH247" s="16">
        <v>6.2457134490168341E-2</v>
      </c>
      <c r="EI247" s="16">
        <v>0.86527192929403984</v>
      </c>
      <c r="EJ247" s="16">
        <v>6.2978449272711373E-2</v>
      </c>
      <c r="EK247" s="16">
        <v>4.5612677066469666E-3</v>
      </c>
      <c r="EL247" s="16">
        <v>3.2871867543782024E-4</v>
      </c>
      <c r="EM247" s="16">
        <v>2.3572154955952957E-5</v>
      </c>
      <c r="EN247" s="16">
        <v>1.6819035692175495E-6</v>
      </c>
      <c r="EO247" s="16">
        <v>1.1940444861194151E-7</v>
      </c>
      <c r="EP247" s="16">
        <v>8.4342828510080234E-9</v>
      </c>
      <c r="EQ247" s="16">
        <v>5.9275406856288854E-10</v>
      </c>
      <c r="ER247" s="16">
        <v>4.1445713869857507E-11</v>
      </c>
      <c r="ES247" s="16">
        <v>2.8697146983070587E-12</v>
      </c>
      <c r="ET247" s="16">
        <v>2.2895820268910413E-13</v>
      </c>
      <c r="EW247" s="9">
        <f t="shared" si="296"/>
        <v>11</v>
      </c>
      <c r="EX247" s="16">
        <v>4.5384958595391895E-11</v>
      </c>
      <c r="EY247" s="16">
        <v>5.6369334415281584E-10</v>
      </c>
      <c r="EZ247" s="16">
        <v>8.0837529049797121E-9</v>
      </c>
      <c r="FA247" s="16">
        <v>1.1488181119011735E-7</v>
      </c>
      <c r="FB247" s="16">
        <v>1.6255947997588768E-6</v>
      </c>
      <c r="FC247" s="16">
        <v>2.2904269228361409E-5</v>
      </c>
      <c r="FD247" s="16">
        <v>3.2134623092918731E-4</v>
      </c>
      <c r="FE247" s="16">
        <v>4.4894380851379532E-3</v>
      </c>
      <c r="FF247" s="16">
        <v>6.2457134490168459E-2</v>
      </c>
      <c r="FG247" s="16">
        <v>0.86527192929403951</v>
      </c>
      <c r="FH247" s="16">
        <v>6.2978449272711512E-2</v>
      </c>
      <c r="FI247" s="16">
        <v>4.56126770664699E-3</v>
      </c>
      <c r="FJ247" s="16">
        <v>3.2871867543782273E-4</v>
      </c>
      <c r="FK247" s="16">
        <v>2.357215495595319E-5</v>
      </c>
      <c r="FL247" s="16">
        <v>1.6819035692175709E-6</v>
      </c>
      <c r="FM247" s="16">
        <v>1.1940444861194331E-7</v>
      </c>
      <c r="FN247" s="16">
        <v>8.4342828510081723E-9</v>
      </c>
      <c r="FO247" s="16">
        <v>5.9275406856290064E-10</v>
      </c>
      <c r="FP247" s="16">
        <v>4.1445713869858457E-11</v>
      </c>
      <c r="FQ247" s="16">
        <v>2.8697146983071327E-12</v>
      </c>
      <c r="FR247" s="16">
        <v>2.2895820268911049E-13</v>
      </c>
      <c r="FU247" s="9">
        <f t="shared" si="297"/>
        <v>11</v>
      </c>
      <c r="FV247" s="16">
        <v>4.5431113753547122E-11</v>
      </c>
      <c r="FW247" s="16">
        <v>5.6419328108205825E-10</v>
      </c>
      <c r="FX247" s="16">
        <v>8.09001552588692E-9</v>
      </c>
      <c r="FY247" s="16">
        <v>1.1495781024505447E-7</v>
      </c>
      <c r="FZ247" s="16">
        <v>1.6264862956046343E-6</v>
      </c>
      <c r="GA247" s="16">
        <v>2.291424038987216E-5</v>
      </c>
      <c r="GB247" s="16">
        <v>3.214498095795679E-4</v>
      </c>
      <c r="GC247" s="16">
        <v>4.4903780462121814E-3</v>
      </c>
      <c r="GD247" s="16">
        <v>6.2463159974407143E-2</v>
      </c>
      <c r="GE247" s="16">
        <v>0.86525776828875123</v>
      </c>
      <c r="GF247" s="16">
        <v>6.2984519273411685E-2</v>
      </c>
      <c r="GG247" s="16">
        <v>4.5622214578095316E-3</v>
      </c>
      <c r="GH247" s="16">
        <v>3.2882445083902651E-4</v>
      </c>
      <c r="GI247" s="16">
        <v>2.3582395441955388E-5</v>
      </c>
      <c r="GJ247" s="16">
        <v>1.6828236536033879E-6</v>
      </c>
      <c r="GK247" s="16">
        <v>1.194832119378518E-7</v>
      </c>
      <c r="GL247" s="16">
        <v>8.4407956985397949E-9</v>
      </c>
      <c r="GM247" s="16">
        <v>5.9327848248491146E-10</v>
      </c>
      <c r="GN247" s="16">
        <v>4.1487042865400547E-11</v>
      </c>
      <c r="GO247" s="16">
        <v>2.8728960499006743E-12</v>
      </c>
      <c r="GP247" s="16">
        <v>2.2924154315335032E-13</v>
      </c>
      <c r="GS247" s="9">
        <f t="shared" si="298"/>
        <v>11</v>
      </c>
      <c r="GT247" s="16">
        <v>2.633251424476906E-16</v>
      </c>
      <c r="GU247" s="16">
        <v>1.5072593605660524E-14</v>
      </c>
      <c r="GV247" s="16">
        <v>8.8858991288688435E-13</v>
      </c>
      <c r="GW247" s="16">
        <v>5.2129745708295029E-11</v>
      </c>
      <c r="GX247" s="16">
        <v>3.0441993716359401E-9</v>
      </c>
      <c r="GY247" s="16">
        <v>1.7695928813169737E-7</v>
      </c>
      <c r="GZ247" s="16">
        <v>1.0239903266003062E-5</v>
      </c>
      <c r="HA247" s="16">
        <v>5.8986131416792281E-4</v>
      </c>
      <c r="HB247" s="16">
        <v>3.3825545138829231E-2</v>
      </c>
      <c r="HC247" s="16">
        <v>0.93103301371176439</v>
      </c>
      <c r="HD247" s="16">
        <v>3.4128528341561944E-2</v>
      </c>
      <c r="HE247" s="16">
        <v>6.0038568027485884E-4</v>
      </c>
      <c r="HF247" s="16">
        <v>1.0512813986740147E-5</v>
      </c>
      <c r="HG247" s="16">
        <v>1.8322065273158964E-7</v>
      </c>
      <c r="HH247" s="16">
        <v>3.1782458581486342E-9</v>
      </c>
      <c r="HI247" s="16">
        <v>5.4871762424335495E-11</v>
      </c>
      <c r="HJ247" s="16">
        <v>9.4286461577711926E-13</v>
      </c>
      <c r="HK247" s="16">
        <v>1.6124243192392612E-14</v>
      </c>
      <c r="HL247" s="16">
        <v>2.7442861112757077E-16</v>
      </c>
      <c r="HM247" s="16">
        <v>4.6469447269293534E-18</v>
      </c>
      <c r="HN247" s="16">
        <v>8.1023564779046573E-20</v>
      </c>
      <c r="HQ247" s="9">
        <f t="shared" si="299"/>
        <v>11</v>
      </c>
      <c r="HR247" s="16">
        <v>1.3557499929562953E-9</v>
      </c>
      <c r="HS247" s="16">
        <v>1.1820486229200407E-8</v>
      </c>
      <c r="HT247" s="16">
        <v>1.2592918744742957E-7</v>
      </c>
      <c r="HU247" s="16">
        <v>1.3246281380512025E-6</v>
      </c>
      <c r="HV247" s="16">
        <v>1.387460062891326E-5</v>
      </c>
      <c r="HW247" s="16">
        <v>1.4472743722568259E-4</v>
      </c>
      <c r="HX247" s="16">
        <v>1.5034706223206967E-3</v>
      </c>
      <c r="HY247" s="16">
        <v>1.5554716969060977E-2</v>
      </c>
      <c r="HZ247" s="16">
        <v>0.16027348494540289</v>
      </c>
      <c r="IA247" s="16">
        <v>0.6447612554626676</v>
      </c>
      <c r="IB247" s="16">
        <v>0.16156473290136414</v>
      </c>
      <c r="IC247" s="16">
        <v>1.5790040824873463E-2</v>
      </c>
      <c r="ID247" s="16">
        <v>1.5353375433970282E-3</v>
      </c>
      <c r="IE247" s="16">
        <v>1.4852490223661667E-4</v>
      </c>
      <c r="IF247" s="16">
        <v>1.429421311194363E-5</v>
      </c>
      <c r="IG247" s="16">
        <v>1.3686030330020987E-6</v>
      </c>
      <c r="IH247" s="16">
        <v>1.3035917947642779E-7</v>
      </c>
      <c r="II247" s="16">
        <v>1.235215737932645E-8</v>
      </c>
      <c r="IJ247" s="16">
        <v>1.1642265118838852E-9</v>
      </c>
      <c r="IK247" s="16">
        <v>1.0824679010140527E-10</v>
      </c>
      <c r="IL247" s="16">
        <v>1.225578001585508E-11</v>
      </c>
      <c r="IO247" s="9">
        <f t="shared" si="300"/>
        <v>11</v>
      </c>
      <c r="IP247" s="16">
        <v>2.6394608971858964E-16</v>
      </c>
      <c r="IQ247" s="16">
        <v>1.5104045799644048E-14</v>
      </c>
      <c r="IR247" s="16">
        <v>8.9021117076637994E-13</v>
      </c>
      <c r="IS247" s="16">
        <v>5.2211187442766253E-11</v>
      </c>
      <c r="IT247" s="16">
        <v>3.0481572664235336E-9</v>
      </c>
      <c r="IU247" s="16">
        <v>1.771429879356108E-7</v>
      </c>
      <c r="IV247" s="16">
        <v>1.0247850783807346E-5</v>
      </c>
      <c r="IW247" s="16">
        <v>5.9016466043293589E-4</v>
      </c>
      <c r="IX247" s="16">
        <v>3.3834085942545132E-2</v>
      </c>
      <c r="IY247" s="16">
        <v>0.93101528259399313</v>
      </c>
      <c r="IZ247" s="16">
        <v>3.4137143933647744E-2</v>
      </c>
      <c r="JA247" s="16">
        <v>6.0069434844028317E-4</v>
      </c>
      <c r="JB247" s="16">
        <v>1.0520970151868687E-5</v>
      </c>
      <c r="JC247" s="16">
        <v>1.8341076037802406E-7</v>
      </c>
      <c r="JD247" s="16">
        <v>3.1823756376478217E-9</v>
      </c>
      <c r="JE247" s="16">
        <v>5.4957430082289988E-11</v>
      </c>
      <c r="JF247" s="16">
        <v>9.4458357267482806E-13</v>
      </c>
      <c r="JG247" s="16">
        <v>1.6157863089133921E-14</v>
      </c>
      <c r="JH247" s="16">
        <v>2.7507270248009724E-16</v>
      </c>
      <c r="JI247" s="16">
        <v>4.6590681279584908E-18</v>
      </c>
      <c r="JJ247" s="16">
        <v>8.1256903557115929E-20</v>
      </c>
      <c r="JM247" s="9">
        <f t="shared" si="301"/>
        <v>11</v>
      </c>
      <c r="JN247" s="16">
        <v>1.3555662548613816E-9</v>
      </c>
      <c r="JO247" s="16">
        <v>1.1819099341930885E-8</v>
      </c>
      <c r="JP247" s="16">
        <v>1.2591628106570902E-7</v>
      </c>
      <c r="JQ247" s="16">
        <v>1.3245123574789641E-6</v>
      </c>
      <c r="JR247" s="16">
        <v>1.3873597133591886E-5</v>
      </c>
      <c r="JS247" s="16">
        <v>1.4471915100837558E-4</v>
      </c>
      <c r="JT247" s="16">
        <v>1.5034071911825776E-3</v>
      </c>
      <c r="JU247" s="16">
        <v>1.555429491276894E-2</v>
      </c>
      <c r="JV247" s="16">
        <v>0.16027154796261456</v>
      </c>
      <c r="JW247" s="16">
        <v>0.64476611522515581</v>
      </c>
      <c r="JX247" s="16">
        <v>0.161562783046971</v>
      </c>
      <c r="JY247" s="16">
        <v>1.5789613177564478E-2</v>
      </c>
      <c r="JZ247" s="16">
        <v>1.5352729215270847E-3</v>
      </c>
      <c r="KA247" s="16">
        <v>1.485164233153749E-4</v>
      </c>
      <c r="KB247" s="16">
        <v>1.4293182829012919E-5</v>
      </c>
      <c r="KC247" s="16">
        <v>1.3684838853819591E-6</v>
      </c>
      <c r="KD247" s="16">
        <v>1.3034587889384309E-7</v>
      </c>
      <c r="KE247" s="16">
        <v>1.23507122490212E-8</v>
      </c>
      <c r="KF247" s="16">
        <v>1.1640728981250843E-9</v>
      </c>
      <c r="KG247" s="16">
        <v>1.0823091642105937E-10</v>
      </c>
      <c r="KH247" s="16">
        <v>1.2253762653663427E-11</v>
      </c>
      <c r="KK247" s="9">
        <f t="shared" si="302"/>
        <v>11</v>
      </c>
      <c r="KL247" s="16">
        <v>5.4844072080481504E-17</v>
      </c>
      <c r="KM247" s="16">
        <v>3.7578549020157203E-15</v>
      </c>
      <c r="KN247" s="16">
        <v>2.6372770148354561E-13</v>
      </c>
      <c r="KO247" s="16">
        <v>1.8419243282387307E-11</v>
      </c>
      <c r="KP247" s="16">
        <v>1.2805143309462365E-9</v>
      </c>
      <c r="KQ247" s="16">
        <v>8.8614182360523904E-8</v>
      </c>
      <c r="KR247" s="16">
        <v>6.10432423542064E-6</v>
      </c>
      <c r="KS247" s="16">
        <v>4.1859772816712668E-4</v>
      </c>
      <c r="KT247" s="16">
        <v>2.8575268285302449E-2</v>
      </c>
      <c r="KU247" s="16">
        <v>0.94190113282895005</v>
      </c>
      <c r="KV247" s="16">
        <v>2.8832107934075171E-2</v>
      </c>
      <c r="KW247" s="16">
        <v>4.2610559247596334E-4</v>
      </c>
      <c r="KX247" s="16">
        <v>6.2681679196301364E-6</v>
      </c>
      <c r="KY247" s="16">
        <v>9.1777761442057584E-8</v>
      </c>
      <c r="KZ247" s="16">
        <v>1.337514736897646E-9</v>
      </c>
      <c r="LA247" s="16">
        <v>1.9400579692909838E-11</v>
      </c>
      <c r="LB247" s="16">
        <v>2.8007639420291005E-13</v>
      </c>
      <c r="LC247" s="16">
        <v>4.024153520873646E-15</v>
      </c>
      <c r="LD247" s="16">
        <v>5.7543901077455062E-17</v>
      </c>
      <c r="LE247" s="16">
        <v>8.1875641938415493E-19</v>
      </c>
      <c r="LF247" s="16">
        <v>1.192958790491673E-20</v>
      </c>
      <c r="LI247" s="9">
        <f t="shared" si="303"/>
        <v>11</v>
      </c>
      <c r="LJ247" s="16">
        <v>1.3555203236199261E-9</v>
      </c>
      <c r="LK247" s="16">
        <v>1.1818752640849698E-8</v>
      </c>
      <c r="LL247" s="16">
        <v>1.2591305463332892E-7</v>
      </c>
      <c r="LM247" s="16">
        <v>1.3244834135243118E-6</v>
      </c>
      <c r="LN247" s="16">
        <v>1.3873346267679558E-5</v>
      </c>
      <c r="LO247" s="16">
        <v>1.4471707949969729E-4</v>
      </c>
      <c r="LP247" s="16">
        <v>1.5033913335953464E-3</v>
      </c>
      <c r="LQ247" s="16">
        <v>1.5554189398976351E-2</v>
      </c>
      <c r="LR247" s="16">
        <v>0.16027106371302186</v>
      </c>
      <c r="LS247" s="16">
        <v>0.64476733017254206</v>
      </c>
      <c r="LT247" s="16">
        <v>0.1615622955794373</v>
      </c>
      <c r="LU247" s="16">
        <v>1.5789506266015763E-2</v>
      </c>
      <c r="LV247" s="16">
        <v>1.5352567662591736E-3</v>
      </c>
      <c r="LW247" s="16">
        <v>1.4851430363148848E-4</v>
      </c>
      <c r="LX247" s="16">
        <v>1.4292925266360186E-5</v>
      </c>
      <c r="LY247" s="16">
        <v>1.3684540996921724E-6</v>
      </c>
      <c r="LZ247" s="16">
        <v>1.3034255391512345E-7</v>
      </c>
      <c r="MA247" s="16">
        <v>1.2350350987972626E-8</v>
      </c>
      <c r="MB247" s="16">
        <v>1.1640344973335011E-9</v>
      </c>
      <c r="MC247" s="16">
        <v>1.0822694831102829E-10</v>
      </c>
      <c r="MD247" s="16">
        <v>1.2253258358287099E-11</v>
      </c>
      <c r="MG247" s="9">
        <f t="shared" si="304"/>
        <v>11</v>
      </c>
      <c r="MH247" s="16">
        <v>1.2479956281191092E-16</v>
      </c>
      <c r="MI247" s="16">
        <v>7.7828524999486485E-15</v>
      </c>
      <c r="MJ247" s="16">
        <v>4.9851719465903259E-13</v>
      </c>
      <c r="MK247" s="16">
        <v>3.1776624557453011E-11</v>
      </c>
      <c r="ML247" s="16">
        <v>2.0162080348557104E-9</v>
      </c>
      <c r="MM247" s="16">
        <v>1.2734221315684113E-7</v>
      </c>
      <c r="MN247" s="16">
        <v>8.0062354031447184E-6</v>
      </c>
      <c r="MO247" s="16">
        <v>5.010863521094426E-4</v>
      </c>
      <c r="MP247" s="16">
        <v>3.1220101568690831E-2</v>
      </c>
      <c r="MQ247" s="16">
        <v>0.93643418441341808</v>
      </c>
      <c r="MR247" s="16">
        <v>3.1500228138605466E-2</v>
      </c>
      <c r="MS247" s="16">
        <v>5.1005014154294908E-4</v>
      </c>
      <c r="MT247" s="16">
        <v>8.2203678178714204E-6</v>
      </c>
      <c r="MU247" s="16">
        <v>1.3186809539963893E-7</v>
      </c>
      <c r="MV247" s="16">
        <v>2.1054704428626261E-9</v>
      </c>
      <c r="MW247" s="16">
        <v>3.3458790316636757E-11</v>
      </c>
      <c r="MX247" s="16">
        <v>5.291924562699838E-13</v>
      </c>
      <c r="MY247" s="16">
        <v>8.3300947824266146E-15</v>
      </c>
      <c r="MZ247" s="16">
        <v>1.3049973002429835E-16</v>
      </c>
      <c r="NA247" s="16">
        <v>2.0341328918574543E-18</v>
      </c>
      <c r="NB247" s="16">
        <v>3.2558449699159744E-20</v>
      </c>
      <c r="NE247" s="9">
        <f t="shared" si="305"/>
        <v>11</v>
      </c>
      <c r="NF247" s="16">
        <v>1.3555203236199261E-9</v>
      </c>
      <c r="NG247" s="16">
        <v>1.1818752640849698E-8</v>
      </c>
      <c r="NH247" s="16">
        <v>1.2591305463332892E-7</v>
      </c>
      <c r="NI247" s="16">
        <v>1.3244834135243118E-6</v>
      </c>
      <c r="NJ247" s="16">
        <v>1.3873346267679558E-5</v>
      </c>
      <c r="NK247" s="16">
        <v>1.4471707949969729E-4</v>
      </c>
      <c r="NL247" s="16">
        <v>1.5033913335953464E-3</v>
      </c>
      <c r="NM247" s="16">
        <v>1.5554189398976351E-2</v>
      </c>
      <c r="NN247" s="16">
        <v>0.16027106371302186</v>
      </c>
      <c r="NO247" s="16">
        <v>0.64476733017254206</v>
      </c>
      <c r="NP247" s="16">
        <v>0.1615622955794373</v>
      </c>
      <c r="NQ247" s="16">
        <v>1.5789506266015763E-2</v>
      </c>
      <c r="NR247" s="16">
        <v>1.5352567662591736E-3</v>
      </c>
      <c r="NS247" s="16">
        <v>1.4851430363148848E-4</v>
      </c>
      <c r="NT247" s="16">
        <v>1.4292925266360186E-5</v>
      </c>
      <c r="NU247" s="16">
        <v>1.3684540996921724E-6</v>
      </c>
      <c r="NV247" s="16">
        <v>1.3034255391512345E-7</v>
      </c>
      <c r="NW247" s="16">
        <v>1.2350350987972626E-8</v>
      </c>
      <c r="NX247" s="16">
        <v>1.1640344973335011E-9</v>
      </c>
      <c r="NY247" s="16">
        <v>1.0822694831102829E-10</v>
      </c>
      <c r="NZ247" s="16">
        <v>1.2253258358287099E-11</v>
      </c>
      <c r="OC247" s="9">
        <f t="shared" si="306"/>
        <v>11</v>
      </c>
      <c r="OD247" s="16">
        <v>2.6394608971858767E-16</v>
      </c>
      <c r="OE247" s="16">
        <v>1.510404579964395E-14</v>
      </c>
      <c r="OF247" s="16">
        <v>8.9021117076637519E-13</v>
      </c>
      <c r="OG247" s="16">
        <v>5.2211187442766013E-11</v>
      </c>
      <c r="OH247" s="16">
        <v>3.0481572664235212E-9</v>
      </c>
      <c r="OI247" s="16">
        <v>1.7714298793561025E-7</v>
      </c>
      <c r="OJ247" s="16">
        <v>1.0247850783807324E-5</v>
      </c>
      <c r="OK247" s="16">
        <v>5.9016466043293513E-4</v>
      </c>
      <c r="OL247" s="16">
        <v>3.3834085942545118E-2</v>
      </c>
      <c r="OM247" s="16">
        <v>0.93101528259399335</v>
      </c>
      <c r="ON247" s="16">
        <v>3.4137143933647716E-2</v>
      </c>
      <c r="OO247" s="16">
        <v>6.006943484402823E-4</v>
      </c>
      <c r="OP247" s="16">
        <v>1.0520970151868663E-5</v>
      </c>
      <c r="OQ247" s="16">
        <v>1.8341076037802355E-7</v>
      </c>
      <c r="OR247" s="16">
        <v>3.1823756376478101E-9</v>
      </c>
      <c r="OS247" s="16">
        <v>5.4957430082289743E-11</v>
      </c>
      <c r="OT247" s="16">
        <v>9.4458357267482301E-13</v>
      </c>
      <c r="OU247" s="16">
        <v>1.615786308913382E-14</v>
      </c>
      <c r="OV247" s="16">
        <v>2.7507270248009527E-16</v>
      </c>
      <c r="OW247" s="16">
        <v>4.6590681279584515E-18</v>
      </c>
      <c r="OX247" s="16">
        <v>8.1256903557115183E-20</v>
      </c>
      <c r="PA247" s="9">
        <f t="shared" si="307"/>
        <v>11</v>
      </c>
      <c r="PB247" s="16">
        <v>1.3551070015214393E-9</v>
      </c>
      <c r="PC247" s="16">
        <v>1.1815632704339175E-8</v>
      </c>
      <c r="PD247" s="16">
        <v>1.258840196766149E-7</v>
      </c>
      <c r="PE247" s="16">
        <v>1.3242229393227558E-6</v>
      </c>
      <c r="PF247" s="16">
        <v>1.3871088616988889E-5</v>
      </c>
      <c r="PG247" s="16">
        <v>1.446984367432589E-4</v>
      </c>
      <c r="PH247" s="16">
        <v>1.5032486188617132E-3</v>
      </c>
      <c r="PI247" s="16">
        <v>1.5553239779891202E-2</v>
      </c>
      <c r="PJ247" s="16">
        <v>0.16026670539656562</v>
      </c>
      <c r="PK247" s="16">
        <v>0.64477826482077727</v>
      </c>
      <c r="PL247" s="16">
        <v>0.1615579083007963</v>
      </c>
      <c r="PM247" s="16">
        <v>1.5788544067091435E-2</v>
      </c>
      <c r="PN247" s="16">
        <v>1.5351113724403848E-3</v>
      </c>
      <c r="PO247" s="16">
        <v>1.4849522731213641E-4</v>
      </c>
      <c r="PP247" s="16">
        <v>1.4290607347920617E-5</v>
      </c>
      <c r="PQ247" s="16">
        <v>1.3681860503575346E-6</v>
      </c>
      <c r="PR247" s="16">
        <v>1.3031263211112845E-7</v>
      </c>
      <c r="PS247" s="16">
        <v>1.2347100026002424E-8</v>
      </c>
      <c r="PT247" s="16">
        <v>1.1636889378705329E-9</v>
      </c>
      <c r="PU247" s="16">
        <v>1.0819124090108346E-10</v>
      </c>
      <c r="PV247" s="16">
        <v>1.2248720512874513E-11</v>
      </c>
    </row>
    <row r="248" spans="3:438" x14ac:dyDescent="0.25">
      <c r="C248" s="1"/>
      <c r="D248" s="1"/>
      <c r="I248" s="9">
        <f t="shared" si="290"/>
        <v>10</v>
      </c>
      <c r="J248" s="16">
        <v>5.3604436171439192E-19</v>
      </c>
      <c r="K248" s="16">
        <v>3.8097136526425351E-17</v>
      </c>
      <c r="L248" s="16">
        <v>2.7742043224072217E-15</v>
      </c>
      <c r="M248" s="16">
        <v>2.0130596725620534E-13</v>
      </c>
      <c r="N248" s="16">
        <v>1.4559043726183743E-11</v>
      </c>
      <c r="O248" s="16">
        <v>1.0494747013284226E-9</v>
      </c>
      <c r="P248" s="16">
        <v>7.5401315078703025E-8</v>
      </c>
      <c r="Q248" s="16">
        <v>5.3995623201413025E-6</v>
      </c>
      <c r="R248" s="16">
        <v>3.8540356012778545E-4</v>
      </c>
      <c r="S248" s="16">
        <v>2.7419227418656815E-2</v>
      </c>
      <c r="T248" s="16">
        <v>0.94438297291902507</v>
      </c>
      <c r="U248" s="16">
        <v>2.7416173139538293E-2</v>
      </c>
      <c r="V248" s="16">
        <v>3.8527479041949034E-4</v>
      </c>
      <c r="W248" s="16">
        <v>5.3959548755976253E-6</v>
      </c>
      <c r="X248" s="16">
        <v>7.5317376150199773E-8</v>
      </c>
      <c r="Y248" s="16">
        <v>1.047722753898665E-9</v>
      </c>
      <c r="Z248" s="16">
        <v>1.4525029484508787E-11</v>
      </c>
      <c r="AA248" s="16">
        <v>2.0067913584954937E-13</v>
      </c>
      <c r="AB248" s="16">
        <v>2.7631028376084267E-15</v>
      </c>
      <c r="AC248" s="16">
        <v>3.7906681940116402E-17</v>
      </c>
      <c r="AD248" s="16">
        <v>5.3275448045666348E-19</v>
      </c>
      <c r="AF248" s="19"/>
      <c r="AG248" s="9">
        <f t="shared" si="291"/>
        <v>10</v>
      </c>
      <c r="AH248" s="16">
        <v>5.2770853723996265E-11</v>
      </c>
      <c r="AI248" s="16">
        <v>4.698296685960585E-10</v>
      </c>
      <c r="AJ248" s="16">
        <v>5.1004021755836303E-9</v>
      </c>
      <c r="AK248" s="16">
        <v>5.4746086416288054E-8</v>
      </c>
      <c r="AL248" s="16">
        <v>5.8582394186072215E-7</v>
      </c>
      <c r="AM248" s="16">
        <v>6.2500565823641428E-6</v>
      </c>
      <c r="AN248" s="16">
        <v>6.6482722874246225E-5</v>
      </c>
      <c r="AO248" s="16">
        <v>7.050932517963307E-4</v>
      </c>
      <c r="AP248" s="16">
        <v>7.4559345662282544E-3</v>
      </c>
      <c r="AQ248" s="16">
        <v>7.8610437160960042E-2</v>
      </c>
      <c r="AR248" s="16">
        <v>0.82639128438989906</v>
      </c>
      <c r="AS248" s="16">
        <v>7.8550345645818073E-2</v>
      </c>
      <c r="AT248" s="16">
        <v>7.4389007966601667E-3</v>
      </c>
      <c r="AU248" s="16">
        <v>7.0188010124433854E-4</v>
      </c>
      <c r="AV248" s="16">
        <v>6.5979005679878822E-5</v>
      </c>
      <c r="AW248" s="16">
        <v>6.1792023690060881E-6</v>
      </c>
      <c r="AX248" s="16">
        <v>5.765513515182797E-7</v>
      </c>
      <c r="AY248" s="16">
        <v>5.3594137976474084E-8</v>
      </c>
      <c r="AZ248" s="16">
        <v>4.9628797241204213E-9</v>
      </c>
      <c r="BA248" s="16">
        <v>4.5410506523598117E-10</v>
      </c>
      <c r="BB248" s="16">
        <v>5.0542644998014149E-11</v>
      </c>
      <c r="BE248" s="9">
        <f t="shared" si="292"/>
        <v>10</v>
      </c>
      <c r="BF248" s="16">
        <v>5.2713952090910941E-11</v>
      </c>
      <c r="BG248" s="16">
        <v>4.6938405493270654E-10</v>
      </c>
      <c r="BH248" s="16">
        <v>5.0961063861184872E-9</v>
      </c>
      <c r="BI248" s="16">
        <v>5.4705886004630594E-8</v>
      </c>
      <c r="BJ248" s="16">
        <v>5.8545700194970131E-7</v>
      </c>
      <c r="BK248" s="16">
        <v>6.2468162169255694E-6</v>
      </c>
      <c r="BL248" s="16">
        <v>6.6455426939798578E-5</v>
      </c>
      <c r="BM248" s="16">
        <v>7.0487980614056115E-4</v>
      </c>
      <c r="BN248" s="16">
        <v>7.4544814231054515E-3</v>
      </c>
      <c r="BO248" s="16">
        <v>7.8603589786530217E-2</v>
      </c>
      <c r="BP248" s="16">
        <v>0.8264083554024696</v>
      </c>
      <c r="BQ248" s="16">
        <v>7.8543510212417234E-2</v>
      </c>
      <c r="BR248" s="16">
        <v>7.4374528617298392E-3</v>
      </c>
      <c r="BS248" s="16">
        <v>7.0166798298401027E-4</v>
      </c>
      <c r="BT248" s="16">
        <v>6.5951971975133808E-5</v>
      </c>
      <c r="BU248" s="16">
        <v>6.1760065084551397E-6</v>
      </c>
      <c r="BV248" s="16">
        <v>5.7619123322429258E-7</v>
      </c>
      <c r="BW248" s="16">
        <v>5.3554908937285323E-8</v>
      </c>
      <c r="BX248" s="16">
        <v>4.9587146845551061E-9</v>
      </c>
      <c r="BY248" s="16">
        <v>4.5367605412713424E-10</v>
      </c>
      <c r="BZ248" s="16">
        <v>5.0488393323795807E-11</v>
      </c>
      <c r="CC248" s="9">
        <f t="shared" si="293"/>
        <v>10</v>
      </c>
      <c r="CD248" s="16">
        <v>5.2713952090909694E-11</v>
      </c>
      <c r="CE248" s="16">
        <v>4.6938405493269661E-10</v>
      </c>
      <c r="CF248" s="16">
        <v>5.0961063861183962E-9</v>
      </c>
      <c r="CG248" s="16">
        <v>5.470588600462974E-8</v>
      </c>
      <c r="CH248" s="16">
        <v>5.8545700194969337E-7</v>
      </c>
      <c r="CI248" s="16">
        <v>6.2468162169255E-6</v>
      </c>
      <c r="CJ248" s="16">
        <v>6.6455426939798022E-5</v>
      </c>
      <c r="CK248" s="16">
        <v>7.048798061405567E-4</v>
      </c>
      <c r="CL248" s="16">
        <v>7.4544814231054203E-3</v>
      </c>
      <c r="CM248" s="16">
        <v>7.8603589786530093E-2</v>
      </c>
      <c r="CN248" s="16">
        <v>0.82640835540246993</v>
      </c>
      <c r="CO248" s="16">
        <v>7.8543510212417095E-2</v>
      </c>
      <c r="CP248" s="16">
        <v>7.4374528617298088E-3</v>
      </c>
      <c r="CQ248" s="16">
        <v>7.016679829840055E-4</v>
      </c>
      <c r="CR248" s="16">
        <v>6.5951971975133239E-5</v>
      </c>
      <c r="CS248" s="16">
        <v>6.1760065084550703E-6</v>
      </c>
      <c r="CT248" s="16">
        <v>5.7619123322428442E-7</v>
      </c>
      <c r="CU248" s="16">
        <v>5.3554908937284449E-8</v>
      </c>
      <c r="CV248" s="16">
        <v>4.9587146845550143E-9</v>
      </c>
      <c r="CW248" s="16">
        <v>4.5367605412712462E-10</v>
      </c>
      <c r="CX248" s="16">
        <v>5.0488393323794611E-11</v>
      </c>
      <c r="DA248" s="9">
        <f t="shared" si="294"/>
        <v>10</v>
      </c>
      <c r="DB248" s="16">
        <v>5.3876962539894105E-19</v>
      </c>
      <c r="DC248" s="16">
        <v>3.8270867138167488E-17</v>
      </c>
      <c r="DD248" s="16">
        <v>2.7854424758626416E-15</v>
      </c>
      <c r="DE248" s="16">
        <v>2.0201895046417228E-13</v>
      </c>
      <c r="DF248" s="16">
        <v>1.4603200102726474E-11</v>
      </c>
      <c r="DG248" s="16">
        <v>1.0521239242580811E-9</v>
      </c>
      <c r="DH248" s="16">
        <v>7.5553326655359191E-8</v>
      </c>
      <c r="DI248" s="16">
        <v>5.407704971624034E-6</v>
      </c>
      <c r="DJ248" s="16">
        <v>3.8578907685767126E-4</v>
      </c>
      <c r="DK248" s="16">
        <v>2.743274104763754E-2</v>
      </c>
      <c r="DL248" s="16">
        <v>0.94435516129104102</v>
      </c>
      <c r="DM248" s="16">
        <v>2.7429683712364476E-2</v>
      </c>
      <c r="DN248" s="16">
        <v>3.8566011294035365E-4</v>
      </c>
      <c r="DO248" s="16">
        <v>5.4040902542751875E-6</v>
      </c>
      <c r="DP248" s="16">
        <v>7.5469175848921763E-8</v>
      </c>
      <c r="DQ248" s="16">
        <v>1.0503666638848564E-9</v>
      </c>
      <c r="DR248" s="16">
        <v>1.4569065407909893E-11</v>
      </c>
      <c r="DS248" s="16">
        <v>2.0138958027767681E-13</v>
      </c>
      <c r="DT248" s="16">
        <v>2.7742903753658606E-15</v>
      </c>
      <c r="DU248" s="16">
        <v>3.807944722590265E-17</v>
      </c>
      <c r="DV248" s="16">
        <v>5.3546133753502042E-19</v>
      </c>
      <c r="DY248" s="9">
        <f t="shared" si="295"/>
        <v>10</v>
      </c>
      <c r="DZ248" s="16">
        <v>3.2883482320681182E-12</v>
      </c>
      <c r="EA248" s="16">
        <v>4.0842165973942035E-11</v>
      </c>
      <c r="EB248" s="16">
        <v>5.8570494270021617E-10</v>
      </c>
      <c r="EC248" s="16">
        <v>8.3237136799363607E-9</v>
      </c>
      <c r="ED248" s="16">
        <v>1.1778179271907577E-7</v>
      </c>
      <c r="EE248" s="16">
        <v>1.659519267062693E-6</v>
      </c>
      <c r="EF248" s="16">
        <v>2.3283007037160836E-5</v>
      </c>
      <c r="EG248" s="16">
        <v>3.2528036263851216E-4</v>
      </c>
      <c r="EH248" s="16">
        <v>4.5253056108691368E-3</v>
      </c>
      <c r="EI248" s="16">
        <v>6.2692916486238356E-2</v>
      </c>
      <c r="EJ248" s="16">
        <v>0.86492539668945456</v>
      </c>
      <c r="EK248" s="16">
        <v>6.2642956854891421E-2</v>
      </c>
      <c r="EL248" s="16">
        <v>4.514514632158205E-3</v>
      </c>
      <c r="EM248" s="16">
        <v>3.2373225621700266E-4</v>
      </c>
      <c r="EN248" s="16">
        <v>2.3098712791412453E-5</v>
      </c>
      <c r="EO248" s="16">
        <v>1.6398615919385407E-6</v>
      </c>
      <c r="EP248" s="16">
        <v>1.1583367842402751E-7</v>
      </c>
      <c r="EQ248" s="16">
        <v>8.1406902489927269E-9</v>
      </c>
      <c r="ER248" s="16">
        <v>5.6920186069898786E-10</v>
      </c>
      <c r="ES248" s="16">
        <v>3.941172182679136E-11</v>
      </c>
      <c r="ET248" s="16">
        <v>3.1444369712670152E-12</v>
      </c>
      <c r="EW248" s="9">
        <f t="shared" si="296"/>
        <v>10</v>
      </c>
      <c r="EX248" s="16">
        <v>3.2883482320682006E-12</v>
      </c>
      <c r="EY248" s="16">
        <v>4.0842165973942939E-11</v>
      </c>
      <c r="EZ248" s="16">
        <v>5.8570494270022765E-10</v>
      </c>
      <c r="FA248" s="16">
        <v>8.3237136799365013E-9</v>
      </c>
      <c r="FB248" s="16">
        <v>1.1778179271907751E-7</v>
      </c>
      <c r="FC248" s="16">
        <v>1.6595192670627131E-6</v>
      </c>
      <c r="FD248" s="16">
        <v>2.328300703716106E-5</v>
      </c>
      <c r="FE248" s="16">
        <v>3.2528036263851438E-4</v>
      </c>
      <c r="FF248" s="16">
        <v>4.5253056108691568E-3</v>
      </c>
      <c r="FG248" s="16">
        <v>6.2692916486238495E-2</v>
      </c>
      <c r="FH248" s="16">
        <v>0.86492539668945423</v>
      </c>
      <c r="FI248" s="16">
        <v>6.2642956854891574E-2</v>
      </c>
      <c r="FJ248" s="16">
        <v>4.5145146321582275E-3</v>
      </c>
      <c r="FK248" s="16">
        <v>3.2373225621700505E-4</v>
      </c>
      <c r="FL248" s="16">
        <v>2.3098712791412687E-5</v>
      </c>
      <c r="FM248" s="16">
        <v>1.6398615919385611E-6</v>
      </c>
      <c r="FN248" s="16">
        <v>1.1583367842402926E-7</v>
      </c>
      <c r="FO248" s="16">
        <v>8.1406902489928708E-9</v>
      </c>
      <c r="FP248" s="16">
        <v>5.6920186069899944E-10</v>
      </c>
      <c r="FQ248" s="16">
        <v>3.9411721826792272E-11</v>
      </c>
      <c r="FR248" s="16">
        <v>3.1444369712670952E-12</v>
      </c>
      <c r="FU248" s="9">
        <f t="shared" si="297"/>
        <v>10</v>
      </c>
      <c r="FV248" s="16">
        <v>3.2920635230782628E-12</v>
      </c>
      <c r="FW248" s="16">
        <v>4.0882997733487619E-11</v>
      </c>
      <c r="FX248" s="16">
        <v>5.8622478767273728E-10</v>
      </c>
      <c r="FY248" s="16">
        <v>8.3301592792483184E-9</v>
      </c>
      <c r="FZ248" s="16">
        <v>1.1785967285753903E-7</v>
      </c>
      <c r="GA248" s="16">
        <v>1.6604289156493553E-6</v>
      </c>
      <c r="GB248" s="16">
        <v>2.3293137790061891E-5</v>
      </c>
      <c r="GC248" s="16">
        <v>3.2538515016291848E-4</v>
      </c>
      <c r="GD248" s="16">
        <v>4.5262524622102793E-3</v>
      </c>
      <c r="GE248" s="16">
        <v>6.2698958966664137E-2</v>
      </c>
      <c r="GF248" s="16">
        <v>0.86491120106643993</v>
      </c>
      <c r="GG248" s="16">
        <v>6.2648988769385711E-2</v>
      </c>
      <c r="GH248" s="16">
        <v>4.5154579886625152E-3</v>
      </c>
      <c r="GI248" s="16">
        <v>3.2383636806347166E-4</v>
      </c>
      <c r="GJ248" s="16">
        <v>2.3108742341954231E-5</v>
      </c>
      <c r="GK248" s="16">
        <v>1.6407582297459625E-6</v>
      </c>
      <c r="GL248" s="16">
        <v>1.1591004948198989E-7</v>
      </c>
      <c r="GM248" s="16">
        <v>8.1469734273182567E-9</v>
      </c>
      <c r="GN248" s="16">
        <v>5.6970519879090298E-10</v>
      </c>
      <c r="GO248" s="16">
        <v>3.9450963533948217E-11</v>
      </c>
      <c r="GP248" s="16">
        <v>3.1479731958006332E-12</v>
      </c>
      <c r="GS248" s="9">
        <f t="shared" si="298"/>
        <v>10</v>
      </c>
      <c r="GT248" s="16">
        <v>4.6328335984977137E-18</v>
      </c>
      <c r="GU248" s="16">
        <v>2.6518097521461466E-16</v>
      </c>
      <c r="GV248" s="16">
        <v>1.5633483249805111E-14</v>
      </c>
      <c r="GW248" s="16">
        <v>9.171491759337291E-13</v>
      </c>
      <c r="GX248" s="16">
        <v>5.355838412673497E-11</v>
      </c>
      <c r="GY248" s="16">
        <v>3.1133484938135862E-9</v>
      </c>
      <c r="GZ248" s="16">
        <v>1.8015662103184602E-7</v>
      </c>
      <c r="HA248" s="16">
        <v>1.0377775890784998E-5</v>
      </c>
      <c r="HB248" s="16">
        <v>5.9511264496058935E-4</v>
      </c>
      <c r="HC248" s="16">
        <v>3.3973795827374559E-2</v>
      </c>
      <c r="HD248" s="16">
        <v>0.93084792681068307</v>
      </c>
      <c r="HE248" s="16">
        <v>3.3967284919044889E-2</v>
      </c>
      <c r="HF248" s="16">
        <v>5.9477059450359436E-4</v>
      </c>
      <c r="HG248" s="16">
        <v>1.036585035062485E-5</v>
      </c>
      <c r="HH248" s="16">
        <v>1.7981172128736669E-7</v>
      </c>
      <c r="HI248" s="16">
        <v>3.10441246270942E-9</v>
      </c>
      <c r="HJ248" s="16">
        <v>5.3343295978553846E-11</v>
      </c>
      <c r="HK248" s="16">
        <v>9.1224154841473223E-13</v>
      </c>
      <c r="HL248" s="16">
        <v>1.5526011246371674E-14</v>
      </c>
      <c r="HM248" s="16">
        <v>2.6290449743971399E-16</v>
      </c>
      <c r="HN248" s="16">
        <v>4.5839709380587156E-18</v>
      </c>
      <c r="HQ248" s="9">
        <f t="shared" si="299"/>
        <v>10</v>
      </c>
      <c r="HR248" s="16">
        <v>1.3257139364951355E-10</v>
      </c>
      <c r="HS248" s="16">
        <v>1.1558608454077259E-9</v>
      </c>
      <c r="HT248" s="16">
        <v>1.2313928060329887E-8</v>
      </c>
      <c r="HU248" s="16">
        <v>1.2952815728649551E-7</v>
      </c>
      <c r="HV248" s="16">
        <v>1.3567214835049191E-6</v>
      </c>
      <c r="HW248" s="16">
        <v>1.4152106326398298E-5</v>
      </c>
      <c r="HX248" s="16">
        <v>1.4701618790167426E-4</v>
      </c>
      <c r="HY248" s="16">
        <v>1.521010892218848E-3</v>
      </c>
      <c r="HZ248" s="16">
        <v>1.5672269500031154E-2</v>
      </c>
      <c r="IA248" s="16">
        <v>0.1608322279109454</v>
      </c>
      <c r="IB248" s="16">
        <v>0.64386076574688189</v>
      </c>
      <c r="IC248" s="16">
        <v>0.16065776320997993</v>
      </c>
      <c r="ID248" s="16">
        <v>1.5621485607935328E-2</v>
      </c>
      <c r="IE248" s="16">
        <v>1.511185362910992E-3</v>
      </c>
      <c r="IF248" s="16">
        <v>1.4543827535860941E-4</v>
      </c>
      <c r="IG248" s="16">
        <v>1.3925024288610324E-5</v>
      </c>
      <c r="IH248" s="16">
        <v>1.3263559240189012E-6</v>
      </c>
      <c r="II248" s="16">
        <v>1.2567858420316268E-7</v>
      </c>
      <c r="IJ248" s="16">
        <v>1.1845569580439705E-8</v>
      </c>
      <c r="IK248" s="16">
        <v>1.1013706275513276E-9</v>
      </c>
      <c r="IL248" s="16">
        <v>1.2469798055488112E-10</v>
      </c>
      <c r="IO248" s="9">
        <f t="shared" si="300"/>
        <v>10</v>
      </c>
      <c r="IP248" s="16">
        <v>4.644973234593031E-18</v>
      </c>
      <c r="IQ248" s="16">
        <v>2.6580385618977668E-16</v>
      </c>
      <c r="IR248" s="16">
        <v>1.5666104641876547E-14</v>
      </c>
      <c r="IS248" s="16">
        <v>9.188223567795041E-13</v>
      </c>
      <c r="IT248" s="16">
        <v>5.3642048391256715E-11</v>
      </c>
      <c r="IU248" s="16">
        <v>3.1173958232683643E-9</v>
      </c>
      <c r="IV248" s="16">
        <v>1.8034361734109755E-7</v>
      </c>
      <c r="IW248" s="16">
        <v>1.038582937385567E-5</v>
      </c>
      <c r="IX248" s="16">
        <v>5.9541864699567807E-4</v>
      </c>
      <c r="IY248" s="16">
        <v>3.3982372357939411E-2</v>
      </c>
      <c r="IZ248" s="16">
        <v>0.93083014888465243</v>
      </c>
      <c r="JA248" s="16">
        <v>3.39758581001239E-2</v>
      </c>
      <c r="JB248" s="16">
        <v>5.9507633105535288E-4</v>
      </c>
      <c r="JC248" s="16">
        <v>1.0373891455479654E-5</v>
      </c>
      <c r="JD248" s="16">
        <v>1.7999826928080817E-7</v>
      </c>
      <c r="JE248" s="16">
        <v>3.1084458358425721E-9</v>
      </c>
      <c r="JF248" s="16">
        <v>5.3426567957961233E-11</v>
      </c>
      <c r="JG248" s="16">
        <v>9.1390449226478625E-13</v>
      </c>
      <c r="JH248" s="16">
        <v>1.5558380282664637E-14</v>
      </c>
      <c r="JI248" s="16">
        <v>2.6352143649319559E-16</v>
      </c>
      <c r="JJ248" s="16">
        <v>4.5959697008643993E-18</v>
      </c>
      <c r="JM248" s="9">
        <f t="shared" si="301"/>
        <v>10</v>
      </c>
      <c r="JN248" s="16">
        <v>1.3255143552564053E-10</v>
      </c>
      <c r="JO248" s="16">
        <v>1.1557078665648066E-9</v>
      </c>
      <c r="JP248" s="16">
        <v>1.231248103990055E-8</v>
      </c>
      <c r="JQ248" s="16">
        <v>1.2951488997728123E-7</v>
      </c>
      <c r="JR248" s="16">
        <v>1.3566029763333596E-6</v>
      </c>
      <c r="JS248" s="16">
        <v>1.4151083464506667E-5</v>
      </c>
      <c r="JT248" s="16">
        <v>1.4700777675466674E-4</v>
      </c>
      <c r="JU248" s="16">
        <v>1.5209467717883854E-3</v>
      </c>
      <c r="JV248" s="16">
        <v>1.5671844648075507E-2</v>
      </c>
      <c r="JW248" s="16">
        <v>0.16083028689683593</v>
      </c>
      <c r="JX248" s="16">
        <v>0.64386563715003731</v>
      </c>
      <c r="JY248" s="16">
        <v>0.1606558270226349</v>
      </c>
      <c r="JZ248" s="16">
        <v>1.5621062918999009E-2</v>
      </c>
      <c r="KA248" s="16">
        <v>1.5111218081059826E-3</v>
      </c>
      <c r="KB248" s="16">
        <v>1.4542997870546897E-4</v>
      </c>
      <c r="KC248" s="16">
        <v>1.3924021310767767E-5</v>
      </c>
      <c r="KD248" s="16">
        <v>1.3262405314930363E-6</v>
      </c>
      <c r="KE248" s="16">
        <v>1.2566576953920981E-7</v>
      </c>
      <c r="KF248" s="16">
        <v>1.184418465859894E-8</v>
      </c>
      <c r="KG248" s="16">
        <v>1.1012256723140968E-9</v>
      </c>
      <c r="KH248" s="16">
        <v>1.2467932881728986E-10</v>
      </c>
      <c r="KK248" s="9">
        <f t="shared" si="302"/>
        <v>10</v>
      </c>
      <c r="KL248" s="16">
        <v>8.1059791811820447E-19</v>
      </c>
      <c r="KM248" s="16">
        <v>5.5541268994289606E-17</v>
      </c>
      <c r="KN248" s="16">
        <v>3.897907607205969E-15</v>
      </c>
      <c r="KO248" s="16">
        <v>2.7223726633766007E-13</v>
      </c>
      <c r="KP248" s="16">
        <v>1.8926060947158462E-11</v>
      </c>
      <c r="KQ248" s="16">
        <v>1.3097217076036806E-9</v>
      </c>
      <c r="KR248" s="16">
        <v>9.0222194104939019E-8</v>
      </c>
      <c r="KS248" s="16">
        <v>6.1868937536832122E-6</v>
      </c>
      <c r="KT248" s="16">
        <v>4.2234378489883922E-4</v>
      </c>
      <c r="KU248" s="16">
        <v>2.8701388422664873E-2</v>
      </c>
      <c r="KV248" s="16">
        <v>0.94174480921588088</v>
      </c>
      <c r="KW248" s="16">
        <v>2.8696768347978192E-2</v>
      </c>
      <c r="KX248" s="16">
        <v>4.2213987784260604E-4</v>
      </c>
      <c r="KY248" s="16">
        <v>6.1809213633996133E-6</v>
      </c>
      <c r="KZ248" s="16">
        <v>9.0077087098836653E-8</v>
      </c>
      <c r="LA248" s="16">
        <v>1.306563328655042E-9</v>
      </c>
      <c r="LB248" s="16">
        <v>1.8862196474530706E-11</v>
      </c>
      <c r="LC248" s="16">
        <v>2.7101310901411388E-13</v>
      </c>
      <c r="LD248" s="16">
        <v>3.8753868248088107E-15</v>
      </c>
      <c r="LE248" s="16">
        <v>5.5140471552981477E-17</v>
      </c>
      <c r="LF248" s="16">
        <v>8.034173374843687E-19</v>
      </c>
      <c r="LI248" s="9">
        <f t="shared" si="303"/>
        <v>10</v>
      </c>
      <c r="LJ248" s="16">
        <v>1.3254644639803611E-10</v>
      </c>
      <c r="LK248" s="16">
        <v>1.1556696245015297E-9</v>
      </c>
      <c r="LL248" s="16">
        <v>1.2312119306481924E-8</v>
      </c>
      <c r="LM248" s="16">
        <v>1.2951157331744443E-7</v>
      </c>
      <c r="LN248" s="16">
        <v>1.3565733507555885E-6</v>
      </c>
      <c r="LO248" s="16">
        <v>1.4150827757094786E-5</v>
      </c>
      <c r="LP248" s="16">
        <v>1.470056740141807E-4</v>
      </c>
      <c r="LQ248" s="16">
        <v>1.5209307418797408E-3</v>
      </c>
      <c r="LR248" s="16">
        <v>1.5671738435366095E-2</v>
      </c>
      <c r="LS248" s="16">
        <v>0.16082980163939101</v>
      </c>
      <c r="LT248" s="16">
        <v>0.6438668550076081</v>
      </c>
      <c r="LU248" s="16">
        <v>0.16065534297187695</v>
      </c>
      <c r="LV248" s="16">
        <v>1.5620957247037454E-2</v>
      </c>
      <c r="LW248" s="16">
        <v>1.5111059196005402E-3</v>
      </c>
      <c r="LX248" s="16">
        <v>1.4542790458753975E-4</v>
      </c>
      <c r="LY248" s="16">
        <v>1.3923770574163279E-5</v>
      </c>
      <c r="LZ248" s="16">
        <v>1.3262116845372681E-6</v>
      </c>
      <c r="MA248" s="16">
        <v>1.2566256603389476E-7</v>
      </c>
      <c r="MB248" s="16">
        <v>1.1843838448749585E-8</v>
      </c>
      <c r="MC248" s="16">
        <v>1.1011894359946471E-9</v>
      </c>
      <c r="MD248" s="16">
        <v>1.2467466625670272E-10</v>
      </c>
      <c r="MG248" s="9">
        <f t="shared" si="304"/>
        <v>10</v>
      </c>
      <c r="MH248" s="16">
        <v>2.0209265681365787E-18</v>
      </c>
      <c r="MI248" s="16">
        <v>1.2603067702039478E-16</v>
      </c>
      <c r="MJ248" s="16">
        <v>8.072677665367597E-15</v>
      </c>
      <c r="MK248" s="16">
        <v>5.1457091168374704E-13</v>
      </c>
      <c r="ML248" s="16">
        <v>3.2649220019074191E-11</v>
      </c>
      <c r="MM248" s="16">
        <v>2.0621006677870363E-9</v>
      </c>
      <c r="MN248" s="16">
        <v>1.2964800094176781E-7</v>
      </c>
      <c r="MO248" s="16">
        <v>8.114281004612341E-6</v>
      </c>
      <c r="MP248" s="16">
        <v>5.0555892423421317E-4</v>
      </c>
      <c r="MQ248" s="16">
        <v>3.1357411857499462E-2</v>
      </c>
      <c r="MR248" s="16">
        <v>0.93626337393080494</v>
      </c>
      <c r="MS248" s="16">
        <v>3.1351881122647529E-2</v>
      </c>
      <c r="MT248" s="16">
        <v>5.0529148728535426E-4</v>
      </c>
      <c r="MU248" s="16">
        <v>8.1056988599841205E-6</v>
      </c>
      <c r="MV248" s="16">
        <v>1.2941954850201457E-7</v>
      </c>
      <c r="MW248" s="16">
        <v>2.0566527309285234E-9</v>
      </c>
      <c r="MX248" s="16">
        <v>3.2528525391226281E-11</v>
      </c>
      <c r="MY248" s="16">
        <v>5.1203620994786866E-13</v>
      </c>
      <c r="MZ248" s="16">
        <v>8.0215878577790314E-15</v>
      </c>
      <c r="NA248" s="16">
        <v>1.2503455526991953E-16</v>
      </c>
      <c r="NB248" s="16">
        <v>2.0013103837552826E-18</v>
      </c>
      <c r="NE248" s="9">
        <f t="shared" si="305"/>
        <v>10</v>
      </c>
      <c r="NF248" s="16">
        <v>1.3254644639803611E-10</v>
      </c>
      <c r="NG248" s="16">
        <v>1.1556696245015297E-9</v>
      </c>
      <c r="NH248" s="16">
        <v>1.2312119306481924E-8</v>
      </c>
      <c r="NI248" s="16">
        <v>1.2951157331744443E-7</v>
      </c>
      <c r="NJ248" s="16">
        <v>1.3565733507555885E-6</v>
      </c>
      <c r="NK248" s="16">
        <v>1.4150827757094786E-5</v>
      </c>
      <c r="NL248" s="16">
        <v>1.470056740141807E-4</v>
      </c>
      <c r="NM248" s="16">
        <v>1.5209307418797408E-3</v>
      </c>
      <c r="NN248" s="16">
        <v>1.5671738435366095E-2</v>
      </c>
      <c r="NO248" s="16">
        <v>0.16082980163939101</v>
      </c>
      <c r="NP248" s="16">
        <v>0.6438668550076081</v>
      </c>
      <c r="NQ248" s="16">
        <v>0.16065534297187695</v>
      </c>
      <c r="NR248" s="16">
        <v>1.5620957247037454E-2</v>
      </c>
      <c r="NS248" s="16">
        <v>1.5111059196005402E-3</v>
      </c>
      <c r="NT248" s="16">
        <v>1.4542790458753975E-4</v>
      </c>
      <c r="NU248" s="16">
        <v>1.3923770574163279E-5</v>
      </c>
      <c r="NV248" s="16">
        <v>1.3262116845372681E-6</v>
      </c>
      <c r="NW248" s="16">
        <v>1.2566256603389476E-7</v>
      </c>
      <c r="NX248" s="16">
        <v>1.1843838448749585E-8</v>
      </c>
      <c r="NY248" s="16">
        <v>1.1011894359946471E-9</v>
      </c>
      <c r="NZ248" s="16">
        <v>1.2467466625670272E-10</v>
      </c>
      <c r="OC248" s="9">
        <f t="shared" si="306"/>
        <v>10</v>
      </c>
      <c r="OD248" s="16">
        <v>4.6449732345929941E-18</v>
      </c>
      <c r="OE248" s="16">
        <v>2.6580385618977471E-16</v>
      </c>
      <c r="OF248" s="16">
        <v>1.5666104641876449E-14</v>
      </c>
      <c r="OG248" s="16">
        <v>9.1882235677949926E-13</v>
      </c>
      <c r="OH248" s="16">
        <v>5.3642048391256457E-11</v>
      </c>
      <c r="OI248" s="16">
        <v>3.1173958232683519E-9</v>
      </c>
      <c r="OJ248" s="16">
        <v>1.8034361734109702E-7</v>
      </c>
      <c r="OK248" s="16">
        <v>1.0385829373855648E-5</v>
      </c>
      <c r="OL248" s="16">
        <v>5.9541864699567731E-4</v>
      </c>
      <c r="OM248" s="16">
        <v>3.3982372357939383E-2</v>
      </c>
      <c r="ON248" s="16">
        <v>0.93083014888465243</v>
      </c>
      <c r="OO248" s="16">
        <v>3.3975858100123872E-2</v>
      </c>
      <c r="OP248" s="16">
        <v>5.9507633105535212E-4</v>
      </c>
      <c r="OQ248" s="16">
        <v>1.0373891455479634E-5</v>
      </c>
      <c r="OR248" s="16">
        <v>1.7999826928080767E-7</v>
      </c>
      <c r="OS248" s="16">
        <v>3.1084458358425601E-9</v>
      </c>
      <c r="OT248" s="16">
        <v>5.3426567957960975E-11</v>
      </c>
      <c r="OU248" s="16">
        <v>9.13904492264781E-13</v>
      </c>
      <c r="OV248" s="16">
        <v>1.5558380282664539E-14</v>
      </c>
      <c r="OW248" s="16">
        <v>2.6352143649319362E-16</v>
      </c>
      <c r="OX248" s="16">
        <v>4.5959697008643616E-18</v>
      </c>
      <c r="PA248" s="9">
        <f t="shared" si="307"/>
        <v>10</v>
      </c>
      <c r="PB248" s="16">
        <v>1.3250155150924395E-10</v>
      </c>
      <c r="PC248" s="16">
        <v>1.1553254935813531E-9</v>
      </c>
      <c r="PD248" s="16">
        <v>1.2308864096078372E-8</v>
      </c>
      <c r="PE248" s="16">
        <v>1.2948172639311724E-7</v>
      </c>
      <c r="PF248" s="16">
        <v>1.3563067424267618E-6</v>
      </c>
      <c r="PG248" s="16">
        <v>1.414852653548234E-5</v>
      </c>
      <c r="PH248" s="16">
        <v>1.4698675018258607E-4</v>
      </c>
      <c r="PI248" s="16">
        <v>1.5207864762834897E-3</v>
      </c>
      <c r="PJ248" s="16">
        <v>1.5670782526012866E-2</v>
      </c>
      <c r="PK248" s="16">
        <v>0.1608254342518701</v>
      </c>
      <c r="PL248" s="16">
        <v>0.643877815847826</v>
      </c>
      <c r="PM248" s="16">
        <v>0.16065098644446546</v>
      </c>
      <c r="PN248" s="16">
        <v>1.5620006204289412E-2</v>
      </c>
      <c r="PO248" s="16">
        <v>1.5109629265762042E-3</v>
      </c>
      <c r="PP248" s="16">
        <v>1.4540923834257668E-4</v>
      </c>
      <c r="PQ248" s="16">
        <v>1.3921514086129831E-5</v>
      </c>
      <c r="PR248" s="16">
        <v>1.3259520830969266E-6</v>
      </c>
      <c r="PS248" s="16">
        <v>1.2563373737798916E-7</v>
      </c>
      <c r="PT248" s="16">
        <v>1.1840722931069659E-8</v>
      </c>
      <c r="PU248" s="16">
        <v>1.1008633539325319E-9</v>
      </c>
      <c r="PV248" s="16">
        <v>1.2463270993918515E-10</v>
      </c>
    </row>
    <row r="249" spans="3:438" x14ac:dyDescent="0.25">
      <c r="C249" s="1"/>
      <c r="D249" s="1"/>
      <c r="I249" s="9">
        <f t="shared" si="290"/>
        <v>9</v>
      </c>
      <c r="J249" s="16">
        <v>7.5832975471143469E-21</v>
      </c>
      <c r="K249" s="16">
        <v>5.3895151708889847E-19</v>
      </c>
      <c r="L249" s="16">
        <v>3.9246036962354409E-17</v>
      </c>
      <c r="M249" s="16">
        <v>2.8478296886309311E-15</v>
      </c>
      <c r="N249" s="16">
        <v>2.0596347702268071E-13</v>
      </c>
      <c r="O249" s="16">
        <v>1.4846679671975956E-11</v>
      </c>
      <c r="P249" s="16">
        <v>1.0666852382455961E-9</v>
      </c>
      <c r="Q249" s="16">
        <v>7.6386378856523E-8</v>
      </c>
      <c r="R249" s="16">
        <v>5.4522164225717004E-6</v>
      </c>
      <c r="S249" s="16">
        <v>3.8789356791790345E-4</v>
      </c>
      <c r="T249" s="16">
        <v>2.7506743251678661E-2</v>
      </c>
      <c r="U249" s="16">
        <v>0.94427464865007371</v>
      </c>
      <c r="V249" s="16">
        <v>2.7322558986042373E-2</v>
      </c>
      <c r="W249" s="16">
        <v>3.8266530549277476E-4</v>
      </c>
      <c r="X249" s="16">
        <v>5.3412875789177776E-6</v>
      </c>
      <c r="Y249" s="16">
        <v>7.4301427075584931E-8</v>
      </c>
      <c r="Z249" s="16">
        <v>1.0300725215693204E-9</v>
      </c>
      <c r="AA249" s="16">
        <v>1.42315761707308E-11</v>
      </c>
      <c r="AB249" s="16">
        <v>1.9595115523353523E-13</v>
      </c>
      <c r="AC249" s="16">
        <v>2.6882307875537109E-15</v>
      </c>
      <c r="AD249" s="16">
        <v>3.7781386374921182E-17</v>
      </c>
      <c r="AF249" s="19"/>
      <c r="AG249" s="9">
        <f t="shared" si="291"/>
        <v>9</v>
      </c>
      <c r="AH249" s="16">
        <v>5.032558501398939E-12</v>
      </c>
      <c r="AI249" s="16">
        <v>4.4805894277722601E-11</v>
      </c>
      <c r="AJ249" s="16">
        <v>4.8640623597899282E-10</v>
      </c>
      <c r="AK249" s="16">
        <v>5.2209290388517748E-9</v>
      </c>
      <c r="AL249" s="16">
        <v>5.5867833299683675E-8</v>
      </c>
      <c r="AM249" s="16">
        <v>5.9604446712784982E-7</v>
      </c>
      <c r="AN249" s="16">
        <v>6.3402080615723717E-6</v>
      </c>
      <c r="AO249" s="16">
        <v>6.7242100292061173E-5</v>
      </c>
      <c r="AP249" s="16">
        <v>7.1104453006193833E-4</v>
      </c>
      <c r="AQ249" s="16">
        <v>7.496782710816401E-3</v>
      </c>
      <c r="AR249" s="16">
        <v>7.8809838959403314E-2</v>
      </c>
      <c r="AS249" s="16">
        <v>0.82607240072181665</v>
      </c>
      <c r="AT249" s="16">
        <v>7.823098153554281E-2</v>
      </c>
      <c r="AU249" s="16">
        <v>7.3813014505131024E-3</v>
      </c>
      <c r="AV249" s="16">
        <v>6.9386627354856944E-4</v>
      </c>
      <c r="AW249" s="16">
        <v>6.4983400054364403E-5</v>
      </c>
      <c r="AX249" s="16">
        <v>6.063285338496402E-6</v>
      </c>
      <c r="AY249" s="16">
        <v>5.6362117644226125E-7</v>
      </c>
      <c r="AZ249" s="16">
        <v>5.2191978717487002E-8</v>
      </c>
      <c r="BA249" s="16">
        <v>4.7755825685459007E-9</v>
      </c>
      <c r="BB249" s="16">
        <v>5.3153024024360723E-10</v>
      </c>
      <c r="BE249" s="9">
        <f t="shared" si="292"/>
        <v>9</v>
      </c>
      <c r="BF249" s="16">
        <v>5.0265907102671514E-12</v>
      </c>
      <c r="BG249" s="16">
        <v>4.4758577880922765E-11</v>
      </c>
      <c r="BH249" s="16">
        <v>4.859442330337639E-10</v>
      </c>
      <c r="BI249" s="16">
        <v>5.2165335263341657E-9</v>
      </c>
      <c r="BJ249" s="16">
        <v>5.5826827823228974E-8</v>
      </c>
      <c r="BK249" s="16">
        <v>5.9567129989781865E-7</v>
      </c>
      <c r="BL249" s="16">
        <v>6.3369225499604615E-6</v>
      </c>
      <c r="BM249" s="16">
        <v>6.7214506688675525E-5</v>
      </c>
      <c r="BN249" s="16">
        <v>7.1082940255776583E-4</v>
      </c>
      <c r="BO249" s="16">
        <v>7.4953225577398556E-3</v>
      </c>
      <c r="BP249" s="16">
        <v>7.8802980944952764E-2</v>
      </c>
      <c r="BQ249" s="16">
        <v>0.82608950137520532</v>
      </c>
      <c r="BR249" s="16">
        <v>7.8224180577514721E-2</v>
      </c>
      <c r="BS249" s="16">
        <v>7.3798656646054707E-3</v>
      </c>
      <c r="BT249" s="16">
        <v>6.936566941852379E-4</v>
      </c>
      <c r="BU249" s="16">
        <v>6.4956787941636274E-5</v>
      </c>
      <c r="BV249" s="16">
        <v>6.0601509566320632E-6</v>
      </c>
      <c r="BW249" s="16">
        <v>5.632693000420844E-7</v>
      </c>
      <c r="BX249" s="16">
        <v>5.2153795140396342E-8</v>
      </c>
      <c r="BY249" s="16">
        <v>4.7715848747552555E-9</v>
      </c>
      <c r="BZ249" s="16">
        <v>5.3101690455764693E-10</v>
      </c>
      <c r="CC249" s="9">
        <f t="shared" si="293"/>
        <v>9</v>
      </c>
      <c r="CD249" s="16">
        <v>5.0265907102670222E-12</v>
      </c>
      <c r="CE249" s="16">
        <v>4.4758577880921731E-11</v>
      </c>
      <c r="CF249" s="16">
        <v>4.8594423303375418E-10</v>
      </c>
      <c r="CG249" s="16">
        <v>5.2165335263340722E-9</v>
      </c>
      <c r="CH249" s="16">
        <v>5.5826827823228094E-8</v>
      </c>
      <c r="CI249" s="16">
        <v>5.9567129989781081E-7</v>
      </c>
      <c r="CJ249" s="16">
        <v>6.3369225499603937E-6</v>
      </c>
      <c r="CK249" s="16">
        <v>6.7214506688674982E-5</v>
      </c>
      <c r="CL249" s="16">
        <v>7.1082940255776149E-4</v>
      </c>
      <c r="CM249" s="16">
        <v>7.4953225577398253E-3</v>
      </c>
      <c r="CN249" s="16">
        <v>7.8802980944952625E-2</v>
      </c>
      <c r="CO249" s="16">
        <v>0.82608950137520598</v>
      </c>
      <c r="CP249" s="16">
        <v>7.8224180577514596E-2</v>
      </c>
      <c r="CQ249" s="16">
        <v>7.3798656646054395E-3</v>
      </c>
      <c r="CR249" s="16">
        <v>6.9365669418523356E-4</v>
      </c>
      <c r="CS249" s="16">
        <v>6.4956787941635705E-5</v>
      </c>
      <c r="CT249" s="16">
        <v>6.0601509566319929E-6</v>
      </c>
      <c r="CU249" s="16">
        <v>5.6326930004207667E-7</v>
      </c>
      <c r="CV249" s="16">
        <v>5.2153795140395502E-8</v>
      </c>
      <c r="CW249" s="16">
        <v>4.7715848747551662E-9</v>
      </c>
      <c r="CX249" s="16">
        <v>5.3101690455763555E-10</v>
      </c>
      <c r="DA249" s="9">
        <f t="shared" si="294"/>
        <v>9</v>
      </c>
      <c r="DB249" s="16">
        <v>7.6257163226993998E-21</v>
      </c>
      <c r="DC249" s="16">
        <v>5.4168379667521902E-19</v>
      </c>
      <c r="DD249" s="16">
        <v>3.9425003104801463E-17</v>
      </c>
      <c r="DE249" s="16">
        <v>2.8593653677274801E-15</v>
      </c>
      <c r="DF249" s="16">
        <v>2.0669290943146337E-13</v>
      </c>
      <c r="DG249" s="16">
        <v>1.4891705479455123E-11</v>
      </c>
      <c r="DH249" s="16">
        <v>1.0693777250033232E-9</v>
      </c>
      <c r="DI249" s="16">
        <v>7.654036554106217E-8</v>
      </c>
      <c r="DJ249" s="16">
        <v>5.4604378603086308E-6</v>
      </c>
      <c r="DK249" s="16">
        <v>3.8828154246530497E-4</v>
      </c>
      <c r="DL249" s="16">
        <v>2.7520298457068614E-2</v>
      </c>
      <c r="DM249" s="16">
        <v>0.94424678357027181</v>
      </c>
      <c r="DN249" s="16">
        <v>2.7336021880472315E-2</v>
      </c>
      <c r="DO249" s="16">
        <v>3.8304798572146118E-4</v>
      </c>
      <c r="DP249" s="16">
        <v>5.3493399319374434E-6</v>
      </c>
      <c r="DQ249" s="16">
        <v>7.4451168640600069E-8</v>
      </c>
      <c r="DR249" s="16">
        <v>1.0326717163780229E-9</v>
      </c>
      <c r="DS249" s="16">
        <v>1.4274719599589869E-11</v>
      </c>
      <c r="DT249" s="16">
        <v>1.9664481718262127E-13</v>
      </c>
      <c r="DU249" s="16">
        <v>2.6991139805130896E-15</v>
      </c>
      <c r="DV249" s="16">
        <v>3.7954100898342356E-17</v>
      </c>
      <c r="DY249" s="9">
        <f t="shared" si="295"/>
        <v>9</v>
      </c>
      <c r="DZ249" s="16">
        <v>2.3924611327396731E-13</v>
      </c>
      <c r="EA249" s="16">
        <v>2.971500819671551E-12</v>
      </c>
      <c r="EB249" s="16">
        <v>4.2613379477224323E-11</v>
      </c>
      <c r="EC249" s="16">
        <v>6.0559770601840365E-10</v>
      </c>
      <c r="ED249" s="16">
        <v>8.5692980590308754E-9</v>
      </c>
      <c r="EE249" s="16">
        <v>1.2073950400876757E-7</v>
      </c>
      <c r="EF249" s="16">
        <v>1.6939717286170224E-6</v>
      </c>
      <c r="EG249" s="16">
        <v>2.3666004021923965E-5</v>
      </c>
      <c r="EH249" s="16">
        <v>3.2924182670775296E-4</v>
      </c>
      <c r="EI249" s="16">
        <v>4.5612677066469674E-3</v>
      </c>
      <c r="EJ249" s="16">
        <v>6.2928262101898266E-2</v>
      </c>
      <c r="EK249" s="16">
        <v>0.86457876412816292</v>
      </c>
      <c r="EL249" s="16">
        <v>6.2307938150992219E-2</v>
      </c>
      <c r="EM249" s="16">
        <v>4.4680527235786581E-3</v>
      </c>
      <c r="EN249" s="16">
        <v>3.1880130761406385E-4</v>
      </c>
      <c r="EO249" s="16">
        <v>2.2632863767648904E-5</v>
      </c>
      <c r="EP249" s="16">
        <v>1.5987006930124634E-6</v>
      </c>
      <c r="EQ249" s="16">
        <v>1.1235529527969182E-7</v>
      </c>
      <c r="ER249" s="16">
        <v>7.8559484732265635E-9</v>
      </c>
      <c r="ES249" s="16">
        <v>5.4394842548862767E-10</v>
      </c>
      <c r="ET249" s="16">
        <v>4.3398548966876544E-11</v>
      </c>
      <c r="EW249" s="9">
        <f t="shared" si="296"/>
        <v>9</v>
      </c>
      <c r="EX249" s="16">
        <v>2.3924611327397397E-13</v>
      </c>
      <c r="EY249" s="16">
        <v>2.9715008196716249E-12</v>
      </c>
      <c r="EZ249" s="16">
        <v>4.2613379477225279E-11</v>
      </c>
      <c r="FA249" s="16">
        <v>6.0559770601841554E-10</v>
      </c>
      <c r="FB249" s="16">
        <v>8.5692980590310243E-9</v>
      </c>
      <c r="FC249" s="16">
        <v>1.2073950400876934E-7</v>
      </c>
      <c r="FD249" s="16">
        <v>1.6939717286170431E-6</v>
      </c>
      <c r="FE249" s="16">
        <v>2.3666004021924192E-5</v>
      </c>
      <c r="FF249" s="16">
        <v>3.2924182670775534E-4</v>
      </c>
      <c r="FG249" s="16">
        <v>4.5612677066469891E-3</v>
      </c>
      <c r="FH249" s="16">
        <v>6.2928262101898405E-2</v>
      </c>
      <c r="FI249" s="16">
        <v>0.86457876412816304</v>
      </c>
      <c r="FJ249" s="16">
        <v>6.2307938150992385E-2</v>
      </c>
      <c r="FK249" s="16">
        <v>4.4680527235786797E-3</v>
      </c>
      <c r="FL249" s="16">
        <v>3.1880130761406629E-4</v>
      </c>
      <c r="FM249" s="16">
        <v>2.2632863767649128E-5</v>
      </c>
      <c r="FN249" s="16">
        <v>1.5987006930124839E-6</v>
      </c>
      <c r="FO249" s="16">
        <v>1.1235529527969352E-7</v>
      </c>
      <c r="FP249" s="16">
        <v>7.8559484732267041E-9</v>
      </c>
      <c r="FQ249" s="16">
        <v>5.4394842548863883E-10</v>
      </c>
      <c r="FR249" s="16">
        <v>4.3398548966877545E-11</v>
      </c>
      <c r="FU249" s="9">
        <f t="shared" si="297"/>
        <v>9</v>
      </c>
      <c r="FV249" s="16">
        <v>2.3954341655728416E-13</v>
      </c>
      <c r="FW249" s="16">
        <v>2.9748068005158332E-12</v>
      </c>
      <c r="FX249" s="16">
        <v>4.2656008161832052E-11</v>
      </c>
      <c r="FY249" s="16">
        <v>6.0613496678571476E-10</v>
      </c>
      <c r="FZ249" s="16">
        <v>8.5759307232989659E-9</v>
      </c>
      <c r="GA249" s="16">
        <v>1.2081930151616261E-7</v>
      </c>
      <c r="GB249" s="16">
        <v>1.6948998005219737E-6</v>
      </c>
      <c r="GC249" s="16">
        <v>2.3676296043688907E-5</v>
      </c>
      <c r="GD249" s="16">
        <v>3.2934783044066254E-4</v>
      </c>
      <c r="GE249" s="16">
        <v>4.5622214578095307E-3</v>
      </c>
      <c r="GF249" s="16">
        <v>6.2934321488544914E-2</v>
      </c>
      <c r="GG249" s="16">
        <v>0.86456453386826482</v>
      </c>
      <c r="GH249" s="16">
        <v>6.2313932081812587E-2</v>
      </c>
      <c r="GI249" s="16">
        <v>4.4689857586528532E-3</v>
      </c>
      <c r="GJ249" s="16">
        <v>3.1890377552137774E-4</v>
      </c>
      <c r="GK249" s="16">
        <v>2.2642685890949723E-5</v>
      </c>
      <c r="GL249" s="16">
        <v>1.5995743885017653E-6</v>
      </c>
      <c r="GM249" s="16">
        <v>1.1242933720054701E-7</v>
      </c>
      <c r="GN249" s="16">
        <v>7.8620089375756065E-9</v>
      </c>
      <c r="GO249" s="16">
        <v>5.4442864231911044E-10</v>
      </c>
      <c r="GP249" s="16">
        <v>4.3442456648033354E-11</v>
      </c>
      <c r="GS249" s="9">
        <f t="shared" si="298"/>
        <v>9</v>
      </c>
      <c r="GT249" s="16">
        <v>8.1871539046369243E-20</v>
      </c>
      <c r="GU249" s="16">
        <v>4.6862841293669018E-18</v>
      </c>
      <c r="GV249" s="16">
        <v>2.7627526590469881E-16</v>
      </c>
      <c r="GW249" s="16">
        <v>1.62078807650576E-14</v>
      </c>
      <c r="GX249" s="16">
        <v>9.464849630503274E-13</v>
      </c>
      <c r="GY249" s="16">
        <v>5.5019164266739126E-11</v>
      </c>
      <c r="GZ249" s="16">
        <v>3.183731839203895E-9</v>
      </c>
      <c r="HA249" s="16">
        <v>1.8339628782099726E-7</v>
      </c>
      <c r="HB249" s="16">
        <v>1.0516843981764913E-5</v>
      </c>
      <c r="HC249" s="16">
        <v>6.0038568027485873E-4</v>
      </c>
      <c r="HD249" s="16">
        <v>3.4121987779518539E-2</v>
      </c>
      <c r="HE249" s="16">
        <v>0.93066282581595583</v>
      </c>
      <c r="HF249" s="16">
        <v>3.3806101354091803E-2</v>
      </c>
      <c r="HG249" s="16">
        <v>5.8918344452964385E-4</v>
      </c>
      <c r="HH249" s="16">
        <v>1.0220298936546854E-5</v>
      </c>
      <c r="HI249" s="16">
        <v>1.7645136348217056E-7</v>
      </c>
      <c r="HJ249" s="16">
        <v>3.031973818270888E-9</v>
      </c>
      <c r="HK249" s="16">
        <v>5.1850798492923347E-11</v>
      </c>
      <c r="HL249" s="16">
        <v>8.824812703756459E-13</v>
      </c>
      <c r="HM249" s="16">
        <v>1.4943200233884172E-14</v>
      </c>
      <c r="HN249" s="16">
        <v>2.6054782729391932E-16</v>
      </c>
      <c r="HQ249" s="9">
        <f t="shared" si="299"/>
        <v>9</v>
      </c>
      <c r="HR249" s="16">
        <v>1.3015474231291989E-11</v>
      </c>
      <c r="HS249" s="16">
        <v>1.1347905935224983E-10</v>
      </c>
      <c r="HT249" s="16">
        <v>1.2089456778204056E-9</v>
      </c>
      <c r="HU249" s="16">
        <v>1.2716698127547396E-8</v>
      </c>
      <c r="HV249" s="16">
        <v>1.3319897318333206E-7</v>
      </c>
      <c r="HW249" s="16">
        <v>1.3894126790030713E-6</v>
      </c>
      <c r="HX249" s="16">
        <v>1.4433622160417285E-5</v>
      </c>
      <c r="HY249" s="16">
        <v>1.4932842997431589E-4</v>
      </c>
      <c r="HZ249" s="16">
        <v>1.538657882429731E-3</v>
      </c>
      <c r="IA249" s="16">
        <v>1.5790040824873463E-2</v>
      </c>
      <c r="IB249" s="16">
        <v>0.16138947360676675</v>
      </c>
      <c r="IC249" s="16">
        <v>0.64295995239606452</v>
      </c>
      <c r="ID249" s="16">
        <v>0.15975247468884785</v>
      </c>
      <c r="IE249" s="16">
        <v>1.5454074439371024E-2</v>
      </c>
      <c r="IF249" s="16">
        <v>1.4873184910923947E-3</v>
      </c>
      <c r="IG249" s="16">
        <v>1.4240368336528711E-4</v>
      </c>
      <c r="IH249" s="16">
        <v>1.3563923848100514E-5</v>
      </c>
      <c r="II249" s="16">
        <v>1.285246828998589E-6</v>
      </c>
      <c r="IJ249" s="16">
        <v>1.2113822603484708E-7</v>
      </c>
      <c r="IK249" s="16">
        <v>1.1263121044746054E-8</v>
      </c>
      <c r="IL249" s="16">
        <v>1.275218726458693E-9</v>
      </c>
      <c r="IO249" s="9">
        <f t="shared" si="300"/>
        <v>9</v>
      </c>
      <c r="IP249" s="16">
        <v>8.2107545090933867E-20</v>
      </c>
      <c r="IQ249" s="16">
        <v>4.6985205307341974E-18</v>
      </c>
      <c r="IR249" s="16">
        <v>2.769241776685645E-16</v>
      </c>
      <c r="IS249" s="16">
        <v>1.6241697051768081E-14</v>
      </c>
      <c r="IT249" s="16">
        <v>9.4821147175911777E-13</v>
      </c>
      <c r="IU249" s="16">
        <v>5.5105100761193565E-11</v>
      </c>
      <c r="IV249" s="16">
        <v>3.1878701867253395E-9</v>
      </c>
      <c r="IW249" s="16">
        <v>1.8358662376561873E-7</v>
      </c>
      <c r="IX249" s="16">
        <v>1.052500432986108E-5</v>
      </c>
      <c r="IY249" s="16">
        <v>6.0069434844028317E-4</v>
      </c>
      <c r="IZ249" s="16">
        <v>3.4130600006863389E-2</v>
      </c>
      <c r="JA249" s="16">
        <v>0.93064500107445036</v>
      </c>
      <c r="JB249" s="16">
        <v>3.3814632155105218E-2</v>
      </c>
      <c r="JC249" s="16">
        <v>5.8948626466442987E-4</v>
      </c>
      <c r="JD249" s="16">
        <v>1.0228226105870681E-5</v>
      </c>
      <c r="JE249" s="16">
        <v>1.766344030633407E-7</v>
      </c>
      <c r="JF249" s="16">
        <v>3.0359126191495994E-9</v>
      </c>
      <c r="JG249" s="16">
        <v>5.1931731473886137E-11</v>
      </c>
      <c r="JH249" s="16">
        <v>8.840897860187448E-13</v>
      </c>
      <c r="JI249" s="16">
        <v>1.4974348625493316E-14</v>
      </c>
      <c r="JJ249" s="16">
        <v>2.6116149596325075E-16</v>
      </c>
      <c r="JM249" s="9">
        <f t="shared" si="301"/>
        <v>9</v>
      </c>
      <c r="JN249" s="16">
        <v>1.3013319403100046E-11</v>
      </c>
      <c r="JO249" s="16">
        <v>1.1346233667438419E-10</v>
      </c>
      <c r="JP249" s="16">
        <v>1.2087854634048482E-9</v>
      </c>
      <c r="JQ249" s="16">
        <v>1.2715204660350109E-8</v>
      </c>
      <c r="JR249" s="16">
        <v>1.3318533868920069E-7</v>
      </c>
      <c r="JS249" s="16">
        <v>1.3892913969078115E-6</v>
      </c>
      <c r="JT249" s="16">
        <v>1.4432579670387996E-5</v>
      </c>
      <c r="JU249" s="16">
        <v>1.4931989274886073E-4</v>
      </c>
      <c r="JV249" s="16">
        <v>1.5385930694180997E-3</v>
      </c>
      <c r="JW249" s="16">
        <v>1.5789613177564478E-2</v>
      </c>
      <c r="JX249" s="16">
        <v>0.16138752860112135</v>
      </c>
      <c r="JY249" s="16">
        <v>0.64296483544713223</v>
      </c>
      <c r="JZ249" s="16">
        <v>0.159750552120382</v>
      </c>
      <c r="KA249" s="16">
        <v>1.5453656669705652E-2</v>
      </c>
      <c r="KB249" s="16">
        <v>1.4872559897827231E-3</v>
      </c>
      <c r="KC249" s="16">
        <v>1.4239556576049257E-4</v>
      </c>
      <c r="KD249" s="16">
        <v>1.35629475567094E-5</v>
      </c>
      <c r="KE249" s="16">
        <v>1.2851350878374065E-6</v>
      </c>
      <c r="KF249" s="16">
        <v>1.2112588294652257E-7</v>
      </c>
      <c r="KG249" s="16">
        <v>1.1261807859908984E-8</v>
      </c>
      <c r="KH249" s="16">
        <v>1.2750471411478712E-9</v>
      </c>
      <c r="KK249" s="9">
        <f t="shared" si="302"/>
        <v>9</v>
      </c>
      <c r="KL249" s="16">
        <v>1.2034271690033806E-20</v>
      </c>
      <c r="KM249" s="16">
        <v>8.2457492937832033E-19</v>
      </c>
      <c r="KN249" s="16">
        <v>5.7868985497352126E-17</v>
      </c>
      <c r="KO249" s="16">
        <v>4.0416797946694845E-15</v>
      </c>
      <c r="KP249" s="16">
        <v>2.8097945278343344E-13</v>
      </c>
      <c r="KQ249" s="16">
        <v>1.944434659322589E-11</v>
      </c>
      <c r="KR249" s="16">
        <v>1.3394537193611115E-9</v>
      </c>
      <c r="KS249" s="16">
        <v>9.1851655037608435E-8</v>
      </c>
      <c r="KT249" s="16">
        <v>6.2701861680931003E-6</v>
      </c>
      <c r="KU249" s="16">
        <v>4.2610559247596323E-4</v>
      </c>
      <c r="KV249" s="16">
        <v>2.882746681741321E-2</v>
      </c>
      <c r="KW249" s="16">
        <v>0.94158847558828518</v>
      </c>
      <c r="KX249" s="16">
        <v>2.8561471172178041E-2</v>
      </c>
      <c r="KY249" s="16">
        <v>4.1819362871009931E-4</v>
      </c>
      <c r="KZ249" s="16">
        <v>6.0945062560671711E-6</v>
      </c>
      <c r="LA249" s="16">
        <v>8.840048714828993E-8</v>
      </c>
      <c r="LB249" s="16">
        <v>1.2761932930963991E-9</v>
      </c>
      <c r="LC249" s="16">
        <v>1.8336417634713489E-11</v>
      </c>
      <c r="LD249" s="16">
        <v>2.6220396339595464E-13</v>
      </c>
      <c r="LE249" s="16">
        <v>3.7307373014116887E-15</v>
      </c>
      <c r="LF249" s="16">
        <v>5.4358240782794497E-17</v>
      </c>
      <c r="LI249" s="9">
        <f t="shared" si="303"/>
        <v>9</v>
      </c>
      <c r="LJ249" s="16">
        <v>1.3012780744656019E-11</v>
      </c>
      <c r="LK249" s="16">
        <v>1.1345815633364409E-10</v>
      </c>
      <c r="LL249" s="16">
        <v>1.2087454125791595E-9</v>
      </c>
      <c r="LM249" s="16">
        <v>1.2714831315917633E-8</v>
      </c>
      <c r="LN249" s="16">
        <v>1.3318193023760592E-7</v>
      </c>
      <c r="LO249" s="16">
        <v>1.3892610776262599E-6</v>
      </c>
      <c r="LP249" s="16">
        <v>1.4432319056086394E-5</v>
      </c>
      <c r="LQ249" s="16">
        <v>1.4931775848938433E-4</v>
      </c>
      <c r="LR249" s="16">
        <v>1.5385768663658352E-3</v>
      </c>
      <c r="LS249" s="16">
        <v>1.5789506266015767E-2</v>
      </c>
      <c r="LT249" s="16">
        <v>0.16138704234577048</v>
      </c>
      <c r="LU249" s="16">
        <v>0.64296605621669911</v>
      </c>
      <c r="LV249" s="16">
        <v>0.15975007147435766</v>
      </c>
      <c r="LW249" s="16">
        <v>1.5453552227555912E-2</v>
      </c>
      <c r="LX249" s="16">
        <v>1.4872403646474075E-3</v>
      </c>
      <c r="LY249" s="16">
        <v>1.4239353640360227E-4</v>
      </c>
      <c r="LZ249" s="16">
        <v>1.3562703491499346E-5</v>
      </c>
      <c r="MA249" s="16">
        <v>1.2851071536843922E-6</v>
      </c>
      <c r="MB249" s="16">
        <v>1.2112279732903844E-7</v>
      </c>
      <c r="MC249" s="16">
        <v>1.12614795831616E-8</v>
      </c>
      <c r="MD249" s="16">
        <v>1.2750042478560148E-9</v>
      </c>
      <c r="MG249" s="9">
        <f t="shared" si="304"/>
        <v>9</v>
      </c>
      <c r="MH249" s="16">
        <v>3.2871778028435969E-20</v>
      </c>
      <c r="MI249" s="16">
        <v>2.0499767310238759E-18</v>
      </c>
      <c r="MJ249" s="16">
        <v>1.3130772413752666E-16</v>
      </c>
      <c r="MK249" s="16">
        <v>8.3698542319400702E-15</v>
      </c>
      <c r="ML249" s="16">
        <v>5.3106230092178341E-13</v>
      </c>
      <c r="MM249" s="16">
        <v>3.3541503433391449E-11</v>
      </c>
      <c r="MN249" s="16">
        <v>2.1088150237531193E-9</v>
      </c>
      <c r="MO249" s="16">
        <v>1.3198443142341083E-7</v>
      </c>
      <c r="MP249" s="16">
        <v>8.2232679800163875E-6</v>
      </c>
      <c r="MQ249" s="16">
        <v>5.1005014154294919E-4</v>
      </c>
      <c r="MR249" s="16">
        <v>3.1494672214207056E-2</v>
      </c>
      <c r="MS249" s="16">
        <v>0.93609255146765746</v>
      </c>
      <c r="MT249" s="16">
        <v>3.1203584914925725E-2</v>
      </c>
      <c r="MU249" s="16">
        <v>5.00556350219087E-4</v>
      </c>
      <c r="MV249" s="16">
        <v>7.9921272630769102E-6</v>
      </c>
      <c r="MW249" s="16">
        <v>1.2700577734807634E-7</v>
      </c>
      <c r="MX249" s="16">
        <v>2.0087546094542454E-9</v>
      </c>
      <c r="MY249" s="16">
        <v>3.1620096040925633E-11</v>
      </c>
      <c r="MZ249" s="16">
        <v>4.9536219028244067E-13</v>
      </c>
      <c r="NA249" s="16">
        <v>7.721338001606963E-15</v>
      </c>
      <c r="NB249" s="16">
        <v>1.2358818636769179E-16</v>
      </c>
      <c r="NE249" s="9">
        <f t="shared" si="305"/>
        <v>9</v>
      </c>
      <c r="NF249" s="16">
        <v>1.3012780744656019E-11</v>
      </c>
      <c r="NG249" s="16">
        <v>1.1345815633364409E-10</v>
      </c>
      <c r="NH249" s="16">
        <v>1.2087454125791595E-9</v>
      </c>
      <c r="NI249" s="16">
        <v>1.2714831315917633E-8</v>
      </c>
      <c r="NJ249" s="16">
        <v>1.3318193023760592E-7</v>
      </c>
      <c r="NK249" s="16">
        <v>1.3892610776262599E-6</v>
      </c>
      <c r="NL249" s="16">
        <v>1.4432319056086394E-5</v>
      </c>
      <c r="NM249" s="16">
        <v>1.4931775848938433E-4</v>
      </c>
      <c r="NN249" s="16">
        <v>1.5385768663658352E-3</v>
      </c>
      <c r="NO249" s="16">
        <v>1.5789506266015767E-2</v>
      </c>
      <c r="NP249" s="16">
        <v>0.16138704234577048</v>
      </c>
      <c r="NQ249" s="16">
        <v>0.64296605621669911</v>
      </c>
      <c r="NR249" s="16">
        <v>0.15975007147435766</v>
      </c>
      <c r="NS249" s="16">
        <v>1.5453552227555912E-2</v>
      </c>
      <c r="NT249" s="16">
        <v>1.4872403646474075E-3</v>
      </c>
      <c r="NU249" s="16">
        <v>1.4239353640360227E-4</v>
      </c>
      <c r="NV249" s="16">
        <v>1.3562703491499346E-5</v>
      </c>
      <c r="NW249" s="16">
        <v>1.2851071536843922E-6</v>
      </c>
      <c r="NX249" s="16">
        <v>1.2112279732903844E-7</v>
      </c>
      <c r="NY249" s="16">
        <v>1.12614795831616E-8</v>
      </c>
      <c r="NZ249" s="16">
        <v>1.2750042478560148E-9</v>
      </c>
      <c r="OC249" s="9">
        <f t="shared" si="306"/>
        <v>9</v>
      </c>
      <c r="OD249" s="16">
        <v>8.2107545090933145E-20</v>
      </c>
      <c r="OE249" s="16">
        <v>4.6985205307341596E-18</v>
      </c>
      <c r="OF249" s="16">
        <v>2.7692417766856257E-16</v>
      </c>
      <c r="OG249" s="16">
        <v>1.624169705176798E-14</v>
      </c>
      <c r="OH249" s="16">
        <v>9.4821147175911252E-13</v>
      </c>
      <c r="OI249" s="16">
        <v>5.5105100761193293E-11</v>
      </c>
      <c r="OJ249" s="16">
        <v>3.1878701867253279E-9</v>
      </c>
      <c r="OK249" s="16">
        <v>1.835866237656182E-7</v>
      </c>
      <c r="OL249" s="16">
        <v>1.0525004329861056E-5</v>
      </c>
      <c r="OM249" s="16">
        <v>6.0069434844028219E-4</v>
      </c>
      <c r="ON249" s="16">
        <v>3.4130600006863361E-2</v>
      </c>
      <c r="OO249" s="16">
        <v>0.93064500107445058</v>
      </c>
      <c r="OP249" s="16">
        <v>3.3814632155105204E-2</v>
      </c>
      <c r="OQ249" s="16">
        <v>5.89486264664429E-4</v>
      </c>
      <c r="OR249" s="16">
        <v>1.0228226105870661E-5</v>
      </c>
      <c r="OS249" s="16">
        <v>1.7663440306334017E-7</v>
      </c>
      <c r="OT249" s="16">
        <v>3.035912619149587E-9</v>
      </c>
      <c r="OU249" s="16">
        <v>5.1931731473885879E-11</v>
      </c>
      <c r="OV249" s="16">
        <v>8.8408978601873995E-13</v>
      </c>
      <c r="OW249" s="16">
        <v>1.4974348625493218E-14</v>
      </c>
      <c r="OX249" s="16">
        <v>2.6116149596324888E-16</v>
      </c>
      <c r="PA249" s="9">
        <f t="shared" si="307"/>
        <v>9</v>
      </c>
      <c r="PB249" s="16">
        <v>1.3007933693406815E-11</v>
      </c>
      <c r="PC249" s="16">
        <v>1.1342053918334903E-10</v>
      </c>
      <c r="PD249" s="16">
        <v>1.2083850051504722E-9</v>
      </c>
      <c r="PE249" s="16">
        <v>1.2711471618594656E-8</v>
      </c>
      <c r="PF249" s="16">
        <v>1.3315125726793527E-7</v>
      </c>
      <c r="PG249" s="16">
        <v>1.3889882264519857E-6</v>
      </c>
      <c r="PH249" s="16">
        <v>1.4429973675070834E-5</v>
      </c>
      <c r="PI249" s="16">
        <v>1.4929855099806382E-4</v>
      </c>
      <c r="PJ249" s="16">
        <v>1.5384310425070936E-3</v>
      </c>
      <c r="PK249" s="16">
        <v>1.5788544067091435E-2</v>
      </c>
      <c r="PL249" s="16">
        <v>0.1613826659767009</v>
      </c>
      <c r="PM249" s="16">
        <v>0.64297704326520089</v>
      </c>
      <c r="PN249" s="16">
        <v>0.15974574558979707</v>
      </c>
      <c r="PO249" s="16">
        <v>1.5452612253007612E-2</v>
      </c>
      <c r="PP249" s="16">
        <v>1.4870997418874668E-3</v>
      </c>
      <c r="PQ249" s="16">
        <v>1.4237527298913402E-4</v>
      </c>
      <c r="PR249" s="16">
        <v>1.3560507042084047E-5</v>
      </c>
      <c r="PS249" s="16">
        <v>1.2848557667773755E-6</v>
      </c>
      <c r="PT249" s="16">
        <v>1.2109502955424583E-7</v>
      </c>
      <c r="PU249" s="16">
        <v>1.1258525442720023E-8</v>
      </c>
      <c r="PV249" s="16">
        <v>1.2746182628688505E-9</v>
      </c>
    </row>
    <row r="250" spans="3:438" x14ac:dyDescent="0.25">
      <c r="C250" s="1"/>
      <c r="D250" s="1"/>
      <c r="I250" s="9">
        <f t="shared" si="290"/>
        <v>8</v>
      </c>
      <c r="J250" s="16">
        <v>1.0762642396128829E-22</v>
      </c>
      <c r="K250" s="16">
        <v>7.6491030600351354E-21</v>
      </c>
      <c r="L250" s="16">
        <v>5.5700183022860026E-19</v>
      </c>
      <c r="M250" s="16">
        <v>4.0418000682930939E-17</v>
      </c>
      <c r="N250" s="16">
        <v>2.9231495086223123E-15</v>
      </c>
      <c r="O250" s="16">
        <v>2.1071242831577505E-13</v>
      </c>
      <c r="P250" s="16">
        <v>1.5138996850829649E-11</v>
      </c>
      <c r="Q250" s="16">
        <v>1.0841184517160508E-9</v>
      </c>
      <c r="R250" s="16">
        <v>7.7380922030112714E-8</v>
      </c>
      <c r="S250" s="16">
        <v>5.505203683913886E-6</v>
      </c>
      <c r="T250" s="16">
        <v>3.9039117120308775E-4</v>
      </c>
      <c r="U250" s="16">
        <v>2.759423935731297E-2</v>
      </c>
      <c r="V250" s="16">
        <v>0.94416631921339389</v>
      </c>
      <c r="W250" s="16">
        <v>2.7228964858328555E-2</v>
      </c>
      <c r="X250" s="16">
        <v>3.8006511093889876E-4</v>
      </c>
      <c r="Y250" s="16">
        <v>5.286998632289031E-6</v>
      </c>
      <c r="Z250" s="16">
        <v>7.3295927508302682E-8</v>
      </c>
      <c r="AA250" s="16">
        <v>1.0126632382636315E-9</v>
      </c>
      <c r="AB250" s="16">
        <v>1.3943116982951979E-11</v>
      </c>
      <c r="AC250" s="16">
        <v>1.9128397739407546E-13</v>
      </c>
      <c r="AD250" s="16">
        <v>2.688375525910034E-15</v>
      </c>
      <c r="AF250" s="19"/>
      <c r="AG250" s="9">
        <f t="shared" si="291"/>
        <v>8</v>
      </c>
      <c r="AH250" s="16">
        <v>4.8133401512237138E-13</v>
      </c>
      <c r="AI250" s="16">
        <v>4.2854148616155521E-12</v>
      </c>
      <c r="AJ250" s="16">
        <v>4.6521837049533965E-11</v>
      </c>
      <c r="AK250" s="16">
        <v>4.9935052642526601E-10</v>
      </c>
      <c r="AL250" s="16">
        <v>5.3434229350436657E-9</v>
      </c>
      <c r="AM250" s="16">
        <v>5.7008075807637694E-8</v>
      </c>
      <c r="AN250" s="16">
        <v>6.0640284700903846E-7</v>
      </c>
      <c r="AO250" s="16">
        <v>6.431303304242164E-6</v>
      </c>
      <c r="AP250" s="16">
        <v>6.8007141594156255E-5</v>
      </c>
      <c r="AQ250" s="16">
        <v>7.1702227042053535E-4</v>
      </c>
      <c r="AR250" s="16">
        <v>7.5376880779294119E-3</v>
      </c>
      <c r="AS250" s="16">
        <v>7.900886702274397E-2</v>
      </c>
      <c r="AT250" s="16">
        <v>0.82575343506173393</v>
      </c>
      <c r="AU250" s="16">
        <v>7.7912035722294257E-2</v>
      </c>
      <c r="AV250" s="16">
        <v>7.3239840228247807E-3</v>
      </c>
      <c r="AW250" s="16">
        <v>6.8592090708337479E-4</v>
      </c>
      <c r="AX250" s="16">
        <v>6.3999947306657713E-5</v>
      </c>
      <c r="AY250" s="16">
        <v>5.9492046934024657E-6</v>
      </c>
      <c r="AZ250" s="16">
        <v>5.5090329767948971E-7</v>
      </c>
      <c r="BA250" s="16">
        <v>5.040782606832154E-8</v>
      </c>
      <c r="BB250" s="16">
        <v>5.610474432318548E-9</v>
      </c>
      <c r="BE250" s="9">
        <f t="shared" si="292"/>
        <v>8</v>
      </c>
      <c r="BF250" s="16">
        <v>4.8071148560630391E-13</v>
      </c>
      <c r="BG250" s="16">
        <v>4.2804285661882167E-12</v>
      </c>
      <c r="BH250" s="16">
        <v>4.6472646699946125E-11</v>
      </c>
      <c r="BI250" s="16">
        <v>4.9887642056019164E-10</v>
      </c>
      <c r="BJ250" s="16">
        <v>5.3389262994451044E-9</v>
      </c>
      <c r="BK250" s="16">
        <v>5.6966252478451731E-8</v>
      </c>
      <c r="BL250" s="16">
        <v>6.0602337225138432E-7</v>
      </c>
      <c r="BM250" s="16">
        <v>6.4279722036272213E-6</v>
      </c>
      <c r="BN250" s="16">
        <v>6.7979248323964738E-5</v>
      </c>
      <c r="BO250" s="16">
        <v>7.1680545513085384E-4</v>
      </c>
      <c r="BP250" s="16">
        <v>7.5362209146803971E-3</v>
      </c>
      <c r="BQ250" s="16">
        <v>7.9001998439761634E-2</v>
      </c>
      <c r="BR250" s="16">
        <v>0.82577056536914295</v>
      </c>
      <c r="BS250" s="16">
        <v>7.7905269153580717E-2</v>
      </c>
      <c r="BT250" s="16">
        <v>7.3225603170343012E-3</v>
      </c>
      <c r="BU250" s="16">
        <v>6.8571384330418897E-4</v>
      </c>
      <c r="BV250" s="16">
        <v>6.3973751399306808E-5</v>
      </c>
      <c r="BW250" s="16">
        <v>5.9461307861182485E-6</v>
      </c>
      <c r="BX250" s="16">
        <v>5.5055954030167274E-7</v>
      </c>
      <c r="BY250" s="16">
        <v>5.0371052923066428E-8</v>
      </c>
      <c r="BZ250" s="16">
        <v>5.6056596088292569E-9</v>
      </c>
      <c r="CC250" s="9">
        <f t="shared" si="293"/>
        <v>8</v>
      </c>
      <c r="CD250" s="16">
        <v>4.8071148560629028E-13</v>
      </c>
      <c r="CE250" s="16">
        <v>4.2804285661881077E-12</v>
      </c>
      <c r="CF250" s="16">
        <v>4.6472646699945078E-11</v>
      </c>
      <c r="CG250" s="16">
        <v>4.9887642056018151E-10</v>
      </c>
      <c r="CH250" s="16">
        <v>5.338926299445006E-9</v>
      </c>
      <c r="CI250" s="16">
        <v>5.6966252478450831E-8</v>
      </c>
      <c r="CJ250" s="16">
        <v>6.0602337225137638E-7</v>
      </c>
      <c r="CK250" s="16">
        <v>6.4279722036271527E-6</v>
      </c>
      <c r="CL250" s="16">
        <v>6.7979248323964155E-5</v>
      </c>
      <c r="CM250" s="16">
        <v>7.1680545513084929E-4</v>
      </c>
      <c r="CN250" s="16">
        <v>7.536220914680365E-3</v>
      </c>
      <c r="CO250" s="16">
        <v>7.9001998439761495E-2</v>
      </c>
      <c r="CP250" s="16">
        <v>0.82577056536914339</v>
      </c>
      <c r="CQ250" s="16">
        <v>7.790526915358055E-2</v>
      </c>
      <c r="CR250" s="16">
        <v>7.32256031703427E-3</v>
      </c>
      <c r="CS250" s="16">
        <v>6.8571384330418453E-4</v>
      </c>
      <c r="CT250" s="16">
        <v>6.3973751399306212E-5</v>
      </c>
      <c r="CU250" s="16">
        <v>5.9461307861181791E-6</v>
      </c>
      <c r="CV250" s="16">
        <v>5.5055954030166512E-7</v>
      </c>
      <c r="CW250" s="16">
        <v>5.0371052923065587E-8</v>
      </c>
      <c r="CX250" s="16">
        <v>5.6056596088291494E-9</v>
      </c>
      <c r="DA250" s="9">
        <f t="shared" si="294"/>
        <v>8</v>
      </c>
      <c r="DB250" s="16">
        <v>1.0828333538129162E-22</v>
      </c>
      <c r="DC250" s="16">
        <v>7.6917794661985179E-21</v>
      </c>
      <c r="DD250" s="16">
        <v>5.5982554988283209E-19</v>
      </c>
      <c r="DE250" s="16">
        <v>4.0602299638348353E-17</v>
      </c>
      <c r="DF250" s="16">
        <v>2.9349895387898949E-15</v>
      </c>
      <c r="DG250" s="16">
        <v>2.1145863163454862E-13</v>
      </c>
      <c r="DH250" s="16">
        <v>1.5184906170864134E-11</v>
      </c>
      <c r="DI250" s="16">
        <v>1.0868547584727931E-9</v>
      </c>
      <c r="DJ250" s="16">
        <v>7.753690265089731E-8</v>
      </c>
      <c r="DK250" s="16">
        <v>5.5135043982665086E-6</v>
      </c>
      <c r="DL250" s="16">
        <v>3.907816107385867E-4</v>
      </c>
      <c r="DM250" s="16">
        <v>2.7607836119297537E-2</v>
      </c>
      <c r="DN250" s="16">
        <v>0.94413840067680543</v>
      </c>
      <c r="DO250" s="16">
        <v>2.7242380094631615E-2</v>
      </c>
      <c r="DP250" s="16">
        <v>3.8044515860527044E-4</v>
      </c>
      <c r="DQ250" s="16">
        <v>5.2949685423267029E-6</v>
      </c>
      <c r="DR250" s="16">
        <v>7.344363228423974E-8</v>
      </c>
      <c r="DS250" s="16">
        <v>1.0152183318334755E-9</v>
      </c>
      <c r="DT250" s="16">
        <v>1.3985383171349678E-11</v>
      </c>
      <c r="DU250" s="16">
        <v>1.9196103808607492E-13</v>
      </c>
      <c r="DV250" s="16">
        <v>2.6992963841728708E-15</v>
      </c>
      <c r="DY250" s="9">
        <f t="shared" si="295"/>
        <v>8</v>
      </c>
      <c r="DZ250" s="16">
        <v>1.7478504152202813E-14</v>
      </c>
      <c r="EA250" s="16">
        <v>2.1708770397213657E-13</v>
      </c>
      <c r="EB250" s="16">
        <v>3.113188005186725E-12</v>
      </c>
      <c r="EC250" s="16">
        <v>4.4242900644684912E-11</v>
      </c>
      <c r="ED250" s="16">
        <v>6.2604365712189931E-10</v>
      </c>
      <c r="EE250" s="16">
        <v>8.8208159090782684E-9</v>
      </c>
      <c r="EF250" s="16">
        <v>1.2375579058390705E-7</v>
      </c>
      <c r="EG250" s="16">
        <v>1.7289574484730233E-6</v>
      </c>
      <c r="EH250" s="16">
        <v>2.4053283693685285E-5</v>
      </c>
      <c r="EI250" s="16">
        <v>3.3323064462344399E-4</v>
      </c>
      <c r="EJ250" s="16">
        <v>4.5973239664688697E-3</v>
      </c>
      <c r="EK250" s="16">
        <v>6.3163172483457777E-2</v>
      </c>
      <c r="EL250" s="16">
        <v>0.86423203132166904</v>
      </c>
      <c r="EM250" s="16">
        <v>6.197339208999661E-2</v>
      </c>
      <c r="EN250" s="16">
        <v>4.42188122161316E-3</v>
      </c>
      <c r="EO250" s="16">
        <v>3.1392542281115962E-4</v>
      </c>
      <c r="EP250" s="16">
        <v>2.2174515613874782E-5</v>
      </c>
      <c r="EQ250" s="16">
        <v>1.5584056855485548E-6</v>
      </c>
      <c r="ER250" s="16">
        <v>1.0896464412804262E-7</v>
      </c>
      <c r="ES250" s="16">
        <v>7.5447473732008615E-9</v>
      </c>
      <c r="ET250" s="16">
        <v>6.0195245169510342E-10</v>
      </c>
      <c r="EW250" s="9">
        <f t="shared" si="296"/>
        <v>8</v>
      </c>
      <c r="EX250" s="16">
        <v>1.7478504152203346E-14</v>
      </c>
      <c r="EY250" s="16">
        <v>2.1708770397214255E-13</v>
      </c>
      <c r="EZ250" s="16">
        <v>3.113188005186803E-12</v>
      </c>
      <c r="FA250" s="16">
        <v>4.4242900644685894E-11</v>
      </c>
      <c r="FB250" s="16">
        <v>6.2604365712191192E-10</v>
      </c>
      <c r="FC250" s="16">
        <v>8.8208159090784206E-9</v>
      </c>
      <c r="FD250" s="16">
        <v>1.2375579058390888E-7</v>
      </c>
      <c r="FE250" s="16">
        <v>1.7289574484730447E-6</v>
      </c>
      <c r="FF250" s="16">
        <v>2.4053283693685515E-5</v>
      </c>
      <c r="FG250" s="16">
        <v>3.3323064462344648E-4</v>
      </c>
      <c r="FH250" s="16">
        <v>4.5973239664688923E-3</v>
      </c>
      <c r="FI250" s="16">
        <v>6.316317248345793E-2</v>
      </c>
      <c r="FJ250" s="16">
        <v>0.86423203132166893</v>
      </c>
      <c r="FK250" s="16">
        <v>6.1973392089996741E-2</v>
      </c>
      <c r="FL250" s="16">
        <v>4.4218812216131808E-3</v>
      </c>
      <c r="FM250" s="16">
        <v>3.1392542281116184E-4</v>
      </c>
      <c r="FN250" s="16">
        <v>2.2174515613875006E-5</v>
      </c>
      <c r="FO250" s="16">
        <v>1.5584056855485743E-6</v>
      </c>
      <c r="FP250" s="16">
        <v>1.0896464412804427E-7</v>
      </c>
      <c r="FQ250" s="16">
        <v>7.5447473732009939E-9</v>
      </c>
      <c r="FR250" s="16">
        <v>6.0195245169511562E-10</v>
      </c>
      <c r="FU250" s="9">
        <f t="shared" si="297"/>
        <v>8</v>
      </c>
      <c r="FV250" s="16">
        <v>1.7502195682292231E-14</v>
      </c>
      <c r="FW250" s="16">
        <v>2.1735371185703555E-13</v>
      </c>
      <c r="FX250" s="16">
        <v>3.1166533925398208E-12</v>
      </c>
      <c r="FY250" s="16">
        <v>4.4287139889007677E-11</v>
      </c>
      <c r="FZ250" s="16">
        <v>6.2659880131193783E-10</v>
      </c>
      <c r="GA250" s="16">
        <v>8.8276400484087642E-9</v>
      </c>
      <c r="GB250" s="16">
        <v>1.2383754225831427E-7</v>
      </c>
      <c r="GC250" s="16">
        <v>1.7299042167140022E-6</v>
      </c>
      <c r="GD250" s="16">
        <v>2.406373866898741E-5</v>
      </c>
      <c r="GE250" s="16">
        <v>3.3333787189029251E-4</v>
      </c>
      <c r="GF250" s="16">
        <v>4.5982846268763687E-3</v>
      </c>
      <c r="GG250" s="16">
        <v>6.3169248686546733E-2</v>
      </c>
      <c r="GH250" s="16">
        <v>0.86421776640591574</v>
      </c>
      <c r="GI250" s="16">
        <v>6.1979348139548071E-2</v>
      </c>
      <c r="GJ250" s="16">
        <v>4.4228040082217503E-3</v>
      </c>
      <c r="GK250" s="16">
        <v>3.1402626623555082E-4</v>
      </c>
      <c r="GL250" s="16">
        <v>2.2184133773104908E-5</v>
      </c>
      <c r="GM250" s="16">
        <v>1.5592569338488771E-6</v>
      </c>
      <c r="GN250" s="16">
        <v>1.0903641571798721E-7</v>
      </c>
      <c r="GO250" s="16">
        <v>7.5505571469105197E-9</v>
      </c>
      <c r="GP250" s="16">
        <v>6.0249356118721014E-10</v>
      </c>
      <c r="GS250" s="9">
        <f t="shared" si="298"/>
        <v>8</v>
      </c>
      <c r="GT250" s="16">
        <v>1.4532561320175067E-21</v>
      </c>
      <c r="GU250" s="16">
        <v>8.3183621887474375E-20</v>
      </c>
      <c r="GV250" s="16">
        <v>4.9040085111063518E-18</v>
      </c>
      <c r="GW250" s="16">
        <v>2.876970725503066E-16</v>
      </c>
      <c r="GX250" s="16">
        <v>1.6800527905506011E-14</v>
      </c>
      <c r="GY250" s="16">
        <v>9.7661456936619021E-13</v>
      </c>
      <c r="GZ250" s="16">
        <v>5.6512652283255438E-11</v>
      </c>
      <c r="HA250" s="16">
        <v>3.2553654538503672E-9</v>
      </c>
      <c r="HB250" s="16">
        <v>1.8667864539977833E-7</v>
      </c>
      <c r="HC250" s="16">
        <v>1.0657112124651506E-5</v>
      </c>
      <c r="HD250" s="16">
        <v>6.0568041782049341E-4</v>
      </c>
      <c r="HE250" s="16">
        <v>3.4270121499562933E-2</v>
      </c>
      <c r="HF250" s="16">
        <v>0.93047771011853742</v>
      </c>
      <c r="HG250" s="16">
        <v>3.3644977127706276E-2</v>
      </c>
      <c r="HH250" s="16">
        <v>5.8362421271519402E-4</v>
      </c>
      <c r="HI250" s="16">
        <v>1.0076152247029946E-5</v>
      </c>
      <c r="HJ250" s="16">
        <v>1.7313909736375116E-7</v>
      </c>
      <c r="HK250" s="16">
        <v>2.9609096208404066E-9</v>
      </c>
      <c r="HL250" s="16">
        <v>5.0393578490856463E-11</v>
      </c>
      <c r="HM250" s="16">
        <v>8.5332273802284732E-13</v>
      </c>
      <c r="HN250" s="16">
        <v>1.4878431787871507E-14</v>
      </c>
      <c r="HQ250" s="9">
        <f t="shared" si="299"/>
        <v>8</v>
      </c>
      <c r="HR250" s="16">
        <v>1.2829247056800007E-12</v>
      </c>
      <c r="HS250" s="16">
        <v>1.1185538554585334E-11</v>
      </c>
      <c r="HT250" s="16">
        <v>1.191647918730421E-10</v>
      </c>
      <c r="HU250" s="16">
        <v>1.2534745882160359E-9</v>
      </c>
      <c r="HV250" s="16">
        <v>1.3129314416931666E-8</v>
      </c>
      <c r="HW250" s="16">
        <v>1.3695327735293237E-7</v>
      </c>
      <c r="HX250" s="16">
        <v>1.4227103932586829E-6</v>
      </c>
      <c r="HY250" s="16">
        <v>1.4719181850006147E-5</v>
      </c>
      <c r="HZ250" s="16">
        <v>1.5166425562984859E-4</v>
      </c>
      <c r="IA250" s="16">
        <v>1.5564114774414268E-3</v>
      </c>
      <c r="IB250" s="16">
        <v>1.5908029108076416E-2</v>
      </c>
      <c r="IC250" s="16">
        <v>0.16194522580699827</v>
      </c>
      <c r="ID250" s="16">
        <v>0.64205881671133691</v>
      </c>
      <c r="IE250" s="16">
        <v>0.15884886438666232</v>
      </c>
      <c r="IF250" s="16">
        <v>1.5287803499212774E-2</v>
      </c>
      <c r="IG250" s="16">
        <v>1.4637345947697111E-3</v>
      </c>
      <c r="IH250" s="16">
        <v>1.3942044270272232E-4</v>
      </c>
      <c r="II250" s="16">
        <v>1.3210755522366561E-5</v>
      </c>
      <c r="IJ250" s="16">
        <v>1.2451518669036154E-6</v>
      </c>
      <c r="IK250" s="16">
        <v>1.1577102170864433E-7</v>
      </c>
      <c r="IL250" s="16">
        <v>1.3107678970828975E-8</v>
      </c>
      <c r="IO250" s="9">
        <f t="shared" si="300"/>
        <v>8</v>
      </c>
      <c r="IP250" s="16">
        <v>1.4578265823557824E-21</v>
      </c>
      <c r="IQ250" s="16">
        <v>8.3422639415936375E-20</v>
      </c>
      <c r="IR250" s="16">
        <v>4.9168127856598804E-18</v>
      </c>
      <c r="IS250" s="16">
        <v>2.8837273941650788E-16</v>
      </c>
      <c r="IT250" s="16">
        <v>1.6835576897278037E-14</v>
      </c>
      <c r="IU250" s="16">
        <v>9.7839584199104362E-13</v>
      </c>
      <c r="IV250" s="16">
        <v>5.6600911574700616E-11</v>
      </c>
      <c r="IW250" s="16">
        <v>3.2595964231309208E-9</v>
      </c>
      <c r="IX250" s="16">
        <v>1.8687236446404727E-7</v>
      </c>
      <c r="IY250" s="16">
        <v>1.0665380240723152E-5</v>
      </c>
      <c r="IZ250" s="16">
        <v>6.0599176247021777E-4</v>
      </c>
      <c r="JA250" s="16">
        <v>3.4278769393745002E-2</v>
      </c>
      <c r="JB250" s="16">
        <v>0.93045983855419856</v>
      </c>
      <c r="JC250" s="16">
        <v>3.3653465579462305E-2</v>
      </c>
      <c r="JD250" s="16">
        <v>5.8392413161454119E-4</v>
      </c>
      <c r="JE250" s="16">
        <v>1.0083966599331854E-5</v>
      </c>
      <c r="JF250" s="16">
        <v>1.7331867925534596E-7</v>
      </c>
      <c r="JG250" s="16">
        <v>2.9647556565769857E-9</v>
      </c>
      <c r="JH250" s="16">
        <v>5.047222805076383E-11</v>
      </c>
      <c r="JI250" s="16">
        <v>8.5487780844186336E-13</v>
      </c>
      <c r="JJ250" s="16">
        <v>1.4909574559948996E-14</v>
      </c>
      <c r="JM250" s="9">
        <f t="shared" si="301"/>
        <v>8</v>
      </c>
      <c r="JN250" s="16">
        <v>1.282693056698071E-12</v>
      </c>
      <c r="JO250" s="16">
        <v>1.1183722380186983E-11</v>
      </c>
      <c r="JP250" s="16">
        <v>1.1914721163130732E-10</v>
      </c>
      <c r="JQ250" s="16">
        <v>1.2533085700210147E-9</v>
      </c>
      <c r="JR250" s="16">
        <v>1.3127773467999405E-8</v>
      </c>
      <c r="JS250" s="16">
        <v>1.3693926763370579E-7</v>
      </c>
      <c r="JT250" s="16">
        <v>1.4225862871726898E-6</v>
      </c>
      <c r="JU250" s="16">
        <v>1.4718119468445343E-5</v>
      </c>
      <c r="JV250" s="16">
        <v>1.5165559117501034E-4</v>
      </c>
      <c r="JW250" s="16">
        <v>1.5563459685762867E-3</v>
      </c>
      <c r="JX250" s="16">
        <v>1.5907598665795091E-2</v>
      </c>
      <c r="JY250" s="16">
        <v>0.16194327684949419</v>
      </c>
      <c r="JZ250" s="16">
        <v>0.64206371141740792</v>
      </c>
      <c r="KA250" s="16">
        <v>0.15884695538895494</v>
      </c>
      <c r="KB250" s="16">
        <v>1.5287390609893245E-2</v>
      </c>
      <c r="KC250" s="16">
        <v>1.4636731335104004E-3</v>
      </c>
      <c r="KD250" s="16">
        <v>1.3941250097180977E-4</v>
      </c>
      <c r="KE250" s="16">
        <v>1.3209805312076828E-5</v>
      </c>
      <c r="KF250" s="16">
        <v>1.2450436900524549E-6</v>
      </c>
      <c r="KG250" s="16">
        <v>1.1575926196346761E-7</v>
      </c>
      <c r="KH250" s="16">
        <v>1.3106112079335345E-8</v>
      </c>
      <c r="KK250" s="9">
        <f t="shared" si="302"/>
        <v>8</v>
      </c>
      <c r="KL250" s="16">
        <v>1.7945838505340666E-22</v>
      </c>
      <c r="KM250" s="16">
        <v>1.2296289214104034E-20</v>
      </c>
      <c r="KN250" s="16">
        <v>8.6295830354521875E-19</v>
      </c>
      <c r="KO250" s="16">
        <v>6.0270645996387035E-17</v>
      </c>
      <c r="KP250" s="16">
        <v>4.1900432471924069E-15</v>
      </c>
      <c r="KQ250" s="16">
        <v>2.8995946974745638E-13</v>
      </c>
      <c r="KR250" s="16">
        <v>1.9974304014541395E-11</v>
      </c>
      <c r="KS250" s="16">
        <v>1.3697172626726287E-9</v>
      </c>
      <c r="KT250" s="16">
        <v>9.3502748873624209E-8</v>
      </c>
      <c r="KU250" s="16">
        <v>6.3542043471802824E-6</v>
      </c>
      <c r="KV250" s="16">
        <v>4.2988315150952947E-4</v>
      </c>
      <c r="KW250" s="16">
        <v>2.8953503896370865E-2</v>
      </c>
      <c r="KX250" s="16">
        <v>0.9414321314266092</v>
      </c>
      <c r="KY250" s="16">
        <v>2.842621596910418E-2</v>
      </c>
      <c r="KZ250" s="16">
        <v>4.1426683518442172E-4</v>
      </c>
      <c r="LA250" s="16">
        <v>6.0089182783635785E-6</v>
      </c>
      <c r="LB250" s="16">
        <v>8.6747725640336671E-8</v>
      </c>
      <c r="LC250" s="16">
        <v>1.2463962432708107E-9</v>
      </c>
      <c r="LD250" s="16">
        <v>1.7823003459996268E-11</v>
      </c>
      <c r="LE250" s="16">
        <v>2.5359244372285307E-13</v>
      </c>
      <c r="LF250" s="16">
        <v>3.6949369529095523E-15</v>
      </c>
      <c r="LI250" s="9">
        <f t="shared" si="303"/>
        <v>8</v>
      </c>
      <c r="LJ250" s="16">
        <v>1.2826351502206148E-12</v>
      </c>
      <c r="LK250" s="16">
        <v>1.1183268376555162E-11</v>
      </c>
      <c r="LL250" s="16">
        <v>1.191428169170257E-10</v>
      </c>
      <c r="LM250" s="16">
        <v>1.2532670683488788E-9</v>
      </c>
      <c r="LN250" s="16">
        <v>1.3127388253823888E-8</v>
      </c>
      <c r="LO250" s="16">
        <v>1.3693576538040059E-7</v>
      </c>
      <c r="LP250" s="16">
        <v>1.4225552619210405E-6</v>
      </c>
      <c r="LQ250" s="16">
        <v>1.471785388140724E-5</v>
      </c>
      <c r="LR250" s="16">
        <v>1.5165342510881381E-4</v>
      </c>
      <c r="LS250" s="16">
        <v>1.556329591562316E-3</v>
      </c>
      <c r="LT250" s="16">
        <v>1.5907491055502293E-2</v>
      </c>
      <c r="LU250" s="16">
        <v>0.16194278960615671</v>
      </c>
      <c r="LV250" s="16">
        <v>0.64206493510074347</v>
      </c>
      <c r="LW250" s="16">
        <v>0.15884647813563416</v>
      </c>
      <c r="LX250" s="16">
        <v>1.5287287387824127E-2</v>
      </c>
      <c r="LY250" s="16">
        <v>1.4636577683840232E-3</v>
      </c>
      <c r="LZ250" s="16">
        <v>1.3941051558236274E-4</v>
      </c>
      <c r="MA250" s="16">
        <v>1.3209567766928899E-5</v>
      </c>
      <c r="MB250" s="16">
        <v>1.2450166469393608E-6</v>
      </c>
      <c r="MC250" s="16">
        <v>1.1575632217373286E-7</v>
      </c>
      <c r="MD250" s="16">
        <v>1.3105720380506498E-8</v>
      </c>
      <c r="MG250" s="9">
        <f t="shared" si="304"/>
        <v>8</v>
      </c>
      <c r="MH250" s="16">
        <v>5.370591603428906E-22</v>
      </c>
      <c r="MI250" s="16">
        <v>3.3492523006627566E-20</v>
      </c>
      <c r="MJ250" s="16">
        <v>2.1453058003382755E-18</v>
      </c>
      <c r="MK250" s="16">
        <v>1.3674669140530204E-16</v>
      </c>
      <c r="ML250" s="16">
        <v>8.6764966950096772E-15</v>
      </c>
      <c r="MM250" s="16">
        <v>5.4800113504637464E-13</v>
      </c>
      <c r="MN250" s="16">
        <v>3.4453823124371153E-11</v>
      </c>
      <c r="MO250" s="16">
        <v>2.1563618450231867E-9</v>
      </c>
      <c r="MP250" s="16">
        <v>1.3435176499432904E-7</v>
      </c>
      <c r="MQ250" s="16">
        <v>8.3332000025330589E-6</v>
      </c>
      <c r="MR250" s="16">
        <v>5.1456000341705262E-4</v>
      </c>
      <c r="MS250" s="16">
        <v>3.1631883104645611E-2</v>
      </c>
      <c r="MT250" s="16">
        <v>0.93592171645890831</v>
      </c>
      <c r="MU250" s="16">
        <v>3.1055339036926418E-2</v>
      </c>
      <c r="MV250" s="16">
        <v>4.9584471692843996E-4</v>
      </c>
      <c r="MW250" s="16">
        <v>7.8796472634231336E-6</v>
      </c>
      <c r="MX250" s="16">
        <v>1.2462643898391513E-7</v>
      </c>
      <c r="MY250" s="16">
        <v>1.9617627515889541E-9</v>
      </c>
      <c r="MZ250" s="16">
        <v>3.0733084813652723E-11</v>
      </c>
      <c r="NA250" s="16">
        <v>4.7904450588561252E-13</v>
      </c>
      <c r="NB250" s="16">
        <v>7.6676142994243153E-15</v>
      </c>
      <c r="NE250" s="9">
        <f t="shared" si="305"/>
        <v>8</v>
      </c>
      <c r="NF250" s="16">
        <v>1.2826351502206148E-12</v>
      </c>
      <c r="NG250" s="16">
        <v>1.1183268376555162E-11</v>
      </c>
      <c r="NH250" s="16">
        <v>1.191428169170257E-10</v>
      </c>
      <c r="NI250" s="16">
        <v>1.2532670683488788E-9</v>
      </c>
      <c r="NJ250" s="16">
        <v>1.3127388253823888E-8</v>
      </c>
      <c r="NK250" s="16">
        <v>1.3693576538040059E-7</v>
      </c>
      <c r="NL250" s="16">
        <v>1.4225552619210405E-6</v>
      </c>
      <c r="NM250" s="16">
        <v>1.471785388140724E-5</v>
      </c>
      <c r="NN250" s="16">
        <v>1.5165342510881381E-4</v>
      </c>
      <c r="NO250" s="16">
        <v>1.556329591562316E-3</v>
      </c>
      <c r="NP250" s="16">
        <v>1.5907491055502293E-2</v>
      </c>
      <c r="NQ250" s="16">
        <v>0.16194278960615671</v>
      </c>
      <c r="NR250" s="16">
        <v>0.64206493510074347</v>
      </c>
      <c r="NS250" s="16">
        <v>0.15884647813563416</v>
      </c>
      <c r="NT250" s="16">
        <v>1.5287287387824127E-2</v>
      </c>
      <c r="NU250" s="16">
        <v>1.4636577683840232E-3</v>
      </c>
      <c r="NV250" s="16">
        <v>1.3941051558236274E-4</v>
      </c>
      <c r="NW250" s="16">
        <v>1.3209567766928899E-5</v>
      </c>
      <c r="NX250" s="16">
        <v>1.2450166469393608E-6</v>
      </c>
      <c r="NY250" s="16">
        <v>1.1575632217373286E-7</v>
      </c>
      <c r="NZ250" s="16">
        <v>1.3105720380506498E-8</v>
      </c>
      <c r="OC250" s="9">
        <f t="shared" si="306"/>
        <v>8</v>
      </c>
      <c r="OD250" s="16">
        <v>1.4578265823557679E-21</v>
      </c>
      <c r="OE250" s="16">
        <v>8.3422639415935604E-20</v>
      </c>
      <c r="OF250" s="16">
        <v>4.9168127856598419E-18</v>
      </c>
      <c r="OG250" s="16">
        <v>2.8837273941650591E-16</v>
      </c>
      <c r="OH250" s="16">
        <v>1.683557689727793E-14</v>
      </c>
      <c r="OI250" s="16">
        <v>9.7839584199103817E-13</v>
      </c>
      <c r="OJ250" s="16">
        <v>5.6600911574700358E-11</v>
      </c>
      <c r="OK250" s="16">
        <v>3.259596423130908E-9</v>
      </c>
      <c r="OL250" s="16">
        <v>1.8687236446404669E-7</v>
      </c>
      <c r="OM250" s="16">
        <v>1.0665380240723126E-5</v>
      </c>
      <c r="ON250" s="16">
        <v>6.0599176247021669E-4</v>
      </c>
      <c r="OO250" s="16">
        <v>3.4278769393744968E-2</v>
      </c>
      <c r="OP250" s="16">
        <v>0.93045983855419856</v>
      </c>
      <c r="OQ250" s="16">
        <v>3.3653465579462284E-2</v>
      </c>
      <c r="OR250" s="16">
        <v>5.8392413161454022E-4</v>
      </c>
      <c r="OS250" s="16">
        <v>1.0083966599331827E-5</v>
      </c>
      <c r="OT250" s="16">
        <v>1.7331867925534533E-7</v>
      </c>
      <c r="OU250" s="16">
        <v>2.9647556565769729E-9</v>
      </c>
      <c r="OV250" s="16">
        <v>5.0472228050763578E-11</v>
      </c>
      <c r="OW250" s="16">
        <v>8.5487780844185811E-13</v>
      </c>
      <c r="OX250" s="16">
        <v>1.4909574559948895E-14</v>
      </c>
      <c r="PA250" s="9">
        <f t="shared" si="307"/>
        <v>8</v>
      </c>
      <c r="PB250" s="16">
        <v>1.2821140957314027E-12</v>
      </c>
      <c r="PC250" s="16">
        <v>1.1179183063189667E-11</v>
      </c>
      <c r="PD250" s="16">
        <v>1.1910327071848114E-10</v>
      </c>
      <c r="PE250" s="16">
        <v>1.2528936050735281E-9</v>
      </c>
      <c r="PF250" s="16">
        <v>1.3123921741245237E-8</v>
      </c>
      <c r="PG250" s="16">
        <v>1.3690424827747139E-7</v>
      </c>
      <c r="PH250" s="16">
        <v>1.4222760575124022E-6</v>
      </c>
      <c r="PI250" s="16">
        <v>1.4715463748397875E-5</v>
      </c>
      <c r="PJ250" s="16">
        <v>1.516339313682735E-4</v>
      </c>
      <c r="PK250" s="16">
        <v>1.5561822020783004E-3</v>
      </c>
      <c r="PL250" s="16">
        <v>1.5906522567862992E-2</v>
      </c>
      <c r="PM250" s="16">
        <v>0.16193840434481199</v>
      </c>
      <c r="PN250" s="16">
        <v>0.64207594837348458</v>
      </c>
      <c r="PO250" s="16">
        <v>0.15884218278565448</v>
      </c>
      <c r="PP250" s="16">
        <v>1.5286358393896356E-2</v>
      </c>
      <c r="PQ250" s="16">
        <v>1.4635194856387973E-3</v>
      </c>
      <c r="PR250" s="16">
        <v>1.3939264785639267E-4</v>
      </c>
      <c r="PS250" s="16">
        <v>1.3207429994234874E-5</v>
      </c>
      <c r="PT250" s="16">
        <v>1.2447732787151215E-6</v>
      </c>
      <c r="PU250" s="16">
        <v>1.1572986670401986E-7</v>
      </c>
      <c r="PV250" s="16">
        <v>1.3102195523811259E-8</v>
      </c>
    </row>
    <row r="251" spans="3:438" x14ac:dyDescent="0.25">
      <c r="C251" s="1"/>
      <c r="D251" s="1"/>
      <c r="I251" s="9">
        <f t="shared" si="290"/>
        <v>7</v>
      </c>
      <c r="J251" s="16">
        <v>1.5324224042977653E-24</v>
      </c>
      <c r="K251" s="16">
        <v>1.0891058599323668E-22</v>
      </c>
      <c r="L251" s="16">
        <v>7.9307855121543528E-21</v>
      </c>
      <c r="M251" s="16">
        <v>5.7548553137586147E-19</v>
      </c>
      <c r="N251" s="16">
        <v>4.1620817948351129E-17</v>
      </c>
      <c r="O251" s="16">
        <v>3.0001967372921662E-15</v>
      </c>
      <c r="P251" s="16">
        <v>2.1555429511575287E-13</v>
      </c>
      <c r="Q251" s="16">
        <v>1.5436055042763824E-11</v>
      </c>
      <c r="R251" s="16">
        <v>1.1017764431791849E-9</v>
      </c>
      <c r="S251" s="16">
        <v>7.8385002074273597E-8</v>
      </c>
      <c r="T251" s="16">
        <v>5.5585250830858814E-6</v>
      </c>
      <c r="U251" s="16">
        <v>3.9289636377690351E-4</v>
      </c>
      <c r="V251" s="16">
        <v>2.7681715285043124E-2</v>
      </c>
      <c r="W251" s="16">
        <v>0.9440579851566816</v>
      </c>
      <c r="X251" s="16">
        <v>2.7135391214632515E-2</v>
      </c>
      <c r="Y251" s="16">
        <v>3.7747420667995498E-4</v>
      </c>
      <c r="Z251" s="16">
        <v>5.2330866741853762E-6</v>
      </c>
      <c r="AA251" s="16">
        <v>7.2300804120318023E-8</v>
      </c>
      <c r="AB251" s="16">
        <v>9.9549241220569285E-10</v>
      </c>
      <c r="AC251" s="16">
        <v>1.3657042991545791E-11</v>
      </c>
      <c r="AD251" s="16">
        <v>1.9194111621347966E-13</v>
      </c>
      <c r="AF251" s="19"/>
      <c r="AG251" s="9">
        <f t="shared" si="291"/>
        <v>7</v>
      </c>
      <c r="AH251" s="16">
        <v>4.6170287902901862E-14</v>
      </c>
      <c r="AI251" s="16">
        <v>4.1106348549636985E-13</v>
      </c>
      <c r="AJ251" s="16">
        <v>4.4624450856704863E-12</v>
      </c>
      <c r="AK251" s="16">
        <v>4.789845896026844E-11</v>
      </c>
      <c r="AL251" s="16">
        <v>5.1254922267484784E-10</v>
      </c>
      <c r="AM251" s="16">
        <v>5.4683009929392232E-9</v>
      </c>
      <c r="AN251" s="16">
        <v>5.8167079724105242E-8</v>
      </c>
      <c r="AO251" s="16">
        <v>6.1690035571712879E-7</v>
      </c>
      <c r="AP251" s="16">
        <v>6.5233480456546069E-6</v>
      </c>
      <c r="AQ251" s="16">
        <v>6.8777862394977488E-5</v>
      </c>
      <c r="AR251" s="16">
        <v>7.2302645927027241E-4</v>
      </c>
      <c r="AS251" s="16">
        <v>7.5786502152663535E-3</v>
      </c>
      <c r="AT251" s="16">
        <v>7.9207520424081593E-2</v>
      </c>
      <c r="AU251" s="16">
        <v>0.825434389774657</v>
      </c>
      <c r="AV251" s="16">
        <v>7.7593509482256032E-2</v>
      </c>
      <c r="AW251" s="16">
        <v>7.2669479127732937E-3</v>
      </c>
      <c r="AX251" s="16">
        <v>6.7804360341677903E-4</v>
      </c>
      <c r="AY251" s="16">
        <v>6.3028492327508467E-5</v>
      </c>
      <c r="AZ251" s="16">
        <v>5.8365119474704601E-6</v>
      </c>
      <c r="BA251" s="16">
        <v>5.3404269012914452E-7</v>
      </c>
      <c r="BB251" s="16">
        <v>5.9439834891414703E-8</v>
      </c>
      <c r="BE251" s="9">
        <f t="shared" si="292"/>
        <v>7</v>
      </c>
      <c r="BF251" s="16">
        <v>4.6105612815647113E-14</v>
      </c>
      <c r="BG251" s="16">
        <v>4.1054101694449188E-13</v>
      </c>
      <c r="BH251" s="16">
        <v>4.45724705862526E-12</v>
      </c>
      <c r="BI251" s="16">
        <v>4.7847833425893297E-11</v>
      </c>
      <c r="BJ251" s="16">
        <v>5.1206279896355288E-10</v>
      </c>
      <c r="BK251" s="16">
        <v>5.4637013239182956E-9</v>
      </c>
      <c r="BL251" s="16">
        <v>5.8124425554371859E-8</v>
      </c>
      <c r="BM251" s="16">
        <v>6.1651449254719493E-7</v>
      </c>
      <c r="BN251" s="16">
        <v>6.5199709109724362E-6</v>
      </c>
      <c r="BO251" s="16">
        <v>6.8749667457443145E-5</v>
      </c>
      <c r="BP251" s="16">
        <v>7.2280795027644304E-4</v>
      </c>
      <c r="BQ251" s="16">
        <v>7.5771760417414104E-3</v>
      </c>
      <c r="BR251" s="16">
        <v>7.9200641344044587E-2</v>
      </c>
      <c r="BS251" s="16">
        <v>0.82545154974890089</v>
      </c>
      <c r="BT251" s="16">
        <v>7.7586777216698072E-2</v>
      </c>
      <c r="BU251" s="16">
        <v>7.2655362184022697E-3</v>
      </c>
      <c r="BV251" s="16">
        <v>6.7783903206477235E-4</v>
      </c>
      <c r="BW251" s="16">
        <v>6.3002707335943579E-5</v>
      </c>
      <c r="BX251" s="16">
        <v>5.8334979226520028E-6</v>
      </c>
      <c r="BY251" s="16">
        <v>5.3371054550702397E-7</v>
      </c>
      <c r="BZ251" s="16">
        <v>5.9395217573165282E-8</v>
      </c>
      <c r="CC251" s="9">
        <f t="shared" si="293"/>
        <v>7</v>
      </c>
      <c r="CD251" s="16">
        <v>4.6105612815645699E-14</v>
      </c>
      <c r="CE251" s="16">
        <v>4.1054101694448032E-13</v>
      </c>
      <c r="CF251" s="16">
        <v>4.4572470586251477E-12</v>
      </c>
      <c r="CG251" s="16">
        <v>4.7847833425892205E-11</v>
      </c>
      <c r="CH251" s="16">
        <v>5.1206279896354233E-10</v>
      </c>
      <c r="CI251" s="16">
        <v>5.4637013239181955E-9</v>
      </c>
      <c r="CJ251" s="16">
        <v>5.8124425554370959E-8</v>
      </c>
      <c r="CK251" s="16">
        <v>6.1651449254718688E-7</v>
      </c>
      <c r="CL251" s="16">
        <v>6.519970910972365E-6</v>
      </c>
      <c r="CM251" s="16">
        <v>6.8749667457442521E-5</v>
      </c>
      <c r="CN251" s="16">
        <v>7.2280795027643817E-4</v>
      </c>
      <c r="CO251" s="16">
        <v>7.5771760417413792E-3</v>
      </c>
      <c r="CP251" s="16">
        <v>7.920064134404442E-2</v>
      </c>
      <c r="CQ251" s="16">
        <v>0.82545154974890111</v>
      </c>
      <c r="CR251" s="16">
        <v>7.7586777216697919E-2</v>
      </c>
      <c r="CS251" s="16">
        <v>7.2655362184022385E-3</v>
      </c>
      <c r="CT251" s="16">
        <v>6.7783903206476768E-4</v>
      </c>
      <c r="CU251" s="16">
        <v>6.3002707335942996E-5</v>
      </c>
      <c r="CV251" s="16">
        <v>5.833497922651935E-6</v>
      </c>
      <c r="CW251" s="16">
        <v>5.3371054550701624E-7</v>
      </c>
      <c r="CX251" s="16">
        <v>5.9395217573164276E-8</v>
      </c>
      <c r="DA251" s="9">
        <f t="shared" si="294"/>
        <v>7</v>
      </c>
      <c r="DB251" s="16">
        <v>1.5425574946470749E-24</v>
      </c>
      <c r="DC251" s="16">
        <v>1.0957375870421284E-22</v>
      </c>
      <c r="DD251" s="16">
        <v>7.9750323041479055E-21</v>
      </c>
      <c r="DE251" s="16">
        <v>5.7840277441122709E-19</v>
      </c>
      <c r="DF251" s="16">
        <v>4.1810589725825193E-17</v>
      </c>
      <c r="DG251" s="16">
        <v>3.0123480763416178E-15</v>
      </c>
      <c r="DH251" s="16">
        <v>2.1631759621089434E-13</v>
      </c>
      <c r="DI251" s="16">
        <v>1.5482862135448246E-11</v>
      </c>
      <c r="DJ251" s="16">
        <v>1.1045571312954471E-9</v>
      </c>
      <c r="DK251" s="16">
        <v>7.8542995571459141E-8</v>
      </c>
      <c r="DL251" s="16">
        <v>5.5669055657774879E-6</v>
      </c>
      <c r="DM251" s="16">
        <v>3.9328927546286531E-4</v>
      </c>
      <c r="DN251" s="16">
        <v>2.7695353583588624E-2</v>
      </c>
      <c r="DO251" s="16">
        <v>0.94403001315861224</v>
      </c>
      <c r="DP251" s="16">
        <v>2.7148758813304974E-2</v>
      </c>
      <c r="DQ251" s="16">
        <v>3.7785163151153112E-4</v>
      </c>
      <c r="DR251" s="16">
        <v>5.2409747217381498E-6</v>
      </c>
      <c r="DS251" s="16">
        <v>7.2446493299681131E-8</v>
      </c>
      <c r="DT251" s="16">
        <v>9.9800401199103794E-10</v>
      </c>
      <c r="DU251" s="16">
        <v>1.3698436704139209E-11</v>
      </c>
      <c r="DV251" s="16">
        <v>1.9262315432845221E-13</v>
      </c>
      <c r="DY251" s="9">
        <f t="shared" si="295"/>
        <v>7</v>
      </c>
      <c r="DZ251" s="16">
        <v>1.2821742183847228E-15</v>
      </c>
      <c r="EA251" s="16">
        <v>1.5924947280247007E-14</v>
      </c>
      <c r="EB251" s="16">
        <v>2.2837477180402286E-13</v>
      </c>
      <c r="EC251" s="16">
        <v>3.2455355480762071E-12</v>
      </c>
      <c r="ED251" s="16">
        <v>4.5924813116448575E-11</v>
      </c>
      <c r="EE251" s="16">
        <v>6.4707040403755495E-10</v>
      </c>
      <c r="EF251" s="16">
        <v>9.0783789436870348E-9</v>
      </c>
      <c r="EG251" s="16">
        <v>1.2683148659703564E-7</v>
      </c>
      <c r="EH251" s="16">
        <v>1.7644816713706075E-6</v>
      </c>
      <c r="EI251" s="16">
        <v>2.4444868828094428E-5</v>
      </c>
      <c r="EJ251" s="16">
        <v>3.3724683828997365E-4</v>
      </c>
      <c r="EK251" s="16">
        <v>4.6334738147183049E-3</v>
      </c>
      <c r="EL251" s="16">
        <v>6.3397646595704196E-2</v>
      </c>
      <c r="EM251" s="16">
        <v>0.86388520097151267</v>
      </c>
      <c r="EN251" s="16">
        <v>6.163932002072943E-2</v>
      </c>
      <c r="EO251" s="16">
        <v>4.3759994060267125E-3</v>
      </c>
      <c r="EP251" s="16">
        <v>3.0910420152119208E-4</v>
      </c>
      <c r="EQ251" s="16">
        <v>2.1723574641520561E-5</v>
      </c>
      <c r="ER251" s="16">
        <v>1.5189251437882463E-6</v>
      </c>
      <c r="ES251" s="16">
        <v>1.0517087061027574E-7</v>
      </c>
      <c r="ET251" s="16">
        <v>8.3909851820400435E-9</v>
      </c>
      <c r="EW251" s="9">
        <f t="shared" si="296"/>
        <v>7</v>
      </c>
      <c r="EX251" s="16">
        <v>1.2821742183847648E-15</v>
      </c>
      <c r="EY251" s="16">
        <v>1.5924947280247487E-14</v>
      </c>
      <c r="EZ251" s="16">
        <v>2.2837477180402917E-13</v>
      </c>
      <c r="FA251" s="16">
        <v>3.2455355480762875E-12</v>
      </c>
      <c r="FB251" s="16">
        <v>4.5924813116449602E-11</v>
      </c>
      <c r="FC251" s="16">
        <v>6.4707040403756767E-10</v>
      </c>
      <c r="FD251" s="16">
        <v>9.0783789436871936E-9</v>
      </c>
      <c r="FE251" s="16">
        <v>1.2683148659703752E-7</v>
      </c>
      <c r="FF251" s="16">
        <v>1.7644816713706291E-6</v>
      </c>
      <c r="FG251" s="16">
        <v>2.4444868828094672E-5</v>
      </c>
      <c r="FH251" s="16">
        <v>3.3724683828997626E-4</v>
      </c>
      <c r="FI251" s="16">
        <v>4.6334738147183275E-3</v>
      </c>
      <c r="FJ251" s="16">
        <v>6.3397646595704335E-2</v>
      </c>
      <c r="FK251" s="16">
        <v>0.86388520097151233</v>
      </c>
      <c r="FL251" s="16">
        <v>6.1639320020729561E-2</v>
      </c>
      <c r="FM251" s="16">
        <v>4.3759994060267324E-3</v>
      </c>
      <c r="FN251" s="16">
        <v>3.0910420152119436E-4</v>
      </c>
      <c r="FO251" s="16">
        <v>2.1723574641520778E-5</v>
      </c>
      <c r="FP251" s="16">
        <v>1.5189251437882654E-6</v>
      </c>
      <c r="FQ251" s="16">
        <v>1.0517087061027731E-7</v>
      </c>
      <c r="FR251" s="16">
        <v>8.3909851820401924E-9</v>
      </c>
      <c r="FU251" s="9">
        <f t="shared" si="297"/>
        <v>7</v>
      </c>
      <c r="FV251" s="16">
        <v>1.2840567496993834E-15</v>
      </c>
      <c r="FW251" s="16">
        <v>1.5946256449675858E-14</v>
      </c>
      <c r="FX251" s="16">
        <v>2.2865472982988098E-13</v>
      </c>
      <c r="FY251" s="16">
        <v>3.2491466746024479E-12</v>
      </c>
      <c r="FZ251" s="16">
        <v>4.5970713319825095E-11</v>
      </c>
      <c r="GA251" s="16">
        <v>6.4764392958674292E-10</v>
      </c>
      <c r="GB251" s="16">
        <v>9.085399048752106E-9</v>
      </c>
      <c r="GC251" s="16">
        <v>1.2691522973042894E-7</v>
      </c>
      <c r="GD251" s="16">
        <v>1.7654474113883595E-6</v>
      </c>
      <c r="GE251" s="16">
        <v>2.445548844846996E-5</v>
      </c>
      <c r="GF251" s="16">
        <v>3.3735529640737153E-4</v>
      </c>
      <c r="GG251" s="16">
        <v>4.6344413936283933E-3</v>
      </c>
      <c r="GH251" s="16">
        <v>6.3403739525457373E-2</v>
      </c>
      <c r="GI251" s="16">
        <v>0.86387090138142109</v>
      </c>
      <c r="GJ251" s="16">
        <v>6.1645238291525947E-2</v>
      </c>
      <c r="GK251" s="16">
        <v>4.3769120168795222E-3</v>
      </c>
      <c r="GL251" s="16">
        <v>3.0920343976173189E-4</v>
      </c>
      <c r="GM251" s="16">
        <v>2.1732992252459049E-5</v>
      </c>
      <c r="GN251" s="16">
        <v>1.5197543949255188E-6</v>
      </c>
      <c r="GO251" s="16">
        <v>1.0524000016501437E-7</v>
      </c>
      <c r="GP251" s="16">
        <v>8.3975819591943955E-9</v>
      </c>
      <c r="GS251" s="9">
        <f t="shared" si="298"/>
        <v>7</v>
      </c>
      <c r="GT251" s="16">
        <v>2.5909884612671679E-23</v>
      </c>
      <c r="GU251" s="16">
        <v>1.4830682611856393E-21</v>
      </c>
      <c r="GV251" s="16">
        <v>8.7432828847540516E-20</v>
      </c>
      <c r="GW251" s="16">
        <v>5.1293077585941201E-18</v>
      </c>
      <c r="GX251" s="16">
        <v>2.9953408065742644E-16</v>
      </c>
      <c r="GY251" s="16">
        <v>1.7411914008718738E-14</v>
      </c>
      <c r="GZ251" s="16">
        <v>1.0075555626814628E-12</v>
      </c>
      <c r="HA251" s="16">
        <v>5.8039420184138962E-11</v>
      </c>
      <c r="HB251" s="16">
        <v>3.3282654415800131E-9</v>
      </c>
      <c r="HC251" s="16">
        <v>1.9000404634156979E-7</v>
      </c>
      <c r="HD251" s="16">
        <v>1.0798584910216436E-5</v>
      </c>
      <c r="HE251" s="16">
        <v>6.1099683266653375E-4</v>
      </c>
      <c r="HF251" s="16">
        <v>3.4418196224685463E-2</v>
      </c>
      <c r="HG251" s="16">
        <v>0.93029258067456133</v>
      </c>
      <c r="HH251" s="16">
        <v>3.3483913020064343E-2</v>
      </c>
      <c r="HI251" s="16">
        <v>5.7809288591171041E-4</v>
      </c>
      <c r="HJ251" s="16">
        <v>9.9334029503833921E-6</v>
      </c>
      <c r="HK251" s="16">
        <v>1.69874446680767E-7</v>
      </c>
      <c r="HL251" s="16">
        <v>2.8911997860874454E-9</v>
      </c>
      <c r="HM251" s="16">
        <v>4.8957160644641478E-11</v>
      </c>
      <c r="HN251" s="16">
        <v>8.536111165476325E-13</v>
      </c>
      <c r="HQ251" s="9">
        <f t="shared" si="299"/>
        <v>7</v>
      </c>
      <c r="HR251" s="16">
        <v>1.2695927765584794E-13</v>
      </c>
      <c r="HS251" s="16">
        <v>1.1069300394593918E-12</v>
      </c>
      <c r="HT251" s="16">
        <v>1.1792645220119818E-11</v>
      </c>
      <c r="HU251" s="16">
        <v>1.24044869956354E-10</v>
      </c>
      <c r="HV251" s="16">
        <v>1.2992876878200257E-9</v>
      </c>
      <c r="HW251" s="16">
        <v>1.3553008285169191E-8</v>
      </c>
      <c r="HX251" s="16">
        <v>1.4079258357243241E-7</v>
      </c>
      <c r="HY251" s="16">
        <v>1.4566222687023119E-6</v>
      </c>
      <c r="HZ251" s="16">
        <v>1.5008818721572162E-5</v>
      </c>
      <c r="IA251" s="16">
        <v>1.5402375216283512E-4</v>
      </c>
      <c r="IB251" s="16">
        <v>1.5742715652350611E-3</v>
      </c>
      <c r="IC251" s="16">
        <v>1.6026231934922357E-2</v>
      </c>
      <c r="ID251" s="16">
        <v>0.16249948287307167</v>
      </c>
      <c r="IE251" s="16">
        <v>0.64115736777832488</v>
      </c>
      <c r="IF251" s="16">
        <v>0.15794693557775882</v>
      </c>
      <c r="IG251" s="16">
        <v>1.5122669110375041E-2</v>
      </c>
      <c r="IH251" s="16">
        <v>1.4404313662798873E-3</v>
      </c>
      <c r="II251" s="16">
        <v>1.3648777939435182E-4</v>
      </c>
      <c r="IJ251" s="16">
        <v>1.2864367449285872E-5</v>
      </c>
      <c r="IK251" s="16">
        <v>1.1960958360387196E-6</v>
      </c>
      <c r="IL251" s="16">
        <v>1.3542283730204123E-7</v>
      </c>
      <c r="IO251" s="9">
        <f t="shared" si="300"/>
        <v>7</v>
      </c>
      <c r="IP251" s="16">
        <v>2.5998168650238421E-23</v>
      </c>
      <c r="IQ251" s="16">
        <v>1.4877186868679534E-21</v>
      </c>
      <c r="IR251" s="16">
        <v>8.7684042512566633E-20</v>
      </c>
      <c r="IS251" s="16">
        <v>5.1426988670809866E-18</v>
      </c>
      <c r="IT251" s="16">
        <v>3.0023747186184376E-16</v>
      </c>
      <c r="IU251" s="16">
        <v>1.7448234525721797E-14</v>
      </c>
      <c r="IV251" s="16">
        <v>1.0093930668340457E-12</v>
      </c>
      <c r="IW251" s="16">
        <v>5.8130053715531672E-11</v>
      </c>
      <c r="IX251" s="16">
        <v>3.3325906566707428E-9</v>
      </c>
      <c r="IY251" s="16">
        <v>1.9020119235936027E-7</v>
      </c>
      <c r="IZ251" s="16">
        <v>1.0806961700408215E-5</v>
      </c>
      <c r="JA251" s="16">
        <v>6.1131086413659594E-4</v>
      </c>
      <c r="JB251" s="16">
        <v>3.4426879755575485E-2</v>
      </c>
      <c r="JC251" s="16">
        <v>0.93027466228028788</v>
      </c>
      <c r="JD251" s="16">
        <v>3.3492359153567366E-2</v>
      </c>
      <c r="JE251" s="16">
        <v>5.7838991874435035E-4</v>
      </c>
      <c r="JF251" s="16">
        <v>9.9411055980708812E-6</v>
      </c>
      <c r="JG251" s="16">
        <v>1.7005062109369092E-7</v>
      </c>
      <c r="JH251" s="16">
        <v>2.8949548368260032E-9</v>
      </c>
      <c r="JI251" s="16">
        <v>4.9033552550025237E-11</v>
      </c>
      <c r="JJ251" s="16">
        <v>8.5517415525881615E-13</v>
      </c>
      <c r="JM251" s="9">
        <f t="shared" si="301"/>
        <v>7</v>
      </c>
      <c r="JN251" s="16">
        <v>1.2693444962981617E-13</v>
      </c>
      <c r="JO251" s="16">
        <v>1.1067337097746897E-12</v>
      </c>
      <c r="JP251" s="16">
        <v>1.1790728619268726E-11</v>
      </c>
      <c r="JQ251" s="16">
        <v>1.2402658042094368E-10</v>
      </c>
      <c r="JR251" s="16">
        <v>1.2991157091900037E-9</v>
      </c>
      <c r="JS251" s="16">
        <v>1.3551418618060012E-8</v>
      </c>
      <c r="JT251" s="16">
        <v>1.4077819044099965E-7</v>
      </c>
      <c r="JU251" s="16">
        <v>1.4564952889994089E-6</v>
      </c>
      <c r="JV251" s="16">
        <v>1.5007736183307034E-5</v>
      </c>
      <c r="JW251" s="16">
        <v>1.5401495932578022E-4</v>
      </c>
      <c r="JX251" s="16">
        <v>1.5742053572603038E-3</v>
      </c>
      <c r="JY251" s="16">
        <v>1.6025798698135581E-2</v>
      </c>
      <c r="JZ251" s="16">
        <v>0.1624975300033332</v>
      </c>
      <c r="KA251" s="16">
        <v>0.64116227414623583</v>
      </c>
      <c r="KB251" s="16">
        <v>0.15794504010266169</v>
      </c>
      <c r="KC251" s="16">
        <v>1.5122261062648617E-2</v>
      </c>
      <c r="KD251" s="16">
        <v>1.4403709317504401E-3</v>
      </c>
      <c r="KE251" s="16">
        <v>1.3648001042205975E-4</v>
      </c>
      <c r="KF251" s="16">
        <v>1.2863442857778469E-5</v>
      </c>
      <c r="KG251" s="16">
        <v>1.1959922879999005E-6</v>
      </c>
      <c r="KH251" s="16">
        <v>1.3540868097011723E-7</v>
      </c>
      <c r="KK251" s="9">
        <f t="shared" si="302"/>
        <v>7</v>
      </c>
      <c r="KL251" s="16">
        <v>2.6879950354242034E-24</v>
      </c>
      <c r="KM251" s="16">
        <v>1.8417843419138908E-22</v>
      </c>
      <c r="KN251" s="16">
        <v>1.2925713306833342E-20</v>
      </c>
      <c r="KO251" s="16">
        <v>9.0275635307809532E-19</v>
      </c>
      <c r="KP251" s="16">
        <v>6.2760040124701284E-17</v>
      </c>
      <c r="KQ251" s="16">
        <v>4.3431217489416578E-15</v>
      </c>
      <c r="KR251" s="16">
        <v>2.9918262114730749E-13</v>
      </c>
      <c r="KS251" s="16">
        <v>2.0516139164537544E-11</v>
      </c>
      <c r="KT251" s="16">
        <v>1.4005192607524068E-9</v>
      </c>
      <c r="KU251" s="16">
        <v>9.5175657209934606E-8</v>
      </c>
      <c r="KV251" s="16">
        <v>6.4389511625563933E-6</v>
      </c>
      <c r="KW251" s="16">
        <v>4.3367644653895102E-4</v>
      </c>
      <c r="KX251" s="16">
        <v>2.9079499012178871E-2</v>
      </c>
      <c r="KY251" s="16">
        <v>0.94127577753116198</v>
      </c>
      <c r="KZ251" s="16">
        <v>2.8291003398133809E-2</v>
      </c>
      <c r="LA251" s="16">
        <v>4.1035949053612551E-4</v>
      </c>
      <c r="LB251" s="16">
        <v>5.9241532085922383E-6</v>
      </c>
      <c r="LC251" s="16">
        <v>8.5118569383180309E-8</v>
      </c>
      <c r="LD251" s="16">
        <v>1.2171639354794926E-9</v>
      </c>
      <c r="LE251" s="16">
        <v>1.7318269476991633E-11</v>
      </c>
      <c r="LF251" s="16">
        <v>2.5233367726412016E-13</v>
      </c>
      <c r="LI251" s="9">
        <f t="shared" si="303"/>
        <v>7</v>
      </c>
      <c r="LJ251" s="16">
        <v>1.2692824329968724E-13</v>
      </c>
      <c r="LK251" s="16">
        <v>1.1066846321348207E-12</v>
      </c>
      <c r="LL251" s="16">
        <v>1.179024951129183E-11</v>
      </c>
      <c r="LM251" s="16">
        <v>1.2402200839694058E-10</v>
      </c>
      <c r="LN251" s="16">
        <v>1.2990727175099015E-9</v>
      </c>
      <c r="LO251" s="16">
        <v>1.3551021225048147E-8</v>
      </c>
      <c r="LP251" s="16">
        <v>1.4077459233930019E-7</v>
      </c>
      <c r="LQ251" s="16">
        <v>1.456463545371563E-6</v>
      </c>
      <c r="LR251" s="16">
        <v>1.5007465557240922E-5</v>
      </c>
      <c r="LS251" s="16">
        <v>1.5401276116465933E-4</v>
      </c>
      <c r="LT251" s="16">
        <v>1.5741888054705997E-3</v>
      </c>
      <c r="LU251" s="16">
        <v>1.602569038921537E-2</v>
      </c>
      <c r="LV251" s="16">
        <v>0.16249704178191515</v>
      </c>
      <c r="LW251" s="16">
        <v>0.64116350074504935</v>
      </c>
      <c r="LX251" s="16">
        <v>0.15794456623000738</v>
      </c>
      <c r="LY251" s="16">
        <v>1.5122159050972025E-2</v>
      </c>
      <c r="LZ251" s="16">
        <v>1.4403558233029329E-3</v>
      </c>
      <c r="MA251" s="16">
        <v>1.364780682212602E-4</v>
      </c>
      <c r="MB251" s="16">
        <v>1.2863211717115778E-5</v>
      </c>
      <c r="MC251" s="16">
        <v>1.195966402036319E-6</v>
      </c>
      <c r="MD251" s="16">
        <v>1.3540514207115265E-7</v>
      </c>
      <c r="MG251" s="9">
        <f t="shared" si="304"/>
        <v>7</v>
      </c>
      <c r="MH251" s="16">
        <v>8.8132985210453703E-24</v>
      </c>
      <c r="MI251" s="16">
        <v>5.4962213714393866E-22</v>
      </c>
      <c r="MJ251" s="16">
        <v>3.5205098122225269E-20</v>
      </c>
      <c r="MK251" s="16">
        <v>2.2440533596908234E-18</v>
      </c>
      <c r="ML251" s="16">
        <v>1.4238385849551799E-16</v>
      </c>
      <c r="MM251" s="16">
        <v>8.992859538885495E-15</v>
      </c>
      <c r="MN251" s="16">
        <v>5.6539735434828015E-13</v>
      </c>
      <c r="MO251" s="16">
        <v>3.5386531061955648E-11</v>
      </c>
      <c r="MP251" s="16">
        <v>2.2047519140505238E-9</v>
      </c>
      <c r="MQ251" s="16">
        <v>1.3675025896776345E-7</v>
      </c>
      <c r="MR251" s="16">
        <v>8.4440807493334918E-6</v>
      </c>
      <c r="MS251" s="16">
        <v>5.1908849000185139E-4</v>
      </c>
      <c r="MT251" s="16">
        <v>3.1769043823093174E-2</v>
      </c>
      <c r="MU251" s="16">
        <v>0.93575086978281952</v>
      </c>
      <c r="MV251" s="16">
        <v>3.0907144208928244E-2</v>
      </c>
      <c r="MW251" s="16">
        <v>4.9115657779863541E-4</v>
      </c>
      <c r="MX251" s="16">
        <v>7.7682532260940861E-6</v>
      </c>
      <c r="MY251" s="16">
        <v>1.222811944889878E-7</v>
      </c>
      <c r="MZ251" s="16">
        <v>1.9156640211977332E-9</v>
      </c>
      <c r="NA251" s="16">
        <v>2.9859948327407874E-11</v>
      </c>
      <c r="NB251" s="16">
        <v>4.779400743820954E-13</v>
      </c>
      <c r="NE251" s="9">
        <f t="shared" si="305"/>
        <v>7</v>
      </c>
      <c r="NF251" s="16">
        <v>1.2692824329968724E-13</v>
      </c>
      <c r="NG251" s="16">
        <v>1.1066846321348207E-12</v>
      </c>
      <c r="NH251" s="16">
        <v>1.179024951129183E-11</v>
      </c>
      <c r="NI251" s="16">
        <v>1.2402200839694058E-10</v>
      </c>
      <c r="NJ251" s="16">
        <v>1.2990727175099015E-9</v>
      </c>
      <c r="NK251" s="16">
        <v>1.3551021225048147E-8</v>
      </c>
      <c r="NL251" s="16">
        <v>1.4077459233930019E-7</v>
      </c>
      <c r="NM251" s="16">
        <v>1.456463545371563E-6</v>
      </c>
      <c r="NN251" s="16">
        <v>1.5007465557240922E-5</v>
      </c>
      <c r="NO251" s="16">
        <v>1.5401276116465933E-4</v>
      </c>
      <c r="NP251" s="16">
        <v>1.5741888054705997E-3</v>
      </c>
      <c r="NQ251" s="16">
        <v>1.602569038921537E-2</v>
      </c>
      <c r="NR251" s="16">
        <v>0.16249704178191515</v>
      </c>
      <c r="NS251" s="16">
        <v>0.64116350074504935</v>
      </c>
      <c r="NT251" s="16">
        <v>0.15794456623000738</v>
      </c>
      <c r="NU251" s="16">
        <v>1.5122159050972025E-2</v>
      </c>
      <c r="NV251" s="16">
        <v>1.4403558233029329E-3</v>
      </c>
      <c r="NW251" s="16">
        <v>1.364780682212602E-4</v>
      </c>
      <c r="NX251" s="16">
        <v>1.2863211717115778E-5</v>
      </c>
      <c r="NY251" s="16">
        <v>1.195966402036319E-6</v>
      </c>
      <c r="NZ251" s="16">
        <v>1.3540514207115265E-7</v>
      </c>
      <c r="OC251" s="9">
        <f t="shared" si="306"/>
        <v>7</v>
      </c>
      <c r="OD251" s="16">
        <v>2.5998168650238148E-23</v>
      </c>
      <c r="OE251" s="16">
        <v>1.4877186868679389E-21</v>
      </c>
      <c r="OF251" s="16">
        <v>8.7684042512565886E-20</v>
      </c>
      <c r="OG251" s="16">
        <v>5.1426988670809481E-18</v>
      </c>
      <c r="OH251" s="16">
        <v>3.0023747186184159E-16</v>
      </c>
      <c r="OI251" s="16">
        <v>1.744823452572169E-14</v>
      </c>
      <c r="OJ251" s="16">
        <v>1.0093930668340404E-12</v>
      </c>
      <c r="OK251" s="16">
        <v>5.8130053715531407E-11</v>
      </c>
      <c r="OL251" s="16">
        <v>3.3325906566707304E-9</v>
      </c>
      <c r="OM251" s="16">
        <v>1.9020119235935972E-7</v>
      </c>
      <c r="ON251" s="16">
        <v>1.080696170040819E-5</v>
      </c>
      <c r="OO251" s="16">
        <v>6.1131086413659496E-4</v>
      </c>
      <c r="OP251" s="16">
        <v>3.4426879755575464E-2</v>
      </c>
      <c r="OQ251" s="16">
        <v>0.93027466228028788</v>
      </c>
      <c r="OR251" s="16">
        <v>3.3492359153567346E-2</v>
      </c>
      <c r="OS251" s="16">
        <v>5.7838991874434949E-4</v>
      </c>
      <c r="OT251" s="16">
        <v>9.9411055980708558E-6</v>
      </c>
      <c r="OU251" s="16">
        <v>1.7005062109369033E-7</v>
      </c>
      <c r="OV251" s="16">
        <v>2.8949548368259908E-9</v>
      </c>
      <c r="OW251" s="16">
        <v>4.9033552550024966E-11</v>
      </c>
      <c r="OX251" s="16">
        <v>8.551741552588109E-13</v>
      </c>
      <c r="PA251" s="9">
        <f t="shared" si="307"/>
        <v>7</v>
      </c>
      <c r="PB251" s="16">
        <v>1.2687239850118909E-13</v>
      </c>
      <c r="PC251" s="16">
        <v>1.1062430194261566E-12</v>
      </c>
      <c r="PD251" s="16">
        <v>1.1785938299640858E-11</v>
      </c>
      <c r="PE251" s="16">
        <v>1.2398086665742502E-10</v>
      </c>
      <c r="PF251" s="16">
        <v>1.2986858459767756E-9</v>
      </c>
      <c r="PG251" s="16">
        <v>1.3547445115683285E-8</v>
      </c>
      <c r="PH251" s="16">
        <v>1.4074221268464755E-7</v>
      </c>
      <c r="PI251" s="16">
        <v>1.4561778760816797E-6</v>
      </c>
      <c r="PJ251" s="16">
        <v>1.500503007564458E-5</v>
      </c>
      <c r="PK251" s="16">
        <v>1.5399297858113419E-4</v>
      </c>
      <c r="PL251" s="16">
        <v>1.574039843035041E-3</v>
      </c>
      <c r="PM251" s="16">
        <v>1.6024715613910445E-2</v>
      </c>
      <c r="PN251" s="16">
        <v>0.1624926477174492</v>
      </c>
      <c r="PO251" s="16">
        <v>0.64117454025741205</v>
      </c>
      <c r="PP251" s="16">
        <v>0.15794030130627629</v>
      </c>
      <c r="PQ251" s="16">
        <v>1.5121240950473389E-2</v>
      </c>
      <c r="PR251" s="16">
        <v>1.4402198506028041E-3</v>
      </c>
      <c r="PS251" s="16">
        <v>1.3646058917498062E-4</v>
      </c>
      <c r="PT251" s="16">
        <v>1.2861131581002805E-5</v>
      </c>
      <c r="PU251" s="16">
        <v>1.1957334471934417E-6</v>
      </c>
      <c r="PV251" s="16">
        <v>1.3537329529253777E-7</v>
      </c>
    </row>
    <row r="252" spans="3:438" x14ac:dyDescent="0.25">
      <c r="C252" s="1"/>
      <c r="D252" s="1"/>
      <c r="I252" s="9">
        <f t="shared" si="290"/>
        <v>6</v>
      </c>
      <c r="J252" s="16">
        <v>2.1889316270444769E-26</v>
      </c>
      <c r="K252" s="16">
        <v>1.5556926440904469E-24</v>
      </c>
      <c r="L252" s="16">
        <v>1.1328434761965006E-22</v>
      </c>
      <c r="M252" s="16">
        <v>8.2203084280301871E-21</v>
      </c>
      <c r="N252" s="16">
        <v>5.9451705022777491E-19</v>
      </c>
      <c r="O252" s="16">
        <v>4.2855191278829635E-17</v>
      </c>
      <c r="P252" s="16">
        <v>3.079004931022062E-15</v>
      </c>
      <c r="Q252" s="16">
        <v>2.2049057091010579E-13</v>
      </c>
      <c r="R252" s="16">
        <v>1.5737914661412571E-11</v>
      </c>
      <c r="S252" s="16">
        <v>1.1196613260490075E-9</v>
      </c>
      <c r="T252" s="16">
        <v>7.9398678327614032E-8</v>
      </c>
      <c r="U252" s="16">
        <v>5.612181565670486E-6</v>
      </c>
      <c r="V252" s="16">
        <v>3.954091372478884E-4</v>
      </c>
      <c r="W252" s="16">
        <v>2.7769171193159831E-2</v>
      </c>
      <c r="X252" s="16">
        <v>0.94394964631175704</v>
      </c>
      <c r="Y252" s="16">
        <v>2.7041837899562677E-2</v>
      </c>
      <c r="Z252" s="16">
        <v>3.748925861778551E-4</v>
      </c>
      <c r="AA252" s="16">
        <v>5.1795502591448922E-6</v>
      </c>
      <c r="AB252" s="16">
        <v>7.1315983886377965E-8</v>
      </c>
      <c r="AC252" s="16">
        <v>9.7837557170592063E-10</v>
      </c>
      <c r="AD252" s="16">
        <v>1.375045091572787E-11</v>
      </c>
      <c r="AF252" s="19"/>
      <c r="AG252" s="9">
        <f t="shared" si="291"/>
        <v>6</v>
      </c>
      <c r="AH252" s="16">
        <v>4.4415264175604801E-15</v>
      </c>
      <c r="AI252" s="16">
        <v>3.9543815147227303E-14</v>
      </c>
      <c r="AJ252" s="16">
        <v>4.2928187445139779E-13</v>
      </c>
      <c r="AK252" s="16">
        <v>4.6077744041768844E-12</v>
      </c>
      <c r="AL252" s="16">
        <v>4.9306621557093318E-11</v>
      </c>
      <c r="AM252" s="16">
        <v>5.2604400844087575E-10</v>
      </c>
      <c r="AN252" s="16">
        <v>5.5956034272578654E-9</v>
      </c>
      <c r="AO252" s="16">
        <v>5.9345075618379964E-8</v>
      </c>
      <c r="AP252" s="16">
        <v>6.2753827172681424E-7</v>
      </c>
      <c r="AQ252" s="16">
        <v>6.616348016132521E-6</v>
      </c>
      <c r="AR252" s="16">
        <v>6.9554279717677371E-5</v>
      </c>
      <c r="AS252" s="16">
        <v>7.2905707695273669E-4</v>
      </c>
      <c r="AT252" s="16">
        <v>7.6196686313257413E-3</v>
      </c>
      <c r="AU252" s="16">
        <v>7.9405800021373249E-2</v>
      </c>
      <c r="AV252" s="16">
        <v>0.82511526532297719</v>
      </c>
      <c r="AW252" s="16">
        <v>7.7275402223008938E-2</v>
      </c>
      <c r="AX252" s="16">
        <v>7.2101923404008506E-3</v>
      </c>
      <c r="AY252" s="16">
        <v>6.7023352232330701E-4</v>
      </c>
      <c r="AZ252" s="16">
        <v>6.2064406368925537E-5</v>
      </c>
      <c r="BA252" s="16">
        <v>5.6789128227338661E-6</v>
      </c>
      <c r="BB252" s="16">
        <v>6.3207239193632648E-7</v>
      </c>
      <c r="BE252" s="9">
        <f t="shared" si="292"/>
        <v>6</v>
      </c>
      <c r="BF252" s="16">
        <v>4.4348277343829924E-15</v>
      </c>
      <c r="BG252" s="16">
        <v>3.9489306764605814E-14</v>
      </c>
      <c r="BH252" s="16">
        <v>4.2873571496873876E-13</v>
      </c>
      <c r="BI252" s="16">
        <v>4.6024092458277595E-12</v>
      </c>
      <c r="BJ252" s="16">
        <v>4.9254530281802375E-11</v>
      </c>
      <c r="BK252" s="16">
        <v>5.255449973213383E-10</v>
      </c>
      <c r="BL252" s="16">
        <v>5.590898781116002E-9</v>
      </c>
      <c r="BM252" s="16">
        <v>5.9301577470182931E-8</v>
      </c>
      <c r="BN252" s="16">
        <v>6.2714593858598225E-7</v>
      </c>
      <c r="BO252" s="16">
        <v>6.6129244000939387E-6</v>
      </c>
      <c r="BP252" s="16">
        <v>6.9525781109032648E-5</v>
      </c>
      <c r="BQ252" s="16">
        <v>7.288368683565779E-4</v>
      </c>
      <c r="BR252" s="16">
        <v>7.6181874475440533E-3</v>
      </c>
      <c r="BS252" s="16">
        <v>7.939891051558659E-2</v>
      </c>
      <c r="BT252" s="16">
        <v>0.82513245497663046</v>
      </c>
      <c r="BU252" s="16">
        <v>7.7268704174525901E-2</v>
      </c>
      <c r="BV252" s="16">
        <v>7.2087925890317248E-3</v>
      </c>
      <c r="BW252" s="16">
        <v>6.7003142080623835E-4</v>
      </c>
      <c r="BX252" s="16">
        <v>6.2039030807726196E-5</v>
      </c>
      <c r="BY252" s="16">
        <v>5.6759915601488502E-6</v>
      </c>
      <c r="BZ252" s="16">
        <v>6.3166590298158921E-7</v>
      </c>
      <c r="CC252" s="9">
        <f t="shared" si="293"/>
        <v>6</v>
      </c>
      <c r="CD252" s="16">
        <v>4.4348277343828441E-15</v>
      </c>
      <c r="CE252" s="16">
        <v>3.9489306764604615E-14</v>
      </c>
      <c r="CF252" s="16">
        <v>4.2873571496872705E-13</v>
      </c>
      <c r="CG252" s="16">
        <v>4.6024092458276432E-12</v>
      </c>
      <c r="CH252" s="16">
        <v>4.9254530281801244E-11</v>
      </c>
      <c r="CI252" s="16">
        <v>5.2554499732132755E-10</v>
      </c>
      <c r="CJ252" s="16">
        <v>5.5908987811159028E-9</v>
      </c>
      <c r="CK252" s="16">
        <v>5.9301577470181998E-8</v>
      </c>
      <c r="CL252" s="16">
        <v>6.2714593858597378E-7</v>
      </c>
      <c r="CM252" s="16">
        <v>6.6129244000938642E-6</v>
      </c>
      <c r="CN252" s="16">
        <v>6.9525781109032011E-5</v>
      </c>
      <c r="CO252" s="16">
        <v>7.2883686835657302E-4</v>
      </c>
      <c r="CP252" s="16">
        <v>7.6181874475440212E-3</v>
      </c>
      <c r="CQ252" s="16">
        <v>7.939891051558641E-2</v>
      </c>
      <c r="CR252" s="16">
        <v>0.8251324549766309</v>
      </c>
      <c r="CS252" s="16">
        <v>7.7268704174525762E-2</v>
      </c>
      <c r="CT252" s="16">
        <v>7.2087925890316944E-3</v>
      </c>
      <c r="CU252" s="16">
        <v>6.700314208062339E-4</v>
      </c>
      <c r="CV252" s="16">
        <v>6.203903080772564E-5</v>
      </c>
      <c r="CW252" s="16">
        <v>5.6759915601487824E-6</v>
      </c>
      <c r="CX252" s="16">
        <v>6.3166590298158E-7</v>
      </c>
      <c r="DA252" s="9">
        <f t="shared" si="294"/>
        <v>6</v>
      </c>
      <c r="DB252" s="16">
        <v>2.2045258949426801E-26</v>
      </c>
      <c r="DC252" s="16">
        <v>1.5659590602482195E-24</v>
      </c>
      <c r="DD252" s="16">
        <v>1.1397413249430216E-22</v>
      </c>
      <c r="DE252" s="16">
        <v>8.2661677008543126E-21</v>
      </c>
      <c r="DF252" s="16">
        <v>5.9753058186329947E-19</v>
      </c>
      <c r="DG252" s="16">
        <v>4.305057906703977E-17</v>
      </c>
      <c r="DH252" s="16">
        <v>3.0914746713397356E-15</v>
      </c>
      <c r="DI252" s="16">
        <v>2.2127130187281874E-13</v>
      </c>
      <c r="DJ252" s="16">
        <v>1.5785633967189866E-11</v>
      </c>
      <c r="DK252" s="16">
        <v>1.122486962103577E-9</v>
      </c>
      <c r="DL252" s="16">
        <v>7.9558703756872496E-8</v>
      </c>
      <c r="DM252" s="16">
        <v>5.6206423097344463E-6</v>
      </c>
      <c r="DN252" s="16">
        <v>3.9580452823629518E-4</v>
      </c>
      <c r="DO252" s="16">
        <v>2.7782851008314912E-2</v>
      </c>
      <c r="DP252" s="16">
        <v>0.94392162084744047</v>
      </c>
      <c r="DQ252" s="16">
        <v>2.7055157881021703E-2</v>
      </c>
      <c r="DR252" s="16">
        <v>3.7526739789329767E-4</v>
      </c>
      <c r="DS252" s="16">
        <v>5.1873570224069221E-6</v>
      </c>
      <c r="DT252" s="16">
        <v>7.1459678504753514E-8</v>
      </c>
      <c r="DU252" s="16">
        <v>9.8084363502968923E-10</v>
      </c>
      <c r="DV252" s="16">
        <v>1.379231798219096E-11</v>
      </c>
      <c r="DY252" s="9">
        <f t="shared" si="295"/>
        <v>6</v>
      </c>
      <c r="DZ252" s="16">
        <v>9.4441838270378488E-17</v>
      </c>
      <c r="EA252" s="16">
        <v>1.1729929318030592E-15</v>
      </c>
      <c r="EB252" s="16">
        <v>1.6821530923404118E-14</v>
      </c>
      <c r="EC252" s="16">
        <v>2.3905826442082324E-13</v>
      </c>
      <c r="ED252" s="16">
        <v>3.3827101736650173E-12</v>
      </c>
      <c r="EE252" s="16">
        <v>4.7661634098874624E-11</v>
      </c>
      <c r="EF252" s="16">
        <v>6.6869133980639721E-10</v>
      </c>
      <c r="EG252" s="16">
        <v>9.3420992038656023E-9</v>
      </c>
      <c r="EH252" s="16">
        <v>1.2996743363672017E-7</v>
      </c>
      <c r="EI252" s="16">
        <v>1.8005496564358449E-6</v>
      </c>
      <c r="EJ252" s="16">
        <v>2.4840782868885735E-5</v>
      </c>
      <c r="EK252" s="16">
        <v>3.4129042556396E-4</v>
      </c>
      <c r="EL252" s="16">
        <v>4.6697166427640338E-3</v>
      </c>
      <c r="EM252" s="16">
        <v>6.3631685354824732E-2</v>
      </c>
      <c r="EN252" s="16">
        <v>0.86353827364009195</v>
      </c>
      <c r="EO252" s="16">
        <v>6.130572127109031E-2</v>
      </c>
      <c r="EP252" s="16">
        <v>4.3304064429448997E-3</v>
      </c>
      <c r="EQ252" s="16">
        <v>3.0433720126895637E-4</v>
      </c>
      <c r="ER252" s="16">
        <v>2.1279436502776477E-5</v>
      </c>
      <c r="ES252" s="16">
        <v>1.4733950993210236E-6</v>
      </c>
      <c r="ET252" s="16">
        <v>1.1755380909136617E-7</v>
      </c>
      <c r="EW252" s="9">
        <f t="shared" si="296"/>
        <v>6</v>
      </c>
      <c r="EX252" s="16">
        <v>9.4441838270381816E-17</v>
      </c>
      <c r="EY252" s="16">
        <v>1.1729929318030972E-15</v>
      </c>
      <c r="EZ252" s="16">
        <v>1.682153092340462E-14</v>
      </c>
      <c r="FA252" s="16">
        <v>2.390582644208297E-13</v>
      </c>
      <c r="FB252" s="16">
        <v>3.3827101736651013E-12</v>
      </c>
      <c r="FC252" s="16">
        <v>4.7661634098875684E-11</v>
      </c>
      <c r="FD252" s="16">
        <v>6.6869133980641054E-10</v>
      </c>
      <c r="FE252" s="16">
        <v>9.3420992038657628E-9</v>
      </c>
      <c r="FF252" s="16">
        <v>1.2996743363672208E-7</v>
      </c>
      <c r="FG252" s="16">
        <v>1.8005496564358671E-6</v>
      </c>
      <c r="FH252" s="16">
        <v>2.4840782868885982E-5</v>
      </c>
      <c r="FI252" s="16">
        <v>3.4129042556396244E-4</v>
      </c>
      <c r="FJ252" s="16">
        <v>4.6697166427640555E-3</v>
      </c>
      <c r="FK252" s="16">
        <v>6.3631685354824871E-2</v>
      </c>
      <c r="FL252" s="16">
        <v>0.8635382736400915</v>
      </c>
      <c r="FM252" s="16">
        <v>6.1305721271090421E-2</v>
      </c>
      <c r="FN252" s="16">
        <v>4.3304064429449205E-3</v>
      </c>
      <c r="FO252" s="16">
        <v>3.0433720126895865E-4</v>
      </c>
      <c r="FP252" s="16">
        <v>2.1279436502776687E-5</v>
      </c>
      <c r="FQ252" s="16">
        <v>1.4733950993210419E-6</v>
      </c>
      <c r="FR252" s="16">
        <v>1.1755380909136794E-7</v>
      </c>
      <c r="FU252" s="9">
        <f t="shared" si="297"/>
        <v>6</v>
      </c>
      <c r="FV252" s="16">
        <v>9.4591147791259947E-17</v>
      </c>
      <c r="FW252" s="16">
        <v>1.1746947328470908E-15</v>
      </c>
      <c r="FX252" s="16">
        <v>1.6844047856586158E-14</v>
      </c>
      <c r="FY252" s="16">
        <v>2.3935119173257244E-13</v>
      </c>
      <c r="FZ252" s="16">
        <v>3.3864722402053082E-12</v>
      </c>
      <c r="GA252" s="16">
        <v>4.7709248577988583E-11</v>
      </c>
      <c r="GB252" s="16">
        <v>6.6928375584979466E-10</v>
      </c>
      <c r="GC252" s="16">
        <v>9.3493198452508204E-9</v>
      </c>
      <c r="GD252" s="16">
        <v>1.3005320601868238E-7</v>
      </c>
      <c r="GE252" s="16">
        <v>1.8015346460958548E-6</v>
      </c>
      <c r="GF252" s="16">
        <v>2.4851568833001169E-5</v>
      </c>
      <c r="GG252" s="16">
        <v>3.4140012183828063E-4</v>
      </c>
      <c r="GH252" s="16">
        <v>4.6706911492620361E-3</v>
      </c>
      <c r="GI252" s="16">
        <v>6.3637794921657095E-2</v>
      </c>
      <c r="GJ252" s="16">
        <v>0.86352393935747884</v>
      </c>
      <c r="GK252" s="16">
        <v>6.1311601865548314E-2</v>
      </c>
      <c r="GL252" s="16">
        <v>4.3313089504698598E-3</v>
      </c>
      <c r="GM252" s="16">
        <v>3.0443485342887875E-4</v>
      </c>
      <c r="GN252" s="16">
        <v>2.1288656485610939E-5</v>
      </c>
      <c r="GO252" s="16">
        <v>1.4741975542491715E-6</v>
      </c>
      <c r="GP252" s="16">
        <v>1.1763297953668008E-7</v>
      </c>
      <c r="GS252" s="9">
        <f t="shared" si="298"/>
        <v>6</v>
      </c>
      <c r="GT252" s="16">
        <v>4.6397451838311123E-25</v>
      </c>
      <c r="GU252" s="16">
        <v>2.6557659074882764E-23</v>
      </c>
      <c r="GV252" s="16">
        <v>1.5656806374031788E-21</v>
      </c>
      <c r="GW252" s="16">
        <v>9.1851744324964949E-20</v>
      </c>
      <c r="GX252" s="16">
        <v>5.3638286271791697E-18</v>
      </c>
      <c r="GY252" s="16">
        <v>3.1179932049455759E-16</v>
      </c>
      <c r="GZ252" s="16">
        <v>1.8042539128511864E-14</v>
      </c>
      <c r="HA252" s="16">
        <v>1.0393258183018264E-12</v>
      </c>
      <c r="HB252" s="16">
        <v>5.9600047564588819E-11</v>
      </c>
      <c r="HC252" s="16">
        <v>3.4024480313222801E-9</v>
      </c>
      <c r="HD252" s="16">
        <v>1.9337285008542434E-7</v>
      </c>
      <c r="HE252" s="16">
        <v>1.0941266833408328E-5</v>
      </c>
      <c r="HF252" s="16">
        <v>6.1633489518335633E-4</v>
      </c>
      <c r="HG252" s="16">
        <v>3.4566212233108927E-2</v>
      </c>
      <c r="HH252" s="16">
        <v>0.93010743722112599</v>
      </c>
      <c r="HI252" s="16">
        <v>3.3322908760222078E-2</v>
      </c>
      <c r="HJ252" s="16">
        <v>5.7258943720110104E-4</v>
      </c>
      <c r="HK252" s="16">
        <v>9.7920435026784684E-6</v>
      </c>
      <c r="HL252" s="16">
        <v>1.6665693183098535E-7</v>
      </c>
      <c r="HM252" s="16">
        <v>2.8220291878320725E-9</v>
      </c>
      <c r="HN252" s="16">
        <v>4.920455872513937E-11</v>
      </c>
      <c r="HQ252" s="9">
        <f t="shared" si="299"/>
        <v>6</v>
      </c>
      <c r="HR252" s="16">
        <v>1.261365671518568E-14</v>
      </c>
      <c r="HS252" s="16">
        <v>1.0997570073859486E-13</v>
      </c>
      <c r="HT252" s="16">
        <v>1.1716227542959332E-12</v>
      </c>
      <c r="HU252" s="16">
        <v>1.2324104514446477E-11</v>
      </c>
      <c r="HV252" s="16">
        <v>1.2908681563906371E-10</v>
      </c>
      <c r="HW252" s="16">
        <v>1.3465183255893955E-9</v>
      </c>
      <c r="HX252" s="16">
        <v>1.398802316787561E-8</v>
      </c>
      <c r="HY252" s="16">
        <v>1.4471831913624324E-7</v>
      </c>
      <c r="HZ252" s="16">
        <v>1.4911559875722329E-6</v>
      </c>
      <c r="IA252" s="16">
        <v>1.5302566079757085E-5</v>
      </c>
      <c r="IB252" s="16">
        <v>1.5640701071237105E-4</v>
      </c>
      <c r="IC252" s="16">
        <v>1.5922380136174732E-3</v>
      </c>
      <c r="ID252" s="16">
        <v>1.6144646781248505E-2</v>
      </c>
      <c r="IE252" s="16">
        <v>0.1630522482088177</v>
      </c>
      <c r="IF252" s="16">
        <v>0.64025560932371361</v>
      </c>
      <c r="IG252" s="16">
        <v>0.15704668625259496</v>
      </c>
      <c r="IH252" s="16">
        <v>1.4958667097553393E-2</v>
      </c>
      <c r="II252" s="16">
        <v>1.4174054402309524E-3</v>
      </c>
      <c r="IJ252" s="16">
        <v>1.3359455688017696E-4</v>
      </c>
      <c r="IK252" s="16">
        <v>1.2421278685621492E-5</v>
      </c>
      <c r="IL252" s="16">
        <v>1.4063461738125965E-6</v>
      </c>
      <c r="IO252" s="9">
        <f t="shared" si="300"/>
        <v>6</v>
      </c>
      <c r="IP252" s="16">
        <v>4.6567719838524905E-25</v>
      </c>
      <c r="IQ252" s="16">
        <v>2.6647902758323584E-23</v>
      </c>
      <c r="IR252" s="16">
        <v>1.5705898292174764E-21</v>
      </c>
      <c r="IS252" s="16">
        <v>9.2115626788170177E-20</v>
      </c>
      <c r="IT252" s="16">
        <v>5.3778305167510813E-18</v>
      </c>
      <c r="IU252" s="16">
        <v>3.125314355798822E-16</v>
      </c>
      <c r="IV252" s="16">
        <v>1.8080171021140833E-14</v>
      </c>
      <c r="IW252" s="16">
        <v>1.04122105369851E-12</v>
      </c>
      <c r="IX252" s="16">
        <v>5.9693107666222348E-11</v>
      </c>
      <c r="IY252" s="16">
        <v>3.4068691367854663E-9</v>
      </c>
      <c r="IZ252" s="16">
        <v>1.9357346724714911E-7</v>
      </c>
      <c r="JA252" s="16">
        <v>1.094975320698156E-5</v>
      </c>
      <c r="JB252" s="16">
        <v>6.166516237894788E-4</v>
      </c>
      <c r="JC252" s="16">
        <v>3.4574931370655371E-2</v>
      </c>
      <c r="JD252" s="16">
        <v>0.93008947198977121</v>
      </c>
      <c r="JE252" s="16">
        <v>3.3331312606403388E-2</v>
      </c>
      <c r="JF252" s="16">
        <v>5.7288359911581495E-4</v>
      </c>
      <c r="JG252" s="16">
        <v>9.7996355518985767E-6</v>
      </c>
      <c r="JH252" s="16">
        <v>1.668297484457314E-7</v>
      </c>
      <c r="JI252" s="16">
        <v>2.8256935594511741E-9</v>
      </c>
      <c r="JJ252" s="16">
        <v>4.9281766811788786E-11</v>
      </c>
      <c r="JM252" s="9">
        <f t="shared" si="301"/>
        <v>6</v>
      </c>
      <c r="JN252" s="16">
        <v>1.2611000956641813E-14</v>
      </c>
      <c r="JO252" s="16">
        <v>1.0995454672407493E-13</v>
      </c>
      <c r="JP252" s="16">
        <v>1.17141477613635E-12</v>
      </c>
      <c r="JQ252" s="16">
        <v>1.2322102698668304E-11</v>
      </c>
      <c r="JR252" s="16">
        <v>1.2906779443375972E-10</v>
      </c>
      <c r="JS252" s="16">
        <v>1.3463402067334901E-9</v>
      </c>
      <c r="JT252" s="16">
        <v>1.3986383519235974E-8</v>
      </c>
      <c r="JU252" s="16">
        <v>1.4470353427680785E-7</v>
      </c>
      <c r="JV252" s="16">
        <v>1.4910260840667504E-6</v>
      </c>
      <c r="JW252" s="16">
        <v>1.5301463117844829E-5</v>
      </c>
      <c r="JX252" s="16">
        <v>1.563980883381651E-4</v>
      </c>
      <c r="JY252" s="16">
        <v>1.5921711032941249E-3</v>
      </c>
      <c r="JZ252" s="16">
        <v>1.6144210750511721E-2</v>
      </c>
      <c r="KA252" s="16">
        <v>0.16305029146635305</v>
      </c>
      <c r="KB252" s="16">
        <v>0.64026052736010464</v>
      </c>
      <c r="KC252" s="16">
        <v>0.15704480425200254</v>
      </c>
      <c r="KD252" s="16">
        <v>1.4958263852866169E-2</v>
      </c>
      <c r="KE252" s="16">
        <v>1.4173460193716316E-3</v>
      </c>
      <c r="KF252" s="16">
        <v>1.3358695880448046E-4</v>
      </c>
      <c r="KG252" s="16">
        <v>1.2420389647932194E-5</v>
      </c>
      <c r="KH252" s="16">
        <v>1.4062202542910856E-6</v>
      </c>
      <c r="KK252" s="9">
        <f t="shared" si="302"/>
        <v>6</v>
      </c>
      <c r="KL252" s="16">
        <v>4.0439442946258277E-26</v>
      </c>
      <c r="KM252" s="16">
        <v>2.770865713387916E-24</v>
      </c>
      <c r="KN252" s="16">
        <v>1.9446042084258819E-22</v>
      </c>
      <c r="KO252" s="16">
        <v>1.3581484918521257E-20</v>
      </c>
      <c r="KP252" s="16">
        <v>9.4419112702237864E-19</v>
      </c>
      <c r="KQ252" s="16">
        <v>6.5339936220255042E-17</v>
      </c>
      <c r="KR252" s="16">
        <v>4.5010419955962407E-15</v>
      </c>
      <c r="KS252" s="16">
        <v>3.0865430489564822E-13</v>
      </c>
      <c r="KT252" s="16">
        <v>2.1070060767948839E-11</v>
      </c>
      <c r="KU252" s="16">
        <v>1.4318666920478083E-9</v>
      </c>
      <c r="KV252" s="16">
        <v>9.687056513884141E-8</v>
      </c>
      <c r="KW252" s="16">
        <v>6.5244294300492448E-6</v>
      </c>
      <c r="KX252" s="16">
        <v>4.3748545875688289E-4</v>
      </c>
      <c r="KY252" s="16">
        <v>2.920545239624505E-2</v>
      </c>
      <c r="KZ252" s="16">
        <v>0.94111941366983665</v>
      </c>
      <c r="LA252" s="16">
        <v>2.8155833232690535E-2</v>
      </c>
      <c r="LB252" s="16">
        <v>4.0647157829373423E-4</v>
      </c>
      <c r="LC252" s="16">
        <v>5.8402066963942762E-6</v>
      </c>
      <c r="LD252" s="16">
        <v>8.3512787140447429E-8</v>
      </c>
      <c r="LE252" s="16">
        <v>1.1882515660498537E-9</v>
      </c>
      <c r="LF252" s="16">
        <v>1.7313270680685459E-11</v>
      </c>
      <c r="LI252" s="9">
        <f t="shared" si="303"/>
        <v>6</v>
      </c>
      <c r="LJ252" s="16">
        <v>1.2610337095573683E-14</v>
      </c>
      <c r="LK252" s="16">
        <v>1.0994925878522289E-13</v>
      </c>
      <c r="LL252" s="16">
        <v>1.1713627866673488E-12</v>
      </c>
      <c r="LM252" s="16">
        <v>1.2321602288805522E-11</v>
      </c>
      <c r="LN252" s="16">
        <v>1.2906303950637903E-10</v>
      </c>
      <c r="LO252" s="16">
        <v>1.3462956801006327E-9</v>
      </c>
      <c r="LP252" s="16">
        <v>1.3985973631566948E-8</v>
      </c>
      <c r="LQ252" s="16">
        <v>1.4469983824786017E-7</v>
      </c>
      <c r="LR252" s="16">
        <v>1.4909936095167394E-6</v>
      </c>
      <c r="LS252" s="16">
        <v>1.5301187386016705E-5</v>
      </c>
      <c r="LT252" s="16">
        <v>1.5639585779339031E-4</v>
      </c>
      <c r="LU252" s="16">
        <v>1.5921543759189428E-3</v>
      </c>
      <c r="LV252" s="16">
        <v>1.6144101743102914E-2</v>
      </c>
      <c r="LW252" s="16">
        <v>0.16304980227673141</v>
      </c>
      <c r="LX252" s="16">
        <v>0.64026175687605569</v>
      </c>
      <c r="LY252" s="16">
        <v>0.15704433374798829</v>
      </c>
      <c r="LZ252" s="16">
        <v>1.4958163041943709E-2</v>
      </c>
      <c r="MA252" s="16">
        <v>1.4173311643381125E-3</v>
      </c>
      <c r="MB252" s="16">
        <v>1.3358505932682384E-4</v>
      </c>
      <c r="MC252" s="16">
        <v>1.2420167395389203E-5</v>
      </c>
      <c r="MD252" s="16">
        <v>1.4061887757521646E-6</v>
      </c>
      <c r="MG252" s="9">
        <f t="shared" si="304"/>
        <v>6</v>
      </c>
      <c r="MH252" s="16">
        <v>1.452658344377882E-25</v>
      </c>
      <c r="MI252" s="16">
        <v>9.0591868852553657E-24</v>
      </c>
      <c r="MJ252" s="16">
        <v>5.8027059255706084E-22</v>
      </c>
      <c r="MK252" s="16">
        <v>3.698777285711906E-20</v>
      </c>
      <c r="ML252" s="16">
        <v>2.3468523124949191E-18</v>
      </c>
      <c r="MM252" s="16">
        <v>1.4822546198549439E-16</v>
      </c>
      <c r="MN252" s="16">
        <v>9.3192030511839176E-15</v>
      </c>
      <c r="MO252" s="16">
        <v>5.8326107419358967E-13</v>
      </c>
      <c r="MP252" s="16">
        <v>3.6339983918401454E-11</v>
      </c>
      <c r="MQ252" s="16">
        <v>2.253996098180449E-9</v>
      </c>
      <c r="MR252" s="16">
        <v>1.3918017563831461E-7</v>
      </c>
      <c r="MS252" s="16">
        <v>8.555913823537015E-6</v>
      </c>
      <c r="MT252" s="16">
        <v>5.2363557744381233E-4</v>
      </c>
      <c r="MU252" s="16">
        <v>3.1906154624309922E-2</v>
      </c>
      <c r="MV252" s="16">
        <v>0.93558001119110268</v>
      </c>
      <c r="MW252" s="16">
        <v>3.0759000182146962E-2</v>
      </c>
      <c r="MX252" s="16">
        <v>4.8649191153529459E-4</v>
      </c>
      <c r="MY252" s="16">
        <v>7.6579393488281085E-6</v>
      </c>
      <c r="MZ252" s="16">
        <v>1.1996970546755279E-7</v>
      </c>
      <c r="NA252" s="16">
        <v>1.8699986879096411E-9</v>
      </c>
      <c r="NB252" s="16">
        <v>2.9931308058346541E-11</v>
      </c>
      <c r="NE252" s="9">
        <f t="shared" si="305"/>
        <v>6</v>
      </c>
      <c r="NF252" s="16">
        <v>1.2610337095573683E-14</v>
      </c>
      <c r="NG252" s="16">
        <v>1.0994925878522289E-13</v>
      </c>
      <c r="NH252" s="16">
        <v>1.1713627866673488E-12</v>
      </c>
      <c r="NI252" s="16">
        <v>1.2321602288805522E-11</v>
      </c>
      <c r="NJ252" s="16">
        <v>1.2906303950637903E-10</v>
      </c>
      <c r="NK252" s="16">
        <v>1.3462956801006327E-9</v>
      </c>
      <c r="NL252" s="16">
        <v>1.3985973631566948E-8</v>
      </c>
      <c r="NM252" s="16">
        <v>1.4469983824786017E-7</v>
      </c>
      <c r="NN252" s="16">
        <v>1.4909936095167394E-6</v>
      </c>
      <c r="NO252" s="16">
        <v>1.5301187386016705E-5</v>
      </c>
      <c r="NP252" s="16">
        <v>1.5639585779339031E-4</v>
      </c>
      <c r="NQ252" s="16">
        <v>1.5921543759189428E-3</v>
      </c>
      <c r="NR252" s="16">
        <v>1.6144101743102914E-2</v>
      </c>
      <c r="NS252" s="16">
        <v>0.16304980227673141</v>
      </c>
      <c r="NT252" s="16">
        <v>0.64026175687605569</v>
      </c>
      <c r="NU252" s="16">
        <v>0.15704433374798829</v>
      </c>
      <c r="NV252" s="16">
        <v>1.4958163041943709E-2</v>
      </c>
      <c r="NW252" s="16">
        <v>1.4173311643381125E-3</v>
      </c>
      <c r="NX252" s="16">
        <v>1.3358505932682384E-4</v>
      </c>
      <c r="NY252" s="16">
        <v>1.2420167395389203E-5</v>
      </c>
      <c r="NZ252" s="16">
        <v>1.4061887757521646E-6</v>
      </c>
      <c r="OC252" s="9">
        <f t="shared" si="306"/>
        <v>6</v>
      </c>
      <c r="OD252" s="16">
        <v>4.6567719838524381E-25</v>
      </c>
      <c r="OE252" s="16">
        <v>2.6647902758323308E-23</v>
      </c>
      <c r="OF252" s="16">
        <v>1.5705898292174618E-21</v>
      </c>
      <c r="OG252" s="16">
        <v>9.2115626788169395E-20</v>
      </c>
      <c r="OH252" s="16">
        <v>5.3778305167510397E-18</v>
      </c>
      <c r="OI252" s="16">
        <v>3.1253143557988003E-16</v>
      </c>
      <c r="OJ252" s="16">
        <v>1.8080171021140722E-14</v>
      </c>
      <c r="OK252" s="16">
        <v>1.0412210536985047E-12</v>
      </c>
      <c r="OL252" s="16">
        <v>5.9693107666222102E-11</v>
      </c>
      <c r="OM252" s="16">
        <v>3.4068691367854534E-9</v>
      </c>
      <c r="ON252" s="16">
        <v>1.9357346724714847E-7</v>
      </c>
      <c r="OO252" s="16">
        <v>1.0949753206981535E-5</v>
      </c>
      <c r="OP252" s="16">
        <v>6.1665162378947782E-4</v>
      </c>
      <c r="OQ252" s="16">
        <v>3.4574931370655343E-2</v>
      </c>
      <c r="OR252" s="16">
        <v>0.93008947198977121</v>
      </c>
      <c r="OS252" s="16">
        <v>3.333131260640336E-2</v>
      </c>
      <c r="OT252" s="16">
        <v>5.7288359911581387E-4</v>
      </c>
      <c r="OU252" s="16">
        <v>9.7996355518985495E-6</v>
      </c>
      <c r="OV252" s="16">
        <v>1.6682974844573084E-7</v>
      </c>
      <c r="OW252" s="16">
        <v>2.8256935594511608E-9</v>
      </c>
      <c r="OX252" s="16">
        <v>4.9281766811788528E-11</v>
      </c>
      <c r="PA252" s="9">
        <f t="shared" si="307"/>
        <v>6</v>
      </c>
      <c r="PB252" s="16">
        <v>1.2604363759905775E-14</v>
      </c>
      <c r="PC252" s="16">
        <v>1.0990167749979997E-13</v>
      </c>
      <c r="PD252" s="16">
        <v>1.1708949727082399E-12</v>
      </c>
      <c r="PE252" s="16">
        <v>1.2317099393402829E-11</v>
      </c>
      <c r="PF252" s="16">
        <v>1.2902025189016052E-10</v>
      </c>
      <c r="PG252" s="16">
        <v>1.3458949958594065E-9</v>
      </c>
      <c r="PH252" s="16">
        <v>1.3982285083344555E-8</v>
      </c>
      <c r="PI252" s="16">
        <v>1.4466657733351248E-7</v>
      </c>
      <c r="PJ252" s="16">
        <v>1.4907013624399807E-6</v>
      </c>
      <c r="PK252" s="16">
        <v>1.5298705955257893E-5</v>
      </c>
      <c r="PL252" s="16">
        <v>1.5637578376838759E-4</v>
      </c>
      <c r="PM252" s="16">
        <v>1.5920038332441237E-3</v>
      </c>
      <c r="PN252" s="16">
        <v>1.6143120681380959E-2</v>
      </c>
      <c r="PO252" s="16">
        <v>0.16304539949803715</v>
      </c>
      <c r="PP252" s="16">
        <v>0.64027282264298035</v>
      </c>
      <c r="PQ252" s="16">
        <v>0.15704009914226988</v>
      </c>
      <c r="PR252" s="16">
        <v>1.4957255748130175E-2</v>
      </c>
      <c r="PS252" s="16">
        <v>1.4171974723000916E-3</v>
      </c>
      <c r="PT252" s="16">
        <v>1.3356796477072402E-4</v>
      </c>
      <c r="PU252" s="16">
        <v>1.2418167246326936E-5</v>
      </c>
      <c r="PV252" s="16">
        <v>1.4059054930468766E-6</v>
      </c>
    </row>
    <row r="253" spans="3:438" x14ac:dyDescent="0.25">
      <c r="C253" s="1"/>
      <c r="D253" s="1"/>
      <c r="I253" s="9">
        <f t="shared" si="290"/>
        <v>5</v>
      </c>
      <c r="J253" s="16">
        <v>3.1367174750169232E-28</v>
      </c>
      <c r="K253" s="16">
        <v>2.2292922456707852E-26</v>
      </c>
      <c r="L253" s="16">
        <v>1.62335355035385E-24</v>
      </c>
      <c r="M253" s="16">
        <v>1.1779621061552352E-22</v>
      </c>
      <c r="N253" s="16">
        <v>8.5193708090503275E-21</v>
      </c>
      <c r="O253" s="16">
        <v>6.141106726161181E-19</v>
      </c>
      <c r="P253" s="16">
        <v>4.4121837582658933E-17</v>
      </c>
      <c r="Q253" s="16">
        <v>3.1596081773646642E-15</v>
      </c>
      <c r="R253" s="16">
        <v>2.2552276795155838E-13</v>
      </c>
      <c r="S253" s="16">
        <v>1.6044636589497189E-11</v>
      </c>
      <c r="T253" s="16">
        <v>1.1377752449022194E-9</v>
      </c>
      <c r="U253" s="16">
        <v>8.0422009406366687E-8</v>
      </c>
      <c r="V253" s="16">
        <v>5.6661740150443501E-6</v>
      </c>
      <c r="W253" s="16">
        <v>3.9792948976633848E-4</v>
      </c>
      <c r="X253" s="16">
        <v>2.7856607080834865E-2</v>
      </c>
      <c r="Y253" s="16">
        <v>0.94384130268286959</v>
      </c>
      <c r="Z253" s="16">
        <v>2.6948304911401638E-2</v>
      </c>
      <c r="AA253" s="16">
        <v>3.7232024540796558E-4</v>
      </c>
      <c r="AB253" s="16">
        <v>5.1263880633664088E-6</v>
      </c>
      <c r="AC253" s="16">
        <v>7.0328313219002397E-8</v>
      </c>
      <c r="AD253" s="16">
        <v>9.8842003712098212E-10</v>
      </c>
      <c r="AF253" s="19"/>
      <c r="AG253" s="9">
        <f t="shared" si="291"/>
        <v>5</v>
      </c>
      <c r="AH253" s="16">
        <v>4.285000877664144E-16</v>
      </c>
      <c r="AI253" s="16">
        <v>3.8150236356159264E-15</v>
      </c>
      <c r="AJ253" s="16">
        <v>4.1415338688897942E-14</v>
      </c>
      <c r="AK253" s="16">
        <v>4.4453900550750167E-13</v>
      </c>
      <c r="AL253" s="16">
        <v>4.7568987952309449E-12</v>
      </c>
      <c r="AM253" s="16">
        <v>5.0750548931715833E-11</v>
      </c>
      <c r="AN253" s="16">
        <v>5.3984066158115886E-10</v>
      </c>
      <c r="AO253" s="16">
        <v>5.7253672995031875E-9</v>
      </c>
      <c r="AP253" s="16">
        <v>6.054229542541323E-8</v>
      </c>
      <c r="AQ253" s="16">
        <v>6.3831787522342742E-7</v>
      </c>
      <c r="AR253" s="16">
        <v>6.710309060803566E-6</v>
      </c>
      <c r="AS253" s="16">
        <v>7.0336409623914878E-5</v>
      </c>
      <c r="AT253" s="16">
        <v>7.3511409599301674E-4</v>
      </c>
      <c r="AU253" s="16">
        <v>7.6607429697579778E-3</v>
      </c>
      <c r="AV253" s="16">
        <v>7.9603706106626926E-2</v>
      </c>
      <c r="AW253" s="16">
        <v>0.82479606246125003</v>
      </c>
      <c r="AX253" s="16">
        <v>7.6957713332744981E-2</v>
      </c>
      <c r="AY253" s="16">
        <v>7.1537119735262744E-3</v>
      </c>
      <c r="AZ253" s="16">
        <v>6.624420775495183E-4</v>
      </c>
      <c r="BA253" s="16">
        <v>6.0613659722329341E-5</v>
      </c>
      <c r="BB253" s="16">
        <v>6.7464006017728442E-6</v>
      </c>
      <c r="BE253" s="9">
        <f t="shared" si="292"/>
        <v>5</v>
      </c>
      <c r="BF253" s="16">
        <v>4.2780782864655055E-16</v>
      </c>
      <c r="BG253" s="16">
        <v>3.809355310635071E-15</v>
      </c>
      <c r="BH253" s="16">
        <v>4.1358200649369953E-14</v>
      </c>
      <c r="BI253" s="16">
        <v>4.4397366119437726E-13</v>
      </c>
      <c r="BJ253" s="16">
        <v>4.7513623781815905E-12</v>
      </c>
      <c r="BK253" s="16">
        <v>5.069695546841334E-11</v>
      </c>
      <c r="BL253" s="16">
        <v>5.393287881709914E-10</v>
      </c>
      <c r="BM253" s="16">
        <v>5.7205557041470495E-9</v>
      </c>
      <c r="BN253" s="16">
        <v>6.0497940010357503E-8</v>
      </c>
      <c r="BO253" s="16">
        <v>6.3791898987967836E-7</v>
      </c>
      <c r="BP253" s="16">
        <v>6.7068385138411217E-6</v>
      </c>
      <c r="BQ253" s="16">
        <v>7.0307605337585833E-5</v>
      </c>
      <c r="BR253" s="16">
        <v>7.3489218191913894E-4</v>
      </c>
      <c r="BS253" s="16">
        <v>7.6592547758341919E-3</v>
      </c>
      <c r="BT253" s="16">
        <v>7.9596806246288551E-2</v>
      </c>
      <c r="BU253" s="16">
        <v>0.82481328180668545</v>
      </c>
      <c r="BV253" s="16">
        <v>7.6951049415724879E-2</v>
      </c>
      <c r="BW253" s="16">
        <v>7.1523241008484362E-3</v>
      </c>
      <c r="BX253" s="16">
        <v>6.6224245827972282E-4</v>
      </c>
      <c r="BY253" s="16">
        <v>6.058899623396133E-5</v>
      </c>
      <c r="BZ253" s="16">
        <v>6.7427871608515265E-6</v>
      </c>
      <c r="CC253" s="9">
        <f t="shared" si="293"/>
        <v>5</v>
      </c>
      <c r="CD253" s="16">
        <v>4.2780782864653531E-16</v>
      </c>
      <c r="CE253" s="16">
        <v>3.8093553106349471E-15</v>
      </c>
      <c r="CF253" s="16">
        <v>4.1358200649368722E-14</v>
      </c>
      <c r="CG253" s="16">
        <v>4.4397366119436504E-13</v>
      </c>
      <c r="CH253" s="16">
        <v>4.7513623781814693E-12</v>
      </c>
      <c r="CI253" s="16">
        <v>5.0696955468412183E-11</v>
      </c>
      <c r="CJ253" s="16">
        <v>5.3932878817098065E-10</v>
      </c>
      <c r="CK253" s="16">
        <v>5.720555704146947E-9</v>
      </c>
      <c r="CL253" s="16">
        <v>6.0497940010356564E-8</v>
      </c>
      <c r="CM253" s="16">
        <v>6.3791898987966968E-7</v>
      </c>
      <c r="CN253" s="16">
        <v>6.7068385138410463E-6</v>
      </c>
      <c r="CO253" s="16">
        <v>7.0307605337585209E-5</v>
      </c>
      <c r="CP253" s="16">
        <v>7.3489218191913406E-4</v>
      </c>
      <c r="CQ253" s="16">
        <v>7.6592547758341598E-3</v>
      </c>
      <c r="CR253" s="16">
        <v>7.9596806246288412E-2</v>
      </c>
      <c r="CS253" s="16">
        <v>0.82481328180668589</v>
      </c>
      <c r="CT253" s="16">
        <v>7.6951049415724726E-2</v>
      </c>
      <c r="CU253" s="16">
        <v>7.152324100848405E-3</v>
      </c>
      <c r="CV253" s="16">
        <v>6.6224245827971838E-4</v>
      </c>
      <c r="CW253" s="16">
        <v>6.0588996233960754E-5</v>
      </c>
      <c r="CX253" s="16">
        <v>6.7427871608514444E-6</v>
      </c>
      <c r="DA253" s="9">
        <f t="shared" si="294"/>
        <v>5</v>
      </c>
      <c r="DB253" s="16">
        <v>3.1606655321506543E-28</v>
      </c>
      <c r="DC253" s="16">
        <v>2.2451416142763285E-26</v>
      </c>
      <c r="DD253" s="16">
        <v>1.6340661407421536E-24</v>
      </c>
      <c r="DE253" s="16">
        <v>1.1851342456445296E-22</v>
      </c>
      <c r="DF253" s="16">
        <v>8.5668955798333255E-21</v>
      </c>
      <c r="DG253" s="16">
        <v>6.1722333000700341E-19</v>
      </c>
      <c r="DH253" s="16">
        <v>4.4322987811736878E-17</v>
      </c>
      <c r="DI253" s="16">
        <v>3.1724035480277493E-15</v>
      </c>
      <c r="DJ253" s="16">
        <v>2.2632126616294913E-13</v>
      </c>
      <c r="DK253" s="16">
        <v>1.6093282730532494E-11</v>
      </c>
      <c r="DL253" s="16">
        <v>1.1406464007694036E-9</v>
      </c>
      <c r="DM253" s="16">
        <v>8.058408593738568E-8</v>
      </c>
      <c r="DN253" s="16">
        <v>5.6747155147303713E-6</v>
      </c>
      <c r="DO253" s="16">
        <v>3.9832736720536998E-4</v>
      </c>
      <c r="DP253" s="16">
        <v>2.7870328392648296E-2</v>
      </c>
      <c r="DQ253" s="16">
        <v>0.9438132237475465</v>
      </c>
      <c r="DR253" s="16">
        <v>2.6961577296061873E-2</v>
      </c>
      <c r="DS253" s="16">
        <v>3.7269245371978932E-4</v>
      </c>
      <c r="DT253" s="16">
        <v>5.1341141180227567E-6</v>
      </c>
      <c r="DU253" s="16">
        <v>7.0469994541659001E-8</v>
      </c>
      <c r="DV253" s="16">
        <v>9.9092713477454796E-10</v>
      </c>
      <c r="DY253" s="9">
        <f t="shared" si="295"/>
        <v>5</v>
      </c>
      <c r="DZ253" s="16">
        <v>6.9846994479826295E-18</v>
      </c>
      <c r="EA253" s="16">
        <v>8.6751838309166771E-17</v>
      </c>
      <c r="EB253" s="16">
        <v>1.2440814357991487E-15</v>
      </c>
      <c r="EC253" s="16">
        <v>1.768019511390137E-14</v>
      </c>
      <c r="ED253" s="16">
        <v>2.5017740352576236E-13</v>
      </c>
      <c r="EE253" s="16">
        <v>3.5249439811547363E-12</v>
      </c>
      <c r="EF253" s="16">
        <v>4.9454861505818808E-11</v>
      </c>
      <c r="EG253" s="16">
        <v>6.909200026944533E-10</v>
      </c>
      <c r="EH253" s="16">
        <v>9.6120901350862728E-9</v>
      </c>
      <c r="EI253" s="16">
        <v>1.3316447902430646E-7</v>
      </c>
      <c r="EJ253" s="16">
        <v>1.8371667215438164E-6</v>
      </c>
      <c r="EK253" s="16">
        <v>2.5241048784053855E-5</v>
      </c>
      <c r="EL253" s="16">
        <v>3.4536141877682374E-4</v>
      </c>
      <c r="EM253" s="16">
        <v>4.7060519544275857E-3</v>
      </c>
      <c r="EN253" s="16">
        <v>6.3865289088698401E-2</v>
      </c>
      <c r="EO253" s="16">
        <v>0.86319125030609622</v>
      </c>
      <c r="EP253" s="16">
        <v>6.0972595612897251E-2</v>
      </c>
      <c r="EQ253" s="16">
        <v>4.2851010286031731E-3</v>
      </c>
      <c r="ER253" s="16">
        <v>2.9961678975144268E-4</v>
      </c>
      <c r="ES253" s="16">
        <v>2.0745563898577557E-5</v>
      </c>
      <c r="ET253" s="16">
        <v>1.6551704693126411E-6</v>
      </c>
      <c r="EW253" s="9">
        <f t="shared" si="296"/>
        <v>5</v>
      </c>
      <c r="EX253" s="16">
        <v>6.984699447982893E-18</v>
      </c>
      <c r="EY253" s="16">
        <v>8.6751838309169803E-17</v>
      </c>
      <c r="EZ253" s="16">
        <v>1.2440814357991889E-15</v>
      </c>
      <c r="FA253" s="16">
        <v>1.7680195113901894E-14</v>
      </c>
      <c r="FB253" s="16">
        <v>2.5017740352576922E-13</v>
      </c>
      <c r="FC253" s="16">
        <v>3.5249439811548231E-12</v>
      </c>
      <c r="FD253" s="16">
        <v>4.9454861505819926E-11</v>
      </c>
      <c r="FE253" s="16">
        <v>6.9092000269446684E-10</v>
      </c>
      <c r="FF253" s="16">
        <v>9.6120901350864382E-9</v>
      </c>
      <c r="FG253" s="16">
        <v>1.3316447902430842E-7</v>
      </c>
      <c r="FH253" s="16">
        <v>1.837166721543839E-6</v>
      </c>
      <c r="FI253" s="16">
        <v>2.5241048784054102E-5</v>
      </c>
      <c r="FJ253" s="16">
        <v>3.4536141877682618E-4</v>
      </c>
      <c r="FK253" s="16">
        <v>4.7060519544276083E-3</v>
      </c>
      <c r="FL253" s="16">
        <v>6.386528908869854E-2</v>
      </c>
      <c r="FM253" s="16">
        <v>0.86319125030609589</v>
      </c>
      <c r="FN253" s="16">
        <v>6.0972595612897397E-2</v>
      </c>
      <c r="FO253" s="16">
        <v>4.2851010286031948E-3</v>
      </c>
      <c r="FP253" s="16">
        <v>2.9961678975144496E-4</v>
      </c>
      <c r="FQ253" s="16">
        <v>2.0745563898577767E-5</v>
      </c>
      <c r="FR253" s="16">
        <v>1.6551704693126621E-6</v>
      </c>
      <c r="FU253" s="9">
        <f t="shared" si="297"/>
        <v>5</v>
      </c>
      <c r="FV253" s="16">
        <v>6.9965292214290585E-18</v>
      </c>
      <c r="FW253" s="16">
        <v>8.6887475377298197E-17</v>
      </c>
      <c r="FX253" s="16">
        <v>1.2458869121222742E-15</v>
      </c>
      <c r="FY253" s="16">
        <v>1.7703851219104722E-14</v>
      </c>
      <c r="FZ253" s="16">
        <v>2.504838194631148E-13</v>
      </c>
      <c r="GA253" s="16">
        <v>3.5288624739487756E-12</v>
      </c>
      <c r="GB253" s="16">
        <v>4.950424500149209E-11</v>
      </c>
      <c r="GC253" s="16">
        <v>6.915318296182891E-10</v>
      </c>
      <c r="GD253" s="16">
        <v>9.6195159642023071E-9</v>
      </c>
      <c r="GE253" s="16">
        <v>1.3325231894470296E-7</v>
      </c>
      <c r="GF253" s="16">
        <v>1.8381712411625268E-6</v>
      </c>
      <c r="GG253" s="16">
        <v>2.5252002797471871E-5</v>
      </c>
      <c r="GH253" s="16">
        <v>3.4547236050244185E-4</v>
      </c>
      <c r="GI253" s="16">
        <v>4.7070333974509968E-3</v>
      </c>
      <c r="GJ253" s="16">
        <v>6.3871415203150483E-2</v>
      </c>
      <c r="GK253" s="16">
        <v>0.86317688131309644</v>
      </c>
      <c r="GL253" s="16">
        <v>6.0978438633339384E-2</v>
      </c>
      <c r="GM253" s="16">
        <v>4.2859935044921556E-3</v>
      </c>
      <c r="GN253" s="16">
        <v>2.9971286923627236E-4</v>
      </c>
      <c r="GO253" s="16">
        <v>2.0754526200549694E-5</v>
      </c>
      <c r="GP253" s="16">
        <v>1.6560987696701199E-6</v>
      </c>
      <c r="GS253" s="9">
        <f t="shared" si="298"/>
        <v>5</v>
      </c>
      <c r="GT253" s="16">
        <v>8.3448671184156839E-27</v>
      </c>
      <c r="GU253" s="16">
        <v>4.7765583491179525E-25</v>
      </c>
      <c r="GV253" s="16">
        <v>2.815972936301987E-23</v>
      </c>
      <c r="GW253" s="16">
        <v>1.6520101225766476E-21</v>
      </c>
      <c r="GX253" s="16">
        <v>9.6471757319234465E-20</v>
      </c>
      <c r="GY253" s="16">
        <v>5.6079025766474038E-18</v>
      </c>
      <c r="GZ253" s="16">
        <v>3.2450616475865409E-16</v>
      </c>
      <c r="HA253" s="16">
        <v>1.8692914164104853E-14</v>
      </c>
      <c r="HB253" s="16">
        <v>1.0719435173098763E-12</v>
      </c>
      <c r="HC253" s="16">
        <v>6.1195120795954887E-11</v>
      </c>
      <c r="HD253" s="16">
        <v>3.4779296584985075E-9</v>
      </c>
      <c r="HE253" s="16">
        <v>1.9678541431564258E-7</v>
      </c>
      <c r="HF253" s="16">
        <v>1.1085162216820102E-5</v>
      </c>
      <c r="HG253" s="16">
        <v>6.216945897750155E-4</v>
      </c>
      <c r="HH253" s="16">
        <v>3.4714169528113514E-2</v>
      </c>
      <c r="HI253" s="16">
        <v>0.92992227978605679</v>
      </c>
      <c r="HJ253" s="16">
        <v>3.3161964340390301E-2</v>
      </c>
      <c r="HK253" s="16">
        <v>5.6711384520585686E-4</v>
      </c>
      <c r="HL253" s="16">
        <v>9.6520663347775893E-6</v>
      </c>
      <c r="HM253" s="16">
        <v>1.6344002388845992E-7</v>
      </c>
      <c r="HN253" s="16">
        <v>2.8497204380922426E-9</v>
      </c>
      <c r="HQ253" s="9">
        <f t="shared" si="299"/>
        <v>5</v>
      </c>
      <c r="HR253" s="16">
        <v>1.2581201811426914E-15</v>
      </c>
      <c r="HS253" s="16">
        <v>1.0969273356548504E-14</v>
      </c>
      <c r="HT253" s="16">
        <v>1.1686081721972721E-13</v>
      </c>
      <c r="HU253" s="16">
        <v>1.2292394627697471E-12</v>
      </c>
      <c r="HV253" s="16">
        <v>1.2875467562029756E-11</v>
      </c>
      <c r="HW253" s="16">
        <v>1.3430537376706672E-10</v>
      </c>
      <c r="HX253" s="16">
        <v>1.3952032023044291E-9</v>
      </c>
      <c r="HY253" s="16">
        <v>1.4434595930231478E-8</v>
      </c>
      <c r="HZ253" s="16">
        <v>1.4873192473502083E-7</v>
      </c>
      <c r="IA253" s="16">
        <v>1.5263192619657861E-6</v>
      </c>
      <c r="IB253" s="16">
        <v>1.5600457590742231E-5</v>
      </c>
      <c r="IC253" s="16">
        <v>1.5881411896226684E-4</v>
      </c>
      <c r="ID253" s="16">
        <v>1.6103106649838885E-3</v>
      </c>
      <c r="IE253" s="16">
        <v>1.6263271522621348E-2</v>
      </c>
      <c r="IF253" s="16">
        <v>0.1636035236188278</v>
      </c>
      <c r="IG253" s="16">
        <v>0.63935354588449411</v>
      </c>
      <c r="IH253" s="16">
        <v>0.15614811450804916</v>
      </c>
      <c r="II253" s="16">
        <v>1.4795782641737783E-2</v>
      </c>
      <c r="IJ253" s="16">
        <v>1.394545251213583E-3</v>
      </c>
      <c r="IK253" s="16">
        <v>1.2966123478047354E-4</v>
      </c>
      <c r="IL253" s="16">
        <v>1.4680338960305035E-5</v>
      </c>
      <c r="IO253" s="9">
        <f t="shared" si="300"/>
        <v>5</v>
      </c>
      <c r="IP253" s="16">
        <v>8.3776810948631418E-27</v>
      </c>
      <c r="IQ253" s="16">
        <v>4.7940425670459568E-25</v>
      </c>
      <c r="IR253" s="16">
        <v>2.8255411185355509E-23</v>
      </c>
      <c r="IS253" s="16">
        <v>1.6571894603400602E-21</v>
      </c>
      <c r="IT253" s="16">
        <v>9.6748883578128715E-20</v>
      </c>
      <c r="IU253" s="16">
        <v>5.6225400523947035E-18</v>
      </c>
      <c r="IV253" s="16">
        <v>3.2526803433994802E-16</v>
      </c>
      <c r="IW253" s="16">
        <v>1.8731898335136094E-14</v>
      </c>
      <c r="IX253" s="16">
        <v>1.0738980163147754E-12</v>
      </c>
      <c r="IY253" s="16">
        <v>6.1290660695626618E-11</v>
      </c>
      <c r="IZ253" s="16">
        <v>3.4824483196661479E-9</v>
      </c>
      <c r="JA253" s="16">
        <v>1.9698954716622483E-7</v>
      </c>
      <c r="JB253" s="16">
        <v>1.1093759086018022E-5</v>
      </c>
      <c r="JC253" s="16">
        <v>6.2201402581987645E-4</v>
      </c>
      <c r="JD253" s="16">
        <v>3.4722924242269027E-2</v>
      </c>
      <c r="JE253" s="16">
        <v>0.9299042677104965</v>
      </c>
      <c r="JF253" s="16">
        <v>3.3170325930175285E-2</v>
      </c>
      <c r="JG253" s="16">
        <v>5.674051513345819E-4</v>
      </c>
      <c r="JH253" s="16">
        <v>9.659548884511432E-6</v>
      </c>
      <c r="JI253" s="16">
        <v>1.6360946009006649E-7</v>
      </c>
      <c r="JJ253" s="16">
        <v>2.8534457437512665E-9</v>
      </c>
      <c r="JM253" s="9">
        <f t="shared" si="301"/>
        <v>5</v>
      </c>
      <c r="JN253" s="16">
        <v>1.2578364434365863E-15</v>
      </c>
      <c r="JO253" s="16">
        <v>1.0966999088066169E-14</v>
      </c>
      <c r="JP253" s="16">
        <v>1.1683832241947399E-13</v>
      </c>
      <c r="JQ253" s="16">
        <v>1.2290213827943904E-12</v>
      </c>
      <c r="JR253" s="16">
        <v>1.2873377463924638E-11</v>
      </c>
      <c r="JS253" s="16">
        <v>1.3428559581556703E-10</v>
      </c>
      <c r="JT253" s="16">
        <v>1.3950187588488296E-9</v>
      </c>
      <c r="JU253" s="16">
        <v>1.4432905011523564E-8</v>
      </c>
      <c r="JV253" s="16">
        <v>1.4871673970224804E-7</v>
      </c>
      <c r="JW253" s="16">
        <v>1.5261863839118491E-6</v>
      </c>
      <c r="JX253" s="16">
        <v>1.5599333936450999E-5</v>
      </c>
      <c r="JY253" s="16">
        <v>1.5880506589409417E-4</v>
      </c>
      <c r="JZ253" s="16">
        <v>1.6102430490911529E-3</v>
      </c>
      <c r="KA253" s="16">
        <v>1.6262832698567164E-2</v>
      </c>
      <c r="KB253" s="16">
        <v>0.16360156304305426</v>
      </c>
      <c r="KC253" s="16">
        <v>0.63935847559582171</v>
      </c>
      <c r="KD253" s="16">
        <v>0.1561462459340299</v>
      </c>
      <c r="KE253" s="16">
        <v>1.4795384162983259E-2</v>
      </c>
      <c r="KF253" s="16">
        <v>1.394486842072029E-3</v>
      </c>
      <c r="KG253" s="16">
        <v>1.296538980485285E-4</v>
      </c>
      <c r="KH253" s="16">
        <v>1.4679244585051005E-5</v>
      </c>
      <c r="KK253" s="9">
        <f t="shared" si="302"/>
        <v>5</v>
      </c>
      <c r="KL253" s="16">
        <v>6.1106185156636524E-28</v>
      </c>
      <c r="KM253" s="16">
        <v>4.1869279344789819E-26</v>
      </c>
      <c r="KN253" s="16">
        <v>2.9384021183071524E-24</v>
      </c>
      <c r="KO253" s="16">
        <v>2.052235816492659E-22</v>
      </c>
      <c r="KP253" s="16">
        <v>1.4267238524466667E-20</v>
      </c>
      <c r="KQ253" s="16">
        <v>9.8732177050602892E-19</v>
      </c>
      <c r="KR253" s="16">
        <v>6.801317860540642E-17</v>
      </c>
      <c r="KS253" s="16">
        <v>4.6639334595709459E-15</v>
      </c>
      <c r="KT253" s="16">
        <v>3.1838001237032228E-13</v>
      </c>
      <c r="KU253" s="16">
        <v>2.1636280034858826E-11</v>
      </c>
      <c r="KV253" s="16">
        <v>1.4637666244484618E-9</v>
      </c>
      <c r="KW253" s="16">
        <v>9.8587656937763654E-8</v>
      </c>
      <c r="KX253" s="16">
        <v>6.6106418631089672E-6</v>
      </c>
      <c r="KY253" s="16">
        <v>4.4131017929202457E-4</v>
      </c>
      <c r="KZ253" s="16">
        <v>2.9331364049817052E-2</v>
      </c>
      <c r="LA253" s="16">
        <v>0.940963039858706</v>
      </c>
      <c r="LB253" s="16">
        <v>2.8020705468064802E-2</v>
      </c>
      <c r="LC253" s="16">
        <v>4.0260308580302616E-4</v>
      </c>
      <c r="LD253" s="16">
        <v>5.7570746301691415E-6</v>
      </c>
      <c r="LE253" s="16">
        <v>8.1913838340226569E-8</v>
      </c>
      <c r="LF253" s="16">
        <v>1.1935153263822858E-9</v>
      </c>
      <c r="LI253" s="9">
        <f t="shared" si="303"/>
        <v>5</v>
      </c>
      <c r="LJ253" s="16">
        <v>1.2577655180681119E-15</v>
      </c>
      <c r="LK253" s="16">
        <v>1.0966430586993719E-14</v>
      </c>
      <c r="LL253" s="16">
        <v>1.1683269932058388E-13</v>
      </c>
      <c r="LM253" s="16">
        <v>1.2289668681139785E-12</v>
      </c>
      <c r="LN253" s="16">
        <v>1.2872854985388565E-11</v>
      </c>
      <c r="LO253" s="16">
        <v>1.3428065171620213E-10</v>
      </c>
      <c r="LP253" s="16">
        <v>1.3949726511727707E-9</v>
      </c>
      <c r="LQ253" s="16">
        <v>1.4432482307080801E-8</v>
      </c>
      <c r="LR253" s="16">
        <v>1.4871294363481503E-7</v>
      </c>
      <c r="LS253" s="16">
        <v>1.5261531657536577E-6</v>
      </c>
      <c r="LT253" s="16">
        <v>1.5599053031679594E-5</v>
      </c>
      <c r="LU253" s="16">
        <v>1.5880280267646548E-4</v>
      </c>
      <c r="LV253" s="16">
        <v>1.6102261453252919E-3</v>
      </c>
      <c r="LW253" s="16">
        <v>1.6262722992827869E-2</v>
      </c>
      <c r="LX253" s="16">
        <v>0.16360107289508335</v>
      </c>
      <c r="LY253" s="16">
        <v>0.639359708030525</v>
      </c>
      <c r="LZ253" s="16">
        <v>0.15614577878667299</v>
      </c>
      <c r="MA253" s="16">
        <v>1.4795284543538364E-2</v>
      </c>
      <c r="MB253" s="16">
        <v>1.394472239964325E-3</v>
      </c>
      <c r="MC253" s="16">
        <v>1.2965206390489278E-4</v>
      </c>
      <c r="MD253" s="16">
        <v>1.4678971000330025E-5</v>
      </c>
      <c r="MG253" s="9">
        <f t="shared" si="304"/>
        <v>5</v>
      </c>
      <c r="MH253" s="16">
        <v>2.4048525053369619E-27</v>
      </c>
      <c r="MI253" s="16">
        <v>1.4997338060693292E-25</v>
      </c>
      <c r="MJ253" s="16">
        <v>9.6062862522696989E-24</v>
      </c>
      <c r="MK253" s="16">
        <v>6.1232662564142833E-22</v>
      </c>
      <c r="ML253" s="16">
        <v>3.8851762255055818E-20</v>
      </c>
      <c r="MM253" s="16">
        <v>2.4538486629710797E-18</v>
      </c>
      <c r="MN253" s="16">
        <v>1.5427790637847063E-16</v>
      </c>
      <c r="MO253" s="16">
        <v>9.6557931943776243E-15</v>
      </c>
      <c r="MP253" s="16">
        <v>6.0160258403705669E-13</v>
      </c>
      <c r="MQ253" s="16">
        <v>3.731454257436145E-11</v>
      </c>
      <c r="MR253" s="16">
        <v>2.3041054035343864E-9</v>
      </c>
      <c r="MS253" s="16">
        <v>1.4164177608322573E-7</v>
      </c>
      <c r="MT253" s="16">
        <v>8.6687026937405186E-6</v>
      </c>
      <c r="MU253" s="16">
        <v>5.2820125379722744E-4</v>
      </c>
      <c r="MV253" s="16">
        <v>3.2043215510433966E-2</v>
      </c>
      <c r="MW253" s="16">
        <v>0.93540914070520675</v>
      </c>
      <c r="MX253" s="16">
        <v>3.0610906950449442E-2</v>
      </c>
      <c r="MY253" s="16">
        <v>4.8185070148315496E-4</v>
      </c>
      <c r="MZ253" s="16">
        <v>7.5486999965746735E-6</v>
      </c>
      <c r="NA253" s="16">
        <v>1.1766353042215315E-7</v>
      </c>
      <c r="NB253" s="16">
        <v>1.8833293301584771E-9</v>
      </c>
      <c r="NE253" s="9">
        <f t="shared" si="305"/>
        <v>5</v>
      </c>
      <c r="NF253" s="16">
        <v>1.2577655180681119E-15</v>
      </c>
      <c r="NG253" s="16">
        <v>1.0966430586993719E-14</v>
      </c>
      <c r="NH253" s="16">
        <v>1.1683269932058388E-13</v>
      </c>
      <c r="NI253" s="16">
        <v>1.2289668681139785E-12</v>
      </c>
      <c r="NJ253" s="16">
        <v>1.2872854985388565E-11</v>
      </c>
      <c r="NK253" s="16">
        <v>1.3428065171620213E-10</v>
      </c>
      <c r="NL253" s="16">
        <v>1.3949726511727707E-9</v>
      </c>
      <c r="NM253" s="16">
        <v>1.4432482307080801E-8</v>
      </c>
      <c r="NN253" s="16">
        <v>1.4871294363481503E-7</v>
      </c>
      <c r="NO253" s="16">
        <v>1.5261531657536577E-6</v>
      </c>
      <c r="NP253" s="16">
        <v>1.5599053031679594E-5</v>
      </c>
      <c r="NQ253" s="16">
        <v>1.5880280267646548E-4</v>
      </c>
      <c r="NR253" s="16">
        <v>1.6102261453252919E-3</v>
      </c>
      <c r="NS253" s="16">
        <v>1.6262722992827869E-2</v>
      </c>
      <c r="NT253" s="16">
        <v>0.16360107289508335</v>
      </c>
      <c r="NU253" s="16">
        <v>0.639359708030525</v>
      </c>
      <c r="NV253" s="16">
        <v>0.15614577878667299</v>
      </c>
      <c r="NW253" s="16">
        <v>1.4795284543538364E-2</v>
      </c>
      <c r="NX253" s="16">
        <v>1.394472239964325E-3</v>
      </c>
      <c r="NY253" s="16">
        <v>1.2965206390489278E-4</v>
      </c>
      <c r="NZ253" s="16">
        <v>1.4678971000330025E-5</v>
      </c>
      <c r="OC253" s="9">
        <f t="shared" si="306"/>
        <v>5</v>
      </c>
      <c r="OD253" s="16">
        <v>8.3776810948630399E-27</v>
      </c>
      <c r="OE253" s="16">
        <v>4.7940425670459017E-25</v>
      </c>
      <c r="OF253" s="16">
        <v>2.8255411185355215E-23</v>
      </c>
      <c r="OG253" s="16">
        <v>1.6571894603400447E-21</v>
      </c>
      <c r="OH253" s="16">
        <v>9.6748883578127872E-20</v>
      </c>
      <c r="OI253" s="16">
        <v>5.6225400523946588E-18</v>
      </c>
      <c r="OJ253" s="16">
        <v>3.252680343399457E-16</v>
      </c>
      <c r="OK253" s="16">
        <v>1.8731898335135983E-14</v>
      </c>
      <c r="OL253" s="16">
        <v>1.0738980163147697E-12</v>
      </c>
      <c r="OM253" s="16">
        <v>6.1290660695626346E-11</v>
      </c>
      <c r="ON253" s="16">
        <v>3.4824483196661347E-9</v>
      </c>
      <c r="OO253" s="16">
        <v>1.9698954716622425E-7</v>
      </c>
      <c r="OP253" s="16">
        <v>1.1093759086017998E-5</v>
      </c>
      <c r="OQ253" s="16">
        <v>6.2201402581987548E-4</v>
      </c>
      <c r="OR253" s="16">
        <v>3.4722924242268999E-2</v>
      </c>
      <c r="OS253" s="16">
        <v>0.9299042677104965</v>
      </c>
      <c r="OT253" s="16">
        <v>3.317032593017525E-2</v>
      </c>
      <c r="OU253" s="16">
        <v>5.6740515133458082E-4</v>
      </c>
      <c r="OV253" s="16">
        <v>9.6595488845114066E-6</v>
      </c>
      <c r="OW253" s="16">
        <v>1.6360946009006585E-7</v>
      </c>
      <c r="OX253" s="16">
        <v>2.8534457437512549E-9</v>
      </c>
      <c r="PA253" s="9">
        <f t="shared" si="307"/>
        <v>5</v>
      </c>
      <c r="PB253" s="16">
        <v>1.2571273527621285E-15</v>
      </c>
      <c r="PC253" s="16">
        <v>1.0961315265981621E-14</v>
      </c>
      <c r="PD253" s="16">
        <v>1.1678210224981621E-13</v>
      </c>
      <c r="PE253" s="16">
        <v>1.2284763316170959E-12</v>
      </c>
      <c r="PF253" s="16">
        <v>1.2868153506273687E-11</v>
      </c>
      <c r="PG253" s="16">
        <v>1.3423616181426201E-10</v>
      </c>
      <c r="PH253" s="16">
        <v>1.3945577394635379E-9</v>
      </c>
      <c r="PI253" s="16">
        <v>1.4428678421273667E-8</v>
      </c>
      <c r="PJ253" s="16">
        <v>1.4867878246137512E-7</v>
      </c>
      <c r="PK253" s="16">
        <v>1.5258542267240417E-6</v>
      </c>
      <c r="PL253" s="16">
        <v>1.5596525047157611E-5</v>
      </c>
      <c r="PM253" s="16">
        <v>1.5878243460725917E-4</v>
      </c>
      <c r="PN253" s="16">
        <v>1.6100740151643895E-3</v>
      </c>
      <c r="PO253" s="16">
        <v>1.6261735646111133E-2</v>
      </c>
      <c r="PP253" s="16">
        <v>0.16359666149084934</v>
      </c>
      <c r="PQ253" s="16">
        <v>0.6393708000665399</v>
      </c>
      <c r="PR253" s="16">
        <v>0.15614157439112269</v>
      </c>
      <c r="PS253" s="16">
        <v>1.4794387972922016E-2</v>
      </c>
      <c r="PT253" s="16">
        <v>1.3943408241933707E-3</v>
      </c>
      <c r="PU253" s="16">
        <v>1.2963555732047681E-4</v>
      </c>
      <c r="PV253" s="16">
        <v>1.4676508901501495E-5</v>
      </c>
    </row>
    <row r="254" spans="3:438" x14ac:dyDescent="0.25">
      <c r="C254" s="1"/>
      <c r="D254" s="1"/>
      <c r="I254" s="9">
        <f t="shared" si="290"/>
        <v>4</v>
      </c>
      <c r="J254" s="16">
        <v>4.50924182888067E-30</v>
      </c>
      <c r="K254" s="16">
        <v>3.2047571778595684E-28</v>
      </c>
      <c r="L254" s="16">
        <v>2.3336796477910495E-26</v>
      </c>
      <c r="M254" s="16">
        <v>1.6933995631477461E-24</v>
      </c>
      <c r="N254" s="16">
        <v>1.2247167146511158E-22</v>
      </c>
      <c r="O254" s="16">
        <v>8.8282529573617475E-21</v>
      </c>
      <c r="P254" s="16">
        <v>6.3428101886584948E-19</v>
      </c>
      <c r="Q254" s="16">
        <v>4.5421487493607599E-17</v>
      </c>
      <c r="R254" s="16">
        <v>3.2420411041534086E-15</v>
      </c>
      <c r="S254" s="16">
        <v>2.3065241614774272E-13</v>
      </c>
      <c r="T254" s="16">
        <v>1.6356282537528685E-11</v>
      </c>
      <c r="U254" s="16">
        <v>1.1561203444880444E-9</v>
      </c>
      <c r="V254" s="16">
        <v>8.14550531944764E-8</v>
      </c>
      <c r="W254" s="16">
        <v>5.7205034067973718E-6</v>
      </c>
      <c r="X254" s="16">
        <v>4.0045741722058122E-4</v>
      </c>
      <c r="Y254" s="16">
        <v>2.7944022949392966E-2</v>
      </c>
      <c r="Z254" s="16">
        <v>0.94373295425589587</v>
      </c>
      <c r="AA254" s="16">
        <v>2.6854792274148439E-2</v>
      </c>
      <c r="AB254" s="16">
        <v>3.6975718687424803E-4</v>
      </c>
      <c r="AC254" s="16">
        <v>5.0726552364029738E-6</v>
      </c>
      <c r="AD254" s="16">
        <v>7.1292966482134169E-8</v>
      </c>
      <c r="AE254" s="27"/>
      <c r="AF254" s="19"/>
      <c r="AG254" s="9">
        <f t="shared" si="291"/>
        <v>4</v>
      </c>
      <c r="AH254" s="16">
        <v>4.1458536550998838E-17</v>
      </c>
      <c r="AI254" s="16">
        <v>3.6911380267050736E-16</v>
      </c>
      <c r="AJ254" s="16">
        <v>4.007045463527791E-15</v>
      </c>
      <c r="AK254" s="16">
        <v>4.3010345001898876E-14</v>
      </c>
      <c r="AL254" s="16">
        <v>4.6024275887427719E-13</v>
      </c>
      <c r="AM254" s="16">
        <v>4.9102521748274642E-12</v>
      </c>
      <c r="AN254" s="16">
        <v>5.2231036676189177E-11</v>
      </c>
      <c r="AO254" s="16">
        <v>5.5394469273420525E-10</v>
      </c>
      <c r="AP254" s="16">
        <v>5.8576299969024094E-9</v>
      </c>
      <c r="AQ254" s="16">
        <v>6.1758972090415031E-8</v>
      </c>
      <c r="AR254" s="16">
        <v>6.4924045853982773E-7</v>
      </c>
      <c r="AS254" s="16">
        <v>6.8052369007884709E-6</v>
      </c>
      <c r="AT254" s="16">
        <v>7.1124266920791302E-5</v>
      </c>
      <c r="AU254" s="16">
        <v>7.4119749677309659E-4</v>
      </c>
      <c r="AV254" s="16">
        <v>7.701872773047385E-3</v>
      </c>
      <c r="AW254" s="16">
        <v>7.9801238503619795E-2</v>
      </c>
      <c r="AX254" s="16">
        <v>0.82447677680318265</v>
      </c>
      <c r="AY254" s="16">
        <v>7.6640392946832656E-2</v>
      </c>
      <c r="AZ254" s="16">
        <v>7.0969898307053792E-3</v>
      </c>
      <c r="BA254" s="16">
        <v>6.4937681531718747E-4</v>
      </c>
      <c r="BB254" s="16">
        <v>7.2276713824941916E-5</v>
      </c>
      <c r="BE254" s="9">
        <f t="shared" si="292"/>
        <v>4</v>
      </c>
      <c r="BF254" s="16">
        <v>4.1387110400720955E-17</v>
      </c>
      <c r="BG254" s="16">
        <v>3.6852576844048733E-16</v>
      </c>
      <c r="BH254" s="16">
        <v>4.0010871742714777E-15</v>
      </c>
      <c r="BI254" s="16">
        <v>4.2951030113207662E-14</v>
      </c>
      <c r="BJ254" s="16">
        <v>4.5965769238435173E-13</v>
      </c>
      <c r="BK254" s="16">
        <v>4.9045397312847307E-12</v>
      </c>
      <c r="BL254" s="16">
        <v>5.2175903767206239E-11</v>
      </c>
      <c r="BM254" s="16">
        <v>5.5341967731173483E-10</v>
      </c>
      <c r="BN254" s="16">
        <v>5.8527094516858342E-9</v>
      </c>
      <c r="BO254" s="16">
        <v>6.1713745969523474E-8</v>
      </c>
      <c r="BP254" s="16">
        <v>6.488349380849693E-7</v>
      </c>
      <c r="BQ254" s="16">
        <v>6.801718971162277E-6</v>
      </c>
      <c r="BR254" s="16">
        <v>7.1095154948280914E-5</v>
      </c>
      <c r="BS254" s="16">
        <v>7.4097387137016561E-4</v>
      </c>
      <c r="BT254" s="16">
        <v>7.7003775692511579E-3</v>
      </c>
      <c r="BU254" s="16">
        <v>7.9794328360263664E-2</v>
      </c>
      <c r="BV254" s="16">
        <v>0.82449402585663178</v>
      </c>
      <c r="BW254" s="16">
        <v>7.66337631119412E-2</v>
      </c>
      <c r="BX254" s="16">
        <v>7.0956140905943715E-3</v>
      </c>
      <c r="BY254" s="16">
        <v>6.4918238031647644E-4</v>
      </c>
      <c r="BZ254" s="16">
        <v>7.2245768887575798E-5</v>
      </c>
      <c r="CC254" s="9">
        <f t="shared" si="293"/>
        <v>4</v>
      </c>
      <c r="CD254" s="16">
        <v>4.1387110400719389E-17</v>
      </c>
      <c r="CE254" s="16">
        <v>3.6852576844047457E-16</v>
      </c>
      <c r="CF254" s="16">
        <v>4.0010871742713491E-15</v>
      </c>
      <c r="CG254" s="16">
        <v>4.295103011320638E-14</v>
      </c>
      <c r="CH254" s="16">
        <v>4.5965769238433891E-13</v>
      </c>
      <c r="CI254" s="16">
        <v>4.9045397312846072E-12</v>
      </c>
      <c r="CJ254" s="16">
        <v>5.2175903767205063E-11</v>
      </c>
      <c r="CK254" s="16">
        <v>5.5341967731172366E-10</v>
      </c>
      <c r="CL254" s="16">
        <v>5.85270945168573E-9</v>
      </c>
      <c r="CM254" s="16">
        <v>6.1713745969522482E-8</v>
      </c>
      <c r="CN254" s="16">
        <v>6.4883493808496051E-7</v>
      </c>
      <c r="CO254" s="16">
        <v>6.8017189711622016E-6</v>
      </c>
      <c r="CP254" s="16">
        <v>7.1095154948280277E-5</v>
      </c>
      <c r="CQ254" s="16">
        <v>7.4097387137016073E-4</v>
      </c>
      <c r="CR254" s="16">
        <v>7.7003775692511258E-3</v>
      </c>
      <c r="CS254" s="16">
        <v>7.9794328360263525E-2</v>
      </c>
      <c r="CT254" s="16">
        <v>0.82449402585663212</v>
      </c>
      <c r="CU254" s="16">
        <v>7.6633763111941047E-2</v>
      </c>
      <c r="CV254" s="16">
        <v>7.0956140905943403E-3</v>
      </c>
      <c r="CW254" s="16">
        <v>6.4918238031647178E-4</v>
      </c>
      <c r="CX254" s="16">
        <v>7.2245768887575079E-5</v>
      </c>
      <c r="DA254" s="9">
        <f t="shared" si="294"/>
        <v>4</v>
      </c>
      <c r="DB254" s="16">
        <v>4.5459722496753345E-30</v>
      </c>
      <c r="DC254" s="16">
        <v>3.2291779599173941E-28</v>
      </c>
      <c r="DD254" s="16">
        <v>2.3502706168638094E-26</v>
      </c>
      <c r="DE254" s="16">
        <v>1.7045737165279849E-24</v>
      </c>
      <c r="DF254" s="16">
        <v>1.232173071640668E-22</v>
      </c>
      <c r="DG254" s="16">
        <v>8.8774977976071886E-21</v>
      </c>
      <c r="DH254" s="16">
        <v>6.3749571273917938E-19</v>
      </c>
      <c r="DI254" s="16">
        <v>4.5628549896871231E-17</v>
      </c>
      <c r="DJ254" s="16">
        <v>3.2551694730827072E-15</v>
      </c>
      <c r="DK254" s="16">
        <v>2.3146902433994346E-13</v>
      </c>
      <c r="DL254" s="16">
        <v>1.6405870320170905E-11</v>
      </c>
      <c r="DM254" s="16">
        <v>1.1590375973364658E-9</v>
      </c>
      <c r="DN254" s="16">
        <v>8.1619200109455684E-8</v>
      </c>
      <c r="DO254" s="16">
        <v>5.7291261577105622E-6</v>
      </c>
      <c r="DP254" s="16">
        <v>4.0085778825229592E-4</v>
      </c>
      <c r="DQ254" s="16">
        <v>2.7957785737915599E-2</v>
      </c>
      <c r="DR254" s="16">
        <v>0.94370482184479665</v>
      </c>
      <c r="DS254" s="16">
        <v>2.686801708244765E-2</v>
      </c>
      <c r="DT254" s="16">
        <v>3.7012680146720795E-4</v>
      </c>
      <c r="DU254" s="16">
        <v>5.0802987778465751E-6</v>
      </c>
      <c r="DV254" s="16">
        <v>7.1437580554290042E-8</v>
      </c>
      <c r="DY254" s="9">
        <f t="shared" si="295"/>
        <v>4</v>
      </c>
      <c r="DZ254" s="16">
        <v>5.1866659294686629E-19</v>
      </c>
      <c r="EA254" s="16">
        <v>6.4419780325249108E-18</v>
      </c>
      <c r="EB254" s="16">
        <v>9.2382425966912547E-17</v>
      </c>
      <c r="EC254" s="16">
        <v>1.3128877814508739E-15</v>
      </c>
      <c r="ED254" s="16">
        <v>1.8577558345259701E-14</v>
      </c>
      <c r="EE254" s="16">
        <v>2.6175366580191857E-13</v>
      </c>
      <c r="EF254" s="16">
        <v>3.672396316106452E-12</v>
      </c>
      <c r="EG254" s="16">
        <v>5.1306019173076245E-11</v>
      </c>
      <c r="EH254" s="16">
        <v>7.1377015984607916E-10</v>
      </c>
      <c r="EI254" s="16">
        <v>9.8884665190612014E-9</v>
      </c>
      <c r="EJ254" s="16">
        <v>1.3642347981253684E-7</v>
      </c>
      <c r="EK254" s="16">
        <v>1.8743381691265315E-6</v>
      </c>
      <c r="EL254" s="16">
        <v>2.5645689087453571E-5</v>
      </c>
      <c r="EM254" s="16">
        <v>3.4945983740773375E-4</v>
      </c>
      <c r="EN254" s="16">
        <v>4.742479206999984E-3</v>
      </c>
      <c r="EO254" s="16">
        <v>6.4098458092870264E-2</v>
      </c>
      <c r="EP254" s="16">
        <v>0.86284413111338465</v>
      </c>
      <c r="EQ254" s="16">
        <v>6.0639935639808767E-2</v>
      </c>
      <c r="ER254" s="16">
        <v>4.2399800438441748E-3</v>
      </c>
      <c r="ES254" s="16">
        <v>2.935775962396295E-4</v>
      </c>
      <c r="ET254" s="16">
        <v>2.3422885496062235E-5</v>
      </c>
      <c r="EW254" s="9">
        <f t="shared" si="296"/>
        <v>4</v>
      </c>
      <c r="EX254" s="16">
        <v>5.1866659294688737E-19</v>
      </c>
      <c r="EY254" s="16">
        <v>6.4419780325251542E-18</v>
      </c>
      <c r="EZ254" s="16">
        <v>9.2382425966915789E-17</v>
      </c>
      <c r="FA254" s="16">
        <v>1.3128877814509165E-15</v>
      </c>
      <c r="FB254" s="16">
        <v>1.8577558345260263E-14</v>
      </c>
      <c r="FC254" s="16">
        <v>2.6175366580192569E-13</v>
      </c>
      <c r="FD254" s="16">
        <v>3.6723963161065449E-12</v>
      </c>
      <c r="FE254" s="16">
        <v>5.1306019173077395E-11</v>
      </c>
      <c r="FF254" s="16">
        <v>7.1377015984609332E-10</v>
      </c>
      <c r="FG254" s="16">
        <v>9.8884665190613734E-9</v>
      </c>
      <c r="FH254" s="16">
        <v>1.3642347981253893E-7</v>
      </c>
      <c r="FI254" s="16">
        <v>1.8743381691265553E-6</v>
      </c>
      <c r="FJ254" s="16">
        <v>2.5645689087453828E-5</v>
      </c>
      <c r="FK254" s="16">
        <v>3.494598374077364E-4</v>
      </c>
      <c r="FL254" s="16">
        <v>4.7424792070000056E-3</v>
      </c>
      <c r="FM254" s="16">
        <v>6.4098458092870431E-2</v>
      </c>
      <c r="FN254" s="16">
        <v>0.86284413111338454</v>
      </c>
      <c r="FO254" s="16">
        <v>6.0639935639808927E-2</v>
      </c>
      <c r="FP254" s="16">
        <v>4.2399800438441965E-3</v>
      </c>
      <c r="FQ254" s="16">
        <v>2.9357759623963172E-4</v>
      </c>
      <c r="FR254" s="16">
        <v>2.3422885496062472E-5</v>
      </c>
      <c r="FU254" s="9">
        <f t="shared" si="297"/>
        <v>4</v>
      </c>
      <c r="FV254" s="16">
        <v>5.1960348046205483E-19</v>
      </c>
      <c r="FW254" s="16">
        <v>6.452775824379939E-18</v>
      </c>
      <c r="FX254" s="16">
        <v>9.252690231294847E-17</v>
      </c>
      <c r="FY254" s="16">
        <v>1.3147922948502016E-15</v>
      </c>
      <c r="FZ254" s="16">
        <v>1.8602404174034091E-14</v>
      </c>
      <c r="GA254" s="16">
        <v>2.6207411782398036E-13</v>
      </c>
      <c r="GB254" s="16">
        <v>3.6764768910902461E-12</v>
      </c>
      <c r="GC254" s="16">
        <v>5.1357227869415394E-11</v>
      </c>
      <c r="GD254" s="16">
        <v>7.1440192946680708E-10</v>
      </c>
      <c r="GE254" s="16">
        <v>9.8961022689997912E-9</v>
      </c>
      <c r="GF254" s="16">
        <v>1.3651342606673461E-7</v>
      </c>
      <c r="GG254" s="16">
        <v>1.8753625014552462E-6</v>
      </c>
      <c r="GH254" s="16">
        <v>2.5656812862398851E-5</v>
      </c>
      <c r="GI254" s="16">
        <v>3.4957203186912575E-4</v>
      </c>
      <c r="GJ254" s="16">
        <v>4.7434675953251151E-3</v>
      </c>
      <c r="GK254" s="16">
        <v>6.4104600665565101E-2</v>
      </c>
      <c r="GL254" s="16">
        <v>0.86282972739189934</v>
      </c>
      <c r="GM254" s="16">
        <v>6.0645741182728911E-2</v>
      </c>
      <c r="GN254" s="16">
        <v>4.2408624926252069E-3</v>
      </c>
      <c r="GO254" s="16">
        <v>2.9367137934518223E-4</v>
      </c>
      <c r="GP254" s="16">
        <v>2.3433385340687863E-5</v>
      </c>
      <c r="GS254" s="9">
        <f t="shared" si="298"/>
        <v>4</v>
      </c>
      <c r="GT254" s="16">
        <v>1.5074147231714983E-28</v>
      </c>
      <c r="GU254" s="16">
        <v>8.6283631355356465E-27</v>
      </c>
      <c r="GV254" s="16">
        <v>5.0867665164691016E-25</v>
      </c>
      <c r="GW254" s="16">
        <v>2.9841869813658326E-23</v>
      </c>
      <c r="GX254" s="16">
        <v>1.742663427585544E-21</v>
      </c>
      <c r="GY254" s="16">
        <v>1.0130101282852548E-19</v>
      </c>
      <c r="GZ254" s="16">
        <v>5.8618712985567786E-18</v>
      </c>
      <c r="HA254" s="16">
        <v>3.376683370759585E-16</v>
      </c>
      <c r="HB254" s="16">
        <v>1.9363561066601246E-14</v>
      </c>
      <c r="HC254" s="16">
        <v>1.1054271417996428E-12</v>
      </c>
      <c r="HD254" s="16">
        <v>6.2825234949586831E-11</v>
      </c>
      <c r="HE254" s="16">
        <v>3.554726835495986E-9</v>
      </c>
      <c r="HF254" s="16">
        <v>2.0024209489810895E-7</v>
      </c>
      <c r="HG254" s="16">
        <v>1.1230275625058078E-5</v>
      </c>
      <c r="HH254" s="16">
        <v>6.2707589595847922E-4</v>
      </c>
      <c r="HI254" s="16">
        <v>3.4862068117371414E-2</v>
      </c>
      <c r="HJ254" s="16">
        <v>0.92973710835860679</v>
      </c>
      <c r="HK254" s="16">
        <v>3.3001079807107724E-2</v>
      </c>
      <c r="HL254" s="16">
        <v>5.616660818814433E-4</v>
      </c>
      <c r="HM254" s="16">
        <v>9.5107839768235574E-6</v>
      </c>
      <c r="HN254" s="16">
        <v>1.6582887616029029E-7</v>
      </c>
      <c r="HQ254" s="9">
        <f t="shared" si="299"/>
        <v>4</v>
      </c>
      <c r="HR254" s="16">
        <v>1.2597928757942908E-16</v>
      </c>
      <c r="HS254" s="16">
        <v>1.0983857213600032E-15</v>
      </c>
      <c r="HT254" s="16">
        <v>1.1701618589346344E-14</v>
      </c>
      <c r="HU254" s="16">
        <v>1.2308737599583052E-13</v>
      </c>
      <c r="HV254" s="16">
        <v>1.2892585740444389E-12</v>
      </c>
      <c r="HW254" s="16">
        <v>1.3448393530971457E-11</v>
      </c>
      <c r="HX254" s="16">
        <v>1.3970581514335887E-10</v>
      </c>
      <c r="HY254" s="16">
        <v>1.445378699939354E-9</v>
      </c>
      <c r="HZ254" s="16">
        <v>1.4892966665090075E-8</v>
      </c>
      <c r="IA254" s="16">
        <v>1.5283485323839779E-7</v>
      </c>
      <c r="IB254" s="16">
        <v>1.5621198695102258E-6</v>
      </c>
      <c r="IC254" s="16">
        <v>1.5902526534666499E-5</v>
      </c>
      <c r="ID254" s="16">
        <v>1.6124516035659922E-4</v>
      </c>
      <c r="IE254" s="16">
        <v>1.6284893850679618E-3</v>
      </c>
      <c r="IF254" s="16">
        <v>1.6382103760758798E-2</v>
      </c>
      <c r="IG254" s="16">
        <v>0.16415330975277964</v>
      </c>
      <c r="IH254" s="16">
        <v>0.63845116958153103</v>
      </c>
      <c r="II254" s="16">
        <v>0.15525110534062675</v>
      </c>
      <c r="IJ254" s="16">
        <v>1.4632865117096773E-2</v>
      </c>
      <c r="IK254" s="16">
        <v>1.360526205806355E-3</v>
      </c>
      <c r="IL254" s="16">
        <v>1.5403976292089786E-4</v>
      </c>
      <c r="IO254" s="9">
        <f t="shared" si="300"/>
        <v>4</v>
      </c>
      <c r="IP254" s="16">
        <v>1.5137379396667485E-28</v>
      </c>
      <c r="IQ254" s="16">
        <v>8.6622109817052989E-27</v>
      </c>
      <c r="IR254" s="16">
        <v>5.1053850615515187E-25</v>
      </c>
      <c r="IS254" s="16">
        <v>2.9943256742856417E-23</v>
      </c>
      <c r="IT254" s="16">
        <v>1.7481264091374109E-21</v>
      </c>
      <c r="IU254" s="16">
        <v>1.0159198110112319E-19</v>
      </c>
      <c r="IV254" s="16">
        <v>5.877170049395986E-18</v>
      </c>
      <c r="IW254" s="16">
        <v>3.3846102365083086E-16</v>
      </c>
      <c r="IX254" s="16">
        <v>1.94039394937734E-14</v>
      </c>
      <c r="IY254" s="16">
        <v>1.1074424699586546E-12</v>
      </c>
      <c r="IZ254" s="16">
        <v>6.2923308785764698E-11</v>
      </c>
      <c r="JA254" s="16">
        <v>3.5593447385592837E-9</v>
      </c>
      <c r="JB254" s="16">
        <v>2.00449788334925E-7</v>
      </c>
      <c r="JC254" s="16">
        <v>1.1238983905292485E-5</v>
      </c>
      <c r="JD254" s="16">
        <v>6.2739804972912472E-4</v>
      </c>
      <c r="JE254" s="16">
        <v>3.4870858378094859E-2</v>
      </c>
      <c r="JF254" s="16">
        <v>0.92971904943172023</v>
      </c>
      <c r="JG254" s="16">
        <v>3.3009399171443257E-2</v>
      </c>
      <c r="JH254" s="16">
        <v>5.6195454728412842E-4</v>
      </c>
      <c r="JI254" s="16">
        <v>9.5181546442336024E-6</v>
      </c>
      <c r="JJ254" s="16">
        <v>1.660022460987493E-7</v>
      </c>
      <c r="JM254" s="9">
        <f t="shared" si="301"/>
        <v>4</v>
      </c>
      <c r="JN254" s="16">
        <v>1.2594899012985059E-16</v>
      </c>
      <c r="JO254" s="16">
        <v>1.0981415486126858E-15</v>
      </c>
      <c r="JP254" s="16">
        <v>1.1699190935343986E-14</v>
      </c>
      <c r="JQ254" s="16">
        <v>1.2306369625293011E-13</v>
      </c>
      <c r="JR254" s="16">
        <v>1.2890299844642934E-12</v>
      </c>
      <c r="JS254" s="16">
        <v>1.3446211763229631E-11</v>
      </c>
      <c r="JT254" s="16">
        <v>1.3968525463387525E-10</v>
      </c>
      <c r="JU254" s="16">
        <v>1.4451877430701085E-9</v>
      </c>
      <c r="JV254" s="16">
        <v>1.4891223162311169E-8</v>
      </c>
      <c r="JW254" s="16">
        <v>1.528192594566979E-7</v>
      </c>
      <c r="JX254" s="16">
        <v>1.561983965599229E-6</v>
      </c>
      <c r="JY254" s="16">
        <v>1.5901381917524237E-5</v>
      </c>
      <c r="JZ254" s="16">
        <v>1.6123597543615508E-4</v>
      </c>
      <c r="KA254" s="16">
        <v>1.6284210604035586E-3</v>
      </c>
      <c r="KB254" s="16">
        <v>1.6381662144118493E-2</v>
      </c>
      <c r="KC254" s="16">
        <v>0.16415134538317619</v>
      </c>
      <c r="KD254" s="16">
        <v>0.63845611097542054</v>
      </c>
      <c r="KE254" s="16">
        <v>0.15524925015687338</v>
      </c>
      <c r="KF254" s="16">
        <v>1.4632471465455772E-2</v>
      </c>
      <c r="KG254" s="16">
        <v>1.3604696052644518E-3</v>
      </c>
      <c r="KH254" s="16">
        <v>1.5403058748553639E-4</v>
      </c>
      <c r="KK254" s="9">
        <f t="shared" si="302"/>
        <v>4</v>
      </c>
      <c r="KL254" s="16">
        <v>9.2738458005635485E-30</v>
      </c>
      <c r="KM254" s="16">
        <v>6.3543361351879521E-28</v>
      </c>
      <c r="KN254" s="16">
        <v>4.4594975247395656E-26</v>
      </c>
      <c r="KO254" s="16">
        <v>3.1145977219426437E-24</v>
      </c>
      <c r="KP254" s="16">
        <v>2.1652827735294112E-22</v>
      </c>
      <c r="KQ254" s="16">
        <v>1.4984194859720958E-20</v>
      </c>
      <c r="KR254" s="16">
        <v>1.0322093077417778E-18</v>
      </c>
      <c r="KS254" s="16">
        <v>7.0782686919954666E-17</v>
      </c>
      <c r="KT254" s="16">
        <v>4.8319284424896086E-15</v>
      </c>
      <c r="KU254" s="16">
        <v>3.2836532705609491E-13</v>
      </c>
      <c r="KV254" s="16">
        <v>2.2215011341895471E-11</v>
      </c>
      <c r="KW254" s="16">
        <v>1.4962261609623355E-9</v>
      </c>
      <c r="KX254" s="16">
        <v>1.0032711602610076E-7</v>
      </c>
      <c r="KY254" s="16">
        <v>6.6975913199006209E-6</v>
      </c>
      <c r="KZ254" s="16">
        <v>4.4515059583727585E-4</v>
      </c>
      <c r="LA254" s="16">
        <v>2.9457233977382043E-2</v>
      </c>
      <c r="LB254" s="16">
        <v>0.94080665608634084</v>
      </c>
      <c r="LC254" s="16">
        <v>2.7885620138220515E-2</v>
      </c>
      <c r="LD254" s="16">
        <v>3.9875401333318912E-4</v>
      </c>
      <c r="LE254" s="16">
        <v>5.673623130491147E-6</v>
      </c>
      <c r="LF254" s="16">
        <v>8.2666815516967712E-8</v>
      </c>
      <c r="LI254" s="9">
        <f t="shared" si="303"/>
        <v>4</v>
      </c>
      <c r="LJ254" s="16">
        <v>1.259414168055315E-16</v>
      </c>
      <c r="LK254" s="16">
        <v>1.0980805130886987E-15</v>
      </c>
      <c r="LL254" s="16">
        <v>1.1698584092406465E-14</v>
      </c>
      <c r="LM254" s="16">
        <v>1.230577769496059E-13</v>
      </c>
      <c r="LN254" s="16">
        <v>1.2889728426345608E-12</v>
      </c>
      <c r="LO254" s="16">
        <v>1.3445666369264232E-11</v>
      </c>
      <c r="LP254" s="16">
        <v>1.3968011491006171E-10</v>
      </c>
      <c r="LQ254" s="16">
        <v>1.4451400071504346E-9</v>
      </c>
      <c r="LR254" s="16">
        <v>1.4890787312612199E-8</v>
      </c>
      <c r="LS254" s="16">
        <v>1.5281536120697993E-7</v>
      </c>
      <c r="LT254" s="16">
        <v>1.5619499910061628E-6</v>
      </c>
      <c r="LU254" s="16">
        <v>1.5901095772193252E-5</v>
      </c>
      <c r="LV254" s="16">
        <v>1.6123367925610036E-4</v>
      </c>
      <c r="LW254" s="16">
        <v>1.6284039794464463E-3</v>
      </c>
      <c r="LX254" s="16">
        <v>1.6381551740231485E-2</v>
      </c>
      <c r="LY254" s="16">
        <v>0.16415085428672574</v>
      </c>
      <c r="LZ254" s="16">
        <v>0.63845734633078211</v>
      </c>
      <c r="MA254" s="16">
        <v>0.15524878635709688</v>
      </c>
      <c r="MB254" s="16">
        <v>1.4632373052782744E-2</v>
      </c>
      <c r="MC254" s="16">
        <v>1.3604554552969471E-3</v>
      </c>
      <c r="MD254" s="16">
        <v>1.54028293681417E-4</v>
      </c>
      <c r="MG254" s="9">
        <f t="shared" si="304"/>
        <v>4</v>
      </c>
      <c r="MH254" s="16">
        <v>3.9985704656925548E-29</v>
      </c>
      <c r="MI254" s="16">
        <v>2.4936212470582476E-27</v>
      </c>
      <c r="MJ254" s="16">
        <v>1.597246085074641E-25</v>
      </c>
      <c r="MK254" s="16">
        <v>1.0181211343370637E-23</v>
      </c>
      <c r="ML254" s="16">
        <v>6.4599183837017705E-22</v>
      </c>
      <c r="MM254" s="16">
        <v>4.0800368293940369E-20</v>
      </c>
      <c r="MN254" s="16">
        <v>2.565192994517543E-18</v>
      </c>
      <c r="MO254" s="16">
        <v>1.6054776500508788E-16</v>
      </c>
      <c r="MP254" s="16">
        <v>1.000290171341647E-14</v>
      </c>
      <c r="MQ254" s="16">
        <v>6.2043234480096705E-13</v>
      </c>
      <c r="MR254" s="16">
        <v>3.8310573292827801E-11</v>
      </c>
      <c r="MS254" s="16">
        <v>2.355090889348604E-9</v>
      </c>
      <c r="MT254" s="16">
        <v>1.4413532010855496E-7</v>
      </c>
      <c r="MU254" s="16">
        <v>8.782451018048763E-6</v>
      </c>
      <c r="MV254" s="16">
        <v>5.3278550298405938E-4</v>
      </c>
      <c r="MW254" s="16">
        <v>3.2180226487407371E-2</v>
      </c>
      <c r="MX254" s="16">
        <v>0.93523825831373875</v>
      </c>
      <c r="MY254" s="16">
        <v>3.0462864553963267E-2</v>
      </c>
      <c r="MZ254" s="16">
        <v>4.7723293718644966E-4</v>
      </c>
      <c r="NA254" s="16">
        <v>7.4387526658327244E-6</v>
      </c>
      <c r="NB254" s="16">
        <v>1.1906510900270986E-7</v>
      </c>
      <c r="NE254" s="9">
        <f t="shared" si="305"/>
        <v>4</v>
      </c>
      <c r="NF254" s="16">
        <v>1.259414168055315E-16</v>
      </c>
      <c r="NG254" s="16">
        <v>1.0980805130886987E-15</v>
      </c>
      <c r="NH254" s="16">
        <v>1.1698584092406465E-14</v>
      </c>
      <c r="NI254" s="16">
        <v>1.230577769496059E-13</v>
      </c>
      <c r="NJ254" s="16">
        <v>1.2889728426345608E-12</v>
      </c>
      <c r="NK254" s="16">
        <v>1.3445666369264232E-11</v>
      </c>
      <c r="NL254" s="16">
        <v>1.3968011491006171E-10</v>
      </c>
      <c r="NM254" s="16">
        <v>1.4451400071504346E-9</v>
      </c>
      <c r="NN254" s="16">
        <v>1.4890787312612199E-8</v>
      </c>
      <c r="NO254" s="16">
        <v>1.5281536120697993E-7</v>
      </c>
      <c r="NP254" s="16">
        <v>1.5619499910061628E-6</v>
      </c>
      <c r="NQ254" s="16">
        <v>1.5901095772193252E-5</v>
      </c>
      <c r="NR254" s="16">
        <v>1.6123367925610036E-4</v>
      </c>
      <c r="NS254" s="16">
        <v>1.6284039794464463E-3</v>
      </c>
      <c r="NT254" s="16">
        <v>1.6381551740231485E-2</v>
      </c>
      <c r="NU254" s="16">
        <v>0.16415085428672574</v>
      </c>
      <c r="NV254" s="16">
        <v>0.63845734633078211</v>
      </c>
      <c r="NW254" s="16">
        <v>0.15524878635709688</v>
      </c>
      <c r="NX254" s="16">
        <v>1.4632373052782744E-2</v>
      </c>
      <c r="NY254" s="16">
        <v>1.3604554552969471E-3</v>
      </c>
      <c r="NZ254" s="16">
        <v>1.54028293681417E-4</v>
      </c>
      <c r="OC254" s="9">
        <f t="shared" si="306"/>
        <v>4</v>
      </c>
      <c r="OD254" s="16">
        <v>1.5137379396667292E-28</v>
      </c>
      <c r="OE254" s="16">
        <v>8.6622109817051942E-27</v>
      </c>
      <c r="OF254" s="16">
        <v>5.1053850615514617E-25</v>
      </c>
      <c r="OG254" s="16">
        <v>2.99432567428561E-23</v>
      </c>
      <c r="OH254" s="16">
        <v>1.7481264091373939E-21</v>
      </c>
      <c r="OI254" s="16">
        <v>1.015919811011223E-19</v>
      </c>
      <c r="OJ254" s="16">
        <v>5.8771700493959398E-18</v>
      </c>
      <c r="OK254" s="16">
        <v>3.3846102365082844E-16</v>
      </c>
      <c r="OL254" s="16">
        <v>1.9403939493773283E-14</v>
      </c>
      <c r="OM254" s="16">
        <v>1.1074424699586486E-12</v>
      </c>
      <c r="ON254" s="16">
        <v>6.2923308785764401E-11</v>
      </c>
      <c r="OO254" s="16">
        <v>3.5593447385592696E-9</v>
      </c>
      <c r="OP254" s="16">
        <v>2.0044978833492437E-7</v>
      </c>
      <c r="OQ254" s="16">
        <v>1.1238983905292458E-5</v>
      </c>
      <c r="OR254" s="16">
        <v>6.2739804972912353E-4</v>
      </c>
      <c r="OS254" s="16">
        <v>3.4870858378094824E-2</v>
      </c>
      <c r="OT254" s="16">
        <v>0.92971904943172023</v>
      </c>
      <c r="OU254" s="16">
        <v>3.3009399171443229E-2</v>
      </c>
      <c r="OV254" s="16">
        <v>5.6195454728412756E-4</v>
      </c>
      <c r="OW254" s="16">
        <v>9.5181546442335753E-6</v>
      </c>
      <c r="OX254" s="16">
        <v>1.6600224609874877E-7</v>
      </c>
      <c r="PA254" s="9">
        <f t="shared" si="307"/>
        <v>4</v>
      </c>
      <c r="PB254" s="16">
        <v>1.2587327556772139E-16</v>
      </c>
      <c r="PC254" s="16">
        <v>1.097531331275271E-15</v>
      </c>
      <c r="PD254" s="16">
        <v>1.1693123775861705E-14</v>
      </c>
      <c r="PE254" s="16">
        <v>1.2300451460093358E-13</v>
      </c>
      <c r="PF254" s="16">
        <v>1.288458666326876E-12</v>
      </c>
      <c r="PG254" s="16">
        <v>1.3440758686918028E-11</v>
      </c>
      <c r="PH254" s="16">
        <v>1.3963386465890338E-10</v>
      </c>
      <c r="PI254" s="16">
        <v>1.4447104432248169E-9</v>
      </c>
      <c r="PJ254" s="16">
        <v>1.4886865133205906E-8</v>
      </c>
      <c r="PK254" s="16">
        <v>1.5278028048201239E-7</v>
      </c>
      <c r="PL254" s="16">
        <v>1.561644244591669E-6</v>
      </c>
      <c r="PM254" s="16">
        <v>1.589852062539207E-5</v>
      </c>
      <c r="PN254" s="16">
        <v>1.6121301453661302E-4</v>
      </c>
      <c r="PO254" s="16">
        <v>1.6282502545942926E-3</v>
      </c>
      <c r="PP254" s="16">
        <v>1.6380558110164187E-2</v>
      </c>
      <c r="PQ254" s="16">
        <v>0.16414643434577886</v>
      </c>
      <c r="PR254" s="16">
        <v>0.63846846465304286</v>
      </c>
      <c r="PS254" s="16">
        <v>0.15524461209002088</v>
      </c>
      <c r="PT254" s="16">
        <v>1.4631487342995939E-2</v>
      </c>
      <c r="PU254" s="16">
        <v>1.3603281086129436E-3</v>
      </c>
      <c r="PV254" s="16">
        <v>1.540076504293084E-4</v>
      </c>
    </row>
    <row r="255" spans="3:438" x14ac:dyDescent="0.25">
      <c r="C255" s="1"/>
      <c r="D255" s="1"/>
      <c r="I255" s="9">
        <f t="shared" si="290"/>
        <v>3</v>
      </c>
      <c r="J255" s="16">
        <v>6.502973527892919E-32</v>
      </c>
      <c r="K255" s="16">
        <v>4.6217195443959635E-30</v>
      </c>
      <c r="L255" s="16">
        <v>3.3655007977105478E-28</v>
      </c>
      <c r="M255" s="16">
        <v>2.4421250731697328E-26</v>
      </c>
      <c r="N255" s="16">
        <v>1.7662171772502102E-24</v>
      </c>
      <c r="O255" s="16">
        <v>1.2731607098907066E-22</v>
      </c>
      <c r="P255" s="16">
        <v>9.1472421117708061E-21</v>
      </c>
      <c r="Q255" s="16">
        <v>6.5504300274303633E-19</v>
      </c>
      <c r="R255" s="16">
        <v>4.6754883141594038E-17</v>
      </c>
      <c r="S255" s="16">
        <v>3.3263386912332426E-15</v>
      </c>
      <c r="T255" s="16">
        <v>2.3588105582416526E-13</v>
      </c>
      <c r="U255" s="16">
        <v>1.6672913719356767E-11</v>
      </c>
      <c r="V255" s="16">
        <v>1.1746987070956828E-9</v>
      </c>
      <c r="W255" s="16">
        <v>8.249786467952375E-8</v>
      </c>
      <c r="X255" s="16">
        <v>5.7751703768796135E-6</v>
      </c>
      <c r="Y255" s="16">
        <v>4.029928941465596E-4</v>
      </c>
      <c r="Z255" s="16">
        <v>2.8031417312468311E-2</v>
      </c>
      <c r="AA255" s="16">
        <v>0.94362460287557359</v>
      </c>
      <c r="AB255" s="16">
        <v>2.6761300484557125E-2</v>
      </c>
      <c r="AC255" s="16">
        <v>3.6713512503574439E-4</v>
      </c>
      <c r="AD255" s="16">
        <v>5.1598523739112968E-6</v>
      </c>
      <c r="AE255" s="27"/>
      <c r="AF255" s="19"/>
      <c r="AG255" s="9">
        <f t="shared" si="291"/>
        <v>3</v>
      </c>
      <c r="AH255" s="16">
        <v>4.0226896012167189E-18</v>
      </c>
      <c r="AI255" s="16">
        <v>3.5814825587046358E-17</v>
      </c>
      <c r="AJ255" s="16">
        <v>3.8880050910401778E-16</v>
      </c>
      <c r="AK255" s="16">
        <v>4.1732603699373386E-15</v>
      </c>
      <c r="AL255" s="16">
        <v>4.4656997428777879E-14</v>
      </c>
      <c r="AM255" s="16">
        <v>4.7643795479207122E-13</v>
      </c>
      <c r="AN255" s="16">
        <v>5.0679369214978536E-12</v>
      </c>
      <c r="AO255" s="16">
        <v>5.3748823294086878E-11</v>
      </c>
      <c r="AP255" s="16">
        <v>5.6836128905150048E-10</v>
      </c>
      <c r="AQ255" s="16">
        <v>5.9924250945119443E-9</v>
      </c>
      <c r="AR255" s="16">
        <v>6.299529743517724E-8</v>
      </c>
      <c r="AS255" s="16">
        <v>6.6030685094113717E-7</v>
      </c>
      <c r="AT255" s="16">
        <v>6.9011323779960183E-6</v>
      </c>
      <c r="AU255" s="16">
        <v>7.1917817433070095E-5</v>
      </c>
      <c r="AV255" s="16">
        <v>7.4730673322055436E-4</v>
      </c>
      <c r="AW255" s="16">
        <v>7.7430521913825863E-3</v>
      </c>
      <c r="AX255" s="16">
        <v>7.9998341292414357E-2</v>
      </c>
      <c r="AY255" s="16">
        <v>0.82415687421401396</v>
      </c>
      <c r="AZ255" s="16">
        <v>7.6317888391574523E-2</v>
      </c>
      <c r="BA255" s="16">
        <v>6.9831109382507695E-3</v>
      </c>
      <c r="BB255" s="16">
        <v>7.7723179976058173E-4</v>
      </c>
      <c r="BE255" s="9">
        <f t="shared" si="292"/>
        <v>3</v>
      </c>
      <c r="BF255" s="16">
        <v>4.0153277855361959E-18</v>
      </c>
      <c r="BG255" s="16">
        <v>3.575392781418705E-17</v>
      </c>
      <c r="BH255" s="16">
        <v>3.8818067624563884E-16</v>
      </c>
      <c r="BI255" s="16">
        <v>4.1670573992998638E-15</v>
      </c>
      <c r="BJ255" s="16">
        <v>4.4595437714689687E-14</v>
      </c>
      <c r="BK255" s="16">
        <v>4.7583255916196441E-13</v>
      </c>
      <c r="BL255" s="16">
        <v>5.0620435711374617E-12</v>
      </c>
      <c r="BM255" s="16">
        <v>5.3692112975676E-11</v>
      </c>
      <c r="BN255" s="16">
        <v>5.6782284760849293E-10</v>
      </c>
      <c r="BO255" s="16">
        <v>5.9873935759630461E-9</v>
      </c>
      <c r="BP255" s="16">
        <v>6.2949187075255469E-8</v>
      </c>
      <c r="BQ255" s="16">
        <v>6.5989461235353129E-7</v>
      </c>
      <c r="BR255" s="16">
        <v>6.8975666171625424E-6</v>
      </c>
      <c r="BS255" s="16">
        <v>7.1888395813618359E-5</v>
      </c>
      <c r="BT255" s="16">
        <v>7.4708139112788217E-4</v>
      </c>
      <c r="BU255" s="16">
        <v>7.7415499823728752E-3</v>
      </c>
      <c r="BV255" s="16">
        <v>7.9991420975673203E-2</v>
      </c>
      <c r="BW255" s="16">
        <v>0.82417415332382293</v>
      </c>
      <c r="BX255" s="16">
        <v>7.6311295412778118E-2</v>
      </c>
      <c r="BY255" s="16">
        <v>6.9817703962746572E-3</v>
      </c>
      <c r="BZ255" s="16">
        <v>7.7698253336678787E-4</v>
      </c>
      <c r="CC255" s="9">
        <f t="shared" si="293"/>
        <v>3</v>
      </c>
      <c r="CD255" s="16">
        <v>4.0153277855360349E-18</v>
      </c>
      <c r="CE255" s="16">
        <v>3.5753927814185719E-17</v>
      </c>
      <c r="CF255" s="16">
        <v>3.8818067624562538E-16</v>
      </c>
      <c r="CG255" s="16">
        <v>4.167057399299729E-15</v>
      </c>
      <c r="CH255" s="16">
        <v>4.4595437714688342E-14</v>
      </c>
      <c r="CI255" s="16">
        <v>4.7583255916195138E-13</v>
      </c>
      <c r="CJ255" s="16">
        <v>5.0620435711373373E-12</v>
      </c>
      <c r="CK255" s="16">
        <v>5.3692112975674786E-11</v>
      </c>
      <c r="CL255" s="16">
        <v>5.6782284760848146E-10</v>
      </c>
      <c r="CM255" s="16">
        <v>5.9873935759629369E-9</v>
      </c>
      <c r="CN255" s="16">
        <v>6.2949187075254477E-8</v>
      </c>
      <c r="CO255" s="16">
        <v>6.598946123535225E-7</v>
      </c>
      <c r="CP255" s="16">
        <v>6.8975666171624645E-6</v>
      </c>
      <c r="CQ255" s="16">
        <v>7.1888395813617722E-5</v>
      </c>
      <c r="CR255" s="16">
        <v>7.4708139112787729E-4</v>
      </c>
      <c r="CS255" s="16">
        <v>7.741549982372844E-3</v>
      </c>
      <c r="CT255" s="16">
        <v>7.999142097567305E-2</v>
      </c>
      <c r="CU255" s="16">
        <v>0.82417415332382316</v>
      </c>
      <c r="CV255" s="16">
        <v>7.6311295412777966E-2</v>
      </c>
      <c r="CW255" s="16">
        <v>6.9817703962746242E-3</v>
      </c>
      <c r="CX255" s="16">
        <v>7.769825333667819E-4</v>
      </c>
      <c r="DA255" s="9">
        <f t="shared" si="294"/>
        <v>3</v>
      </c>
      <c r="DB255" s="16">
        <v>6.5592675133288911E-32</v>
      </c>
      <c r="DC255" s="16">
        <v>4.6592985887136766E-30</v>
      </c>
      <c r="DD255" s="16">
        <v>3.3911455807560687E-28</v>
      </c>
      <c r="DE255" s="16">
        <v>2.4594859776574327E-26</v>
      </c>
      <c r="DF255" s="16">
        <v>1.7778711254096457E-24</v>
      </c>
      <c r="DG255" s="16">
        <v>1.2809115345491228E-22</v>
      </c>
      <c r="DH255" s="16">
        <v>9.1982631850759367E-21</v>
      </c>
      <c r="DI255" s="16">
        <v>6.5836271886663735E-19</v>
      </c>
      <c r="DJ255" s="16">
        <v>4.6968010807140794E-17</v>
      </c>
      <c r="DK255" s="16">
        <v>3.3398075665845902E-15</v>
      </c>
      <c r="DL255" s="16">
        <v>2.3671612211594342E-13</v>
      </c>
      <c r="DM255" s="16">
        <v>1.6723458132589363E-11</v>
      </c>
      <c r="DN255" s="16">
        <v>1.1776626392298746E-9</v>
      </c>
      <c r="DO255" s="16">
        <v>8.2664101367353214E-8</v>
      </c>
      <c r="DP255" s="16">
        <v>5.783874875470123E-6</v>
      </c>
      <c r="DQ255" s="16">
        <v>4.0339576588576065E-4</v>
      </c>
      <c r="DR255" s="16">
        <v>2.8045221557033977E-2</v>
      </c>
      <c r="DS255" s="16">
        <v>0.9435964169848281</v>
      </c>
      <c r="DT255" s="16">
        <v>2.6774477735153564E-2</v>
      </c>
      <c r="DU255" s="16">
        <v>3.6750201816290821E-4</v>
      </c>
      <c r="DV255" s="16">
        <v>5.1676990221242789E-6</v>
      </c>
      <c r="DY255" s="9">
        <f t="shared" si="295"/>
        <v>3</v>
      </c>
      <c r="DZ255" s="16">
        <v>3.8670291541795409E-20</v>
      </c>
      <c r="EA255" s="16">
        <v>4.802953805222225E-19</v>
      </c>
      <c r="EB255" s="16">
        <v>6.887768354583059E-18</v>
      </c>
      <c r="EC255" s="16">
        <v>9.7885142326039985E-17</v>
      </c>
      <c r="ED255" s="16">
        <v>1.3850893948350008E-15</v>
      </c>
      <c r="EE255" s="16">
        <v>1.9515601556645481E-14</v>
      </c>
      <c r="EF255" s="16">
        <v>2.7380332208016357E-13</v>
      </c>
      <c r="EG255" s="16">
        <v>3.8252294368900132E-12</v>
      </c>
      <c r="EH255" s="16">
        <v>5.3216653145635285E-11</v>
      </c>
      <c r="EI255" s="16">
        <v>7.3725566364470388E-10</v>
      </c>
      <c r="EJ255" s="16">
        <v>1.0171342841888953E-8</v>
      </c>
      <c r="EK255" s="16">
        <v>1.3974527072628174E-7</v>
      </c>
      <c r="EL255" s="16">
        <v>1.9120689230579878E-6</v>
      </c>
      <c r="EM255" s="16">
        <v>2.6054721816428743E-5</v>
      </c>
      <c r="EN255" s="16">
        <v>3.5358562911025842E-4</v>
      </c>
      <c r="EO255" s="16">
        <v>4.7789969424245791E-3</v>
      </c>
      <c r="EP255" s="16">
        <v>6.4331180297744525E-2</v>
      </c>
      <c r="EQ255" s="16">
        <v>0.86249681408283008</v>
      </c>
      <c r="ER255" s="16">
        <v>6.0306285635132836E-2</v>
      </c>
      <c r="ES255" s="16">
        <v>4.175626817066562E-3</v>
      </c>
      <c r="ET255" s="16">
        <v>3.3314949799713071E-4</v>
      </c>
      <c r="EW255" s="9">
        <f t="shared" si="296"/>
        <v>3</v>
      </c>
      <c r="EX255" s="16">
        <v>3.8670291541797082E-20</v>
      </c>
      <c r="EY255" s="16">
        <v>4.8029538052224195E-19</v>
      </c>
      <c r="EZ255" s="16">
        <v>6.8877683545833194E-18</v>
      </c>
      <c r="FA255" s="16">
        <v>9.7885142326043436E-17</v>
      </c>
      <c r="FB255" s="16">
        <v>1.3850893948350467E-15</v>
      </c>
      <c r="FC255" s="16">
        <v>1.9515601556646071E-14</v>
      </c>
      <c r="FD255" s="16">
        <v>2.7380332208017124E-13</v>
      </c>
      <c r="FE255" s="16">
        <v>3.8252294368901093E-12</v>
      </c>
      <c r="FF255" s="16">
        <v>5.3216653145636487E-11</v>
      </c>
      <c r="FG255" s="16">
        <v>7.3725566364471877E-10</v>
      </c>
      <c r="FH255" s="16">
        <v>1.0171342841889135E-8</v>
      </c>
      <c r="FI255" s="16">
        <v>1.3974527072628386E-7</v>
      </c>
      <c r="FJ255" s="16">
        <v>1.9120689230580123E-6</v>
      </c>
      <c r="FK255" s="16">
        <v>2.605472181642901E-5</v>
      </c>
      <c r="FL255" s="16">
        <v>3.5358562911026102E-4</v>
      </c>
      <c r="FM255" s="16">
        <v>4.7789969424246051E-3</v>
      </c>
      <c r="FN255" s="16">
        <v>6.4331180297744692E-2</v>
      </c>
      <c r="FO255" s="16">
        <v>0.86249681408282997</v>
      </c>
      <c r="FP255" s="16">
        <v>6.0306285635132982E-2</v>
      </c>
      <c r="FQ255" s="16">
        <v>4.1756268170665828E-3</v>
      </c>
      <c r="FR255" s="16">
        <v>3.331494979971332E-4</v>
      </c>
      <c r="FU255" s="9">
        <f t="shared" si="297"/>
        <v>3</v>
      </c>
      <c r="FV255" s="16">
        <v>3.8744498859706195E-20</v>
      </c>
      <c r="FW255" s="16">
        <v>4.8115452449877458E-19</v>
      </c>
      <c r="FX255" s="16">
        <v>6.8993157204572943E-18</v>
      </c>
      <c r="FY255" s="16">
        <v>9.8038158873137512E-17</v>
      </c>
      <c r="FZ255" s="16">
        <v>1.3870977666811287E-15</v>
      </c>
      <c r="GA255" s="16">
        <v>1.954169042547672E-14</v>
      </c>
      <c r="GB255" s="16">
        <v>2.7413837680208627E-13</v>
      </c>
      <c r="GC255" s="16">
        <v>3.8294779220008446E-12</v>
      </c>
      <c r="GD255" s="16">
        <v>5.3269744684899093E-11</v>
      </c>
      <c r="GE255" s="16">
        <v>7.3790791919993378E-10</v>
      </c>
      <c r="GF255" s="16">
        <v>1.017919332617603E-8</v>
      </c>
      <c r="GG255" s="16">
        <v>1.3983736258763324E-7</v>
      </c>
      <c r="GH255" s="16">
        <v>1.9131133529108472E-6</v>
      </c>
      <c r="GI255" s="16">
        <v>2.6066017067658194E-5</v>
      </c>
      <c r="GJ255" s="16">
        <v>3.5369908352942292E-4</v>
      </c>
      <c r="GK255" s="16">
        <v>4.7799922840784086E-3</v>
      </c>
      <c r="GL255" s="16">
        <v>6.4337339232848623E-2</v>
      </c>
      <c r="GM255" s="16">
        <v>0.86248237554444118</v>
      </c>
      <c r="GN255" s="16">
        <v>6.0312053009228678E-2</v>
      </c>
      <c r="GO255" s="16">
        <v>4.1764909447454829E-3</v>
      </c>
      <c r="GP255" s="16">
        <v>3.3326135457374109E-4</v>
      </c>
      <c r="GS255" s="9">
        <f t="shared" si="298"/>
        <v>3</v>
      </c>
      <c r="GT255" s="16">
        <v>2.7347998206339717E-30</v>
      </c>
      <c r="GU255" s="16">
        <v>1.5653851320877044E-28</v>
      </c>
      <c r="GV255" s="16">
        <v>9.2285738907857998E-27</v>
      </c>
      <c r="GW255" s="16">
        <v>5.4140071049637883E-25</v>
      </c>
      <c r="GX255" s="16">
        <v>3.1615955157710908E-23</v>
      </c>
      <c r="GY255" s="16">
        <v>1.8378352516726255E-21</v>
      </c>
      <c r="GZ255" s="16">
        <v>1.0634793683150631E-19</v>
      </c>
      <c r="HA255" s="16">
        <v>6.1260865604802875E-18</v>
      </c>
      <c r="HB255" s="16">
        <v>3.5129989456625018E-16</v>
      </c>
      <c r="HC255" s="16">
        <v>2.0055011422186089E-14</v>
      </c>
      <c r="HD255" s="16">
        <v>1.1397954300853007E-12</v>
      </c>
      <c r="HE255" s="16">
        <v>6.4490986870977902E-11</v>
      </c>
      <c r="HF255" s="16">
        <v>3.6328558875858634E-9</v>
      </c>
      <c r="HG255" s="16">
        <v>2.0374323862554404E-7</v>
      </c>
      <c r="HH255" s="16">
        <v>1.1376610705931318E-5</v>
      </c>
      <c r="HI255" s="16">
        <v>6.3247874767818468E-4</v>
      </c>
      <c r="HJ255" s="16">
        <v>3.5009905480466931E-2</v>
      </c>
      <c r="HK255" s="16">
        <v>0.92955192609981019</v>
      </c>
      <c r="HL255" s="16">
        <v>3.2840254817536399E-2</v>
      </c>
      <c r="HM255" s="16">
        <v>5.5608942642072518E-4</v>
      </c>
      <c r="HN255" s="16">
        <v>9.6959078087238618E-6</v>
      </c>
      <c r="HQ255" s="9">
        <f t="shared" si="299"/>
        <v>3</v>
      </c>
      <c r="HR255" s="16">
        <v>1.2663773495375462E-17</v>
      </c>
      <c r="HS255" s="16">
        <v>1.1041265793067523E-16</v>
      </c>
      <c r="HT255" s="16">
        <v>1.1762778643380276E-15</v>
      </c>
      <c r="HU255" s="16">
        <v>1.2373070841256592E-14</v>
      </c>
      <c r="HV255" s="16">
        <v>1.295997054148726E-13</v>
      </c>
      <c r="HW255" s="16">
        <v>1.3518683334791639E-12</v>
      </c>
      <c r="HX255" s="16">
        <v>1.4043600602573826E-11</v>
      </c>
      <c r="HY255" s="16">
        <v>1.4529331624876604E-10</v>
      </c>
      <c r="HZ255" s="16">
        <v>1.4970806721062478E-9</v>
      </c>
      <c r="IA255" s="16">
        <v>1.536336647712603E-8</v>
      </c>
      <c r="IB255" s="16">
        <v>1.5702844951897625E-7</v>
      </c>
      <c r="IC255" s="16">
        <v>1.5985643188547331E-6</v>
      </c>
      <c r="ID255" s="16">
        <v>1.6208792946967712E-5</v>
      </c>
      <c r="IE255" s="16">
        <v>1.6370008997805603E-4</v>
      </c>
      <c r="IF255" s="16">
        <v>1.6467726988310381E-3</v>
      </c>
      <c r="IG255" s="16">
        <v>1.6501127869251835E-2</v>
      </c>
      <c r="IH255" s="16">
        <v>0.16470147508757288</v>
      </c>
      <c r="II255" s="16">
        <v>0.63754727932852351</v>
      </c>
      <c r="IJ255" s="16">
        <v>0.1543435610890469</v>
      </c>
      <c r="IK255" s="16">
        <v>1.4350467791422178E-2</v>
      </c>
      <c r="IL255" s="16">
        <v>1.6247703623499929E-3</v>
      </c>
      <c r="IO255" s="9">
        <f t="shared" si="300"/>
        <v>3</v>
      </c>
      <c r="IP255" s="16">
        <v>2.7469896262089289E-30</v>
      </c>
      <c r="IQ255" s="16">
        <v>1.5719367985198296E-28</v>
      </c>
      <c r="IR255" s="16">
        <v>9.2647739310620391E-27</v>
      </c>
      <c r="IS255" s="16">
        <v>5.4338213697441841E-25</v>
      </c>
      <c r="IT255" s="16">
        <v>3.1723358352632141E-23</v>
      </c>
      <c r="IU255" s="16">
        <v>1.8435959810337908E-21</v>
      </c>
      <c r="IV255" s="16">
        <v>1.0665336934549469E-19</v>
      </c>
      <c r="IW255" s="16">
        <v>6.142073185069091E-18</v>
      </c>
      <c r="IX255" s="16">
        <v>3.5212449328392897E-16</v>
      </c>
      <c r="IY255" s="16">
        <v>2.0096827177822773E-14</v>
      </c>
      <c r="IZ255" s="16">
        <v>1.1418731865787137E-12</v>
      </c>
      <c r="JA255" s="16">
        <v>6.4591649695165917E-11</v>
      </c>
      <c r="JB255" s="16">
        <v>3.6375747393438335E-9</v>
      </c>
      <c r="JC255" s="16">
        <v>2.0395453788893193E-7</v>
      </c>
      <c r="JD255" s="16">
        <v>1.1385431315073201E-5</v>
      </c>
      <c r="JE255" s="16">
        <v>6.3280362942290749E-4</v>
      </c>
      <c r="JF255" s="16">
        <v>3.5018731257100512E-2</v>
      </c>
      <c r="JG255" s="16">
        <v>0.92953382031524567</v>
      </c>
      <c r="JH255" s="16">
        <v>3.2848531984269368E-2</v>
      </c>
      <c r="JI255" s="16">
        <v>5.5637490393728852E-4</v>
      </c>
      <c r="JJ255" s="16">
        <v>9.7035073686809755E-6</v>
      </c>
      <c r="JM255" s="9">
        <f t="shared" si="301"/>
        <v>3</v>
      </c>
      <c r="JN255" s="16">
        <v>1.2660538441984385E-17</v>
      </c>
      <c r="JO255" s="16">
        <v>1.1038646103170361E-16</v>
      </c>
      <c r="JP255" s="16">
        <v>1.1760162302558473E-15</v>
      </c>
      <c r="JQ255" s="16">
        <v>1.2370505357896036E-14</v>
      </c>
      <c r="JR255" s="16">
        <v>1.2957478781175903E-13</v>
      </c>
      <c r="JS255" s="16">
        <v>1.3516287883842626E-12</v>
      </c>
      <c r="JT255" s="16">
        <v>1.4041323667996714E-11</v>
      </c>
      <c r="JU255" s="16">
        <v>1.4527194666793369E-10</v>
      </c>
      <c r="JV255" s="16">
        <v>1.4968830087501114E-9</v>
      </c>
      <c r="JW255" s="16">
        <v>1.5361569052934851E-8</v>
      </c>
      <c r="JX255" s="16">
        <v>1.5701243830414285E-7</v>
      </c>
      <c r="JY255" s="16">
        <v>1.5984253374317222E-6</v>
      </c>
      <c r="JZ255" s="16">
        <v>1.6207627096777212E-5</v>
      </c>
      <c r="KA255" s="16">
        <v>1.6369077206352262E-4</v>
      </c>
      <c r="KB255" s="16">
        <v>1.6467036623746413E-3</v>
      </c>
      <c r="KC255" s="16">
        <v>1.6500683462285285E-2</v>
      </c>
      <c r="KD255" s="16">
        <v>0.16469950697597668</v>
      </c>
      <c r="KE255" s="16">
        <v>0.63755223251670412</v>
      </c>
      <c r="KF255" s="16">
        <v>0.15434172011318548</v>
      </c>
      <c r="KG255" s="16">
        <v>1.4350085666248151E-2</v>
      </c>
      <c r="KH255" s="16">
        <v>1.6246979109910535E-3</v>
      </c>
      <c r="KK255" s="9">
        <f t="shared" si="302"/>
        <v>3</v>
      </c>
      <c r="KL255" s="16">
        <v>1.413580978069866E-31</v>
      </c>
      <c r="KM255" s="16">
        <v>9.6856998510993595E-30</v>
      </c>
      <c r="KN255" s="16">
        <v>6.7974613858022445E-28</v>
      </c>
      <c r="KO255" s="16">
        <v>4.7474760619917964E-26</v>
      </c>
      <c r="KP255" s="16">
        <v>3.3004673644859822E-24</v>
      </c>
      <c r="KQ255" s="16">
        <v>2.2839901892812008E-22</v>
      </c>
      <c r="KR255" s="16">
        <v>1.5733617683418618E-20</v>
      </c>
      <c r="KS255" s="16">
        <v>1.0789165784990989E-18</v>
      </c>
      <c r="KT255" s="16">
        <v>7.3651452488923243E-17</v>
      </c>
      <c r="KU255" s="16">
        <v>5.0051617221841183E-15</v>
      </c>
      <c r="KV255" s="16">
        <v>3.3861591119621047E-13</v>
      </c>
      <c r="KW255" s="16">
        <v>2.2806469780836055E-11</v>
      </c>
      <c r="KX255" s="16">
        <v>1.5292523279876657E-9</v>
      </c>
      <c r="KY255" s="16">
        <v>1.0208912130199578E-7</v>
      </c>
      <c r="KZ255" s="16">
        <v>6.7852801112328354E-6</v>
      </c>
      <c r="LA255" s="16">
        <v>4.4900666360497637E-4</v>
      </c>
      <c r="LB255" s="16">
        <v>2.9583060039539588E-2</v>
      </c>
      <c r="LC255" s="16">
        <v>0.94065026502927407</v>
      </c>
      <c r="LD255" s="16">
        <v>2.7750578176882607E-2</v>
      </c>
      <c r="LE255" s="16">
        <v>3.9484573688116265E-4</v>
      </c>
      <c r="LF255" s="16">
        <v>5.7530503767511687E-6</v>
      </c>
      <c r="LI255" s="9">
        <f t="shared" si="303"/>
        <v>3</v>
      </c>
      <c r="LJ255" s="16">
        <v>1.2659729797040381E-17</v>
      </c>
      <c r="LK255" s="16">
        <v>1.1037991269038847E-16</v>
      </c>
      <c r="LL255" s="16">
        <v>1.1759508299521999E-15</v>
      </c>
      <c r="LM255" s="16">
        <v>1.2369864061574148E-14</v>
      </c>
      <c r="LN255" s="16">
        <v>1.2956855907595189E-13</v>
      </c>
      <c r="LO255" s="16">
        <v>1.3515689079381707E-12</v>
      </c>
      <c r="LP255" s="16">
        <v>1.4040754484375996E-11</v>
      </c>
      <c r="LQ255" s="16">
        <v>1.4526660469182495E-10</v>
      </c>
      <c r="LR255" s="16">
        <v>1.496833596321649E-9</v>
      </c>
      <c r="LS255" s="16">
        <v>1.5361119723662839E-8</v>
      </c>
      <c r="LT255" s="16">
        <v>1.5700843570118694E-7</v>
      </c>
      <c r="LU255" s="16">
        <v>1.5983905934904985E-6</v>
      </c>
      <c r="LV255" s="16">
        <v>1.6207335643339008E-5</v>
      </c>
      <c r="LW255" s="16">
        <v>1.636884426355911E-4</v>
      </c>
      <c r="LX255" s="16">
        <v>1.6466864034711936E-3</v>
      </c>
      <c r="LY255" s="16">
        <v>1.650057236081548E-2</v>
      </c>
      <c r="LZ255" s="16">
        <v>0.16469901494400591</v>
      </c>
      <c r="MA255" s="16">
        <v>0.63755347082065539</v>
      </c>
      <c r="MB255" s="16">
        <v>0.15434125986538944</v>
      </c>
      <c r="MC255" s="16">
        <v>1.4349990135150389E-2</v>
      </c>
      <c r="MD255" s="16">
        <v>1.6246797984134933E-3</v>
      </c>
      <c r="MG255" s="9">
        <f t="shared" si="304"/>
        <v>3</v>
      </c>
      <c r="MH255" s="16">
        <v>6.6773453766464057E-31</v>
      </c>
      <c r="MI255" s="16">
        <v>4.1641807861119469E-29</v>
      </c>
      <c r="MJ255" s="16">
        <v>2.6672941875222095E-27</v>
      </c>
      <c r="MK255" s="16">
        <v>1.7001942338045326E-25</v>
      </c>
      <c r="ML255" s="16">
        <v>1.0787631860691272E-23</v>
      </c>
      <c r="MM255" s="16">
        <v>6.8133887580702384E-22</v>
      </c>
      <c r="MN255" s="16">
        <v>4.2837008198580705E-20</v>
      </c>
      <c r="MO255" s="16">
        <v>2.6810403507593563E-18</v>
      </c>
      <c r="MP255" s="16">
        <v>1.6704177175870105E-16</v>
      </c>
      <c r="MQ255" s="16">
        <v>1.036080540439115E-14</v>
      </c>
      <c r="MR255" s="16">
        <v>6.3976096369538417E-13</v>
      </c>
      <c r="MS255" s="16">
        <v>3.932844349374312E-11</v>
      </c>
      <c r="MT255" s="16">
        <v>2.4069634925681218E-9</v>
      </c>
      <c r="MU255" s="16">
        <v>1.4666106100704753E-7</v>
      </c>
      <c r="MV255" s="16">
        <v>8.8971617372226576E-6</v>
      </c>
      <c r="MW255" s="16">
        <v>5.373882701299518E-4</v>
      </c>
      <c r="MX255" s="16">
        <v>3.2317185223400442E-2</v>
      </c>
      <c r="MY255" s="16">
        <v>0.93506736693980752</v>
      </c>
      <c r="MZ255" s="16">
        <v>3.0314873427035868E-2</v>
      </c>
      <c r="NA255" s="16">
        <v>4.7252573732487868E-4</v>
      </c>
      <c r="NB255" s="16">
        <v>7.5632745096619501E-6</v>
      </c>
      <c r="NE255" s="9">
        <f t="shared" si="305"/>
        <v>3</v>
      </c>
      <c r="NF255" s="16">
        <v>1.2659729797040381E-17</v>
      </c>
      <c r="NG255" s="16">
        <v>1.1037991269038847E-16</v>
      </c>
      <c r="NH255" s="16">
        <v>1.1759508299521999E-15</v>
      </c>
      <c r="NI255" s="16">
        <v>1.2369864061574148E-14</v>
      </c>
      <c r="NJ255" s="16">
        <v>1.2956855907595189E-13</v>
      </c>
      <c r="NK255" s="16">
        <v>1.3515689079381707E-12</v>
      </c>
      <c r="NL255" s="16">
        <v>1.4040754484375996E-11</v>
      </c>
      <c r="NM255" s="16">
        <v>1.4526660469182495E-10</v>
      </c>
      <c r="NN255" s="16">
        <v>1.496833596321649E-9</v>
      </c>
      <c r="NO255" s="16">
        <v>1.5361119723662839E-8</v>
      </c>
      <c r="NP255" s="16">
        <v>1.5700843570118694E-7</v>
      </c>
      <c r="NQ255" s="16">
        <v>1.5983905934904985E-6</v>
      </c>
      <c r="NR255" s="16">
        <v>1.6207335643339008E-5</v>
      </c>
      <c r="NS255" s="16">
        <v>1.636884426355911E-4</v>
      </c>
      <c r="NT255" s="16">
        <v>1.6466864034711936E-3</v>
      </c>
      <c r="NU255" s="16">
        <v>1.650057236081548E-2</v>
      </c>
      <c r="NV255" s="16">
        <v>0.16469901494400591</v>
      </c>
      <c r="NW255" s="16">
        <v>0.63755347082065539</v>
      </c>
      <c r="NX255" s="16">
        <v>0.15434125986538944</v>
      </c>
      <c r="NY255" s="16">
        <v>1.4349990135150389E-2</v>
      </c>
      <c r="NZ255" s="16">
        <v>1.6246797984134933E-3</v>
      </c>
      <c r="OC255" s="9">
        <f t="shared" si="306"/>
        <v>3</v>
      </c>
      <c r="OD255" s="16">
        <v>2.7469896262088911E-30</v>
      </c>
      <c r="OE255" s="16">
        <v>1.571936798519809E-28</v>
      </c>
      <c r="OF255" s="16">
        <v>9.2647739310619301E-27</v>
      </c>
      <c r="OG255" s="16">
        <v>5.4338213697441244E-25</v>
      </c>
      <c r="OH255" s="16">
        <v>3.1723358352631811E-23</v>
      </c>
      <c r="OI255" s="16">
        <v>1.8435959810337731E-21</v>
      </c>
      <c r="OJ255" s="16">
        <v>1.0665336934549375E-19</v>
      </c>
      <c r="OK255" s="16">
        <v>6.1420731850690432E-18</v>
      </c>
      <c r="OL255" s="16">
        <v>3.5212449328392655E-16</v>
      </c>
      <c r="OM255" s="16">
        <v>2.0096827177822653E-14</v>
      </c>
      <c r="ON255" s="16">
        <v>1.1418731865787077E-12</v>
      </c>
      <c r="OO255" s="16">
        <v>6.459164969516562E-11</v>
      </c>
      <c r="OP255" s="16">
        <v>3.6375747393438194E-9</v>
      </c>
      <c r="OQ255" s="16">
        <v>2.0395453788893129E-7</v>
      </c>
      <c r="OR255" s="16">
        <v>1.1385431315073174E-5</v>
      </c>
      <c r="OS255" s="16">
        <v>6.3280362942290651E-4</v>
      </c>
      <c r="OT255" s="16">
        <v>3.5018731257100484E-2</v>
      </c>
      <c r="OU255" s="16">
        <v>0.92953382031524567</v>
      </c>
      <c r="OV255" s="16">
        <v>3.284853198426934E-2</v>
      </c>
      <c r="OW255" s="16">
        <v>5.5637490393728754E-4</v>
      </c>
      <c r="OX255" s="16">
        <v>9.7035073686809535E-6</v>
      </c>
      <c r="PA255" s="9">
        <f t="shared" si="307"/>
        <v>3</v>
      </c>
      <c r="PB255" s="16">
        <v>1.265245412328438E-17</v>
      </c>
      <c r="PC255" s="16">
        <v>1.1032099351666195E-16</v>
      </c>
      <c r="PD255" s="16">
        <v>1.1753623750927089E-15</v>
      </c>
      <c r="PE255" s="16">
        <v>1.2364093735749828E-14</v>
      </c>
      <c r="PF255" s="16">
        <v>1.2951251242109933E-13</v>
      </c>
      <c r="PG255" s="16">
        <v>1.3510300888044559E-12</v>
      </c>
      <c r="PH255" s="16">
        <v>1.4035632732089843E-11</v>
      </c>
      <c r="PI255" s="16">
        <v>1.4521853444973266E-10</v>
      </c>
      <c r="PJ255" s="16">
        <v>1.4963889458495263E-9</v>
      </c>
      <c r="PK255" s="16">
        <v>1.5357076242138299E-8</v>
      </c>
      <c r="PL255" s="16">
        <v>1.5697241588788872E-7</v>
      </c>
      <c r="PM255" s="16">
        <v>1.5980779234797909E-6</v>
      </c>
      <c r="PN255" s="16">
        <v>1.6204712726360002E-5</v>
      </c>
      <c r="PO255" s="16">
        <v>1.6366747869683119E-4</v>
      </c>
      <c r="PP255" s="16">
        <v>1.6465310771319433E-3</v>
      </c>
      <c r="PQ255" s="16">
        <v>1.6499572452480626E-2</v>
      </c>
      <c r="PR255" s="16">
        <v>0.16469458658297542</v>
      </c>
      <c r="PS255" s="16">
        <v>0.63756461568052603</v>
      </c>
      <c r="PT255" s="16">
        <v>0.15433711756627061</v>
      </c>
      <c r="PU255" s="16">
        <v>1.4349130358794357E-2</v>
      </c>
      <c r="PV255" s="16">
        <v>1.6245167899346534E-3</v>
      </c>
    </row>
    <row r="256" spans="3:438" x14ac:dyDescent="0.25">
      <c r="C256" s="1"/>
      <c r="D256" s="1"/>
      <c r="I256" s="9">
        <f t="shared" si="290"/>
        <v>2</v>
      </c>
      <c r="J256" s="16">
        <v>9.4079772715024731E-34</v>
      </c>
      <c r="K256" s="16">
        <v>6.6863308365680277E-32</v>
      </c>
      <c r="L256" s="16">
        <v>4.8689349381902712E-30</v>
      </c>
      <c r="M256" s="16">
        <v>3.533069461839195E-28</v>
      </c>
      <c r="N256" s="16">
        <v>2.555220467811329E-26</v>
      </c>
      <c r="O256" s="16">
        <v>1.8419061634259444E-24</v>
      </c>
      <c r="P256" s="16">
        <v>1.3233491650450266E-22</v>
      </c>
      <c r="Q256" s="16">
        <v>9.4766335050113957E-21</v>
      </c>
      <c r="R256" s="16">
        <v>6.7641191532021554E-19</v>
      </c>
      <c r="S256" s="16">
        <v>4.8122783631538931E-17</v>
      </c>
      <c r="T256" s="16">
        <v>3.412536745618281E-15</v>
      </c>
      <c r="U256" s="16">
        <v>2.4121025965833085E-13</v>
      </c>
      <c r="V256" s="16">
        <v>1.6994592842515267E-11</v>
      </c>
      <c r="W256" s="16">
        <v>1.1935125254983605E-9</v>
      </c>
      <c r="X256" s="16">
        <v>8.3550504106607599E-8</v>
      </c>
      <c r="Y256" s="16">
        <v>5.8301759532708735E-6</v>
      </c>
      <c r="Z256" s="16">
        <v>4.0553592265529722E-4</v>
      </c>
      <c r="AA256" s="16">
        <v>2.8118792133713752E-2</v>
      </c>
      <c r="AB256" s="16">
        <v>0.94351617297734025</v>
      </c>
      <c r="AC256" s="16">
        <v>2.6662869152669865E-2</v>
      </c>
      <c r="AD256" s="16">
        <v>3.7472979105253253E-4</v>
      </c>
      <c r="AE256" s="27"/>
      <c r="AF256" s="19"/>
      <c r="AG256" s="9">
        <f t="shared" si="291"/>
        <v>2</v>
      </c>
      <c r="AH256" s="16">
        <v>3.9140144961037481E-19</v>
      </c>
      <c r="AI256" s="16">
        <v>3.4847268971667012E-18</v>
      </c>
      <c r="AJ256" s="16">
        <v>3.7829685598047678E-17</v>
      </c>
      <c r="AK256" s="16">
        <v>4.0605175151991649E-16</v>
      </c>
      <c r="AL256" s="16">
        <v>4.3450564825045729E-15</v>
      </c>
      <c r="AM256" s="16">
        <v>4.6356672933108202E-14</v>
      </c>
      <c r="AN256" s="16">
        <v>4.9310239025358384E-13</v>
      </c>
      <c r="AO256" s="16">
        <v>5.2296770165399871E-12</v>
      </c>
      <c r="AP256" s="16">
        <v>5.5300670568739169E-11</v>
      </c>
      <c r="AQ256" s="16">
        <v>5.830536534472235E-10</v>
      </c>
      <c r="AR256" s="16">
        <v>6.1293445875882158E-9</v>
      </c>
      <c r="AS256" s="16">
        <v>6.4246830918262355E-8</v>
      </c>
      <c r="AT256" s="16">
        <v>6.7146946060261398E-7</v>
      </c>
      <c r="AU256" s="16">
        <v>6.9974919237129154E-6</v>
      </c>
      <c r="AV256" s="16">
        <v>7.2711784324012681E-5</v>
      </c>
      <c r="AW256" s="16">
        <v>7.5338695066088951E-4</v>
      </c>
      <c r="AX256" s="16">
        <v>7.783714343459632E-3</v>
      </c>
      <c r="AY256" s="16">
        <v>8.0189183668596439E-2</v>
      </c>
      <c r="AZ256" s="16">
        <v>0.82377636374766205</v>
      </c>
      <c r="BA256" s="16">
        <v>7.5375797962903557E-2</v>
      </c>
      <c r="BB256" s="16">
        <v>8.3894510093194367E-3</v>
      </c>
      <c r="BE256" s="9">
        <f t="shared" si="292"/>
        <v>2</v>
      </c>
      <c r="BF256" s="16">
        <v>3.9064321557371527E-19</v>
      </c>
      <c r="BG256" s="16">
        <v>3.4784281823854649E-18</v>
      </c>
      <c r="BH256" s="16">
        <v>3.7765322208165881E-17</v>
      </c>
      <c r="BI256" s="16">
        <v>4.0540468646331581E-16</v>
      </c>
      <c r="BJ256" s="16">
        <v>4.3386010107409878E-15</v>
      </c>
      <c r="BK256" s="16">
        <v>4.629279872374799E-14</v>
      </c>
      <c r="BL256" s="16">
        <v>4.9247610248071608E-13</v>
      </c>
      <c r="BM256" s="16">
        <v>5.223598367066911E-12</v>
      </c>
      <c r="BN256" s="16">
        <v>5.5242350043007661E-11</v>
      </c>
      <c r="BO256" s="16">
        <v>5.8250155512703054E-10</v>
      </c>
      <c r="BP256" s="16">
        <v>6.1242006058405463E-9</v>
      </c>
      <c r="BQ256" s="16">
        <v>6.4199828028517989E-8</v>
      </c>
      <c r="BR256" s="16">
        <v>6.71050471313508E-7</v>
      </c>
      <c r="BS256" s="16">
        <v>6.993878358879186E-6</v>
      </c>
      <c r="BT256" s="16">
        <v>7.2682055491643622E-5</v>
      </c>
      <c r="BU256" s="16">
        <v>7.5315992620386706E-4</v>
      </c>
      <c r="BV256" s="16">
        <v>7.7822054829017962E-3</v>
      </c>
      <c r="BW256" s="16">
        <v>8.0182256254869855E-2</v>
      </c>
      <c r="BX256" s="16">
        <v>0.82379369730355145</v>
      </c>
      <c r="BY256" s="16">
        <v>7.5369424897857279E-2</v>
      </c>
      <c r="BZ256" s="16">
        <v>8.3876614915297E-3</v>
      </c>
      <c r="CC256" s="9">
        <f t="shared" si="293"/>
        <v>2</v>
      </c>
      <c r="CD256" s="16">
        <v>3.9064321557369866E-19</v>
      </c>
      <c r="CE256" s="16">
        <v>3.4784281823853278E-18</v>
      </c>
      <c r="CF256" s="16">
        <v>3.7765322208164482E-17</v>
      </c>
      <c r="CG256" s="16">
        <v>4.0540468646330176E-16</v>
      </c>
      <c r="CH256" s="16">
        <v>4.3386010107408466E-15</v>
      </c>
      <c r="CI256" s="16">
        <v>4.6292798723746608E-14</v>
      </c>
      <c r="CJ256" s="16">
        <v>4.9247610248070285E-13</v>
      </c>
      <c r="CK256" s="16">
        <v>5.2235983670667801E-12</v>
      </c>
      <c r="CL256" s="16">
        <v>5.5242350043006413E-11</v>
      </c>
      <c r="CM256" s="16">
        <v>5.8250155512701855E-10</v>
      </c>
      <c r="CN256" s="16">
        <v>6.124200605840433E-9</v>
      </c>
      <c r="CO256" s="16">
        <v>6.4199828028516983E-8</v>
      </c>
      <c r="CP256" s="16">
        <v>6.7105047131349889E-7</v>
      </c>
      <c r="CQ256" s="16">
        <v>6.9938783588791072E-6</v>
      </c>
      <c r="CR256" s="16">
        <v>7.2682055491642971E-5</v>
      </c>
      <c r="CS256" s="16">
        <v>7.5315992620386219E-4</v>
      </c>
      <c r="CT256" s="16">
        <v>7.7822054829017632E-3</v>
      </c>
      <c r="CU256" s="16">
        <v>8.0182256254869702E-2</v>
      </c>
      <c r="CV256" s="16">
        <v>0.8237936973035519</v>
      </c>
      <c r="CW256" s="16">
        <v>7.5369424897857112E-2</v>
      </c>
      <c r="CX256" s="16">
        <v>8.3876614915296584E-3</v>
      </c>
      <c r="DA256" s="9">
        <f t="shared" si="294"/>
        <v>2</v>
      </c>
      <c r="DB256" s="16">
        <v>9.4942291339499091E-34</v>
      </c>
      <c r="DC256" s="16">
        <v>6.7441140820747937E-32</v>
      </c>
      <c r="DD256" s="16">
        <v>4.9085226520879958E-30</v>
      </c>
      <c r="DE256" s="16">
        <v>3.5599894921446287E-28</v>
      </c>
      <c r="DF256" s="16">
        <v>2.573384269047148E-26</v>
      </c>
      <c r="DG256" s="16">
        <v>1.8540587930917928E-24</v>
      </c>
      <c r="DH256" s="16">
        <v>1.3314050408223988E-22</v>
      </c>
      <c r="DI256" s="16">
        <v>9.5294886105321256E-21</v>
      </c>
      <c r="DJ256" s="16">
        <v>6.7983971634436227E-19</v>
      </c>
      <c r="DK256" s="16">
        <v>4.8342133075101859E-17</v>
      </c>
      <c r="DL256" s="16">
        <v>3.4263537788356471E-15</v>
      </c>
      <c r="DM256" s="16">
        <v>2.4206413764978618E-13</v>
      </c>
      <c r="DN256" s="16">
        <v>1.7046109061141428E-11</v>
      </c>
      <c r="DO256" s="16">
        <v>1.1965237245452788E-9</v>
      </c>
      <c r="DP256" s="16">
        <v>8.3718850067056126E-8</v>
      </c>
      <c r="DQ256" s="16">
        <v>5.8389626969809308E-6</v>
      </c>
      <c r="DR256" s="16">
        <v>4.0594130218625372E-4</v>
      </c>
      <c r="DS256" s="16">
        <v>2.8132637812500139E-2</v>
      </c>
      <c r="DT256" s="16">
        <v>0.94348793345647575</v>
      </c>
      <c r="DU256" s="16">
        <v>2.6675991400674771E-2</v>
      </c>
      <c r="DV256" s="16">
        <v>3.7510949018613082E-4</v>
      </c>
      <c r="DY256" s="9">
        <f t="shared" si="295"/>
        <v>2</v>
      </c>
      <c r="DZ256" s="16">
        <v>2.8946513573166823E-21</v>
      </c>
      <c r="EA256" s="16">
        <v>3.5952345320152058E-20</v>
      </c>
      <c r="EB256" s="16">
        <v>5.155815283918355E-19</v>
      </c>
      <c r="EC256" s="16">
        <v>7.327158622245368E-18</v>
      </c>
      <c r="ED256" s="16">
        <v>1.036803896973653E-16</v>
      </c>
      <c r="EE256" s="16">
        <v>1.4608336343608703E-15</v>
      </c>
      <c r="EF256" s="16">
        <v>2.0495453390635715E-14</v>
      </c>
      <c r="EG256" s="16">
        <v>2.8633623228761716E-13</v>
      </c>
      <c r="EH256" s="16">
        <v>3.9835142461590101E-12</v>
      </c>
      <c r="EI256" s="16">
        <v>5.5187018829480236E-11</v>
      </c>
      <c r="EJ256" s="16">
        <v>7.6137236594622805E-10</v>
      </c>
      <c r="EK256" s="16">
        <v>1.0460584119186542E-8</v>
      </c>
      <c r="EL256" s="16">
        <v>1.4312726081805693E-7</v>
      </c>
      <c r="EM256" s="16">
        <v>1.9503172296728028E-6</v>
      </c>
      <c r="EN256" s="16">
        <v>2.646753051048145E-5</v>
      </c>
      <c r="EO256" s="16">
        <v>3.5773017048630487E-4</v>
      </c>
      <c r="EP256" s="16">
        <v>4.8154883488629799E-3</v>
      </c>
      <c r="EQ256" s="16">
        <v>6.4561902018964293E-2</v>
      </c>
      <c r="ER256" s="16">
        <v>0.86212841715315447</v>
      </c>
      <c r="ES256" s="16">
        <v>5.9694051797523379E-2</v>
      </c>
      <c r="ET256" s="16">
        <v>4.7626486419901299E-3</v>
      </c>
      <c r="EW256" s="9">
        <f t="shared" si="296"/>
        <v>2</v>
      </c>
      <c r="EX256" s="16">
        <v>2.8946513573168151E-21</v>
      </c>
      <c r="EY256" s="16">
        <v>3.5952345320153617E-20</v>
      </c>
      <c r="EZ256" s="16">
        <v>5.155815283918564E-19</v>
      </c>
      <c r="FA256" s="16">
        <v>7.3271586222456453E-18</v>
      </c>
      <c r="FB256" s="16">
        <v>1.03680389697369E-16</v>
      </c>
      <c r="FC256" s="16">
        <v>1.4608336343609182E-15</v>
      </c>
      <c r="FD256" s="16">
        <v>2.0495453390636343E-14</v>
      </c>
      <c r="FE256" s="16">
        <v>2.8633623228762509E-13</v>
      </c>
      <c r="FF256" s="16">
        <v>3.9835142461591111E-12</v>
      </c>
      <c r="FG256" s="16">
        <v>5.5187018829481502E-11</v>
      </c>
      <c r="FH256" s="16">
        <v>7.6137236594624377E-10</v>
      </c>
      <c r="FI256" s="16">
        <v>1.0460584119186729E-8</v>
      </c>
      <c r="FJ256" s="16">
        <v>1.4312726081805913E-7</v>
      </c>
      <c r="FK256" s="16">
        <v>1.9503172296728283E-6</v>
      </c>
      <c r="FL256" s="16">
        <v>2.6467530510481715E-5</v>
      </c>
      <c r="FM256" s="16">
        <v>3.5773017048630775E-4</v>
      </c>
      <c r="FN256" s="16">
        <v>4.815488348863005E-3</v>
      </c>
      <c r="FO256" s="16">
        <v>6.4561902018964445E-2</v>
      </c>
      <c r="FP256" s="16">
        <v>0.86212841715315414</v>
      </c>
      <c r="FQ256" s="16">
        <v>5.969405179752351E-2</v>
      </c>
      <c r="FR256" s="16">
        <v>4.7626486419901524E-3</v>
      </c>
      <c r="FU256" s="9">
        <f t="shared" si="297"/>
        <v>2</v>
      </c>
      <c r="FV256" s="16">
        <v>2.9005320369704848E-21</v>
      </c>
      <c r="FW256" s="16">
        <v>3.6020703689973567E-20</v>
      </c>
      <c r="FX256" s="16">
        <v>5.1650393912237152E-19</v>
      </c>
      <c r="FY256" s="16">
        <v>7.3394373143608104E-18</v>
      </c>
      <c r="FZ256" s="16">
        <v>1.0384239386441078E-16</v>
      </c>
      <c r="GA256" s="16">
        <v>1.4629508911935486E-15</v>
      </c>
      <c r="GB256" s="16">
        <v>2.0522839832224047E-14</v>
      </c>
      <c r="GC256" s="16">
        <v>2.8668646451861321E-13</v>
      </c>
      <c r="GD256" s="16">
        <v>3.9879364969791147E-12</v>
      </c>
      <c r="GE256" s="16">
        <v>5.5242050432082067E-11</v>
      </c>
      <c r="GF256" s="16">
        <v>7.6204563801431549E-10</v>
      </c>
      <c r="GG256" s="16">
        <v>1.0468653927350444E-8</v>
      </c>
      <c r="GH256" s="16">
        <v>1.4322153425101788E-7</v>
      </c>
      <c r="GI256" s="16">
        <v>1.9513819976025202E-6</v>
      </c>
      <c r="GJ256" s="16">
        <v>2.6478998397657174E-5</v>
      </c>
      <c r="GK256" s="16">
        <v>3.5784488545443754E-4</v>
      </c>
      <c r="GL256" s="16">
        <v>4.8164905757082915E-3</v>
      </c>
      <c r="GM256" s="16">
        <v>6.4568076377695877E-2</v>
      </c>
      <c r="GN256" s="16">
        <v>0.86211393478840248</v>
      </c>
      <c r="GO256" s="16">
        <v>5.969969288612529E-2</v>
      </c>
      <c r="GP256" s="16">
        <v>4.7637121167226418E-3</v>
      </c>
      <c r="GS256" s="9">
        <f t="shared" si="298"/>
        <v>2</v>
      </c>
      <c r="GT256" s="16">
        <v>4.9829820954902722E-32</v>
      </c>
      <c r="GU256" s="16">
        <v>2.8522329228219235E-30</v>
      </c>
      <c r="GV256" s="16">
        <v>1.6815058315322826E-28</v>
      </c>
      <c r="GW256" s="16">
        <v>9.8646709954214319E-27</v>
      </c>
      <c r="GX256" s="16">
        <v>5.7606314471007967E-25</v>
      </c>
      <c r="GY256" s="16">
        <v>3.3486546563479735E-23</v>
      </c>
      <c r="GZ256" s="16">
        <v>1.937728169811273E-21</v>
      </c>
      <c r="HA256" s="16">
        <v>1.116212580386245E-19</v>
      </c>
      <c r="HB256" s="16">
        <v>6.4009112168416238E-18</v>
      </c>
      <c r="HC256" s="16">
        <v>3.6541527495946625E-16</v>
      </c>
      <c r="HD256" s="16">
        <v>2.0767809686780174E-14</v>
      </c>
      <c r="HE256" s="16">
        <v>1.1750674783358921E-12</v>
      </c>
      <c r="HF256" s="16">
        <v>6.6192983145436695E-11</v>
      </c>
      <c r="HG256" s="16">
        <v>3.7123335407888708E-9</v>
      </c>
      <c r="HH256" s="16">
        <v>2.0728920276832971E-7</v>
      </c>
      <c r="HI256" s="16">
        <v>1.1524171720648657E-5</v>
      </c>
      <c r="HJ256" s="16">
        <v>6.3790311399659298E-4</v>
      </c>
      <c r="HK256" s="16">
        <v>3.5157683672237566E-2</v>
      </c>
      <c r="HL256" s="16">
        <v>0.92936655842797344</v>
      </c>
      <c r="HM256" s="16">
        <v>3.2670280690350217E-2</v>
      </c>
      <c r="HN256" s="16">
        <v>5.6963505258074659E-4</v>
      </c>
      <c r="HQ256" s="9">
        <f t="shared" si="299"/>
        <v>2</v>
      </c>
      <c r="HR256" s="16">
        <v>1.2778254648076517E-18</v>
      </c>
      <c r="HS256" s="16">
        <v>1.1141079394102847E-17</v>
      </c>
      <c r="HT256" s="16">
        <v>1.1869114757063397E-16</v>
      </c>
      <c r="HU256" s="16">
        <v>1.248492402726597E-15</v>
      </c>
      <c r="HV256" s="16">
        <v>1.3077129330461415E-14</v>
      </c>
      <c r="HW256" s="16">
        <v>1.3640892915666778E-13</v>
      </c>
      <c r="HX256" s="16">
        <v>1.4170555462090465E-12</v>
      </c>
      <c r="HY256" s="16">
        <v>1.4660677517394281E-11</v>
      </c>
      <c r="HZ256" s="16">
        <v>1.5106143570771441E-10</v>
      </c>
      <c r="IA256" s="16">
        <v>1.5502252086878325E-9</v>
      </c>
      <c r="IB256" s="16">
        <v>1.5844799464226485E-8</v>
      </c>
      <c r="IC256" s="16">
        <v>1.6130154211234286E-7</v>
      </c>
      <c r="ID256" s="16">
        <v>1.6355321254753638E-6</v>
      </c>
      <c r="IE256" s="16">
        <v>1.6517994706842473E-5</v>
      </c>
      <c r="IF256" s="16">
        <v>1.6616596072922211E-4</v>
      </c>
      <c r="IG256" s="16">
        <v>1.6650298899516184E-3</v>
      </c>
      <c r="IH256" s="16">
        <v>1.6619038474996344E-2</v>
      </c>
      <c r="II256" s="16">
        <v>0.165235078953095</v>
      </c>
      <c r="IJ256" s="16">
        <v>0.63651345387645097</v>
      </c>
      <c r="IK256" s="16">
        <v>0.15215881663203171</v>
      </c>
      <c r="IL256" s="16">
        <v>1.7227531480315021E-2</v>
      </c>
      <c r="IO256" s="9">
        <f t="shared" si="300"/>
        <v>2</v>
      </c>
      <c r="IP256" s="16">
        <v>5.0065012128396004E-32</v>
      </c>
      <c r="IQ256" s="16">
        <v>2.8649192604188453E-30</v>
      </c>
      <c r="IR256" s="16">
        <v>1.688543031979363E-28</v>
      </c>
      <c r="IS256" s="16">
        <v>9.9033622181975083E-27</v>
      </c>
      <c r="IT256" s="16">
        <v>5.7817121168741701E-25</v>
      </c>
      <c r="IU256" s="16">
        <v>3.3600292578352392E-23</v>
      </c>
      <c r="IV256" s="16">
        <v>1.9438013812908277E-21</v>
      </c>
      <c r="IW256" s="16">
        <v>1.1194180188017645E-19</v>
      </c>
      <c r="IX256" s="16">
        <v>6.417613251526847E-18</v>
      </c>
      <c r="IY256" s="16">
        <v>3.6627291446620514E-16</v>
      </c>
      <c r="IZ256" s="16">
        <v>2.0811106962223917E-14</v>
      </c>
      <c r="JA256" s="16">
        <v>1.177209296507054E-12</v>
      </c>
      <c r="JB256" s="16">
        <v>6.6296290930857993E-11</v>
      </c>
      <c r="JC256" s="16">
        <v>3.7171550688171977E-9</v>
      </c>
      <c r="JD256" s="16">
        <v>2.0750415343316111E-7</v>
      </c>
      <c r="JE256" s="16">
        <v>1.1533105578441409E-5</v>
      </c>
      <c r="JF256" s="16">
        <v>6.3823073388426135E-4</v>
      </c>
      <c r="JG256" s="16">
        <v>3.5166544931424404E-2</v>
      </c>
      <c r="JH256" s="16">
        <v>0.92934840560347609</v>
      </c>
      <c r="JI256" s="16">
        <v>3.267850856602203E-2</v>
      </c>
      <c r="JJ256" s="16">
        <v>5.6993251569024831E-4</v>
      </c>
      <c r="JM256" s="9">
        <f t="shared" si="301"/>
        <v>2</v>
      </c>
      <c r="JN256" s="16">
        <v>1.2774799331672427E-18</v>
      </c>
      <c r="JO256" s="16">
        <v>1.1138269474678567E-17</v>
      </c>
      <c r="JP256" s="16">
        <v>1.1866297330995344E-16</v>
      </c>
      <c r="JQ256" s="16">
        <v>1.2482148709761435E-15</v>
      </c>
      <c r="JR256" s="16">
        <v>1.3074419546407609E-14</v>
      </c>
      <c r="JS256" s="16">
        <v>1.3638271880492103E-13</v>
      </c>
      <c r="JT256" s="16">
        <v>1.4168046093117491E-12</v>
      </c>
      <c r="JU256" s="16">
        <v>1.465830205965075E-11</v>
      </c>
      <c r="JV256" s="16">
        <v>1.5103923223644141E-10</v>
      </c>
      <c r="JW256" s="16">
        <v>1.550020664366891E-9</v>
      </c>
      <c r="JX256" s="16">
        <v>1.5842946973411955E-8</v>
      </c>
      <c r="JY256" s="16">
        <v>1.6128510667947958E-7</v>
      </c>
      <c r="JZ256" s="16">
        <v>1.6353900329965197E-6</v>
      </c>
      <c r="KA256" s="16">
        <v>1.6516807520788789E-5</v>
      </c>
      <c r="KB256" s="16">
        <v>1.661565101829028E-4</v>
      </c>
      <c r="KC256" s="16">
        <v>1.6649601518298547E-3</v>
      </c>
      <c r="KD256" s="16">
        <v>1.6618591391549923E-2</v>
      </c>
      <c r="KE256" s="16">
        <v>0.16523310806561733</v>
      </c>
      <c r="KF256" s="16">
        <v>0.63651842610641063</v>
      </c>
      <c r="KG256" s="16">
        <v>0.15215704212573644</v>
      </c>
      <c r="KH256" s="16">
        <v>1.7227021094773358E-2</v>
      </c>
      <c r="KK256" s="9">
        <f t="shared" si="302"/>
        <v>2</v>
      </c>
      <c r="KL256" s="16">
        <v>2.1640096271946782E-33</v>
      </c>
      <c r="KM256" s="16">
        <v>1.4827553602564913E-31</v>
      </c>
      <c r="KN256" s="16">
        <v>1.0406034113054617E-29</v>
      </c>
      <c r="KO256" s="16">
        <v>7.2677717530228082E-28</v>
      </c>
      <c r="KP256" s="16">
        <v>5.052588611330698E-26</v>
      </c>
      <c r="KQ256" s="16">
        <v>3.4964935399536972E-24</v>
      </c>
      <c r="KR256" s="16">
        <v>2.4086133490567897E-22</v>
      </c>
      <c r="KS256" s="16">
        <v>1.6516817211278271E-20</v>
      </c>
      <c r="KT256" s="16">
        <v>1.1275084676119907E-18</v>
      </c>
      <c r="KU256" s="16">
        <v>7.6622551664934744E-17</v>
      </c>
      <c r="KV256" s="16">
        <v>5.1837715922750677E-15</v>
      </c>
      <c r="KW256" s="16">
        <v>3.4913755160628965E-13</v>
      </c>
      <c r="KX256" s="16">
        <v>2.3410875015407998E-11</v>
      </c>
      <c r="KY256" s="16">
        <v>1.5628523923052195E-9</v>
      </c>
      <c r="KZ256" s="16">
        <v>1.0387386157367144E-7</v>
      </c>
      <c r="LA256" s="16">
        <v>6.8737112184577474E-6</v>
      </c>
      <c r="LB256" s="16">
        <v>4.5287838277827889E-4</v>
      </c>
      <c r="LC256" s="16">
        <v>2.970884527800776E-2</v>
      </c>
      <c r="LD256" s="16">
        <v>0.94049377699466885</v>
      </c>
      <c r="LE256" s="16">
        <v>2.761008042452404E-2</v>
      </c>
      <c r="LF256" s="16">
        <v>4.0228922019802671E-4</v>
      </c>
      <c r="LI256" s="9">
        <f t="shared" si="303"/>
        <v>2</v>
      </c>
      <c r="LJ256" s="16">
        <v>1.2773935637105876E-18</v>
      </c>
      <c r="LK256" s="16">
        <v>1.1137567096147802E-17</v>
      </c>
      <c r="LL256" s="16">
        <v>1.1865593069547507E-16</v>
      </c>
      <c r="LM256" s="16">
        <v>1.2481454967485769E-15</v>
      </c>
      <c r="LN256" s="16">
        <v>1.3073742179044713E-14</v>
      </c>
      <c r="LO256" s="16">
        <v>1.3637616691591541E-13</v>
      </c>
      <c r="LP256" s="16">
        <v>1.4167418811873443E-12</v>
      </c>
      <c r="LQ256" s="16">
        <v>1.4657708247359964E-11</v>
      </c>
      <c r="LR256" s="16">
        <v>1.5103368180370238E-10</v>
      </c>
      <c r="LS256" s="16">
        <v>1.5499695318127555E-9</v>
      </c>
      <c r="LT256" s="16">
        <v>1.5842483878277685E-8</v>
      </c>
      <c r="LU256" s="16">
        <v>1.6128099802711743E-7</v>
      </c>
      <c r="LV256" s="16">
        <v>1.6353545113212825E-6</v>
      </c>
      <c r="LW256" s="16">
        <v>1.6516510733538434E-5</v>
      </c>
      <c r="LX256" s="16">
        <v>1.6615414759765188E-4</v>
      </c>
      <c r="LY256" s="16">
        <v>1.6649427175115625E-3</v>
      </c>
      <c r="LZ256" s="16">
        <v>1.6618479620957742E-2</v>
      </c>
      <c r="MA256" s="16">
        <v>0.16523261533964687</v>
      </c>
      <c r="MB256" s="16">
        <v>0.63651966917078584</v>
      </c>
      <c r="MC256" s="16">
        <v>0.15215659849519331</v>
      </c>
      <c r="MD256" s="16">
        <v>1.7226893499036038E-2</v>
      </c>
      <c r="MG256" s="9">
        <f t="shared" si="304"/>
        <v>2</v>
      </c>
      <c r="MH256" s="16">
        <v>1.1198948471145824E-32</v>
      </c>
      <c r="MI256" s="16">
        <v>6.9839799228154701E-31</v>
      </c>
      <c r="MJ256" s="16">
        <v>4.4734678945797139E-29</v>
      </c>
      <c r="MK256" s="16">
        <v>2.8514906061185289E-27</v>
      </c>
      <c r="ML256" s="16">
        <v>1.8092539253113718E-25</v>
      </c>
      <c r="MM256" s="16">
        <v>1.142711441621352E-23</v>
      </c>
      <c r="MN256" s="16">
        <v>7.1844336396284072E-22</v>
      </c>
      <c r="MO256" s="16">
        <v>4.4965223518655653E-20</v>
      </c>
      <c r="MP256" s="16">
        <v>2.8015507494897938E-18</v>
      </c>
      <c r="MQ256" s="16">
        <v>1.7376684789909729E-16</v>
      </c>
      <c r="MR256" s="16">
        <v>1.0729788055194978E-14</v>
      </c>
      <c r="MS256" s="16">
        <v>6.5959926781262617E-13</v>
      </c>
      <c r="MT256" s="16">
        <v>4.0368527617988123E-11</v>
      </c>
      <c r="MU256" s="16">
        <v>2.4597344787433988E-9</v>
      </c>
      <c r="MV256" s="16">
        <v>1.4921926336637826E-7</v>
      </c>
      <c r="MW256" s="16">
        <v>9.0128384960163073E-6</v>
      </c>
      <c r="MX256" s="16">
        <v>5.4200954366554692E-4</v>
      </c>
      <c r="MY256" s="16">
        <v>3.2454094416542699E-2</v>
      </c>
      <c r="MZ256" s="16">
        <v>0.93489633959236362</v>
      </c>
      <c r="NA256" s="16">
        <v>3.0159727425999944E-2</v>
      </c>
      <c r="NB256" s="16">
        <v>4.8273835611749202E-4</v>
      </c>
      <c r="NE256" s="9">
        <f t="shared" si="305"/>
        <v>2</v>
      </c>
      <c r="NF256" s="16">
        <v>1.2773935637105876E-18</v>
      </c>
      <c r="NG256" s="16">
        <v>1.1137567096147802E-17</v>
      </c>
      <c r="NH256" s="16">
        <v>1.1865593069547507E-16</v>
      </c>
      <c r="NI256" s="16">
        <v>1.2481454967485769E-15</v>
      </c>
      <c r="NJ256" s="16">
        <v>1.3073742179044713E-14</v>
      </c>
      <c r="NK256" s="16">
        <v>1.3637616691591541E-13</v>
      </c>
      <c r="NL256" s="16">
        <v>1.4167418811873443E-12</v>
      </c>
      <c r="NM256" s="16">
        <v>1.4657708247359964E-11</v>
      </c>
      <c r="NN256" s="16">
        <v>1.5103368180370238E-10</v>
      </c>
      <c r="NO256" s="16">
        <v>1.5499695318127555E-9</v>
      </c>
      <c r="NP256" s="16">
        <v>1.5842483878277685E-8</v>
      </c>
      <c r="NQ256" s="16">
        <v>1.6128099802711743E-7</v>
      </c>
      <c r="NR256" s="16">
        <v>1.6353545113212825E-6</v>
      </c>
      <c r="NS256" s="16">
        <v>1.6516510733538434E-5</v>
      </c>
      <c r="NT256" s="16">
        <v>1.6615414759765188E-4</v>
      </c>
      <c r="NU256" s="16">
        <v>1.6649427175115625E-3</v>
      </c>
      <c r="NV256" s="16">
        <v>1.6618479620957742E-2</v>
      </c>
      <c r="NW256" s="16">
        <v>0.16523261533964687</v>
      </c>
      <c r="NX256" s="16">
        <v>0.63651966917078584</v>
      </c>
      <c r="NY256" s="16">
        <v>0.15215659849519331</v>
      </c>
      <c r="NZ256" s="16">
        <v>1.7226893499036038E-2</v>
      </c>
      <c r="OC256" s="9">
        <f t="shared" si="306"/>
        <v>2</v>
      </c>
      <c r="OD256" s="16">
        <v>5.0065012128395281E-32</v>
      </c>
      <c r="OE256" s="16">
        <v>2.8649192604188061E-30</v>
      </c>
      <c r="OF256" s="16">
        <v>1.6885430319793415E-28</v>
      </c>
      <c r="OG256" s="16">
        <v>9.9033622181973906E-27</v>
      </c>
      <c r="OH256" s="16">
        <v>5.7817121168741049E-25</v>
      </c>
      <c r="OI256" s="16">
        <v>3.3600292578352045E-23</v>
      </c>
      <c r="OJ256" s="16">
        <v>1.9438013812908089E-21</v>
      </c>
      <c r="OK256" s="16">
        <v>1.1194180188017549E-19</v>
      </c>
      <c r="OL256" s="16">
        <v>6.4176132515267976E-18</v>
      </c>
      <c r="OM256" s="16">
        <v>3.6627291446620258E-16</v>
      </c>
      <c r="ON256" s="16">
        <v>2.0811106962223787E-14</v>
      </c>
      <c r="OO256" s="16">
        <v>1.1772092965070477E-12</v>
      </c>
      <c r="OP256" s="16">
        <v>6.6296290930857657E-11</v>
      </c>
      <c r="OQ256" s="16">
        <v>3.7171550688171828E-9</v>
      </c>
      <c r="OR256" s="16">
        <v>2.0750415343316048E-7</v>
      </c>
      <c r="OS256" s="16">
        <v>1.1533105578441382E-5</v>
      </c>
      <c r="OT256" s="16">
        <v>6.3823073388426048E-4</v>
      </c>
      <c r="OU256" s="16">
        <v>3.516654493142439E-2</v>
      </c>
      <c r="OV256" s="16">
        <v>0.92934840560347609</v>
      </c>
      <c r="OW256" s="16">
        <v>3.2678508566021995E-2</v>
      </c>
      <c r="OX256" s="16">
        <v>5.6993251569024733E-4</v>
      </c>
      <c r="PA256" s="9">
        <f t="shared" si="307"/>
        <v>2</v>
      </c>
      <c r="PB256" s="16">
        <v>1.2766164806985476E-18</v>
      </c>
      <c r="PC256" s="16">
        <v>1.113124751278284E-17</v>
      </c>
      <c r="PD256" s="16">
        <v>1.1859256427375503E-16</v>
      </c>
      <c r="PE256" s="16">
        <v>1.2475212854486579E-15</v>
      </c>
      <c r="PF256" s="16">
        <v>1.3067647288218866E-14</v>
      </c>
      <c r="PG256" s="16">
        <v>1.3631721249345046E-13</v>
      </c>
      <c r="PH256" s="16">
        <v>1.4161774378492361E-12</v>
      </c>
      <c r="PI256" s="16">
        <v>1.4652364875225845E-11</v>
      </c>
      <c r="PJ256" s="16">
        <v>1.5098373573954072E-10</v>
      </c>
      <c r="PK256" s="16">
        <v>1.5495094022888813E-9</v>
      </c>
      <c r="PL256" s="16">
        <v>1.5838316518276075E-8</v>
      </c>
      <c r="PM256" s="16">
        <v>1.6124402386097936E-7</v>
      </c>
      <c r="PN256" s="16">
        <v>1.6350348422434423E-6</v>
      </c>
      <c r="PO256" s="16">
        <v>1.6513839815015696E-5</v>
      </c>
      <c r="PP256" s="16">
        <v>1.6613288525430561E-4</v>
      </c>
      <c r="PQ256" s="16">
        <v>1.6647858124656629E-3</v>
      </c>
      <c r="PR256" s="16">
        <v>1.6617473690478179E-2</v>
      </c>
      <c r="PS256" s="16">
        <v>0.16522818073209267</v>
      </c>
      <c r="PT256" s="16">
        <v>0.6365308568740965</v>
      </c>
      <c r="PU256" s="16">
        <v>0.1521526057488575</v>
      </c>
      <c r="PV256" s="16">
        <v>1.7225745149066649E-2</v>
      </c>
    </row>
    <row r="257" spans="3:438" x14ac:dyDescent="0.25">
      <c r="C257" s="1"/>
      <c r="D257" s="1"/>
      <c r="I257" s="9">
        <f t="shared" si="290"/>
        <v>1</v>
      </c>
      <c r="J257" s="16">
        <v>1.3651208772114116E-35</v>
      </c>
      <c r="K257" s="16">
        <v>9.7020321728346954E-34</v>
      </c>
      <c r="L257" s="16">
        <v>7.0649455691617594E-32</v>
      </c>
      <c r="M257" s="16">
        <v>5.1265715719830999E-30</v>
      </c>
      <c r="N257" s="16">
        <v>3.7076883859542789E-28</v>
      </c>
      <c r="O257" s="16">
        <v>2.6726516072413636E-26</v>
      </c>
      <c r="P257" s="16">
        <v>1.9202125184925629E-24</v>
      </c>
      <c r="Q257" s="16">
        <v>1.375083067277243E-22</v>
      </c>
      <c r="R257" s="16">
        <v>9.8149049530039663E-21</v>
      </c>
      <c r="S257" s="16">
        <v>6.9827354710913334E-19</v>
      </c>
      <c r="T257" s="16">
        <v>4.9516756059835021E-17</v>
      </c>
      <c r="U257" s="16">
        <v>3.5000207988872631E-15</v>
      </c>
      <c r="V257" s="16">
        <v>2.4659576463156331E-13</v>
      </c>
      <c r="W257" s="16">
        <v>1.7318163285814658E-11</v>
      </c>
      <c r="X257" s="16">
        <v>1.2123385735949249E-9</v>
      </c>
      <c r="Y257" s="16">
        <v>8.4597301650952661E-8</v>
      </c>
      <c r="Z257" s="16">
        <v>5.8844269974254159E-6</v>
      </c>
      <c r="AA257" s="16">
        <v>4.0801066027203962E-4</v>
      </c>
      <c r="AB257" s="16">
        <v>2.8200902557087928E-2</v>
      </c>
      <c r="AC257" s="16">
        <v>0.94304640168775511</v>
      </c>
      <c r="AD257" s="16">
        <v>2.7308290339673302E-2</v>
      </c>
      <c r="AE257" s="27"/>
      <c r="AF257" s="19"/>
      <c r="AG257" s="9">
        <f t="shared" si="291"/>
        <v>1</v>
      </c>
      <c r="AH257" s="16">
        <v>3.7879230889022555E-20</v>
      </c>
      <c r="AI257" s="16">
        <v>3.372465146829792E-19</v>
      </c>
      <c r="AJ257" s="16">
        <v>3.6610988453262899E-18</v>
      </c>
      <c r="AK257" s="16">
        <v>3.9297064597042396E-17</v>
      </c>
      <c r="AL257" s="16">
        <v>4.2050789002052847E-16</v>
      </c>
      <c r="AM257" s="16">
        <v>4.486327577550094E-15</v>
      </c>
      <c r="AN257" s="16">
        <v>4.7721691656834635E-14</v>
      </c>
      <c r="AO257" s="16">
        <v>5.0612010604899383E-13</v>
      </c>
      <c r="AP257" s="16">
        <v>5.3519139259097939E-12</v>
      </c>
      <c r="AQ257" s="16">
        <v>5.6427036694935371E-11</v>
      </c>
      <c r="AR257" s="16">
        <v>5.9318855119917412E-10</v>
      </c>
      <c r="AS257" s="16">
        <v>6.2177095783968837E-9</v>
      </c>
      <c r="AT257" s="16">
        <v>6.4983782656945094E-8</v>
      </c>
      <c r="AU257" s="16">
        <v>6.7720651644557996E-7</v>
      </c>
      <c r="AV257" s="16">
        <v>7.0369347622597054E-6</v>
      </c>
      <c r="AW257" s="16">
        <v>7.2911631475224955E-5</v>
      </c>
      <c r="AX257" s="16">
        <v>7.5329591416589561E-4</v>
      </c>
      <c r="AY257" s="16">
        <v>7.7605859814998653E-3</v>
      </c>
      <c r="AZ257" s="16">
        <v>7.9723810717562557E-2</v>
      </c>
      <c r="BA257" s="16">
        <v>0.81667777739813985</v>
      </c>
      <c r="BB257" s="16">
        <v>9.0897587674674513E-2</v>
      </c>
      <c r="BE257" s="9">
        <f t="shared" si="292"/>
        <v>1</v>
      </c>
      <c r="BF257" s="16">
        <v>3.7801858247844352E-20</v>
      </c>
      <c r="BG257" s="16">
        <v>3.3660138928236314E-19</v>
      </c>
      <c r="BH257" s="16">
        <v>3.6544839379857701E-18</v>
      </c>
      <c r="BI257" s="16">
        <v>3.9230299873993781E-17</v>
      </c>
      <c r="BJ257" s="16">
        <v>4.1983880396109568E-16</v>
      </c>
      <c r="BK257" s="16">
        <v>4.4796728715256325E-15</v>
      </c>
      <c r="BL257" s="16">
        <v>4.7656047959481132E-14</v>
      </c>
      <c r="BM257" s="16">
        <v>5.0547844463530216E-13</v>
      </c>
      <c r="BN257" s="16">
        <v>5.3457052429200944E-12</v>
      </c>
      <c r="BO257" s="16">
        <v>5.6367652984122408E-11</v>
      </c>
      <c r="BP257" s="16">
        <v>5.9262814239163748E-10</v>
      </c>
      <c r="BQ257" s="16">
        <v>6.2125046638934025E-9</v>
      </c>
      <c r="BR257" s="16">
        <v>6.4936376167412469E-8</v>
      </c>
      <c r="BS257" s="16">
        <v>6.7678533194729927E-7</v>
      </c>
      <c r="BT257" s="16">
        <v>7.0333149260558629E-6</v>
      </c>
      <c r="BU257" s="16">
        <v>7.2881963984711739E-5</v>
      </c>
      <c r="BV257" s="16">
        <v>7.5307036393350095E-4</v>
      </c>
      <c r="BW257" s="16">
        <v>7.7590961882888698E-3</v>
      </c>
      <c r="BX257" s="16">
        <v>7.9717070025653855E-2</v>
      </c>
      <c r="BY257" s="16">
        <v>0.81669642867847225</v>
      </c>
      <c r="BZ257" s="16">
        <v>9.0887958802655003E-2</v>
      </c>
      <c r="CC257" s="9">
        <f t="shared" si="293"/>
        <v>1</v>
      </c>
      <c r="CD257" s="16">
        <v>3.7801858247842655E-20</v>
      </c>
      <c r="CE257" s="16">
        <v>3.3660138928234904E-19</v>
      </c>
      <c r="CF257" s="16">
        <v>3.6544839379856253E-18</v>
      </c>
      <c r="CG257" s="16">
        <v>3.9230299873992326E-17</v>
      </c>
      <c r="CH257" s="16">
        <v>4.1983880396108094E-16</v>
      </c>
      <c r="CI257" s="16">
        <v>4.4796728715254881E-15</v>
      </c>
      <c r="CJ257" s="16">
        <v>4.7656047959479731E-14</v>
      </c>
      <c r="CK257" s="16">
        <v>5.0547844463528823E-13</v>
      </c>
      <c r="CL257" s="16">
        <v>5.3457052429199603E-12</v>
      </c>
      <c r="CM257" s="16">
        <v>5.6367652984121109E-11</v>
      </c>
      <c r="CN257" s="16">
        <v>5.9262814239162507E-10</v>
      </c>
      <c r="CO257" s="16">
        <v>6.2125046638932909E-9</v>
      </c>
      <c r="CP257" s="16">
        <v>6.4936376167411437E-8</v>
      </c>
      <c r="CQ257" s="16">
        <v>6.7678533194729006E-7</v>
      </c>
      <c r="CR257" s="16">
        <v>7.0333149260557841E-6</v>
      </c>
      <c r="CS257" s="16">
        <v>7.2881963984711075E-5</v>
      </c>
      <c r="CT257" s="16">
        <v>7.5307036393349597E-4</v>
      </c>
      <c r="CU257" s="16">
        <v>7.759096188288836E-3</v>
      </c>
      <c r="CV257" s="16">
        <v>7.9717070025653702E-2</v>
      </c>
      <c r="CW257" s="16">
        <v>0.81669642867847236</v>
      </c>
      <c r="CX257" s="16">
        <v>9.0887958802654781E-2</v>
      </c>
      <c r="DA257" s="9">
        <f t="shared" si="294"/>
        <v>1</v>
      </c>
      <c r="DB257" s="16">
        <v>1.3783342738318068E-35</v>
      </c>
      <c r="DC257" s="16">
        <v>9.7908355220916519E-34</v>
      </c>
      <c r="DD257" s="16">
        <v>7.1259971818670188E-32</v>
      </c>
      <c r="DE257" s="16">
        <v>5.168250589147743E-30</v>
      </c>
      <c r="DF257" s="16">
        <v>3.7359365228334593E-28</v>
      </c>
      <c r="DG257" s="16">
        <v>2.6916485205518477E-26</v>
      </c>
      <c r="DH257" s="16">
        <v>1.9328806733301127E-24</v>
      </c>
      <c r="DI257" s="16">
        <v>1.3834531038458046E-22</v>
      </c>
      <c r="DJ257" s="16">
        <v>9.8696415320206837E-21</v>
      </c>
      <c r="DK257" s="16">
        <v>7.0181178426889468E-19</v>
      </c>
      <c r="DL257" s="16">
        <v>4.9742435968337714E-17</v>
      </c>
      <c r="DM257" s="16">
        <v>3.5141904906758143E-15</v>
      </c>
      <c r="DN257" s="16">
        <v>2.4746860459087487E-13</v>
      </c>
      <c r="DO257" s="16">
        <v>1.7370653643657329E-11</v>
      </c>
      <c r="DP257" s="16">
        <v>1.2153968351214907E-9</v>
      </c>
      <c r="DQ257" s="16">
        <v>8.4767728852210331E-8</v>
      </c>
      <c r="DR257" s="16">
        <v>5.8932937268857359E-6</v>
      </c>
      <c r="DS257" s="16">
        <v>4.0841840199124673E-4</v>
      </c>
      <c r="DT257" s="16">
        <v>2.8214781754979108E-2</v>
      </c>
      <c r="DU257" s="16">
        <v>0.94301774790367832</v>
      </c>
      <c r="DV257" s="16">
        <v>2.7322110953309001E-2</v>
      </c>
      <c r="DY257" s="9">
        <f t="shared" si="295"/>
        <v>1</v>
      </c>
      <c r="DZ257" s="16">
        <v>2.1653160968916775E-22</v>
      </c>
      <c r="EA257" s="16">
        <v>2.6893806000491214E-21</v>
      </c>
      <c r="EB257" s="16">
        <v>3.8567580163496636E-20</v>
      </c>
      <c r="EC257" s="16">
        <v>5.4810105089594743E-19</v>
      </c>
      <c r="ED257" s="16">
        <v>7.7557117950058592E-18</v>
      </c>
      <c r="EE257" s="16">
        <v>1.0927625447420349E-16</v>
      </c>
      <c r="EF257" s="16">
        <v>1.5331426711428112E-15</v>
      </c>
      <c r="EG257" s="16">
        <v>2.1419106357265576E-14</v>
      </c>
      <c r="EH257" s="16">
        <v>2.9798295043729374E-13</v>
      </c>
      <c r="EI257" s="16">
        <v>4.1282118452327438E-12</v>
      </c>
      <c r="EJ257" s="16">
        <v>5.6953727278580382E-11</v>
      </c>
      <c r="EK257" s="16">
        <v>7.8249393036268342E-10</v>
      </c>
      <c r="EL257" s="16">
        <v>1.0706497035298976E-8</v>
      </c>
      <c r="EM257" s="16">
        <v>1.4589160386383933E-7</v>
      </c>
      <c r="EN257" s="16">
        <v>1.979878154046279E-6</v>
      </c>
      <c r="EO257" s="16">
        <v>2.6759661212390249E-5</v>
      </c>
      <c r="EP257" s="16">
        <v>3.6021797270442712E-4</v>
      </c>
      <c r="EQ257" s="16">
        <v>4.8294909621584706E-3</v>
      </c>
      <c r="ER257" s="16">
        <v>6.4490686746467407E-2</v>
      </c>
      <c r="ES257" s="16">
        <v>0.85774999395692653</v>
      </c>
      <c r="ET257" s="16">
        <v>6.8434990101567963E-2</v>
      </c>
      <c r="EW257" s="9">
        <f t="shared" si="296"/>
        <v>1</v>
      </c>
      <c r="EX257" s="16">
        <v>2.1653160968917819E-22</v>
      </c>
      <c r="EY257" s="16">
        <v>2.689380600049244E-21</v>
      </c>
      <c r="EZ257" s="16">
        <v>3.8567580163498285E-20</v>
      </c>
      <c r="FA257" s="16">
        <v>5.4810105089596938E-19</v>
      </c>
      <c r="FB257" s="16">
        <v>7.7557117950061551E-18</v>
      </c>
      <c r="FC257" s="16">
        <v>1.0927625447420731E-16</v>
      </c>
      <c r="FD257" s="16">
        <v>1.5331426711428617E-15</v>
      </c>
      <c r="FE257" s="16">
        <v>2.1419106357266223E-14</v>
      </c>
      <c r="FF257" s="16">
        <v>2.9798295043730197E-13</v>
      </c>
      <c r="FG257" s="16">
        <v>4.128211845232848E-12</v>
      </c>
      <c r="FH257" s="16">
        <v>5.6953727278581687E-11</v>
      </c>
      <c r="FI257" s="16">
        <v>7.8249393036269914E-10</v>
      </c>
      <c r="FJ257" s="16">
        <v>1.0706497035299166E-8</v>
      </c>
      <c r="FK257" s="16">
        <v>1.4589160386384158E-7</v>
      </c>
      <c r="FL257" s="16">
        <v>1.9798781540463031E-6</v>
      </c>
      <c r="FM257" s="16">
        <v>2.6759661212390524E-5</v>
      </c>
      <c r="FN257" s="16">
        <v>3.6021797270442988E-4</v>
      </c>
      <c r="FO257" s="16">
        <v>4.829490962158494E-3</v>
      </c>
      <c r="FP257" s="16">
        <v>6.4490686746467532E-2</v>
      </c>
      <c r="FQ257" s="16">
        <v>0.85774999395692619</v>
      </c>
      <c r="FR257" s="16">
        <v>6.8434990101568116E-2</v>
      </c>
      <c r="FU257" s="9">
        <f t="shared" si="297"/>
        <v>1</v>
      </c>
      <c r="FV257" s="16">
        <v>2.1699565725917756E-22</v>
      </c>
      <c r="FW257" s="16">
        <v>2.6947939800409217E-21</v>
      </c>
      <c r="FX257" s="16">
        <v>3.8640880472355119E-20</v>
      </c>
      <c r="FY257" s="16">
        <v>5.4908065266733108E-19</v>
      </c>
      <c r="FZ257" s="16">
        <v>7.7686949224355337E-18</v>
      </c>
      <c r="GA257" s="16">
        <v>1.0944681393831954E-16</v>
      </c>
      <c r="GB257" s="16">
        <v>1.5353621547547837E-15</v>
      </c>
      <c r="GC257" s="16">
        <v>2.1447692010498342E-14</v>
      </c>
      <c r="GD257" s="16">
        <v>2.9834695505507727E-13</v>
      </c>
      <c r="GE257" s="16">
        <v>4.1327883605707818E-12</v>
      </c>
      <c r="GF257" s="16">
        <v>5.7010435318314788E-11</v>
      </c>
      <c r="GG257" s="16">
        <v>7.8318474356758004E-10</v>
      </c>
      <c r="GH257" s="16">
        <v>1.0714741489608887E-8</v>
      </c>
      <c r="GI257" s="16">
        <v>1.4598749944363899E-7</v>
      </c>
      <c r="GJ257" s="16">
        <v>1.9809564547563712E-6</v>
      </c>
      <c r="GK257" s="16">
        <v>2.6771221667706382E-5</v>
      </c>
      <c r="GL257" s="16">
        <v>3.6033304401977557E-4</v>
      </c>
      <c r="GM257" s="16">
        <v>4.8304904041580367E-3</v>
      </c>
      <c r="GN257" s="16">
        <v>6.449678111712881E-2</v>
      </c>
      <c r="GO257" s="16">
        <v>0.85773465077844946</v>
      </c>
      <c r="GP257" s="16">
        <v>6.8442579037048673E-2</v>
      </c>
      <c r="GS257" s="9">
        <f t="shared" si="298"/>
        <v>1</v>
      </c>
      <c r="GT257" s="16">
        <v>9.1157706386541289E-34</v>
      </c>
      <c r="GU257" s="16">
        <v>5.2178194972832986E-32</v>
      </c>
      <c r="GV257" s="16">
        <v>3.0761141007671112E-30</v>
      </c>
      <c r="GW257" s="16">
        <v>1.8046237473224981E-28</v>
      </c>
      <c r="GX257" s="16">
        <v>1.053838725471527E-26</v>
      </c>
      <c r="GY257" s="16">
        <v>6.1259637723674956E-25</v>
      </c>
      <c r="GZ257" s="16">
        <v>3.5448422686577335E-23</v>
      </c>
      <c r="HA257" s="16">
        <v>2.0419776093496416E-21</v>
      </c>
      <c r="HB257" s="16">
        <v>1.1709702626450194E-19</v>
      </c>
      <c r="HC257" s="16">
        <v>6.6848360490917796E-18</v>
      </c>
      <c r="HD257" s="16">
        <v>3.7992227574576687E-16</v>
      </c>
      <c r="HE257" s="16">
        <v>2.1496456162557731E-14</v>
      </c>
      <c r="HF257" s="16">
        <v>1.2109215740273117E-12</v>
      </c>
      <c r="HG257" s="16">
        <v>6.7912708581957143E-11</v>
      </c>
      <c r="HH257" s="16">
        <v>3.7921084043542911E-9</v>
      </c>
      <c r="HI257" s="16">
        <v>2.1082095860021603E-7</v>
      </c>
      <c r="HJ257" s="16">
        <v>1.1669675638888779E-5</v>
      </c>
      <c r="HK257" s="16">
        <v>6.4316783484436773E-4</v>
      </c>
      <c r="HL257" s="16">
        <v>3.5295456992382485E-2</v>
      </c>
      <c r="HM257" s="16">
        <v>0.92863769490054227</v>
      </c>
      <c r="HN257" s="16">
        <v>3.3627492985341213E-2</v>
      </c>
      <c r="HQ257" s="9">
        <f t="shared" si="299"/>
        <v>1</v>
      </c>
      <c r="HR257" s="16">
        <v>1.2835565999837653E-19</v>
      </c>
      <c r="HS257" s="16">
        <v>1.1191047902145551E-18</v>
      </c>
      <c r="HT257" s="16">
        <v>1.1922348553827474E-17</v>
      </c>
      <c r="HU257" s="16">
        <v>1.2540919770999672E-16</v>
      </c>
      <c r="HV257" s="16">
        <v>1.3135781155747797E-15</v>
      </c>
      <c r="HW257" s="16">
        <v>1.3702073259442711E-14</v>
      </c>
      <c r="HX257" s="16">
        <v>1.4234111378849472E-13</v>
      </c>
      <c r="HY257" s="16">
        <v>1.4726431665311691E-12</v>
      </c>
      <c r="HZ257" s="16">
        <v>1.5173895664604458E-11</v>
      </c>
      <c r="IA257" s="16">
        <v>1.5571780754674487E-10</v>
      </c>
      <c r="IB257" s="16">
        <v>1.591586448059127E-9</v>
      </c>
      <c r="IC257" s="16">
        <v>1.6202499063283432E-8</v>
      </c>
      <c r="ID257" s="16">
        <v>1.6428675996493633E-7</v>
      </c>
      <c r="IE257" s="16">
        <v>1.6592079050213646E-6</v>
      </c>
      <c r="IF257" s="16">
        <v>1.6691122650208041E-5</v>
      </c>
      <c r="IG257" s="16">
        <v>1.6724976636299418E-4</v>
      </c>
      <c r="IH257" s="16">
        <v>1.6693576006623616E-3</v>
      </c>
      <c r="II257" s="16">
        <v>1.6597616965710479E-2</v>
      </c>
      <c r="IJ257" s="16">
        <v>0.16438533293758845</v>
      </c>
      <c r="IK257" s="16">
        <v>0.62184667611781896</v>
      </c>
      <c r="IL257" s="16">
        <v>0.18362665593432415</v>
      </c>
      <c r="IO257" s="9">
        <f t="shared" si="300"/>
        <v>1</v>
      </c>
      <c r="IP257" s="16">
        <v>9.1611888549366749E-34</v>
      </c>
      <c r="IQ257" s="16">
        <v>5.2423968921713767E-32</v>
      </c>
      <c r="IR257" s="16">
        <v>3.0897948383550949E-30</v>
      </c>
      <c r="IS257" s="16">
        <v>1.8121751643058806E-28</v>
      </c>
      <c r="IT257" s="16">
        <v>1.0579715125549287E-26</v>
      </c>
      <c r="IU257" s="16">
        <v>6.1483781348536619E-25</v>
      </c>
      <c r="IV257" s="16">
        <v>3.5568815013612913E-23</v>
      </c>
      <c r="IW257" s="16">
        <v>2.048376589136078E-21</v>
      </c>
      <c r="IX257" s="16">
        <v>1.174332422898492E-19</v>
      </c>
      <c r="IY257" s="16">
        <v>6.7022760990599951E-18</v>
      </c>
      <c r="IZ257" s="16">
        <v>3.8081381199363548E-16</v>
      </c>
      <c r="JA257" s="16">
        <v>2.1541264505100174E-14</v>
      </c>
      <c r="JB257" s="16">
        <v>1.213128322114069E-12</v>
      </c>
      <c r="JC257" s="16">
        <v>6.8018678395974863E-11</v>
      </c>
      <c r="JD257" s="16">
        <v>3.7970324123955219E-9</v>
      </c>
      <c r="JE257" s="16">
        <v>2.1103951401641354E-7</v>
      </c>
      <c r="JF257" s="16">
        <v>1.1678719404169005E-5</v>
      </c>
      <c r="JG257" s="16">
        <v>6.4349801547270054E-4</v>
      </c>
      <c r="JH257" s="16">
        <v>3.5304346007896781E-2</v>
      </c>
      <c r="JI257" s="16">
        <v>0.92861921664622038</v>
      </c>
      <c r="JJ257" s="16">
        <v>3.3636259737221549E-2</v>
      </c>
      <c r="JM257" s="9">
        <f t="shared" si="301"/>
        <v>1</v>
      </c>
      <c r="JN257" s="16">
        <v>1.2831906548393774E-19</v>
      </c>
      <c r="JO257" s="16">
        <v>1.1188060907974447E-18</v>
      </c>
      <c r="JP257" s="16">
        <v>1.1919343268999319E-17</v>
      </c>
      <c r="JQ257" s="16">
        <v>1.2537947689691335E-16</v>
      </c>
      <c r="JR257" s="16">
        <v>1.3132866156108273E-15</v>
      </c>
      <c r="JS257" s="16">
        <v>1.369923908066197E-14</v>
      </c>
      <c r="JT257" s="16">
        <v>1.4231381544246787E-13</v>
      </c>
      <c r="JU257" s="16">
        <v>1.472382910322724E-12</v>
      </c>
      <c r="JV257" s="16">
        <v>1.5171442328600784E-11</v>
      </c>
      <c r="JW257" s="16">
        <v>1.5569497255368074E-10</v>
      </c>
      <c r="JX257" s="16">
        <v>1.5913769738046101E-9</v>
      </c>
      <c r="JY257" s="16">
        <v>1.6200609988664766E-8</v>
      </c>
      <c r="JZ257" s="16">
        <v>1.6427007210639803E-7</v>
      </c>
      <c r="KA257" s="16">
        <v>1.6590642645877285E-6</v>
      </c>
      <c r="KB257" s="16">
        <v>1.66899280037076E-5</v>
      </c>
      <c r="KC257" s="16">
        <v>1.6724030272719155E-4</v>
      </c>
      <c r="KD257" s="16">
        <v>1.669288152132502E-3</v>
      </c>
      <c r="KE257" s="16">
        <v>1.6597175003304539E-2</v>
      </c>
      <c r="KF257" s="16">
        <v>0.16438341584323529</v>
      </c>
      <c r="KG257" s="16">
        <v>0.62185202114821514</v>
      </c>
      <c r="KH257" s="16">
        <v>0.1836239623916511</v>
      </c>
      <c r="KK257" s="9">
        <f t="shared" si="302"/>
        <v>1</v>
      </c>
      <c r="KL257" s="16">
        <v>3.3264465494750629E-35</v>
      </c>
      <c r="KM257" s="16">
        <v>2.2792442278710526E-33</v>
      </c>
      <c r="KN257" s="16">
        <v>1.5995823601747907E-31</v>
      </c>
      <c r="KO257" s="16">
        <v>1.1171786837915092E-29</v>
      </c>
      <c r="KP257" s="16">
        <v>7.7666779948045008E-28</v>
      </c>
      <c r="KQ257" s="16">
        <v>5.3746983031302782E-26</v>
      </c>
      <c r="KR257" s="16">
        <v>3.7024435858800123E-24</v>
      </c>
      <c r="KS257" s="16">
        <v>2.5389124396822391E-22</v>
      </c>
      <c r="KT257" s="16">
        <v>1.7331700397534376E-20</v>
      </c>
      <c r="KU257" s="16">
        <v>1.177817415388362E-18</v>
      </c>
      <c r="KV257" s="16">
        <v>7.9683282873117239E-17</v>
      </c>
      <c r="KW257" s="16">
        <v>5.366831040111789E-15</v>
      </c>
      <c r="KX257" s="16">
        <v>3.5986450077003337E-13</v>
      </c>
      <c r="KY257" s="16">
        <v>2.4023668297917676E-11</v>
      </c>
      <c r="KZ257" s="16">
        <v>1.5967158559286071E-9</v>
      </c>
      <c r="LA257" s="16">
        <v>1.0566049557906992E-7</v>
      </c>
      <c r="LB257" s="16">
        <v>6.961501995153218E-6</v>
      </c>
      <c r="LC257" s="16">
        <v>4.5667489008368895E-4</v>
      </c>
      <c r="LD257" s="16">
        <v>2.9828651165150523E-2</v>
      </c>
      <c r="LE257" s="16">
        <v>0.93995111894928673</v>
      </c>
      <c r="LF257" s="16">
        <v>2.8265814907630832E-2</v>
      </c>
      <c r="LI257" s="9">
        <f t="shared" si="303"/>
        <v>1</v>
      </c>
      <c r="LJ257" s="16">
        <v>1.2830991836403132E-19</v>
      </c>
      <c r="LK257" s="16">
        <v>1.1187314273993171E-18</v>
      </c>
      <c r="LL257" s="16">
        <v>1.1918592056092397E-17</v>
      </c>
      <c r="LM257" s="16">
        <v>1.2537204769455645E-16</v>
      </c>
      <c r="LN257" s="16">
        <v>1.313213749749001E-15</v>
      </c>
      <c r="LO257" s="16">
        <v>1.3698530618043054E-14</v>
      </c>
      <c r="LP257" s="16">
        <v>1.4230699158214776E-13</v>
      </c>
      <c r="LQ257" s="16">
        <v>1.4723178525805166E-12</v>
      </c>
      <c r="LR257" s="16">
        <v>1.5170829048300076E-11</v>
      </c>
      <c r="LS257" s="16">
        <v>1.5568926425144328E-10</v>
      </c>
      <c r="LT257" s="16">
        <v>1.5913246088390664E-9</v>
      </c>
      <c r="LU257" s="16">
        <v>1.6200137748006891E-8</v>
      </c>
      <c r="LV257" s="16">
        <v>1.6426590034974113E-7</v>
      </c>
      <c r="LW257" s="16">
        <v>1.6590283559304885E-6</v>
      </c>
      <c r="LX257" s="16">
        <v>1.6689629351326613E-5</v>
      </c>
      <c r="LY257" s="16">
        <v>1.6723793686899914E-4</v>
      </c>
      <c r="LZ257" s="16">
        <v>1.6692707902061371E-3</v>
      </c>
      <c r="MA257" s="16">
        <v>1.6597064512929451E-2</v>
      </c>
      <c r="MB257" s="16">
        <v>0.16438293656535877</v>
      </c>
      <c r="MC257" s="16">
        <v>0.62185335741257231</v>
      </c>
      <c r="MD257" s="16">
        <v>0.18362328900302693</v>
      </c>
      <c r="MG257" s="9">
        <f t="shared" si="304"/>
        <v>1</v>
      </c>
      <c r="MH257" s="16">
        <v>1.8858749815966993E-34</v>
      </c>
      <c r="MI257" s="16">
        <v>1.1760847942417361E-32</v>
      </c>
      <c r="MJ257" s="16">
        <v>7.5332083231746231E-31</v>
      </c>
      <c r="MK257" s="16">
        <v>4.8018390371133971E-29</v>
      </c>
      <c r="ML257" s="16">
        <v>3.0467384700371218E-27</v>
      </c>
      <c r="MM257" s="16">
        <v>1.9242975574808714E-25</v>
      </c>
      <c r="MN257" s="16">
        <v>1.2098407000287471E-23</v>
      </c>
      <c r="MO257" s="16">
        <v>7.5720314540441836E-22</v>
      </c>
      <c r="MP257" s="16">
        <v>4.717741564530758E-20</v>
      </c>
      <c r="MQ257" s="16">
        <v>2.9261903644628311E-18</v>
      </c>
      <c r="MR257" s="16">
        <v>1.8068695380877094E-16</v>
      </c>
      <c r="MS257" s="16">
        <v>1.110748710249276E-14</v>
      </c>
      <c r="MT257" s="16">
        <v>6.7979593329506539E-13</v>
      </c>
      <c r="MU257" s="16">
        <v>4.1421314927778745E-11</v>
      </c>
      <c r="MV257" s="16">
        <v>2.5128151654594511E-9</v>
      </c>
      <c r="MW257" s="16">
        <v>1.5177395160449126E-7</v>
      </c>
      <c r="MX257" s="16">
        <v>9.1273054860383321E-6</v>
      </c>
      <c r="MY257" s="16">
        <v>5.4651885280326547E-4</v>
      </c>
      <c r="MZ257" s="16">
        <v>3.2583171609565628E-2</v>
      </c>
      <c r="NA257" s="16">
        <v>0.93426332794835176</v>
      </c>
      <c r="NB257" s="16">
        <v>3.0959931634766041E-2</v>
      </c>
      <c r="NE257" s="9">
        <f t="shared" si="305"/>
        <v>1</v>
      </c>
      <c r="NF257" s="16">
        <v>1.2830991836403132E-19</v>
      </c>
      <c r="NG257" s="16">
        <v>1.1187314273993171E-18</v>
      </c>
      <c r="NH257" s="16">
        <v>1.1918592056092397E-17</v>
      </c>
      <c r="NI257" s="16">
        <v>1.2537204769455645E-16</v>
      </c>
      <c r="NJ257" s="16">
        <v>1.313213749749001E-15</v>
      </c>
      <c r="NK257" s="16">
        <v>1.3698530618043054E-14</v>
      </c>
      <c r="NL257" s="16">
        <v>1.4230699158214776E-13</v>
      </c>
      <c r="NM257" s="16">
        <v>1.4723178525805166E-12</v>
      </c>
      <c r="NN257" s="16">
        <v>1.5170829048300076E-11</v>
      </c>
      <c r="NO257" s="16">
        <v>1.5568926425144328E-10</v>
      </c>
      <c r="NP257" s="16">
        <v>1.5913246088390664E-9</v>
      </c>
      <c r="NQ257" s="16">
        <v>1.6200137748006891E-8</v>
      </c>
      <c r="NR257" s="16">
        <v>1.6426590034974113E-7</v>
      </c>
      <c r="NS257" s="16">
        <v>1.6590283559304885E-6</v>
      </c>
      <c r="NT257" s="16">
        <v>1.6689629351326613E-5</v>
      </c>
      <c r="NU257" s="16">
        <v>1.6723793686899914E-4</v>
      </c>
      <c r="NV257" s="16">
        <v>1.6692707902061371E-3</v>
      </c>
      <c r="NW257" s="16">
        <v>1.6597064512929451E-2</v>
      </c>
      <c r="NX257" s="16">
        <v>0.16438293656535877</v>
      </c>
      <c r="NY257" s="16">
        <v>0.62185335741257231</v>
      </c>
      <c r="NZ257" s="16">
        <v>0.18362328900302693</v>
      </c>
      <c r="OC257" s="9">
        <f t="shared" si="306"/>
        <v>1</v>
      </c>
      <c r="OD257" s="16">
        <v>9.1611888549365329E-34</v>
      </c>
      <c r="OE257" s="16">
        <v>5.242396892171299E-32</v>
      </c>
      <c r="OF257" s="16">
        <v>3.0897948383550536E-30</v>
      </c>
      <c r="OG257" s="16">
        <v>1.8121751643058577E-28</v>
      </c>
      <c r="OH257" s="16">
        <v>1.0579715125549161E-26</v>
      </c>
      <c r="OI257" s="16">
        <v>6.1483781348535931E-25</v>
      </c>
      <c r="OJ257" s="16">
        <v>3.5568815013612542E-23</v>
      </c>
      <c r="OK257" s="16">
        <v>2.0483765891360592E-21</v>
      </c>
      <c r="OL257" s="16">
        <v>1.1743324228984823E-19</v>
      </c>
      <c r="OM257" s="16">
        <v>6.7022760990599428E-18</v>
      </c>
      <c r="ON257" s="16">
        <v>3.8081381199363287E-16</v>
      </c>
      <c r="OO257" s="16">
        <v>2.1541264505100041E-14</v>
      </c>
      <c r="OP257" s="16">
        <v>1.2131283221140621E-12</v>
      </c>
      <c r="OQ257" s="16">
        <v>6.8018678395974527E-11</v>
      </c>
      <c r="OR257" s="16">
        <v>3.797032412395507E-9</v>
      </c>
      <c r="OS257" s="16">
        <v>2.1103951401641285E-7</v>
      </c>
      <c r="OT257" s="16">
        <v>1.167871940416898E-5</v>
      </c>
      <c r="OU257" s="16">
        <v>6.4349801547269967E-4</v>
      </c>
      <c r="OV257" s="16">
        <v>3.5304346007896753E-2</v>
      </c>
      <c r="OW257" s="16">
        <v>0.92861921664622038</v>
      </c>
      <c r="OX257" s="16">
        <v>3.3636259737221522E-2</v>
      </c>
      <c r="PA257" s="9">
        <f t="shared" si="307"/>
        <v>1</v>
      </c>
      <c r="PB257" s="16">
        <v>1.2822762143386852E-19</v>
      </c>
      <c r="PC257" s="16">
        <v>1.118059662973167E-18</v>
      </c>
      <c r="PD257" s="16">
        <v>1.1911833088858295E-17</v>
      </c>
      <c r="PE257" s="16">
        <v>1.2530520288573423E-16</v>
      </c>
      <c r="PF257" s="16">
        <v>1.3125581212833498E-15</v>
      </c>
      <c r="PG257" s="16">
        <v>1.3692155931565098E-14</v>
      </c>
      <c r="PH257" s="16">
        <v>1.4224558990837435E-13</v>
      </c>
      <c r="PI257" s="16">
        <v>1.4717324464613654E-12</v>
      </c>
      <c r="PJ257" s="16">
        <v>1.516531049206523E-11</v>
      </c>
      <c r="PK257" s="16">
        <v>1.556378975588644E-10</v>
      </c>
      <c r="PL257" s="16">
        <v>1.5908533889081586E-9</v>
      </c>
      <c r="PM257" s="16">
        <v>1.6195888085986267E-8</v>
      </c>
      <c r="PN257" s="16">
        <v>1.6422835828318287E-7</v>
      </c>
      <c r="PO257" s="16">
        <v>1.6587052041351476E-6</v>
      </c>
      <c r="PP257" s="16">
        <v>1.6686941646287379E-5</v>
      </c>
      <c r="PQ257" s="16">
        <v>1.6721664505890877E-4</v>
      </c>
      <c r="PR257" s="16">
        <v>1.6691145365787148E-3</v>
      </c>
      <c r="PS257" s="16">
        <v>1.6596070103629276E-2</v>
      </c>
      <c r="PT257" s="16">
        <v>0.16437862298728106</v>
      </c>
      <c r="PU257" s="16">
        <v>0.62186538391343993</v>
      </c>
      <c r="PV257" s="16">
        <v>0.18361722845220374</v>
      </c>
    </row>
    <row r="258" spans="3:438" x14ac:dyDescent="0.25">
      <c r="C258" s="1"/>
      <c r="D258" s="1"/>
      <c r="I258" s="9">
        <f t="shared" si="290"/>
        <v>0</v>
      </c>
      <c r="J258" s="16">
        <v>1.3064677559847354E-38</v>
      </c>
      <c r="K258" s="16">
        <v>9.2851793661141519E-37</v>
      </c>
      <c r="L258" s="16">
        <v>6.7613965458881678E-35</v>
      </c>
      <c r="M258" s="16">
        <v>4.9063057853349699E-33</v>
      </c>
      <c r="N258" s="16">
        <v>3.5483856458069409E-31</v>
      </c>
      <c r="O258" s="16">
        <v>2.5578197551079342E-29</v>
      </c>
      <c r="P258" s="16">
        <v>1.8377095991480199E-27</v>
      </c>
      <c r="Q258" s="16">
        <v>1.3160019154260496E-25</v>
      </c>
      <c r="R258" s="16">
        <v>9.3932025091787713E-24</v>
      </c>
      <c r="S258" s="16">
        <v>6.6827186470014729E-22</v>
      </c>
      <c r="T258" s="16">
        <v>4.738924314547537E-20</v>
      </c>
      <c r="U258" s="16">
        <v>3.3496406035214344E-18</v>
      </c>
      <c r="V258" s="16">
        <v>2.3600065066153508E-16</v>
      </c>
      <c r="W258" s="16">
        <v>1.6574079485190935E-14</v>
      </c>
      <c r="X258" s="16">
        <v>1.1602498226924457E-12</v>
      </c>
      <c r="Y258" s="16">
        <v>8.0962535036498046E-11</v>
      </c>
      <c r="Z258" s="16">
        <v>5.6315995622941391E-9</v>
      </c>
      <c r="AA258" s="16">
        <v>3.9048027221761528E-7</v>
      </c>
      <c r="AB258" s="16">
        <v>2.6989236261454535E-5</v>
      </c>
      <c r="AC258" s="16">
        <v>1.8595624127972976E-3</v>
      </c>
      <c r="AD258" s="16">
        <v>0.99696820116179263</v>
      </c>
      <c r="AE258" s="27"/>
      <c r="AF258" s="19"/>
      <c r="AG258" s="9">
        <f t="shared" si="291"/>
        <v>0</v>
      </c>
      <c r="AH258" s="16">
        <v>2.8709063078885482E-22</v>
      </c>
      <c r="AI258" s="16">
        <v>2.5560264123456088E-21</v>
      </c>
      <c r="AJ258" s="16">
        <v>2.7747848945625591E-20</v>
      </c>
      <c r="AK258" s="16">
        <v>2.9783653993314735E-19</v>
      </c>
      <c r="AL258" s="16">
        <v>3.18707303618115E-18</v>
      </c>
      <c r="AM258" s="16">
        <v>3.4002343340544183E-17</v>
      </c>
      <c r="AN258" s="16">
        <v>3.6168766467859548E-16</v>
      </c>
      <c r="AO258" s="16">
        <v>3.8359369261279405E-15</v>
      </c>
      <c r="AP258" s="16">
        <v>4.0562712305818601E-14</v>
      </c>
      <c r="AQ258" s="16">
        <v>4.276663801795812E-13</v>
      </c>
      <c r="AR258" s="16">
        <v>4.4958377280529898E-12</v>
      </c>
      <c r="AS258" s="16">
        <v>4.7124667608844571E-11</v>
      </c>
      <c r="AT258" s="16">
        <v>4.9251884782683928E-10</v>
      </c>
      <c r="AU258" s="16">
        <v>5.1326186255019125E-9</v>
      </c>
      <c r="AV258" s="16">
        <v>5.3333660486296369E-8</v>
      </c>
      <c r="AW258" s="16">
        <v>5.5260483860914511E-7</v>
      </c>
      <c r="AX258" s="16">
        <v>5.7093080850072812E-6</v>
      </c>
      <c r="AY258" s="16">
        <v>5.8818288345068137E-5</v>
      </c>
      <c r="AZ258" s="16">
        <v>6.0423505363276148E-4</v>
      </c>
      <c r="BA258" s="16">
        <v>6.1896858188960442E-3</v>
      </c>
      <c r="BB258" s="16">
        <v>0.98858047749046019</v>
      </c>
      <c r="BE258" s="9">
        <f t="shared" si="292"/>
        <v>0</v>
      </c>
      <c r="BF258" s="16">
        <v>2.8646732347836483E-22</v>
      </c>
      <c r="BG258" s="16">
        <v>2.5508084400140933E-21</v>
      </c>
      <c r="BH258" s="16">
        <v>2.7694147349731333E-20</v>
      </c>
      <c r="BI258" s="16">
        <v>2.9729223707666512E-19</v>
      </c>
      <c r="BJ258" s="16">
        <v>3.1815922295288588E-18</v>
      </c>
      <c r="BK258" s="16">
        <v>3.3947534778604907E-17</v>
      </c>
      <c r="BL258" s="16">
        <v>3.6114363524146719E-16</v>
      </c>
      <c r="BM258" s="16">
        <v>3.8305803953153337E-15</v>
      </c>
      <c r="BN258" s="16">
        <v>4.0510439010783494E-14</v>
      </c>
      <c r="BO258" s="16">
        <v>4.2716129390384187E-13</v>
      </c>
      <c r="BP258" s="16">
        <v>4.4910119670788593E-12</v>
      </c>
      <c r="BQ258" s="16">
        <v>4.7079156042914568E-11</v>
      </c>
      <c r="BR258" s="16">
        <v>4.9209617567209708E-10</v>
      </c>
      <c r="BS258" s="16">
        <v>5.1287659284161064E-9</v>
      </c>
      <c r="BT258" s="16">
        <v>5.3299361339268319E-8</v>
      </c>
      <c r="BU258" s="16">
        <v>5.5230885782546244E-7</v>
      </c>
      <c r="BV258" s="16">
        <v>5.7068636714230874E-6</v>
      </c>
      <c r="BW258" s="16">
        <v>5.8799424702806673E-5</v>
      </c>
      <c r="BX258" s="16">
        <v>6.0410616684667036E-4</v>
      </c>
      <c r="BY258" s="16">
        <v>6.1890301393107451E-3</v>
      </c>
      <c r="BZ258" s="16">
        <v>0.98858187496840988</v>
      </c>
      <c r="CC258" s="9">
        <f t="shared" si="293"/>
        <v>0</v>
      </c>
      <c r="CD258" s="16">
        <v>2.864673234783511E-22</v>
      </c>
      <c r="CE258" s="16">
        <v>2.5508084400139785E-21</v>
      </c>
      <c r="CF258" s="16">
        <v>2.769414734973016E-20</v>
      </c>
      <c r="CG258" s="16">
        <v>2.9729223707665327E-19</v>
      </c>
      <c r="CH258" s="16">
        <v>3.1815922295287383E-18</v>
      </c>
      <c r="CI258" s="16">
        <v>3.3947534778603711E-17</v>
      </c>
      <c r="CJ258" s="16">
        <v>3.6114363524145551E-16</v>
      </c>
      <c r="CK258" s="16">
        <v>3.8305803953152169E-15</v>
      </c>
      <c r="CL258" s="16">
        <v>4.0510439010782364E-14</v>
      </c>
      <c r="CM258" s="16">
        <v>4.2716129390383081E-13</v>
      </c>
      <c r="CN258" s="16">
        <v>4.4910119670787526E-12</v>
      </c>
      <c r="CO258" s="16">
        <v>4.7079156042913592E-11</v>
      </c>
      <c r="CP258" s="16">
        <v>4.9209617567208777E-10</v>
      </c>
      <c r="CQ258" s="16">
        <v>5.1287659284160212E-9</v>
      </c>
      <c r="CR258" s="16">
        <v>5.3299361339267565E-8</v>
      </c>
      <c r="CS258" s="16">
        <v>5.5230885782545588E-7</v>
      </c>
      <c r="CT258" s="16">
        <v>5.7068636714230332E-6</v>
      </c>
      <c r="CU258" s="16">
        <v>5.8799424702806246E-5</v>
      </c>
      <c r="CV258" s="16">
        <v>6.0410616684666754E-4</v>
      </c>
      <c r="CW258" s="16">
        <v>6.1890301393107304E-3</v>
      </c>
      <c r="CX258" s="16">
        <v>0.98858187496840988</v>
      </c>
      <c r="DA258" s="9">
        <f t="shared" si="294"/>
        <v>0</v>
      </c>
      <c r="DB258" s="16">
        <v>1.3198004929898893E-38</v>
      </c>
      <c r="DC258" s="16">
        <v>9.3750476892053995E-37</v>
      </c>
      <c r="DD258" s="16">
        <v>6.8233771532988088E-35</v>
      </c>
      <c r="DE258" s="16">
        <v>4.9487702692683864E-33</v>
      </c>
      <c r="DF258" s="16">
        <v>3.5772823459632023E-31</v>
      </c>
      <c r="DG258" s="16">
        <v>2.5773421671536591E-29</v>
      </c>
      <c r="DH258" s="16">
        <v>1.8507969467085919E-27</v>
      </c>
      <c r="DI258" s="16">
        <v>1.3247019414296965E-25</v>
      </c>
      <c r="DJ258" s="16">
        <v>9.4505070409240177E-24</v>
      </c>
      <c r="DK258" s="16">
        <v>6.7200791306538185E-22</v>
      </c>
      <c r="DL258" s="16">
        <v>4.7630021802346304E-20</v>
      </c>
      <c r="DM258" s="16">
        <v>3.3649532120829225E-18</v>
      </c>
      <c r="DN258" s="16">
        <v>2.3695934472453784E-16</v>
      </c>
      <c r="DO258" s="16">
        <v>1.6632973348853341E-14</v>
      </c>
      <c r="DP258" s="16">
        <v>1.1637825254916609E-12</v>
      </c>
      <c r="DQ258" s="16">
        <v>8.1167894068077393E-11</v>
      </c>
      <c r="DR258" s="16">
        <v>5.6430229689167086E-9</v>
      </c>
      <c r="DS258" s="16">
        <v>3.9107408016175206E-7</v>
      </c>
      <c r="DT258" s="16">
        <v>2.7016583405635871E-5</v>
      </c>
      <c r="DU258" s="16">
        <v>1.8605035297005923E-3</v>
      </c>
      <c r="DV258" s="16">
        <v>0.99696663528181662</v>
      </c>
      <c r="DY258" s="9">
        <f t="shared" si="295"/>
        <v>0</v>
      </c>
      <c r="DZ258" s="16">
        <v>1.6409042716743927E-24</v>
      </c>
      <c r="EA258" s="16">
        <v>2.0380470644049394E-23</v>
      </c>
      <c r="EB258" s="16">
        <v>2.9227006222912752E-22</v>
      </c>
      <c r="EC258" s="16">
        <v>4.1535799646779078E-21</v>
      </c>
      <c r="ED258" s="16">
        <v>5.8773777337033478E-20</v>
      </c>
      <c r="EE258" s="16">
        <v>8.2810945254922185E-19</v>
      </c>
      <c r="EF258" s="16">
        <v>1.1618351527409258E-17</v>
      </c>
      <c r="EG258" s="16">
        <v>1.6231673134254395E-16</v>
      </c>
      <c r="EH258" s="16">
        <v>2.2581529641820006E-15</v>
      </c>
      <c r="EI258" s="16">
        <v>3.1284118106097068E-14</v>
      </c>
      <c r="EJ258" s="16">
        <v>4.3160263997185882E-13</v>
      </c>
      <c r="EK258" s="16">
        <v>5.9298392264048524E-12</v>
      </c>
      <c r="EL258" s="16">
        <v>8.1135205825656359E-11</v>
      </c>
      <c r="EM258" s="16">
        <v>1.1055852599315817E-9</v>
      </c>
      <c r="EN258" s="16">
        <v>1.5003770234900142E-8</v>
      </c>
      <c r="EO258" s="16">
        <v>2.0278814005495003E-7</v>
      </c>
      <c r="EP258" s="16">
        <v>2.7297779340073598E-6</v>
      </c>
      <c r="EQ258" s="16">
        <v>3.6598501074252861E-5</v>
      </c>
      <c r="ER258" s="16">
        <v>4.8871868415610565E-4</v>
      </c>
      <c r="ES258" s="16">
        <v>6.5001393151469132E-3</v>
      </c>
      <c r="ET258" s="16">
        <v>0.9884117234958083</v>
      </c>
      <c r="EW258" s="9">
        <f t="shared" si="296"/>
        <v>0</v>
      </c>
      <c r="EX258" s="16">
        <v>1.6409042716744767E-24</v>
      </c>
      <c r="EY258" s="16">
        <v>2.0380470644050382E-23</v>
      </c>
      <c r="EZ258" s="16">
        <v>2.9227006222914082E-22</v>
      </c>
      <c r="FA258" s="16">
        <v>4.1535799646780861E-21</v>
      </c>
      <c r="FB258" s="16">
        <v>5.8773777337035897E-20</v>
      </c>
      <c r="FC258" s="16">
        <v>8.2810945254925324E-19</v>
      </c>
      <c r="FD258" s="16">
        <v>1.1618351527409676E-17</v>
      </c>
      <c r="FE258" s="16">
        <v>1.623167313425493E-16</v>
      </c>
      <c r="FF258" s="16">
        <v>2.2581529641820696E-15</v>
      </c>
      <c r="FG258" s="16">
        <v>3.1284118106097952E-14</v>
      </c>
      <c r="FH258" s="16">
        <v>4.3160263997187003E-13</v>
      </c>
      <c r="FI258" s="16">
        <v>5.929839226404989E-12</v>
      </c>
      <c r="FJ258" s="16">
        <v>8.1135205825658027E-11</v>
      </c>
      <c r="FK258" s="16">
        <v>1.105585259931602E-9</v>
      </c>
      <c r="FL258" s="16">
        <v>1.5003770234900367E-8</v>
      </c>
      <c r="FM258" s="16">
        <v>2.027881400549527E-7</v>
      </c>
      <c r="FN258" s="16">
        <v>2.7297779340073881E-6</v>
      </c>
      <c r="FO258" s="16">
        <v>3.6598501074253146E-5</v>
      </c>
      <c r="FP258" s="16">
        <v>4.8871868415610803E-4</v>
      </c>
      <c r="FQ258" s="16">
        <v>6.5001393151469288E-3</v>
      </c>
      <c r="FR258" s="16">
        <v>0.9884117234958083</v>
      </c>
      <c r="FU258" s="9">
        <f t="shared" si="297"/>
        <v>0</v>
      </c>
      <c r="FV258" s="16">
        <v>1.6446326564416365E-24</v>
      </c>
      <c r="FW258" s="16">
        <v>2.0424123864673284E-23</v>
      </c>
      <c r="FX258" s="16">
        <v>2.9286325220135437E-22</v>
      </c>
      <c r="FY258" s="16">
        <v>4.1615393773452474E-21</v>
      </c>
      <c r="FZ258" s="16">
        <v>5.8879746851843673E-20</v>
      </c>
      <c r="GA258" s="16">
        <v>8.2950878658120779E-19</v>
      </c>
      <c r="GB258" s="16">
        <v>1.1636669466423247E-17</v>
      </c>
      <c r="GC258" s="16">
        <v>1.6255428855720157E-16</v>
      </c>
      <c r="GD258" s="16">
        <v>2.2612026039187155E-15</v>
      </c>
      <c r="GE258" s="16">
        <v>3.1322832842863887E-14</v>
      </c>
      <c r="GF258" s="16">
        <v>4.3208801902642059E-13</v>
      </c>
      <c r="GG258" s="16">
        <v>5.9358386318288165E-12</v>
      </c>
      <c r="GH258" s="16">
        <v>8.1208140207587459E-11</v>
      </c>
      <c r="GI258" s="16">
        <v>1.1064544426826747E-9</v>
      </c>
      <c r="GJ258" s="16">
        <v>1.5013875013129495E-8</v>
      </c>
      <c r="GK258" s="16">
        <v>2.0290187353823511E-7</v>
      </c>
      <c r="GL258" s="16">
        <v>2.7310016194569758E-6</v>
      </c>
      <c r="GM258" s="16">
        <v>3.6610789200345947E-5</v>
      </c>
      <c r="GN258" s="16">
        <v>4.8882781250274125E-4</v>
      </c>
      <c r="GO258" s="16">
        <v>6.5008601326381572E-3</v>
      </c>
      <c r="GP258" s="16">
        <v>0.98841028864441349</v>
      </c>
      <c r="GS258" s="9">
        <f t="shared" si="298"/>
        <v>0</v>
      </c>
      <c r="GT258" s="16">
        <v>1.509668820197961E-36</v>
      </c>
      <c r="GU258" s="16">
        <v>8.6412654691722251E-35</v>
      </c>
      <c r="GV258" s="16">
        <v>5.0943729602054063E-33</v>
      </c>
      <c r="GW258" s="16">
        <v>2.9886493545254589E-31</v>
      </c>
      <c r="GX258" s="16">
        <v>1.7452693013307475E-29</v>
      </c>
      <c r="GY258" s="16">
        <v>1.0145249225106558E-27</v>
      </c>
      <c r="GZ258" s="16">
        <v>5.870636787217911E-26</v>
      </c>
      <c r="HA258" s="16">
        <v>3.3817326593384575E-24</v>
      </c>
      <c r="HB258" s="16">
        <v>1.9392516167510789E-22</v>
      </c>
      <c r="HC258" s="16">
        <v>1.1070801308510295E-20</v>
      </c>
      <c r="HD258" s="16">
        <v>6.2919180015340695E-19</v>
      </c>
      <c r="HE258" s="16">
        <v>3.5600423595296906E-17</v>
      </c>
      <c r="HF258" s="16">
        <v>2.0054152484511973E-15</v>
      </c>
      <c r="HG258" s="16">
        <v>1.1247068701643891E-13</v>
      </c>
      <c r="HH258" s="16">
        <v>6.2801358741837989E-12</v>
      </c>
      <c r="HI258" s="16">
        <v>3.4914198750615046E-10</v>
      </c>
      <c r="HJ258" s="16">
        <v>1.9326227207988609E-8</v>
      </c>
      <c r="HK258" s="16">
        <v>1.065154516176078E-6</v>
      </c>
      <c r="HL258" s="16">
        <v>5.8453040371696929E-5</v>
      </c>
      <c r="HM258" s="16">
        <v>3.1940296754545067E-3</v>
      </c>
      <c r="HN258" s="16">
        <v>0.99476406899660819</v>
      </c>
      <c r="HQ258" s="9">
        <f t="shared" si="299"/>
        <v>0</v>
      </c>
      <c r="HR258" s="16">
        <v>1.3803378929865661E-21</v>
      </c>
      <c r="HS258" s="16">
        <v>1.2034862725768934E-20</v>
      </c>
      <c r="HT258" s="16">
        <v>1.2821304087758812E-19</v>
      </c>
      <c r="HU258" s="16">
        <v>1.3486516117040891E-18</v>
      </c>
      <c r="HV258" s="16">
        <v>1.4126230571746421E-17</v>
      </c>
      <c r="HW258" s="16">
        <v>1.4735221596559081E-16</v>
      </c>
      <c r="HX258" s="16">
        <v>1.5307375856635925E-15</v>
      </c>
      <c r="HY258" s="16">
        <v>1.5836817524341421E-14</v>
      </c>
      <c r="HZ258" s="16">
        <v>1.6318020701496939E-13</v>
      </c>
      <c r="IA258" s="16">
        <v>1.6745906676205788E-12</v>
      </c>
      <c r="IB258" s="16">
        <v>1.7115934616733654E-11</v>
      </c>
      <c r="IC258" s="16">
        <v>1.7424181698268966E-10</v>
      </c>
      <c r="ID258" s="16">
        <v>1.7667412570544858E-9</v>
      </c>
      <c r="IE258" s="16">
        <v>1.7843136357779726E-8</v>
      </c>
      <c r="IF258" s="16">
        <v>1.7949647932050623E-7</v>
      </c>
      <c r="IG258" s="16">
        <v>1.7986054538374922E-6</v>
      </c>
      <c r="IH258" s="16">
        <v>1.795228627369092E-5</v>
      </c>
      <c r="II258" s="16">
        <v>1.7849091836960414E-4</v>
      </c>
      <c r="IJ258" s="16">
        <v>1.7678013116666303E-3</v>
      </c>
      <c r="IK258" s="16">
        <v>1.7441353374584741E-2</v>
      </c>
      <c r="IL258" s="16">
        <v>0.96761332028165503</v>
      </c>
      <c r="IO258" s="9">
        <f t="shared" si="300"/>
        <v>0</v>
      </c>
      <c r="IP258" s="16">
        <v>1.5176006357144166E-36</v>
      </c>
      <c r="IQ258" s="16">
        <v>8.6843148659023644E-35</v>
      </c>
      <c r="IR258" s="16">
        <v>5.1184127793501618E-33</v>
      </c>
      <c r="IS258" s="16">
        <v>3.0019664750110559E-31</v>
      </c>
      <c r="IT258" s="16">
        <v>1.7525872083249405E-29</v>
      </c>
      <c r="IU258" s="16">
        <v>1.0185121946305551E-27</v>
      </c>
      <c r="IV258" s="16">
        <v>5.8921671773177911E-26</v>
      </c>
      <c r="IW258" s="16">
        <v>3.3932469497998667E-24</v>
      </c>
      <c r="IX258" s="16">
        <v>1.9453453691989427E-22</v>
      </c>
      <c r="IY258" s="16">
        <v>1.1102683974455948E-20</v>
      </c>
      <c r="IZ258" s="16">
        <v>6.3083873973294075E-19</v>
      </c>
      <c r="JA258" s="16">
        <v>3.5684273323779651E-17</v>
      </c>
      <c r="JB258" s="16">
        <v>2.0096128810306036E-15</v>
      </c>
      <c r="JC258" s="16">
        <v>1.1267663095773984E-13</v>
      </c>
      <c r="JD258" s="16">
        <v>6.2899901902737495E-12</v>
      </c>
      <c r="JE258" s="16">
        <v>3.4959840442497303E-10</v>
      </c>
      <c r="JF258" s="16">
        <v>1.9346432294697723E-8</v>
      </c>
      <c r="JG258" s="16">
        <v>1.0659893741150108E-6</v>
      </c>
      <c r="JH258" s="16">
        <v>5.848356451705985E-5</v>
      </c>
      <c r="JI258" s="16">
        <v>3.1948623651133923E-3</v>
      </c>
      <c r="JJ258" s="16">
        <v>0.99476266832300886</v>
      </c>
      <c r="JM258" s="9">
        <f t="shared" si="301"/>
        <v>0</v>
      </c>
      <c r="JN258" s="16">
        <v>1.3799195657058208E-21</v>
      </c>
      <c r="JO258" s="16">
        <v>1.2031434371032645E-20</v>
      </c>
      <c r="JP258" s="16">
        <v>1.2817841935822839E-19</v>
      </c>
      <c r="JQ258" s="16">
        <v>1.3483077721577432E-18</v>
      </c>
      <c r="JR258" s="16">
        <v>1.412284206891925E-17</v>
      </c>
      <c r="JS258" s="16">
        <v>1.4731909066976138E-16</v>
      </c>
      <c r="JT258" s="16">
        <v>1.5304165258582759E-15</v>
      </c>
      <c r="JU258" s="16">
        <v>1.5833734281828381E-14</v>
      </c>
      <c r="JV258" s="16">
        <v>1.6315089289544642E-13</v>
      </c>
      <c r="JW258" s="16">
        <v>1.6743150216890267E-12</v>
      </c>
      <c r="JX258" s="16">
        <v>1.7113374495714205E-11</v>
      </c>
      <c r="JY258" s="16">
        <v>1.7421837211342537E-10</v>
      </c>
      <c r="JZ258" s="16">
        <v>1.7665300608653444E-9</v>
      </c>
      <c r="KA258" s="16">
        <v>1.7841271137955076E-8</v>
      </c>
      <c r="KB258" s="16">
        <v>1.7948040780752464E-7</v>
      </c>
      <c r="KC258" s="16">
        <v>1.7984713731935937E-6</v>
      </c>
      <c r="KD258" s="16">
        <v>1.7951216939129687E-5</v>
      </c>
      <c r="KE258" s="16">
        <v>1.7848295914663082E-4</v>
      </c>
      <c r="KF258" s="16">
        <v>1.7677489385085226E-3</v>
      </c>
      <c r="KG258" s="16">
        <v>1.7441097534661332E-2</v>
      </c>
      <c r="KH258" s="16">
        <v>0.96761387311553526</v>
      </c>
      <c r="KK258" s="9">
        <f t="shared" si="302"/>
        <v>0</v>
      </c>
      <c r="KL258" s="16">
        <v>4.6035803655066046E-38</v>
      </c>
      <c r="KM258" s="16">
        <v>3.1543221331114619E-36</v>
      </c>
      <c r="KN258" s="16">
        <v>2.21371539773379E-34</v>
      </c>
      <c r="KO258" s="16">
        <v>1.546100854762482E-32</v>
      </c>
      <c r="KP258" s="16">
        <v>1.0748564809416983E-30</v>
      </c>
      <c r="KQ258" s="16">
        <v>7.438224306570269E-29</v>
      </c>
      <c r="KR258" s="16">
        <v>5.1239352091927762E-27</v>
      </c>
      <c r="KS258" s="16">
        <v>3.5136856351730928E-25</v>
      </c>
      <c r="KT258" s="16">
        <v>2.3985918446073747E-23</v>
      </c>
      <c r="KU258" s="16">
        <v>1.6300208186087521E-21</v>
      </c>
      <c r="KV258" s="16">
        <v>1.1027635377206931E-19</v>
      </c>
      <c r="KW258" s="16">
        <v>7.427336538790593E-18</v>
      </c>
      <c r="KX258" s="16">
        <v>4.9802848936478357E-16</v>
      </c>
      <c r="KY258" s="16">
        <v>3.3247156098506971E-14</v>
      </c>
      <c r="KZ258" s="16">
        <v>2.2097483468676171E-12</v>
      </c>
      <c r="LA258" s="16">
        <v>1.4622708515615972E-10</v>
      </c>
      <c r="LB258" s="16">
        <v>9.6342548790930652E-9</v>
      </c>
      <c r="LC258" s="16">
        <v>6.3200761717963625E-7</v>
      </c>
      <c r="LD258" s="16">
        <v>4.1280865569627906E-5</v>
      </c>
      <c r="LE258" s="16">
        <v>2.6847630792825568E-3</v>
      </c>
      <c r="LF258" s="16">
        <v>0.99561714920683453</v>
      </c>
      <c r="LI258" s="9">
        <f t="shared" si="303"/>
        <v>0</v>
      </c>
      <c r="LJ258" s="16">
        <v>1.3798150023166886E-21</v>
      </c>
      <c r="LK258" s="16">
        <v>1.2030577423556877E-20</v>
      </c>
      <c r="LL258" s="16">
        <v>1.2816976532422838E-19</v>
      </c>
      <c r="LM258" s="16">
        <v>1.348221824826647E-18</v>
      </c>
      <c r="LN258" s="16">
        <v>1.4121995058958549E-17</v>
      </c>
      <c r="LO258" s="16">
        <v>1.4731081039927527E-16</v>
      </c>
      <c r="LP258" s="16">
        <v>1.5303362703615154E-15</v>
      </c>
      <c r="LQ258" s="16">
        <v>1.5832963554739336E-14</v>
      </c>
      <c r="LR258" s="16">
        <v>1.631435650908676E-13</v>
      </c>
      <c r="LS258" s="16">
        <v>1.6742461163782424E-12</v>
      </c>
      <c r="LT258" s="16">
        <v>1.7112734516768287E-11</v>
      </c>
      <c r="LU258" s="16">
        <v>1.7421251131091824E-10</v>
      </c>
      <c r="LV258" s="16">
        <v>1.7664772650589484E-9</v>
      </c>
      <c r="LW258" s="16">
        <v>1.7840804857244685E-8</v>
      </c>
      <c r="LX258" s="16">
        <v>1.7947639010049384E-7</v>
      </c>
      <c r="LY258" s="16">
        <v>1.7984378541466181E-6</v>
      </c>
      <c r="LZ258" s="16">
        <v>1.7950949611866747E-5</v>
      </c>
      <c r="MA258" s="16">
        <v>1.7848096936968908E-4</v>
      </c>
      <c r="MB258" s="16">
        <v>1.7677358452855012E-3</v>
      </c>
      <c r="MC258" s="16">
        <v>1.744103357439972E-2</v>
      </c>
      <c r="MD258" s="16">
        <v>0.96761401132419311</v>
      </c>
      <c r="MG258" s="9">
        <f t="shared" si="304"/>
        <v>0</v>
      </c>
      <c r="MH258" s="16">
        <v>2.8670928002228881E-37</v>
      </c>
      <c r="MI258" s="16">
        <v>1.7879998827744136E-35</v>
      </c>
      <c r="MJ258" s="16">
        <v>1.1452724892541147E-33</v>
      </c>
      <c r="MK258" s="16">
        <v>7.3002284167748787E-32</v>
      </c>
      <c r="ML258" s="16">
        <v>4.6319517554709235E-30</v>
      </c>
      <c r="MM258" s="16">
        <v>2.9255065825565704E-28</v>
      </c>
      <c r="MN258" s="16">
        <v>1.8393189338204168E-26</v>
      </c>
      <c r="MO258" s="16">
        <v>1.1511747637995878E-24</v>
      </c>
      <c r="MP258" s="16">
        <v>7.172375160057677E-23</v>
      </c>
      <c r="MQ258" s="16">
        <v>4.4486826581313256E-21</v>
      </c>
      <c r="MR258" s="16">
        <v>2.746980947383492E-19</v>
      </c>
      <c r="MS258" s="16">
        <v>1.6886695359393657E-17</v>
      </c>
      <c r="MT258" s="16">
        <v>1.033492699670316E-15</v>
      </c>
      <c r="MU258" s="16">
        <v>6.2972760635835298E-14</v>
      </c>
      <c r="MV258" s="16">
        <v>3.8202289862713593E-12</v>
      </c>
      <c r="MW258" s="16">
        <v>2.3074170247393007E-10</v>
      </c>
      <c r="MX258" s="16">
        <v>1.3876228328931542E-8</v>
      </c>
      <c r="MY258" s="16">
        <v>8.3087176156908471E-7</v>
      </c>
      <c r="MZ258" s="16">
        <v>4.9536145100730952E-5</v>
      </c>
      <c r="NA258" s="16">
        <v>2.9406575278921915E-3</v>
      </c>
      <c r="NB258" s="16">
        <v>0.99518938338204355</v>
      </c>
      <c r="NE258" s="9">
        <f t="shared" si="305"/>
        <v>0</v>
      </c>
      <c r="NF258" s="16">
        <v>1.3798150023166886E-21</v>
      </c>
      <c r="NG258" s="16">
        <v>1.2030577423556877E-20</v>
      </c>
      <c r="NH258" s="16">
        <v>1.2816976532422838E-19</v>
      </c>
      <c r="NI258" s="16">
        <v>1.348221824826647E-18</v>
      </c>
      <c r="NJ258" s="16">
        <v>1.4121995058958549E-17</v>
      </c>
      <c r="NK258" s="16">
        <v>1.4731081039927527E-16</v>
      </c>
      <c r="NL258" s="16">
        <v>1.5303362703615154E-15</v>
      </c>
      <c r="NM258" s="16">
        <v>1.5832963554739336E-14</v>
      </c>
      <c r="NN258" s="16">
        <v>1.631435650908676E-13</v>
      </c>
      <c r="NO258" s="16">
        <v>1.6742461163782424E-12</v>
      </c>
      <c r="NP258" s="16">
        <v>1.7112734516768287E-11</v>
      </c>
      <c r="NQ258" s="16">
        <v>1.7421251131091824E-10</v>
      </c>
      <c r="NR258" s="16">
        <v>1.7664772650589484E-9</v>
      </c>
      <c r="NS258" s="16">
        <v>1.7840804857244685E-8</v>
      </c>
      <c r="NT258" s="16">
        <v>1.7947639010049384E-7</v>
      </c>
      <c r="NU258" s="16">
        <v>1.7984378541466181E-6</v>
      </c>
      <c r="NV258" s="16">
        <v>1.7950949611866747E-5</v>
      </c>
      <c r="NW258" s="16">
        <v>1.7848096936968908E-4</v>
      </c>
      <c r="NX258" s="16">
        <v>1.7677358452855012E-3</v>
      </c>
      <c r="NY258" s="16">
        <v>1.744103357439972E-2</v>
      </c>
      <c r="NZ258" s="16">
        <v>0.96761401132419311</v>
      </c>
      <c r="OC258" s="9">
        <f t="shared" si="306"/>
        <v>0</v>
      </c>
      <c r="OD258" s="16">
        <v>1.5176006357143916E-36</v>
      </c>
      <c r="OE258" s="16">
        <v>8.6843148659022297E-35</v>
      </c>
      <c r="OF258" s="16">
        <v>5.1184127793500886E-33</v>
      </c>
      <c r="OG258" s="16">
        <v>3.0019664750110156E-31</v>
      </c>
      <c r="OH258" s="16">
        <v>1.7525872083249178E-29</v>
      </c>
      <c r="OI258" s="16">
        <v>1.0185121946305429E-27</v>
      </c>
      <c r="OJ258" s="16">
        <v>5.8921671773177257E-26</v>
      </c>
      <c r="OK258" s="16">
        <v>3.3932469497998322E-24</v>
      </c>
      <c r="OL258" s="16">
        <v>1.9453453691989246E-22</v>
      </c>
      <c r="OM258" s="16">
        <v>1.1102683974455853E-20</v>
      </c>
      <c r="ON258" s="16">
        <v>6.3083873973293584E-19</v>
      </c>
      <c r="OO258" s="16">
        <v>3.5684273323779398E-17</v>
      </c>
      <c r="OP258" s="16">
        <v>2.0096128810305906E-15</v>
      </c>
      <c r="OQ258" s="16">
        <v>1.1267663095773919E-13</v>
      </c>
      <c r="OR258" s="16">
        <v>6.2899901902737188E-12</v>
      </c>
      <c r="OS258" s="16">
        <v>3.4959840442497158E-10</v>
      </c>
      <c r="OT258" s="16">
        <v>1.9346432294697664E-8</v>
      </c>
      <c r="OU258" s="16">
        <v>1.0659893741150083E-6</v>
      </c>
      <c r="OV258" s="16">
        <v>5.8483564517059755E-5</v>
      </c>
      <c r="OW258" s="16">
        <v>3.1948623651133897E-3</v>
      </c>
      <c r="OX258" s="16">
        <v>0.99476266832300886</v>
      </c>
      <c r="PA258" s="9">
        <f t="shared" si="307"/>
        <v>0</v>
      </c>
      <c r="PB258" s="16">
        <v>1.3788742634727472E-21</v>
      </c>
      <c r="PC258" s="16">
        <v>1.2022867437307991E-20</v>
      </c>
      <c r="PD258" s="16">
        <v>1.2809190323693782E-19</v>
      </c>
      <c r="PE258" s="16">
        <v>1.3474485247897913E-18</v>
      </c>
      <c r="PF258" s="16">
        <v>1.4114374052264207E-17</v>
      </c>
      <c r="PG258" s="16">
        <v>1.4723630692337056E-16</v>
      </c>
      <c r="PH258" s="16">
        <v>1.529614141039899E-15</v>
      </c>
      <c r="PI258" s="16">
        <v>1.5826028514378693E-14</v>
      </c>
      <c r="PJ258" s="16">
        <v>1.6307762790302195E-13</v>
      </c>
      <c r="PK258" s="16">
        <v>1.6736260796633852E-12</v>
      </c>
      <c r="PL258" s="16">
        <v>1.7106975629702141E-11</v>
      </c>
      <c r="PM258" s="16">
        <v>1.7415977155412493E-10</v>
      </c>
      <c r="PN258" s="16">
        <v>1.7660021611322688E-9</v>
      </c>
      <c r="PO258" s="16">
        <v>1.7836608767244631E-8</v>
      </c>
      <c r="PP258" s="16">
        <v>1.794402338189192E-7</v>
      </c>
      <c r="PQ258" s="16">
        <v>1.7981362027751567E-6</v>
      </c>
      <c r="PR258" s="16">
        <v>1.7948543781291265E-5</v>
      </c>
      <c r="PS258" s="16">
        <v>1.7846306189564569E-4</v>
      </c>
      <c r="PT258" s="16">
        <v>1.7676180074754548E-3</v>
      </c>
      <c r="PU258" s="16">
        <v>1.7440457926991591E-2</v>
      </c>
      <c r="PV258" s="16">
        <v>0.9676152552054974</v>
      </c>
    </row>
    <row r="259" spans="3:438" x14ac:dyDescent="0.25">
      <c r="I259" s="9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27"/>
      <c r="AG259" s="9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E259" s="9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C259" s="9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DA259" s="9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Y259" s="9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W259" s="9"/>
      <c r="EX259" s="16"/>
      <c r="EY259" s="16"/>
      <c r="EZ259" s="16"/>
      <c r="FA259" s="16"/>
      <c r="FB259" s="16"/>
      <c r="FC259" s="16"/>
      <c r="FD259" s="16"/>
      <c r="FE259" s="16"/>
      <c r="FF259" s="16"/>
      <c r="FG259" s="16"/>
      <c r="FH259" s="16"/>
      <c r="FI259" s="16"/>
      <c r="FJ259" s="16"/>
      <c r="FK259" s="16"/>
      <c r="FL259" s="16"/>
      <c r="FM259" s="16"/>
      <c r="FN259" s="16"/>
      <c r="FO259" s="16"/>
      <c r="FP259" s="16"/>
      <c r="FQ259" s="16"/>
      <c r="FR259" s="16"/>
      <c r="FU259" s="9"/>
      <c r="FV259" s="16"/>
      <c r="FW259" s="16"/>
      <c r="FX259" s="16"/>
      <c r="FY259" s="16"/>
      <c r="FZ259" s="16"/>
      <c r="GA259" s="16"/>
      <c r="GB259" s="16"/>
      <c r="GC259" s="16"/>
      <c r="GD259" s="16"/>
      <c r="GE259" s="16"/>
      <c r="GF259" s="16"/>
      <c r="GG259" s="16"/>
      <c r="GH259" s="16"/>
      <c r="GI259" s="16"/>
      <c r="GJ259" s="16"/>
      <c r="GK259" s="16"/>
      <c r="GL259" s="16"/>
      <c r="GM259" s="16"/>
      <c r="GN259" s="16"/>
      <c r="GO259" s="16"/>
      <c r="GP259" s="16"/>
      <c r="GS259" s="9"/>
      <c r="GT259" s="16"/>
      <c r="GU259" s="16"/>
      <c r="GV259" s="16"/>
      <c r="GW259" s="16"/>
      <c r="GX259" s="16"/>
      <c r="GY259" s="16"/>
      <c r="GZ259" s="16"/>
      <c r="HA259" s="16"/>
      <c r="HB259" s="16"/>
      <c r="HC259" s="16"/>
      <c r="HD259" s="16"/>
      <c r="HE259" s="16"/>
      <c r="HF259" s="16"/>
      <c r="HG259" s="16"/>
      <c r="HH259" s="16"/>
      <c r="HI259" s="16"/>
      <c r="HJ259" s="16"/>
      <c r="HK259" s="16"/>
      <c r="HL259" s="16"/>
      <c r="HM259" s="16"/>
      <c r="HN259" s="16"/>
      <c r="HQ259" s="9"/>
      <c r="HR259" s="16"/>
      <c r="HS259" s="16"/>
      <c r="HT259" s="16"/>
      <c r="HU259" s="16"/>
      <c r="HV259" s="16"/>
      <c r="HW259" s="16"/>
      <c r="HX259" s="16"/>
      <c r="HY259" s="16"/>
      <c r="HZ259" s="16"/>
      <c r="IA259" s="16"/>
      <c r="IB259" s="16"/>
      <c r="IC259" s="16"/>
      <c r="ID259" s="16"/>
      <c r="IE259" s="16"/>
      <c r="IF259" s="16"/>
      <c r="IG259" s="16"/>
      <c r="IH259" s="16"/>
      <c r="II259" s="16"/>
      <c r="IJ259" s="16"/>
      <c r="IK259" s="16"/>
      <c r="IL259" s="16"/>
      <c r="IO259" s="9"/>
      <c r="IP259" s="16"/>
      <c r="IQ259" s="16"/>
      <c r="IR259" s="16"/>
      <c r="IS259" s="16"/>
      <c r="IT259" s="16"/>
      <c r="IU259" s="16"/>
      <c r="IV259" s="16"/>
      <c r="IW259" s="16"/>
      <c r="IX259" s="16"/>
      <c r="IY259" s="16"/>
      <c r="IZ259" s="16"/>
      <c r="JA259" s="16"/>
      <c r="JB259" s="16"/>
      <c r="JC259" s="16"/>
      <c r="JD259" s="16"/>
      <c r="JE259" s="16"/>
      <c r="JF259" s="16"/>
      <c r="JG259" s="16"/>
      <c r="JH259" s="16"/>
      <c r="JI259" s="16"/>
      <c r="JJ259" s="16"/>
      <c r="JM259" s="9"/>
      <c r="JN259" s="16"/>
      <c r="JO259" s="16"/>
      <c r="JP259" s="16"/>
      <c r="JQ259" s="16"/>
      <c r="JR259" s="16"/>
      <c r="JS259" s="16"/>
      <c r="JT259" s="16"/>
      <c r="JU259" s="16"/>
      <c r="JV259" s="16"/>
      <c r="JW259" s="16"/>
      <c r="JX259" s="16"/>
      <c r="JY259" s="16"/>
      <c r="JZ259" s="16"/>
      <c r="KA259" s="16"/>
      <c r="KB259" s="16"/>
      <c r="KC259" s="16"/>
      <c r="KD259" s="16"/>
      <c r="KE259" s="16"/>
      <c r="KF259" s="16"/>
      <c r="KG259" s="16"/>
      <c r="KH259" s="16"/>
      <c r="KK259" s="9"/>
      <c r="KL259" s="16"/>
      <c r="KM259" s="16"/>
      <c r="KN259" s="16"/>
      <c r="KO259" s="16"/>
      <c r="KP259" s="16"/>
      <c r="KQ259" s="16"/>
      <c r="KR259" s="16"/>
      <c r="KS259" s="16"/>
      <c r="KT259" s="16"/>
      <c r="KU259" s="16"/>
      <c r="KV259" s="16"/>
      <c r="KW259" s="16"/>
      <c r="KX259" s="16"/>
      <c r="KY259" s="16"/>
      <c r="KZ259" s="16"/>
      <c r="LA259" s="16"/>
      <c r="LB259" s="16"/>
      <c r="LC259" s="16"/>
      <c r="LD259" s="16"/>
      <c r="LE259" s="16"/>
      <c r="LF259" s="16"/>
      <c r="LI259" s="9"/>
      <c r="LJ259" s="16"/>
      <c r="LK259" s="16"/>
      <c r="LL259" s="16"/>
      <c r="LM259" s="16"/>
      <c r="LN259" s="16"/>
      <c r="LO259" s="16"/>
      <c r="LP259" s="16"/>
      <c r="LQ259" s="16"/>
      <c r="LR259" s="16"/>
      <c r="LS259" s="16"/>
      <c r="LT259" s="16"/>
      <c r="LU259" s="16"/>
      <c r="LV259" s="16"/>
      <c r="LW259" s="16"/>
      <c r="LX259" s="16"/>
      <c r="LY259" s="16"/>
      <c r="LZ259" s="16"/>
      <c r="MA259" s="16"/>
      <c r="MB259" s="16"/>
      <c r="MC259" s="16"/>
      <c r="MD259" s="16"/>
      <c r="MG259" s="9"/>
      <c r="MH259" s="16"/>
      <c r="MI259" s="16"/>
      <c r="MJ259" s="16"/>
      <c r="MK259" s="16"/>
      <c r="ML259" s="16"/>
      <c r="MM259" s="16"/>
      <c r="MN259" s="16"/>
      <c r="MO259" s="16"/>
      <c r="MP259" s="16"/>
      <c r="MQ259" s="16"/>
      <c r="MR259" s="16"/>
      <c r="MS259" s="16"/>
      <c r="MT259" s="16"/>
      <c r="MU259" s="16"/>
      <c r="MV259" s="16"/>
      <c r="MW259" s="16"/>
      <c r="MX259" s="16"/>
      <c r="MY259" s="16"/>
      <c r="MZ259" s="16"/>
      <c r="NA259" s="16"/>
      <c r="NB259" s="16"/>
      <c r="NE259" s="9"/>
      <c r="NF259" s="16"/>
      <c r="NG259" s="16"/>
      <c r="NH259" s="16"/>
      <c r="NI259" s="16"/>
      <c r="NJ259" s="16"/>
      <c r="NK259" s="16"/>
      <c r="NL259" s="16"/>
      <c r="NM259" s="16"/>
      <c r="NN259" s="16"/>
      <c r="NO259" s="16"/>
      <c r="NP259" s="16"/>
      <c r="NQ259" s="16"/>
      <c r="NR259" s="16"/>
      <c r="NS259" s="16"/>
      <c r="NT259" s="16"/>
      <c r="NU259" s="16"/>
      <c r="NV259" s="16"/>
      <c r="NW259" s="16"/>
      <c r="NX259" s="16"/>
      <c r="NY259" s="16"/>
      <c r="NZ259" s="16"/>
      <c r="OC259" s="9"/>
      <c r="OD259" s="16"/>
      <c r="OE259" s="16"/>
      <c r="OF259" s="16"/>
      <c r="OG259" s="16"/>
      <c r="OH259" s="16"/>
      <c r="OI259" s="16"/>
      <c r="OJ259" s="16"/>
      <c r="OK259" s="16"/>
      <c r="OL259" s="16"/>
      <c r="OM259" s="16"/>
      <c r="ON259" s="16"/>
      <c r="OO259" s="16"/>
      <c r="OP259" s="16"/>
      <c r="OQ259" s="16"/>
      <c r="OR259" s="16"/>
      <c r="OS259" s="16"/>
      <c r="OT259" s="16"/>
      <c r="OU259" s="16"/>
      <c r="OV259" s="16"/>
      <c r="OW259" s="16"/>
      <c r="OX259" s="16"/>
      <c r="PA259" s="9"/>
      <c r="PB259" s="16"/>
      <c r="PC259" s="16"/>
      <c r="PD259" s="16"/>
      <c r="PE259" s="16"/>
      <c r="PF259" s="16"/>
      <c r="PG259" s="16"/>
      <c r="PH259" s="16"/>
      <c r="PI259" s="16"/>
      <c r="PJ259" s="16"/>
      <c r="PK259" s="16"/>
      <c r="PL259" s="16"/>
      <c r="PM259" s="16"/>
      <c r="PN259" s="16"/>
      <c r="PO259" s="16"/>
      <c r="PP259" s="16"/>
      <c r="PQ259" s="16"/>
      <c r="PR259" s="16"/>
      <c r="PS259" s="16"/>
      <c r="PT259" s="16"/>
      <c r="PU259" s="16"/>
      <c r="PV259" s="16"/>
    </row>
    <row r="260" spans="3:438" x14ac:dyDescent="0.25">
      <c r="I260" s="9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G260" s="9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E260" s="9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C260" s="9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DA260" s="9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Y260" s="9"/>
      <c r="DZ260" s="16"/>
      <c r="EA260" s="16"/>
      <c r="EB260" s="16"/>
      <c r="EC260" s="16"/>
      <c r="ED260" s="16"/>
      <c r="EE260" s="16"/>
      <c r="EF260" s="16"/>
      <c r="EG260" s="16"/>
      <c r="EH260" s="16"/>
      <c r="EI260" s="16"/>
      <c r="EJ260" s="16"/>
      <c r="EK260" s="16"/>
      <c r="EL260" s="16"/>
      <c r="EM260" s="16"/>
      <c r="EN260" s="16"/>
      <c r="EO260" s="16"/>
      <c r="EP260" s="16"/>
      <c r="EQ260" s="16"/>
      <c r="ER260" s="16"/>
      <c r="ES260" s="16"/>
      <c r="ET260" s="16"/>
      <c r="EW260" s="9"/>
      <c r="EX260" s="16"/>
      <c r="EY260" s="16"/>
      <c r="EZ260" s="16"/>
      <c r="FA260" s="16"/>
      <c r="FB260" s="16"/>
      <c r="FC260" s="16"/>
      <c r="FD260" s="16"/>
      <c r="FE260" s="16"/>
      <c r="FF260" s="16"/>
      <c r="FG260" s="16"/>
      <c r="FH260" s="16"/>
      <c r="FI260" s="16"/>
      <c r="FJ260" s="16"/>
      <c r="FK260" s="16"/>
      <c r="FL260" s="16"/>
      <c r="FM260" s="16"/>
      <c r="FN260" s="16"/>
      <c r="FO260" s="16"/>
      <c r="FP260" s="16"/>
      <c r="FQ260" s="16"/>
      <c r="FR260" s="16"/>
      <c r="FU260" s="9"/>
      <c r="FV260" s="16"/>
      <c r="FW260" s="16"/>
      <c r="FX260" s="16"/>
      <c r="FY260" s="16"/>
      <c r="FZ260" s="16"/>
      <c r="GA260" s="16"/>
      <c r="GB260" s="16"/>
      <c r="GC260" s="16"/>
      <c r="GD260" s="16"/>
      <c r="GE260" s="16"/>
      <c r="GF260" s="16"/>
      <c r="GG260" s="16"/>
      <c r="GH260" s="16"/>
      <c r="GI260" s="16"/>
      <c r="GJ260" s="16"/>
      <c r="GK260" s="16"/>
      <c r="GL260" s="16"/>
      <c r="GM260" s="16"/>
      <c r="GN260" s="16"/>
      <c r="GO260" s="16"/>
      <c r="GP260" s="16"/>
      <c r="GS260" s="9"/>
      <c r="GT260" s="16"/>
      <c r="GU260" s="16"/>
      <c r="GV260" s="16"/>
      <c r="GW260" s="16"/>
      <c r="GX260" s="16"/>
      <c r="GY260" s="16"/>
      <c r="GZ260" s="16"/>
      <c r="HA260" s="16"/>
      <c r="HB260" s="16"/>
      <c r="HC260" s="16"/>
      <c r="HD260" s="16"/>
      <c r="HE260" s="16"/>
      <c r="HF260" s="16"/>
      <c r="HG260" s="16"/>
      <c r="HH260" s="16"/>
      <c r="HI260" s="16"/>
      <c r="HJ260" s="16"/>
      <c r="HK260" s="16"/>
      <c r="HL260" s="16"/>
      <c r="HM260" s="16"/>
      <c r="HN260" s="16"/>
      <c r="HQ260" s="9"/>
      <c r="HR260" s="16"/>
      <c r="HS260" s="16"/>
      <c r="HT260" s="16"/>
      <c r="HU260" s="16"/>
      <c r="HV260" s="16"/>
      <c r="HW260" s="16"/>
      <c r="HX260" s="16"/>
      <c r="HY260" s="16"/>
      <c r="HZ260" s="16"/>
      <c r="IA260" s="16"/>
      <c r="IB260" s="16"/>
      <c r="IC260" s="16"/>
      <c r="ID260" s="16"/>
      <c r="IE260" s="16"/>
      <c r="IF260" s="16"/>
      <c r="IG260" s="16"/>
      <c r="IH260" s="16"/>
      <c r="II260" s="16"/>
      <c r="IJ260" s="16"/>
      <c r="IK260" s="16"/>
      <c r="IL260" s="16"/>
      <c r="IO260" s="9"/>
      <c r="IP260" s="16"/>
      <c r="IQ260" s="16"/>
      <c r="IR260" s="16"/>
      <c r="IS260" s="16"/>
      <c r="IT260" s="16"/>
      <c r="IU260" s="16"/>
      <c r="IV260" s="16"/>
      <c r="IW260" s="16"/>
      <c r="IX260" s="16"/>
      <c r="IY260" s="16"/>
      <c r="IZ260" s="16"/>
      <c r="JA260" s="16"/>
      <c r="JB260" s="16"/>
      <c r="JC260" s="16"/>
      <c r="JD260" s="16"/>
      <c r="JE260" s="16"/>
      <c r="JF260" s="16"/>
      <c r="JG260" s="16"/>
      <c r="JH260" s="16"/>
      <c r="JI260" s="16"/>
      <c r="JJ260" s="16"/>
      <c r="JM260" s="9"/>
      <c r="JN260" s="16"/>
      <c r="JO260" s="16"/>
      <c r="JP260" s="16"/>
      <c r="JQ260" s="16"/>
      <c r="JR260" s="16"/>
      <c r="JS260" s="16"/>
      <c r="JT260" s="16"/>
      <c r="JU260" s="16"/>
      <c r="JV260" s="16"/>
      <c r="JW260" s="16"/>
      <c r="JX260" s="16"/>
      <c r="JY260" s="16"/>
      <c r="JZ260" s="16"/>
      <c r="KA260" s="16"/>
      <c r="KB260" s="16"/>
      <c r="KC260" s="16"/>
      <c r="KD260" s="16"/>
      <c r="KE260" s="16"/>
      <c r="KF260" s="16"/>
      <c r="KG260" s="16"/>
      <c r="KH260" s="16"/>
      <c r="KK260" s="9"/>
      <c r="KL260" s="16"/>
      <c r="KM260" s="16"/>
      <c r="KN260" s="16"/>
      <c r="KO260" s="16"/>
      <c r="KP260" s="16"/>
      <c r="KQ260" s="16"/>
      <c r="KR260" s="16"/>
      <c r="KS260" s="16"/>
      <c r="KT260" s="16"/>
      <c r="KU260" s="16"/>
      <c r="KV260" s="16"/>
      <c r="KW260" s="16"/>
      <c r="KX260" s="16"/>
      <c r="KY260" s="16"/>
      <c r="KZ260" s="16"/>
      <c r="LA260" s="16"/>
      <c r="LB260" s="16"/>
      <c r="LC260" s="16"/>
      <c r="LD260" s="16"/>
      <c r="LE260" s="16"/>
      <c r="LF260" s="16"/>
      <c r="LI260" s="9"/>
      <c r="LJ260" s="16"/>
      <c r="LK260" s="16"/>
      <c r="LL260" s="16"/>
      <c r="LM260" s="16"/>
      <c r="LN260" s="16"/>
      <c r="LO260" s="16"/>
      <c r="LP260" s="16"/>
      <c r="LQ260" s="16"/>
      <c r="LR260" s="16"/>
      <c r="LS260" s="16"/>
      <c r="LT260" s="16"/>
      <c r="LU260" s="16"/>
      <c r="LV260" s="16"/>
      <c r="LW260" s="16"/>
      <c r="LX260" s="16"/>
      <c r="LY260" s="16"/>
      <c r="LZ260" s="16"/>
      <c r="MA260" s="16"/>
      <c r="MB260" s="16"/>
      <c r="MC260" s="16"/>
      <c r="MD260" s="16"/>
      <c r="MG260" s="9"/>
      <c r="MH260" s="16"/>
      <c r="MI260" s="16"/>
      <c r="MJ260" s="16"/>
      <c r="MK260" s="16"/>
      <c r="ML260" s="16"/>
      <c r="MM260" s="16"/>
      <c r="MN260" s="16"/>
      <c r="MO260" s="16"/>
      <c r="MP260" s="16"/>
      <c r="MQ260" s="16"/>
      <c r="MR260" s="16"/>
      <c r="MS260" s="16"/>
      <c r="MT260" s="16"/>
      <c r="MU260" s="16"/>
      <c r="MV260" s="16"/>
      <c r="MW260" s="16"/>
      <c r="MX260" s="16"/>
      <c r="MY260" s="16"/>
      <c r="MZ260" s="16"/>
      <c r="NA260" s="16"/>
      <c r="NB260" s="16"/>
      <c r="NE260" s="9"/>
      <c r="NF260" s="16"/>
      <c r="NG260" s="16"/>
      <c r="NH260" s="16"/>
      <c r="NI260" s="16"/>
      <c r="NJ260" s="16"/>
      <c r="NK260" s="16"/>
      <c r="NL260" s="16"/>
      <c r="NM260" s="16"/>
      <c r="NN260" s="16"/>
      <c r="NO260" s="16"/>
      <c r="NP260" s="16"/>
      <c r="NQ260" s="16"/>
      <c r="NR260" s="16"/>
      <c r="NS260" s="16"/>
      <c r="NT260" s="16"/>
      <c r="NU260" s="16"/>
      <c r="NV260" s="16"/>
      <c r="NW260" s="16"/>
      <c r="NX260" s="16"/>
      <c r="NY260" s="16"/>
      <c r="NZ260" s="16"/>
      <c r="OC260" s="9"/>
      <c r="OD260" s="16"/>
      <c r="OE260" s="16"/>
      <c r="OF260" s="16"/>
      <c r="OG260" s="16"/>
      <c r="OH260" s="16"/>
      <c r="OI260" s="16"/>
      <c r="OJ260" s="16"/>
      <c r="OK260" s="16"/>
      <c r="OL260" s="16"/>
      <c r="OM260" s="16"/>
      <c r="ON260" s="16"/>
      <c r="OO260" s="16"/>
      <c r="OP260" s="16"/>
      <c r="OQ260" s="16"/>
      <c r="OR260" s="16"/>
      <c r="OS260" s="16"/>
      <c r="OT260" s="16"/>
      <c r="OU260" s="16"/>
      <c r="OV260" s="16"/>
      <c r="OW260" s="16"/>
      <c r="OX260" s="16"/>
      <c r="PA260" s="9"/>
      <c r="PB260" s="16"/>
      <c r="PC260" s="16"/>
      <c r="PD260" s="16"/>
      <c r="PE260" s="16"/>
      <c r="PF260" s="16"/>
      <c r="PG260" s="16"/>
      <c r="PH260" s="16"/>
      <c r="PI260" s="16"/>
      <c r="PJ260" s="16"/>
      <c r="PK260" s="16"/>
      <c r="PL260" s="16"/>
      <c r="PM260" s="16"/>
      <c r="PN260" s="16"/>
      <c r="PO260" s="16"/>
      <c r="PP260" s="16"/>
      <c r="PQ260" s="16"/>
      <c r="PR260" s="16"/>
      <c r="PS260" s="16"/>
      <c r="PT260" s="16"/>
      <c r="PU260" s="16"/>
      <c r="PV260" s="16"/>
    </row>
    <row r="261" spans="3:438" x14ac:dyDescent="0.25">
      <c r="I261" s="9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G261" s="9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E261" s="9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C261" s="9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DA261" s="9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Y261" s="9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W261" s="9"/>
      <c r="EX261" s="16"/>
      <c r="EY261" s="16"/>
      <c r="EZ261" s="16"/>
      <c r="FA261" s="16"/>
      <c r="FB261" s="16"/>
      <c r="FC261" s="16"/>
      <c r="FD261" s="16"/>
      <c r="FE261" s="16"/>
      <c r="FF261" s="16"/>
      <c r="FG261" s="16"/>
      <c r="FH261" s="16"/>
      <c r="FI261" s="16"/>
      <c r="FJ261" s="16"/>
      <c r="FK261" s="16"/>
      <c r="FL261" s="16"/>
      <c r="FM261" s="16"/>
      <c r="FN261" s="16"/>
      <c r="FO261" s="16"/>
      <c r="FP261" s="16"/>
      <c r="FQ261" s="16"/>
      <c r="FR261" s="16"/>
      <c r="FU261" s="9"/>
      <c r="FV261" s="16"/>
      <c r="FW261" s="16"/>
      <c r="FX261" s="16"/>
      <c r="FY261" s="16"/>
      <c r="FZ261" s="16"/>
      <c r="GA261" s="16"/>
      <c r="GB261" s="16"/>
      <c r="GC261" s="16"/>
      <c r="GD261" s="16"/>
      <c r="GE261" s="16"/>
      <c r="GF261" s="16"/>
      <c r="GG261" s="16"/>
      <c r="GH261" s="16"/>
      <c r="GI261" s="16"/>
      <c r="GJ261" s="16"/>
      <c r="GK261" s="16"/>
      <c r="GL261" s="16"/>
      <c r="GM261" s="16"/>
      <c r="GN261" s="16"/>
      <c r="GO261" s="16"/>
      <c r="GP261" s="16"/>
      <c r="GS261" s="9"/>
      <c r="GT261" s="16"/>
      <c r="GU261" s="16"/>
      <c r="GV261" s="16"/>
      <c r="GW261" s="16"/>
      <c r="GX261" s="16"/>
      <c r="GY261" s="16"/>
      <c r="GZ261" s="16"/>
      <c r="HA261" s="16"/>
      <c r="HB261" s="16"/>
      <c r="HC261" s="16"/>
      <c r="HD261" s="16"/>
      <c r="HE261" s="16"/>
      <c r="HF261" s="16"/>
      <c r="HG261" s="16"/>
      <c r="HH261" s="16"/>
      <c r="HI261" s="16"/>
      <c r="HJ261" s="16"/>
      <c r="HK261" s="16"/>
      <c r="HL261" s="16"/>
      <c r="HM261" s="16"/>
      <c r="HN261" s="16"/>
      <c r="HQ261" s="9"/>
      <c r="HR261" s="16"/>
      <c r="HS261" s="16"/>
      <c r="HT261" s="16"/>
      <c r="HU261" s="16"/>
      <c r="HV261" s="16"/>
      <c r="HW261" s="16"/>
      <c r="HX261" s="16"/>
      <c r="HY261" s="16"/>
      <c r="HZ261" s="16"/>
      <c r="IA261" s="16"/>
      <c r="IB261" s="16"/>
      <c r="IC261" s="16"/>
      <c r="ID261" s="16"/>
      <c r="IE261" s="16"/>
      <c r="IF261" s="16"/>
      <c r="IG261" s="16"/>
      <c r="IH261" s="16"/>
      <c r="II261" s="16"/>
      <c r="IJ261" s="16"/>
      <c r="IK261" s="16"/>
      <c r="IL261" s="16"/>
      <c r="IO261" s="9"/>
      <c r="IP261" s="16"/>
      <c r="IQ261" s="16"/>
      <c r="IR261" s="16"/>
      <c r="IS261" s="16"/>
      <c r="IT261" s="16"/>
      <c r="IU261" s="16"/>
      <c r="IV261" s="16"/>
      <c r="IW261" s="16"/>
      <c r="IX261" s="16"/>
      <c r="IY261" s="16"/>
      <c r="IZ261" s="16"/>
      <c r="JA261" s="16"/>
      <c r="JB261" s="16"/>
      <c r="JC261" s="16"/>
      <c r="JD261" s="16"/>
      <c r="JE261" s="16"/>
      <c r="JF261" s="16"/>
      <c r="JG261" s="16"/>
      <c r="JH261" s="16"/>
      <c r="JI261" s="16"/>
      <c r="JJ261" s="16"/>
      <c r="JM261" s="9"/>
      <c r="JN261" s="16"/>
      <c r="JO261" s="16"/>
      <c r="JP261" s="16"/>
      <c r="JQ261" s="16"/>
      <c r="JR261" s="16"/>
      <c r="JS261" s="16"/>
      <c r="JT261" s="16"/>
      <c r="JU261" s="16"/>
      <c r="JV261" s="16"/>
      <c r="JW261" s="16"/>
      <c r="JX261" s="16"/>
      <c r="JY261" s="16"/>
      <c r="JZ261" s="16"/>
      <c r="KA261" s="16"/>
      <c r="KB261" s="16"/>
      <c r="KC261" s="16"/>
      <c r="KD261" s="16"/>
      <c r="KE261" s="16"/>
      <c r="KF261" s="16"/>
      <c r="KG261" s="16"/>
      <c r="KH261" s="16"/>
      <c r="KK261" s="9"/>
      <c r="KL261" s="16"/>
      <c r="KM261" s="16"/>
      <c r="KN261" s="16"/>
      <c r="KO261" s="16"/>
      <c r="KP261" s="16"/>
      <c r="KQ261" s="16"/>
      <c r="KR261" s="16"/>
      <c r="KS261" s="16"/>
      <c r="KT261" s="16"/>
      <c r="KU261" s="16"/>
      <c r="KV261" s="16"/>
      <c r="KW261" s="16"/>
      <c r="KX261" s="16"/>
      <c r="KY261" s="16"/>
      <c r="KZ261" s="16"/>
      <c r="LA261" s="16"/>
      <c r="LB261" s="16"/>
      <c r="LC261" s="16"/>
      <c r="LD261" s="16"/>
      <c r="LE261" s="16"/>
      <c r="LF261" s="16"/>
      <c r="LI261" s="9"/>
      <c r="LJ261" s="16"/>
      <c r="LK261" s="16"/>
      <c r="LL261" s="16"/>
      <c r="LM261" s="16"/>
      <c r="LN261" s="16"/>
      <c r="LO261" s="16"/>
      <c r="LP261" s="16"/>
      <c r="LQ261" s="16"/>
      <c r="LR261" s="16"/>
      <c r="LS261" s="16"/>
      <c r="LT261" s="16"/>
      <c r="LU261" s="16"/>
      <c r="LV261" s="16"/>
      <c r="LW261" s="16"/>
      <c r="LX261" s="16"/>
      <c r="LY261" s="16"/>
      <c r="LZ261" s="16"/>
      <c r="MA261" s="16"/>
      <c r="MB261" s="16"/>
      <c r="MC261" s="16"/>
      <c r="MD261" s="16"/>
      <c r="MG261" s="9"/>
      <c r="MH261" s="16"/>
      <c r="MI261" s="16"/>
      <c r="MJ261" s="16"/>
      <c r="MK261" s="16"/>
      <c r="ML261" s="16"/>
      <c r="MM261" s="16"/>
      <c r="MN261" s="16"/>
      <c r="MO261" s="16"/>
      <c r="MP261" s="16"/>
      <c r="MQ261" s="16"/>
      <c r="MR261" s="16"/>
      <c r="MS261" s="16"/>
      <c r="MT261" s="16"/>
      <c r="MU261" s="16"/>
      <c r="MV261" s="16"/>
      <c r="MW261" s="16"/>
      <c r="MX261" s="16"/>
      <c r="MY261" s="16"/>
      <c r="MZ261" s="16"/>
      <c r="NA261" s="16"/>
      <c r="NB261" s="16"/>
      <c r="NE261" s="9"/>
      <c r="NF261" s="16"/>
      <c r="NG261" s="16"/>
      <c r="NH261" s="16"/>
      <c r="NI261" s="16"/>
      <c r="NJ261" s="16"/>
      <c r="NK261" s="16"/>
      <c r="NL261" s="16"/>
      <c r="NM261" s="16"/>
      <c r="NN261" s="16"/>
      <c r="NO261" s="16"/>
      <c r="NP261" s="16"/>
      <c r="NQ261" s="16"/>
      <c r="NR261" s="16"/>
      <c r="NS261" s="16"/>
      <c r="NT261" s="16"/>
      <c r="NU261" s="16"/>
      <c r="NV261" s="16"/>
      <c r="NW261" s="16"/>
      <c r="NX261" s="16"/>
      <c r="NY261" s="16"/>
      <c r="NZ261" s="16"/>
      <c r="OC261" s="9"/>
      <c r="OD261" s="16"/>
      <c r="OE261" s="16"/>
      <c r="OF261" s="16"/>
      <c r="OG261" s="16"/>
      <c r="OH261" s="16"/>
      <c r="OI261" s="16"/>
      <c r="OJ261" s="16"/>
      <c r="OK261" s="16"/>
      <c r="OL261" s="16"/>
      <c r="OM261" s="16"/>
      <c r="ON261" s="16"/>
      <c r="OO261" s="16"/>
      <c r="OP261" s="16"/>
      <c r="OQ261" s="16"/>
      <c r="OR261" s="16"/>
      <c r="OS261" s="16"/>
      <c r="OT261" s="16"/>
      <c r="OU261" s="16"/>
      <c r="OV261" s="16"/>
      <c r="OW261" s="16"/>
      <c r="OX261" s="16"/>
      <c r="PA261" s="9"/>
      <c r="PB261" s="16"/>
      <c r="PC261" s="16"/>
      <c r="PD261" s="16"/>
      <c r="PE261" s="16"/>
      <c r="PF261" s="16"/>
      <c r="PG261" s="16"/>
      <c r="PH261" s="16"/>
      <c r="PI261" s="16"/>
      <c r="PJ261" s="16"/>
      <c r="PK261" s="16"/>
      <c r="PL261" s="16"/>
      <c r="PM261" s="16"/>
      <c r="PN261" s="16"/>
      <c r="PO261" s="16"/>
      <c r="PP261" s="16"/>
      <c r="PQ261" s="16"/>
      <c r="PR261" s="16"/>
      <c r="PS261" s="16"/>
      <c r="PT261" s="16"/>
      <c r="PU261" s="16"/>
      <c r="PV261" s="16"/>
    </row>
    <row r="262" spans="3:438" x14ac:dyDescent="0.25">
      <c r="I262" s="9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G262" s="9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E262" s="9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C262" s="9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DA262" s="9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Y262" s="9"/>
      <c r="DZ262" s="16"/>
      <c r="EA262" s="16"/>
      <c r="EB262" s="16"/>
      <c r="EC262" s="16"/>
      <c r="ED262" s="16"/>
      <c r="EE262" s="16"/>
      <c r="EF262" s="16"/>
      <c r="EG262" s="16"/>
      <c r="EH262" s="16"/>
      <c r="EI262" s="16"/>
      <c r="EJ262" s="16"/>
      <c r="EK262" s="16"/>
      <c r="EL262" s="16"/>
      <c r="EM262" s="16"/>
      <c r="EN262" s="16"/>
      <c r="EO262" s="16"/>
      <c r="EP262" s="16"/>
      <c r="EQ262" s="16"/>
      <c r="ER262" s="16"/>
      <c r="ES262" s="16"/>
      <c r="ET262" s="16"/>
      <c r="EW262" s="9"/>
      <c r="EX262" s="16"/>
      <c r="EY262" s="16"/>
      <c r="EZ262" s="16"/>
      <c r="FA262" s="16"/>
      <c r="FB262" s="16"/>
      <c r="FC262" s="16"/>
      <c r="FD262" s="16"/>
      <c r="FE262" s="16"/>
      <c r="FF262" s="16"/>
      <c r="FG262" s="16"/>
      <c r="FH262" s="16"/>
      <c r="FI262" s="16"/>
      <c r="FJ262" s="16"/>
      <c r="FK262" s="16"/>
      <c r="FL262" s="16"/>
      <c r="FM262" s="16"/>
      <c r="FN262" s="16"/>
      <c r="FO262" s="16"/>
      <c r="FP262" s="16"/>
      <c r="FQ262" s="16"/>
      <c r="FR262" s="16"/>
      <c r="FU262" s="9"/>
      <c r="FV262" s="16"/>
      <c r="FW262" s="16"/>
      <c r="FX262" s="16"/>
      <c r="FY262" s="16"/>
      <c r="FZ262" s="16"/>
      <c r="GA262" s="16"/>
      <c r="GB262" s="16"/>
      <c r="GC262" s="16"/>
      <c r="GD262" s="16"/>
      <c r="GE262" s="16"/>
      <c r="GF262" s="16"/>
      <c r="GG262" s="16"/>
      <c r="GH262" s="16"/>
      <c r="GI262" s="16"/>
      <c r="GJ262" s="16"/>
      <c r="GK262" s="16"/>
      <c r="GL262" s="16"/>
      <c r="GM262" s="16"/>
      <c r="GN262" s="16"/>
      <c r="GO262" s="16"/>
      <c r="GP262" s="16"/>
      <c r="GS262" s="9"/>
      <c r="GT262" s="16"/>
      <c r="GU262" s="16"/>
      <c r="GV262" s="16"/>
      <c r="GW262" s="16"/>
      <c r="GX262" s="16"/>
      <c r="GY262" s="16"/>
      <c r="GZ262" s="16"/>
      <c r="HA262" s="16"/>
      <c r="HB262" s="16"/>
      <c r="HC262" s="16"/>
      <c r="HD262" s="16"/>
      <c r="HE262" s="16"/>
      <c r="HF262" s="16"/>
      <c r="HG262" s="16"/>
      <c r="HH262" s="16"/>
      <c r="HI262" s="16"/>
      <c r="HJ262" s="16"/>
      <c r="HK262" s="16"/>
      <c r="HL262" s="16"/>
      <c r="HM262" s="16"/>
      <c r="HN262" s="16"/>
      <c r="HQ262" s="9"/>
      <c r="HR262" s="16"/>
      <c r="HS262" s="16"/>
      <c r="HT262" s="16"/>
      <c r="HU262" s="16"/>
      <c r="HV262" s="16"/>
      <c r="HW262" s="16"/>
      <c r="HX262" s="16"/>
      <c r="HY262" s="16"/>
      <c r="HZ262" s="16"/>
      <c r="IA262" s="16"/>
      <c r="IB262" s="16"/>
      <c r="IC262" s="16"/>
      <c r="ID262" s="16"/>
      <c r="IE262" s="16"/>
      <c r="IF262" s="16"/>
      <c r="IG262" s="16"/>
      <c r="IH262" s="16"/>
      <c r="II262" s="16"/>
      <c r="IJ262" s="16"/>
      <c r="IK262" s="16"/>
      <c r="IL262" s="16"/>
      <c r="IO262" s="9"/>
      <c r="IP262" s="16"/>
      <c r="IQ262" s="16"/>
      <c r="IR262" s="16"/>
      <c r="IS262" s="16"/>
      <c r="IT262" s="16"/>
      <c r="IU262" s="16"/>
      <c r="IV262" s="16"/>
      <c r="IW262" s="16"/>
      <c r="IX262" s="16"/>
      <c r="IY262" s="16"/>
      <c r="IZ262" s="16"/>
      <c r="JA262" s="16"/>
      <c r="JB262" s="16"/>
      <c r="JC262" s="16"/>
      <c r="JD262" s="16"/>
      <c r="JE262" s="16"/>
      <c r="JF262" s="16"/>
      <c r="JG262" s="16"/>
      <c r="JH262" s="16"/>
      <c r="JI262" s="16"/>
      <c r="JJ262" s="16"/>
      <c r="JM262" s="9"/>
      <c r="JN262" s="16"/>
      <c r="JO262" s="16"/>
      <c r="JP262" s="16"/>
      <c r="JQ262" s="16"/>
      <c r="JR262" s="16"/>
      <c r="JS262" s="16"/>
      <c r="JT262" s="16"/>
      <c r="JU262" s="16"/>
      <c r="JV262" s="16"/>
      <c r="JW262" s="16"/>
      <c r="JX262" s="16"/>
      <c r="JY262" s="16"/>
      <c r="JZ262" s="16"/>
      <c r="KA262" s="16"/>
      <c r="KB262" s="16"/>
      <c r="KC262" s="16"/>
      <c r="KD262" s="16"/>
      <c r="KE262" s="16"/>
      <c r="KF262" s="16"/>
      <c r="KG262" s="16"/>
      <c r="KH262" s="16"/>
      <c r="KK262" s="9"/>
      <c r="KL262" s="16"/>
      <c r="KM262" s="16"/>
      <c r="KN262" s="16"/>
      <c r="KO262" s="16"/>
      <c r="KP262" s="16"/>
      <c r="KQ262" s="16"/>
      <c r="KR262" s="16"/>
      <c r="KS262" s="16"/>
      <c r="KT262" s="16"/>
      <c r="KU262" s="16"/>
      <c r="KV262" s="16"/>
      <c r="KW262" s="16"/>
      <c r="KX262" s="16"/>
      <c r="KY262" s="16"/>
      <c r="KZ262" s="16"/>
      <c r="LA262" s="16"/>
      <c r="LB262" s="16"/>
      <c r="LC262" s="16"/>
      <c r="LD262" s="16"/>
      <c r="LE262" s="16"/>
      <c r="LF262" s="16"/>
      <c r="LI262" s="9"/>
      <c r="LJ262" s="16"/>
      <c r="LK262" s="16"/>
      <c r="LL262" s="16"/>
      <c r="LM262" s="16"/>
      <c r="LN262" s="16"/>
      <c r="LO262" s="16"/>
      <c r="LP262" s="16"/>
      <c r="LQ262" s="16"/>
      <c r="LR262" s="16"/>
      <c r="LS262" s="16"/>
      <c r="LT262" s="16"/>
      <c r="LU262" s="16"/>
      <c r="LV262" s="16"/>
      <c r="LW262" s="16"/>
      <c r="LX262" s="16"/>
      <c r="LY262" s="16"/>
      <c r="LZ262" s="16"/>
      <c r="MA262" s="16"/>
      <c r="MB262" s="16"/>
      <c r="MC262" s="16"/>
      <c r="MD262" s="16"/>
      <c r="MG262" s="9"/>
      <c r="MH262" s="16"/>
      <c r="MI262" s="16"/>
      <c r="MJ262" s="16"/>
      <c r="MK262" s="16"/>
      <c r="ML262" s="16"/>
      <c r="MM262" s="16"/>
      <c r="MN262" s="16"/>
      <c r="MO262" s="16"/>
      <c r="MP262" s="16"/>
      <c r="MQ262" s="16"/>
      <c r="MR262" s="16"/>
      <c r="MS262" s="16"/>
      <c r="MT262" s="16"/>
      <c r="MU262" s="16"/>
      <c r="MV262" s="16"/>
      <c r="MW262" s="16"/>
      <c r="MX262" s="16"/>
      <c r="MY262" s="16"/>
      <c r="MZ262" s="16"/>
      <c r="NA262" s="16"/>
      <c r="NB262" s="16"/>
      <c r="NE262" s="9"/>
      <c r="NF262" s="16"/>
      <c r="NG262" s="16"/>
      <c r="NH262" s="16"/>
      <c r="NI262" s="16"/>
      <c r="NJ262" s="16"/>
      <c r="NK262" s="16"/>
      <c r="NL262" s="16"/>
      <c r="NM262" s="16"/>
      <c r="NN262" s="16"/>
      <c r="NO262" s="16"/>
      <c r="NP262" s="16"/>
      <c r="NQ262" s="16"/>
      <c r="NR262" s="16"/>
      <c r="NS262" s="16"/>
      <c r="NT262" s="16"/>
      <c r="NU262" s="16"/>
      <c r="NV262" s="16"/>
      <c r="NW262" s="16"/>
      <c r="NX262" s="16"/>
      <c r="NY262" s="16"/>
      <c r="NZ262" s="16"/>
      <c r="OC262" s="9"/>
      <c r="OD262" s="16"/>
      <c r="OE262" s="16"/>
      <c r="OF262" s="16"/>
      <c r="OG262" s="16"/>
      <c r="OH262" s="16"/>
      <c r="OI262" s="16"/>
      <c r="OJ262" s="16"/>
      <c r="OK262" s="16"/>
      <c r="OL262" s="16"/>
      <c r="OM262" s="16"/>
      <c r="ON262" s="16"/>
      <c r="OO262" s="16"/>
      <c r="OP262" s="16"/>
      <c r="OQ262" s="16"/>
      <c r="OR262" s="16"/>
      <c r="OS262" s="16"/>
      <c r="OT262" s="16"/>
      <c r="OU262" s="16"/>
      <c r="OV262" s="16"/>
      <c r="OW262" s="16"/>
      <c r="OX262" s="16"/>
      <c r="PA262" s="9"/>
      <c r="PB262" s="16"/>
      <c r="PC262" s="16"/>
      <c r="PD262" s="16"/>
      <c r="PE262" s="16"/>
      <c r="PF262" s="16"/>
      <c r="PG262" s="16"/>
      <c r="PH262" s="16"/>
      <c r="PI262" s="16"/>
      <c r="PJ262" s="16"/>
      <c r="PK262" s="16"/>
      <c r="PL262" s="16"/>
      <c r="PM262" s="16"/>
      <c r="PN262" s="16"/>
      <c r="PO262" s="16"/>
      <c r="PP262" s="16"/>
      <c r="PQ262" s="16"/>
      <c r="PR262" s="16"/>
      <c r="PS262" s="16"/>
      <c r="PT262" s="16"/>
      <c r="PU262" s="16"/>
      <c r="PV262" s="16"/>
    </row>
    <row r="263" spans="3:438" x14ac:dyDescent="0.25">
      <c r="I263" s="9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G263" s="9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E263" s="9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C263" s="9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DA263" s="9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Y263" s="9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W263" s="9"/>
      <c r="EX263" s="16"/>
      <c r="EY263" s="16"/>
      <c r="EZ263" s="16"/>
      <c r="FA263" s="16"/>
      <c r="FB263" s="16"/>
      <c r="FC263" s="16"/>
      <c r="FD263" s="16"/>
      <c r="FE263" s="16"/>
      <c r="FF263" s="16"/>
      <c r="FG263" s="16"/>
      <c r="FH263" s="16"/>
      <c r="FI263" s="16"/>
      <c r="FJ263" s="16"/>
      <c r="FK263" s="16"/>
      <c r="FL263" s="16"/>
      <c r="FM263" s="16"/>
      <c r="FN263" s="16"/>
      <c r="FO263" s="16"/>
      <c r="FP263" s="16"/>
      <c r="FQ263" s="16"/>
      <c r="FR263" s="16"/>
      <c r="FU263" s="9"/>
      <c r="FV263" s="16"/>
      <c r="FW263" s="16"/>
      <c r="FX263" s="16"/>
      <c r="FY263" s="16"/>
      <c r="FZ263" s="16"/>
      <c r="GA263" s="16"/>
      <c r="GB263" s="16"/>
      <c r="GC263" s="16"/>
      <c r="GD263" s="16"/>
      <c r="GE263" s="16"/>
      <c r="GF263" s="16"/>
      <c r="GG263" s="16"/>
      <c r="GH263" s="16"/>
      <c r="GI263" s="16"/>
      <c r="GJ263" s="16"/>
      <c r="GK263" s="16"/>
      <c r="GL263" s="16"/>
      <c r="GM263" s="16"/>
      <c r="GN263" s="16"/>
      <c r="GO263" s="16"/>
      <c r="GP263" s="16"/>
      <c r="GS263" s="9"/>
      <c r="GT263" s="16"/>
      <c r="GU263" s="16"/>
      <c r="GV263" s="16"/>
      <c r="GW263" s="16"/>
      <c r="GX263" s="16"/>
      <c r="GY263" s="16"/>
      <c r="GZ263" s="16"/>
      <c r="HA263" s="16"/>
      <c r="HB263" s="16"/>
      <c r="HC263" s="16"/>
      <c r="HD263" s="16"/>
      <c r="HE263" s="16"/>
      <c r="HF263" s="16"/>
      <c r="HG263" s="16"/>
      <c r="HH263" s="16"/>
      <c r="HI263" s="16"/>
      <c r="HJ263" s="16"/>
      <c r="HK263" s="16"/>
      <c r="HL263" s="16"/>
      <c r="HM263" s="16"/>
      <c r="HN263" s="16"/>
      <c r="HQ263" s="9"/>
      <c r="HR263" s="16"/>
      <c r="HS263" s="16"/>
      <c r="HT263" s="16"/>
      <c r="HU263" s="16"/>
      <c r="HV263" s="16"/>
      <c r="HW263" s="16"/>
      <c r="HX263" s="16"/>
      <c r="HY263" s="16"/>
      <c r="HZ263" s="16"/>
      <c r="IA263" s="16"/>
      <c r="IB263" s="16"/>
      <c r="IC263" s="16"/>
      <c r="ID263" s="16"/>
      <c r="IE263" s="16"/>
      <c r="IF263" s="16"/>
      <c r="IG263" s="16"/>
      <c r="IH263" s="16"/>
      <c r="II263" s="16"/>
      <c r="IJ263" s="16"/>
      <c r="IK263" s="16"/>
      <c r="IL263" s="16"/>
      <c r="IO263" s="9"/>
      <c r="IP263" s="16"/>
      <c r="IQ263" s="16"/>
      <c r="IR263" s="16"/>
      <c r="IS263" s="16"/>
      <c r="IT263" s="16"/>
      <c r="IU263" s="16"/>
      <c r="IV263" s="16"/>
      <c r="IW263" s="16"/>
      <c r="IX263" s="16"/>
      <c r="IY263" s="16"/>
      <c r="IZ263" s="16"/>
      <c r="JA263" s="16"/>
      <c r="JB263" s="16"/>
      <c r="JC263" s="16"/>
      <c r="JD263" s="16"/>
      <c r="JE263" s="16"/>
      <c r="JF263" s="16"/>
      <c r="JG263" s="16"/>
      <c r="JH263" s="16"/>
      <c r="JI263" s="16"/>
      <c r="JJ263" s="16"/>
      <c r="JM263" s="9"/>
      <c r="JN263" s="16"/>
      <c r="JO263" s="16"/>
      <c r="JP263" s="16"/>
      <c r="JQ263" s="16"/>
      <c r="JR263" s="16"/>
      <c r="JS263" s="16"/>
      <c r="JT263" s="16"/>
      <c r="JU263" s="16"/>
      <c r="JV263" s="16"/>
      <c r="JW263" s="16"/>
      <c r="JX263" s="16"/>
      <c r="JY263" s="16"/>
      <c r="JZ263" s="16"/>
      <c r="KA263" s="16"/>
      <c r="KB263" s="16"/>
      <c r="KC263" s="16"/>
      <c r="KD263" s="16"/>
      <c r="KE263" s="16"/>
      <c r="KF263" s="16"/>
      <c r="KG263" s="16"/>
      <c r="KH263" s="16"/>
      <c r="KK263" s="9"/>
      <c r="KL263" s="16"/>
      <c r="KM263" s="16"/>
      <c r="KN263" s="16"/>
      <c r="KO263" s="16"/>
      <c r="KP263" s="16"/>
      <c r="KQ263" s="16"/>
      <c r="KR263" s="16"/>
      <c r="KS263" s="16"/>
      <c r="KT263" s="16"/>
      <c r="KU263" s="16"/>
      <c r="KV263" s="16"/>
      <c r="KW263" s="16"/>
      <c r="KX263" s="16"/>
      <c r="KY263" s="16"/>
      <c r="KZ263" s="16"/>
      <c r="LA263" s="16"/>
      <c r="LB263" s="16"/>
      <c r="LC263" s="16"/>
      <c r="LD263" s="16"/>
      <c r="LE263" s="16"/>
      <c r="LF263" s="16"/>
      <c r="LI263" s="9"/>
      <c r="LJ263" s="16"/>
      <c r="LK263" s="16"/>
      <c r="LL263" s="16"/>
      <c r="LM263" s="16"/>
      <c r="LN263" s="16"/>
      <c r="LO263" s="16"/>
      <c r="LP263" s="16"/>
      <c r="LQ263" s="16"/>
      <c r="LR263" s="16"/>
      <c r="LS263" s="16"/>
      <c r="LT263" s="16"/>
      <c r="LU263" s="16"/>
      <c r="LV263" s="16"/>
      <c r="LW263" s="16"/>
      <c r="LX263" s="16"/>
      <c r="LY263" s="16"/>
      <c r="LZ263" s="16"/>
      <c r="MA263" s="16"/>
      <c r="MB263" s="16"/>
      <c r="MC263" s="16"/>
      <c r="MD263" s="16"/>
      <c r="MG263" s="9"/>
      <c r="MH263" s="16"/>
      <c r="MI263" s="16"/>
      <c r="MJ263" s="16"/>
      <c r="MK263" s="16"/>
      <c r="ML263" s="16"/>
      <c r="MM263" s="16"/>
      <c r="MN263" s="16"/>
      <c r="MO263" s="16"/>
      <c r="MP263" s="16"/>
      <c r="MQ263" s="16"/>
      <c r="MR263" s="16"/>
      <c r="MS263" s="16"/>
      <c r="MT263" s="16"/>
      <c r="MU263" s="16"/>
      <c r="MV263" s="16"/>
      <c r="MW263" s="16"/>
      <c r="MX263" s="16"/>
      <c r="MY263" s="16"/>
      <c r="MZ263" s="16"/>
      <c r="NA263" s="16"/>
      <c r="NB263" s="16"/>
      <c r="NE263" s="9"/>
      <c r="NF263" s="16"/>
      <c r="NG263" s="16"/>
      <c r="NH263" s="16"/>
      <c r="NI263" s="16"/>
      <c r="NJ263" s="16"/>
      <c r="NK263" s="16"/>
      <c r="NL263" s="16"/>
      <c r="NM263" s="16"/>
      <c r="NN263" s="16"/>
      <c r="NO263" s="16"/>
      <c r="NP263" s="16"/>
      <c r="NQ263" s="16"/>
      <c r="NR263" s="16"/>
      <c r="NS263" s="16"/>
      <c r="NT263" s="16"/>
      <c r="NU263" s="16"/>
      <c r="NV263" s="16"/>
      <c r="NW263" s="16"/>
      <c r="NX263" s="16"/>
      <c r="NY263" s="16"/>
      <c r="NZ263" s="16"/>
      <c r="OC263" s="9"/>
      <c r="OD263" s="16"/>
      <c r="OE263" s="16"/>
      <c r="OF263" s="16"/>
      <c r="OG263" s="16"/>
      <c r="OH263" s="16"/>
      <c r="OI263" s="16"/>
      <c r="OJ263" s="16"/>
      <c r="OK263" s="16"/>
      <c r="OL263" s="16"/>
      <c r="OM263" s="16"/>
      <c r="ON263" s="16"/>
      <c r="OO263" s="16"/>
      <c r="OP263" s="16"/>
      <c r="OQ263" s="16"/>
      <c r="OR263" s="16"/>
      <c r="OS263" s="16"/>
      <c r="OT263" s="16"/>
      <c r="OU263" s="16"/>
      <c r="OV263" s="16"/>
      <c r="OW263" s="16"/>
      <c r="OX263" s="16"/>
      <c r="PA263" s="9"/>
      <c r="PB263" s="16"/>
      <c r="PC263" s="16"/>
      <c r="PD263" s="16"/>
      <c r="PE263" s="16"/>
      <c r="PF263" s="16"/>
      <c r="PG263" s="16"/>
      <c r="PH263" s="16"/>
      <c r="PI263" s="16"/>
      <c r="PJ263" s="16"/>
      <c r="PK263" s="16"/>
      <c r="PL263" s="16"/>
      <c r="PM263" s="16"/>
      <c r="PN263" s="16"/>
      <c r="PO263" s="16"/>
      <c r="PP263" s="16"/>
      <c r="PQ263" s="16"/>
      <c r="PR263" s="16"/>
      <c r="PS263" s="16"/>
      <c r="PT263" s="16"/>
      <c r="PU263" s="16"/>
      <c r="PV263" s="16"/>
    </row>
    <row r="264" spans="3:438" x14ac:dyDescent="0.25">
      <c r="I264" s="9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G264" s="9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E264" s="9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C264" s="9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DA264" s="9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Y264" s="9"/>
      <c r="DZ264" s="16"/>
      <c r="EA264" s="16"/>
      <c r="EB264" s="16"/>
      <c r="EC264" s="16"/>
      <c r="ED264" s="16"/>
      <c r="EE264" s="16"/>
      <c r="EF264" s="16"/>
      <c r="EG264" s="16"/>
      <c r="EH264" s="16"/>
      <c r="EI264" s="16"/>
      <c r="EJ264" s="16"/>
      <c r="EK264" s="16"/>
      <c r="EL264" s="16"/>
      <c r="EM264" s="16"/>
      <c r="EN264" s="16"/>
      <c r="EO264" s="16"/>
      <c r="EP264" s="16"/>
      <c r="EQ264" s="16"/>
      <c r="ER264" s="16"/>
      <c r="ES264" s="16"/>
      <c r="ET264" s="16"/>
      <c r="EW264" s="9"/>
      <c r="EX264" s="16"/>
      <c r="EY264" s="16"/>
      <c r="EZ264" s="16"/>
      <c r="FA264" s="16"/>
      <c r="FB264" s="16"/>
      <c r="FC264" s="16"/>
      <c r="FD264" s="16"/>
      <c r="FE264" s="16"/>
      <c r="FF264" s="16"/>
      <c r="FG264" s="16"/>
      <c r="FH264" s="16"/>
      <c r="FI264" s="16"/>
      <c r="FJ264" s="16"/>
      <c r="FK264" s="16"/>
      <c r="FL264" s="16"/>
      <c r="FM264" s="16"/>
      <c r="FN264" s="16"/>
      <c r="FO264" s="16"/>
      <c r="FP264" s="16"/>
      <c r="FQ264" s="16"/>
      <c r="FR264" s="16"/>
      <c r="FU264" s="9"/>
      <c r="FV264" s="16"/>
      <c r="FW264" s="16"/>
      <c r="FX264" s="16"/>
      <c r="FY264" s="16"/>
      <c r="FZ264" s="16"/>
      <c r="GA264" s="16"/>
      <c r="GB264" s="16"/>
      <c r="GC264" s="16"/>
      <c r="GD264" s="16"/>
      <c r="GE264" s="16"/>
      <c r="GF264" s="16"/>
      <c r="GG264" s="16"/>
      <c r="GH264" s="16"/>
      <c r="GI264" s="16"/>
      <c r="GJ264" s="16"/>
      <c r="GK264" s="16"/>
      <c r="GL264" s="16"/>
      <c r="GM264" s="16"/>
      <c r="GN264" s="16"/>
      <c r="GO264" s="16"/>
      <c r="GP264" s="16"/>
      <c r="GS264" s="9"/>
      <c r="GT264" s="16"/>
      <c r="GU264" s="16"/>
      <c r="GV264" s="16"/>
      <c r="GW264" s="16"/>
      <c r="GX264" s="16"/>
      <c r="GY264" s="16"/>
      <c r="GZ264" s="16"/>
      <c r="HA264" s="16"/>
      <c r="HB264" s="16"/>
      <c r="HC264" s="16"/>
      <c r="HD264" s="16"/>
      <c r="HE264" s="16"/>
      <c r="HF264" s="16"/>
      <c r="HG264" s="16"/>
      <c r="HH264" s="16"/>
      <c r="HI264" s="16"/>
      <c r="HJ264" s="16"/>
      <c r="HK264" s="16"/>
      <c r="HL264" s="16"/>
      <c r="HM264" s="16"/>
      <c r="HN264" s="16"/>
      <c r="HQ264" s="9"/>
      <c r="HR264" s="16"/>
      <c r="HS264" s="16"/>
      <c r="HT264" s="16"/>
      <c r="HU264" s="16"/>
      <c r="HV264" s="16"/>
      <c r="HW264" s="16"/>
      <c r="HX264" s="16"/>
      <c r="HY264" s="16"/>
      <c r="HZ264" s="16"/>
      <c r="IA264" s="16"/>
      <c r="IB264" s="16"/>
      <c r="IC264" s="16"/>
      <c r="ID264" s="16"/>
      <c r="IE264" s="16"/>
      <c r="IF264" s="16"/>
      <c r="IG264" s="16"/>
      <c r="IH264" s="16"/>
      <c r="II264" s="16"/>
      <c r="IJ264" s="16"/>
      <c r="IK264" s="16"/>
      <c r="IL264" s="16"/>
      <c r="IO264" s="9"/>
      <c r="IP264" s="16"/>
      <c r="IQ264" s="16"/>
      <c r="IR264" s="16"/>
      <c r="IS264" s="16"/>
      <c r="IT264" s="16"/>
      <c r="IU264" s="16"/>
      <c r="IV264" s="16"/>
      <c r="IW264" s="16"/>
      <c r="IX264" s="16"/>
      <c r="IY264" s="16"/>
      <c r="IZ264" s="16"/>
      <c r="JA264" s="16"/>
      <c r="JB264" s="16"/>
      <c r="JC264" s="16"/>
      <c r="JD264" s="16"/>
      <c r="JE264" s="16"/>
      <c r="JF264" s="16"/>
      <c r="JG264" s="16"/>
      <c r="JH264" s="16"/>
      <c r="JI264" s="16"/>
      <c r="JJ264" s="16"/>
      <c r="JM264" s="9"/>
      <c r="JN264" s="16"/>
      <c r="JO264" s="16"/>
      <c r="JP264" s="16"/>
      <c r="JQ264" s="16"/>
      <c r="JR264" s="16"/>
      <c r="JS264" s="16"/>
      <c r="JT264" s="16"/>
      <c r="JU264" s="16"/>
      <c r="JV264" s="16"/>
      <c r="JW264" s="16"/>
      <c r="JX264" s="16"/>
      <c r="JY264" s="16"/>
      <c r="JZ264" s="16"/>
      <c r="KA264" s="16"/>
      <c r="KB264" s="16"/>
      <c r="KC264" s="16"/>
      <c r="KD264" s="16"/>
      <c r="KE264" s="16"/>
      <c r="KF264" s="16"/>
      <c r="KG264" s="16"/>
      <c r="KH264" s="16"/>
      <c r="KK264" s="9"/>
      <c r="KL264" s="16"/>
      <c r="KM264" s="16"/>
      <c r="KN264" s="16"/>
      <c r="KO264" s="16"/>
      <c r="KP264" s="16"/>
      <c r="KQ264" s="16"/>
      <c r="KR264" s="16"/>
      <c r="KS264" s="16"/>
      <c r="KT264" s="16"/>
      <c r="KU264" s="16"/>
      <c r="KV264" s="16"/>
      <c r="KW264" s="16"/>
      <c r="KX264" s="16"/>
      <c r="KY264" s="16"/>
      <c r="KZ264" s="16"/>
      <c r="LA264" s="16"/>
      <c r="LB264" s="16"/>
      <c r="LC264" s="16"/>
      <c r="LD264" s="16"/>
      <c r="LE264" s="16"/>
      <c r="LF264" s="16"/>
      <c r="LI264" s="9"/>
      <c r="LJ264" s="16"/>
      <c r="LK264" s="16"/>
      <c r="LL264" s="16"/>
      <c r="LM264" s="16"/>
      <c r="LN264" s="16"/>
      <c r="LO264" s="16"/>
      <c r="LP264" s="16"/>
      <c r="LQ264" s="16"/>
      <c r="LR264" s="16"/>
      <c r="LS264" s="16"/>
      <c r="LT264" s="16"/>
      <c r="LU264" s="16"/>
      <c r="LV264" s="16"/>
      <c r="LW264" s="16"/>
      <c r="LX264" s="16"/>
      <c r="LY264" s="16"/>
      <c r="LZ264" s="16"/>
      <c r="MA264" s="16"/>
      <c r="MB264" s="16"/>
      <c r="MC264" s="16"/>
      <c r="MD264" s="16"/>
      <c r="MG264" s="9"/>
      <c r="MH264" s="16"/>
      <c r="MI264" s="16"/>
      <c r="MJ264" s="16"/>
      <c r="MK264" s="16"/>
      <c r="ML264" s="16"/>
      <c r="MM264" s="16"/>
      <c r="MN264" s="16"/>
      <c r="MO264" s="16"/>
      <c r="MP264" s="16"/>
      <c r="MQ264" s="16"/>
      <c r="MR264" s="16"/>
      <c r="MS264" s="16"/>
      <c r="MT264" s="16"/>
      <c r="MU264" s="16"/>
      <c r="MV264" s="16"/>
      <c r="MW264" s="16"/>
      <c r="MX264" s="16"/>
      <c r="MY264" s="16"/>
      <c r="MZ264" s="16"/>
      <c r="NA264" s="16"/>
      <c r="NB264" s="16"/>
      <c r="NE264" s="9"/>
      <c r="NF264" s="16"/>
      <c r="NG264" s="16"/>
      <c r="NH264" s="16"/>
      <c r="NI264" s="16"/>
      <c r="NJ264" s="16"/>
      <c r="NK264" s="16"/>
      <c r="NL264" s="16"/>
      <c r="NM264" s="16"/>
      <c r="NN264" s="16"/>
      <c r="NO264" s="16"/>
      <c r="NP264" s="16"/>
      <c r="NQ264" s="16"/>
      <c r="NR264" s="16"/>
      <c r="NS264" s="16"/>
      <c r="NT264" s="16"/>
      <c r="NU264" s="16"/>
      <c r="NV264" s="16"/>
      <c r="NW264" s="16"/>
      <c r="NX264" s="16"/>
      <c r="NY264" s="16"/>
      <c r="NZ264" s="16"/>
      <c r="OC264" s="9"/>
      <c r="OD264" s="16"/>
      <c r="OE264" s="16"/>
      <c r="OF264" s="16"/>
      <c r="OG264" s="16"/>
      <c r="OH264" s="16"/>
      <c r="OI264" s="16"/>
      <c r="OJ264" s="16"/>
      <c r="OK264" s="16"/>
      <c r="OL264" s="16"/>
      <c r="OM264" s="16"/>
      <c r="ON264" s="16"/>
      <c r="OO264" s="16"/>
      <c r="OP264" s="16"/>
      <c r="OQ264" s="16"/>
      <c r="OR264" s="16"/>
      <c r="OS264" s="16"/>
      <c r="OT264" s="16"/>
      <c r="OU264" s="16"/>
      <c r="OV264" s="16"/>
      <c r="OW264" s="16"/>
      <c r="OX264" s="16"/>
      <c r="PA264" s="9"/>
      <c r="PB264" s="16"/>
      <c r="PC264" s="16"/>
      <c r="PD264" s="16"/>
      <c r="PE264" s="16"/>
      <c r="PF264" s="16"/>
      <c r="PG264" s="16"/>
      <c r="PH264" s="16"/>
      <c r="PI264" s="16"/>
      <c r="PJ264" s="16"/>
      <c r="PK264" s="16"/>
      <c r="PL264" s="16"/>
      <c r="PM264" s="16"/>
      <c r="PN264" s="16"/>
      <c r="PO264" s="16"/>
      <c r="PP264" s="16"/>
      <c r="PQ264" s="16"/>
      <c r="PR264" s="16"/>
      <c r="PS264" s="16"/>
      <c r="PT264" s="16"/>
      <c r="PU264" s="16"/>
      <c r="PV264" s="16"/>
    </row>
    <row r="265" spans="3:438" x14ac:dyDescent="0.25">
      <c r="I265" s="9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G265" s="9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E265" s="9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C265" s="9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DA265" s="9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Y265" s="9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W265" s="9"/>
      <c r="EX265" s="16"/>
      <c r="EY265" s="16"/>
      <c r="EZ265" s="16"/>
      <c r="FA265" s="16"/>
      <c r="FB265" s="16"/>
      <c r="FC265" s="16"/>
      <c r="FD265" s="16"/>
      <c r="FE265" s="16"/>
      <c r="FF265" s="16"/>
      <c r="FG265" s="16"/>
      <c r="FH265" s="16"/>
      <c r="FI265" s="16"/>
      <c r="FJ265" s="16"/>
      <c r="FK265" s="16"/>
      <c r="FL265" s="16"/>
      <c r="FM265" s="16"/>
      <c r="FN265" s="16"/>
      <c r="FO265" s="16"/>
      <c r="FP265" s="16"/>
      <c r="FQ265" s="16"/>
      <c r="FR265" s="16"/>
      <c r="FU265" s="9"/>
      <c r="FV265" s="16"/>
      <c r="FW265" s="16"/>
      <c r="FX265" s="16"/>
      <c r="FY265" s="16"/>
      <c r="FZ265" s="16"/>
      <c r="GA265" s="16"/>
      <c r="GB265" s="16"/>
      <c r="GC265" s="16"/>
      <c r="GD265" s="16"/>
      <c r="GE265" s="16"/>
      <c r="GF265" s="16"/>
      <c r="GG265" s="16"/>
      <c r="GH265" s="16"/>
      <c r="GI265" s="16"/>
      <c r="GJ265" s="16"/>
      <c r="GK265" s="16"/>
      <c r="GL265" s="16"/>
      <c r="GM265" s="16"/>
      <c r="GN265" s="16"/>
      <c r="GO265" s="16"/>
      <c r="GP265" s="16"/>
      <c r="GS265" s="9"/>
      <c r="GT265" s="16"/>
      <c r="GU265" s="16"/>
      <c r="GV265" s="16"/>
      <c r="GW265" s="16"/>
      <c r="GX265" s="16"/>
      <c r="GY265" s="16"/>
      <c r="GZ265" s="16"/>
      <c r="HA265" s="16"/>
      <c r="HB265" s="16"/>
      <c r="HC265" s="16"/>
      <c r="HD265" s="16"/>
      <c r="HE265" s="16"/>
      <c r="HF265" s="16"/>
      <c r="HG265" s="16"/>
      <c r="HH265" s="16"/>
      <c r="HI265" s="16"/>
      <c r="HJ265" s="16"/>
      <c r="HK265" s="16"/>
      <c r="HL265" s="16"/>
      <c r="HM265" s="16"/>
      <c r="HN265" s="16"/>
      <c r="HQ265" s="9"/>
      <c r="HR265" s="16"/>
      <c r="HS265" s="16"/>
      <c r="HT265" s="16"/>
      <c r="HU265" s="16"/>
      <c r="HV265" s="16"/>
      <c r="HW265" s="16"/>
      <c r="HX265" s="16"/>
      <c r="HY265" s="16"/>
      <c r="HZ265" s="16"/>
      <c r="IA265" s="16"/>
      <c r="IB265" s="16"/>
      <c r="IC265" s="16"/>
      <c r="ID265" s="16"/>
      <c r="IE265" s="16"/>
      <c r="IF265" s="16"/>
      <c r="IG265" s="16"/>
      <c r="IH265" s="16"/>
      <c r="II265" s="16"/>
      <c r="IJ265" s="16"/>
      <c r="IK265" s="16"/>
      <c r="IL265" s="16"/>
      <c r="IO265" s="9"/>
      <c r="IP265" s="16"/>
      <c r="IQ265" s="16"/>
      <c r="IR265" s="16"/>
      <c r="IS265" s="16"/>
      <c r="IT265" s="16"/>
      <c r="IU265" s="16"/>
      <c r="IV265" s="16"/>
      <c r="IW265" s="16"/>
      <c r="IX265" s="16"/>
      <c r="IY265" s="16"/>
      <c r="IZ265" s="16"/>
      <c r="JA265" s="16"/>
      <c r="JB265" s="16"/>
      <c r="JC265" s="16"/>
      <c r="JD265" s="16"/>
      <c r="JE265" s="16"/>
      <c r="JF265" s="16"/>
      <c r="JG265" s="16"/>
      <c r="JH265" s="16"/>
      <c r="JI265" s="16"/>
      <c r="JJ265" s="16"/>
      <c r="JM265" s="9"/>
      <c r="JN265" s="16"/>
      <c r="JO265" s="16"/>
      <c r="JP265" s="16"/>
      <c r="JQ265" s="16"/>
      <c r="JR265" s="16"/>
      <c r="JS265" s="16"/>
      <c r="JT265" s="16"/>
      <c r="JU265" s="16"/>
      <c r="JV265" s="16"/>
      <c r="JW265" s="16"/>
      <c r="JX265" s="16"/>
      <c r="JY265" s="16"/>
      <c r="JZ265" s="16"/>
      <c r="KA265" s="16"/>
      <c r="KB265" s="16"/>
      <c r="KC265" s="16"/>
      <c r="KD265" s="16"/>
      <c r="KE265" s="16"/>
      <c r="KF265" s="16"/>
      <c r="KG265" s="16"/>
      <c r="KH265" s="16"/>
      <c r="KK265" s="9"/>
      <c r="KL265" s="16"/>
      <c r="KM265" s="16"/>
      <c r="KN265" s="16"/>
      <c r="KO265" s="16"/>
      <c r="KP265" s="16"/>
      <c r="KQ265" s="16"/>
      <c r="KR265" s="16"/>
      <c r="KS265" s="16"/>
      <c r="KT265" s="16"/>
      <c r="KU265" s="16"/>
      <c r="KV265" s="16"/>
      <c r="KW265" s="16"/>
      <c r="KX265" s="16"/>
      <c r="KY265" s="16"/>
      <c r="KZ265" s="16"/>
      <c r="LA265" s="16"/>
      <c r="LB265" s="16"/>
      <c r="LC265" s="16"/>
      <c r="LD265" s="16"/>
      <c r="LE265" s="16"/>
      <c r="LF265" s="16"/>
      <c r="LI265" s="9"/>
      <c r="LJ265" s="16"/>
      <c r="LK265" s="16"/>
      <c r="LL265" s="16"/>
      <c r="LM265" s="16"/>
      <c r="LN265" s="16"/>
      <c r="LO265" s="16"/>
      <c r="LP265" s="16"/>
      <c r="LQ265" s="16"/>
      <c r="LR265" s="16"/>
      <c r="LS265" s="16"/>
      <c r="LT265" s="16"/>
      <c r="LU265" s="16"/>
      <c r="LV265" s="16"/>
      <c r="LW265" s="16"/>
      <c r="LX265" s="16"/>
      <c r="LY265" s="16"/>
      <c r="LZ265" s="16"/>
      <c r="MA265" s="16"/>
      <c r="MB265" s="16"/>
      <c r="MC265" s="16"/>
      <c r="MD265" s="16"/>
      <c r="MG265" s="9"/>
      <c r="MH265" s="16"/>
      <c r="MI265" s="16"/>
      <c r="MJ265" s="16"/>
      <c r="MK265" s="16"/>
      <c r="ML265" s="16"/>
      <c r="MM265" s="16"/>
      <c r="MN265" s="16"/>
      <c r="MO265" s="16"/>
      <c r="MP265" s="16"/>
      <c r="MQ265" s="16"/>
      <c r="MR265" s="16"/>
      <c r="MS265" s="16"/>
      <c r="MT265" s="16"/>
      <c r="MU265" s="16"/>
      <c r="MV265" s="16"/>
      <c r="MW265" s="16"/>
      <c r="MX265" s="16"/>
      <c r="MY265" s="16"/>
      <c r="MZ265" s="16"/>
      <c r="NA265" s="16"/>
      <c r="NB265" s="16"/>
      <c r="NE265" s="9"/>
      <c r="NF265" s="16"/>
      <c r="NG265" s="16"/>
      <c r="NH265" s="16"/>
      <c r="NI265" s="16"/>
      <c r="NJ265" s="16"/>
      <c r="NK265" s="16"/>
      <c r="NL265" s="16"/>
      <c r="NM265" s="16"/>
      <c r="NN265" s="16"/>
      <c r="NO265" s="16"/>
      <c r="NP265" s="16"/>
      <c r="NQ265" s="16"/>
      <c r="NR265" s="16"/>
      <c r="NS265" s="16"/>
      <c r="NT265" s="16"/>
      <c r="NU265" s="16"/>
      <c r="NV265" s="16"/>
      <c r="NW265" s="16"/>
      <c r="NX265" s="16"/>
      <c r="NY265" s="16"/>
      <c r="NZ265" s="16"/>
      <c r="OC265" s="9"/>
      <c r="OD265" s="16"/>
      <c r="OE265" s="16"/>
      <c r="OF265" s="16"/>
      <c r="OG265" s="16"/>
      <c r="OH265" s="16"/>
      <c r="OI265" s="16"/>
      <c r="OJ265" s="16"/>
      <c r="OK265" s="16"/>
      <c r="OL265" s="16"/>
      <c r="OM265" s="16"/>
      <c r="ON265" s="16"/>
      <c r="OO265" s="16"/>
      <c r="OP265" s="16"/>
      <c r="OQ265" s="16"/>
      <c r="OR265" s="16"/>
      <c r="OS265" s="16"/>
      <c r="OT265" s="16"/>
      <c r="OU265" s="16"/>
      <c r="OV265" s="16"/>
      <c r="OW265" s="16"/>
      <c r="OX265" s="16"/>
      <c r="PA265" s="9"/>
      <c r="PB265" s="16"/>
      <c r="PC265" s="16"/>
      <c r="PD265" s="16"/>
      <c r="PE265" s="16"/>
      <c r="PF265" s="16"/>
      <c r="PG265" s="16"/>
      <c r="PH265" s="16"/>
      <c r="PI265" s="16"/>
      <c r="PJ265" s="16"/>
      <c r="PK265" s="16"/>
      <c r="PL265" s="16"/>
      <c r="PM265" s="16"/>
      <c r="PN265" s="16"/>
      <c r="PO265" s="16"/>
      <c r="PP265" s="16"/>
      <c r="PQ265" s="16"/>
      <c r="PR265" s="16"/>
      <c r="PS265" s="16"/>
      <c r="PT265" s="16"/>
      <c r="PU265" s="16"/>
      <c r="PV265" s="16"/>
    </row>
    <row r="266" spans="3:438" x14ac:dyDescent="0.25">
      <c r="I266" s="9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G266" s="9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E266" s="9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C266" s="9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DA266" s="9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Y266" s="9"/>
      <c r="DZ266" s="16"/>
      <c r="EA266" s="16"/>
      <c r="EB266" s="16"/>
      <c r="EC266" s="16"/>
      <c r="ED266" s="16"/>
      <c r="EE266" s="16"/>
      <c r="EF266" s="16"/>
      <c r="EG266" s="16"/>
      <c r="EH266" s="16"/>
      <c r="EI266" s="16"/>
      <c r="EJ266" s="16"/>
      <c r="EK266" s="16"/>
      <c r="EL266" s="16"/>
      <c r="EM266" s="16"/>
      <c r="EN266" s="16"/>
      <c r="EO266" s="16"/>
      <c r="EP266" s="16"/>
      <c r="EQ266" s="16"/>
      <c r="ER266" s="16"/>
      <c r="ES266" s="16"/>
      <c r="ET266" s="16"/>
      <c r="EW266" s="9"/>
      <c r="EX266" s="16"/>
      <c r="EY266" s="16"/>
      <c r="EZ266" s="16"/>
      <c r="FA266" s="16"/>
      <c r="FB266" s="16"/>
      <c r="FC266" s="16"/>
      <c r="FD266" s="16"/>
      <c r="FE266" s="16"/>
      <c r="FF266" s="16"/>
      <c r="FG266" s="16"/>
      <c r="FH266" s="16"/>
      <c r="FI266" s="16"/>
      <c r="FJ266" s="16"/>
      <c r="FK266" s="16"/>
      <c r="FL266" s="16"/>
      <c r="FM266" s="16"/>
      <c r="FN266" s="16"/>
      <c r="FO266" s="16"/>
      <c r="FP266" s="16"/>
      <c r="FQ266" s="16"/>
      <c r="FR266" s="16"/>
      <c r="FU266" s="9"/>
      <c r="FV266" s="16"/>
      <c r="FW266" s="16"/>
      <c r="FX266" s="16"/>
      <c r="FY266" s="16"/>
      <c r="FZ266" s="16"/>
      <c r="GA266" s="16"/>
      <c r="GB266" s="16"/>
      <c r="GC266" s="16"/>
      <c r="GD266" s="16"/>
      <c r="GE266" s="16"/>
      <c r="GF266" s="16"/>
      <c r="GG266" s="16"/>
      <c r="GH266" s="16"/>
      <c r="GI266" s="16"/>
      <c r="GJ266" s="16"/>
      <c r="GK266" s="16"/>
      <c r="GL266" s="16"/>
      <c r="GM266" s="16"/>
      <c r="GN266" s="16"/>
      <c r="GO266" s="16"/>
      <c r="GP266" s="16"/>
      <c r="GS266" s="9"/>
      <c r="GT266" s="16"/>
      <c r="GU266" s="16"/>
      <c r="GV266" s="16"/>
      <c r="GW266" s="16"/>
      <c r="GX266" s="16"/>
      <c r="GY266" s="16"/>
      <c r="GZ266" s="16"/>
      <c r="HA266" s="16"/>
      <c r="HB266" s="16"/>
      <c r="HC266" s="16"/>
      <c r="HD266" s="16"/>
      <c r="HE266" s="16"/>
      <c r="HF266" s="16"/>
      <c r="HG266" s="16"/>
      <c r="HH266" s="16"/>
      <c r="HI266" s="16"/>
      <c r="HJ266" s="16"/>
      <c r="HK266" s="16"/>
      <c r="HL266" s="16"/>
      <c r="HM266" s="16"/>
      <c r="HN266" s="16"/>
      <c r="HQ266" s="9"/>
      <c r="HR266" s="16"/>
      <c r="HS266" s="16"/>
      <c r="HT266" s="16"/>
      <c r="HU266" s="16"/>
      <c r="HV266" s="16"/>
      <c r="HW266" s="16"/>
      <c r="HX266" s="16"/>
      <c r="HY266" s="16"/>
      <c r="HZ266" s="16"/>
      <c r="IA266" s="16"/>
      <c r="IB266" s="16"/>
      <c r="IC266" s="16"/>
      <c r="ID266" s="16"/>
      <c r="IE266" s="16"/>
      <c r="IF266" s="16"/>
      <c r="IG266" s="16"/>
      <c r="IH266" s="16"/>
      <c r="II266" s="16"/>
      <c r="IJ266" s="16"/>
      <c r="IK266" s="16"/>
      <c r="IL266" s="16"/>
      <c r="IO266" s="9"/>
      <c r="IP266" s="16"/>
      <c r="IQ266" s="16"/>
      <c r="IR266" s="16"/>
      <c r="IS266" s="16"/>
      <c r="IT266" s="16"/>
      <c r="IU266" s="16"/>
      <c r="IV266" s="16"/>
      <c r="IW266" s="16"/>
      <c r="IX266" s="16"/>
      <c r="IY266" s="16"/>
      <c r="IZ266" s="16"/>
      <c r="JA266" s="16"/>
      <c r="JB266" s="16"/>
      <c r="JC266" s="16"/>
      <c r="JD266" s="16"/>
      <c r="JE266" s="16"/>
      <c r="JF266" s="16"/>
      <c r="JG266" s="16"/>
      <c r="JH266" s="16"/>
      <c r="JI266" s="16"/>
      <c r="JJ266" s="16"/>
      <c r="JM266" s="9"/>
      <c r="JN266" s="16"/>
      <c r="JO266" s="16"/>
      <c r="JP266" s="16"/>
      <c r="JQ266" s="16"/>
      <c r="JR266" s="16"/>
      <c r="JS266" s="16"/>
      <c r="JT266" s="16"/>
      <c r="JU266" s="16"/>
      <c r="JV266" s="16"/>
      <c r="JW266" s="16"/>
      <c r="JX266" s="16"/>
      <c r="JY266" s="16"/>
      <c r="JZ266" s="16"/>
      <c r="KA266" s="16"/>
      <c r="KB266" s="16"/>
      <c r="KC266" s="16"/>
      <c r="KD266" s="16"/>
      <c r="KE266" s="16"/>
      <c r="KF266" s="16"/>
      <c r="KG266" s="16"/>
      <c r="KH266" s="16"/>
      <c r="KK266" s="9"/>
      <c r="KL266" s="16"/>
      <c r="KM266" s="16"/>
      <c r="KN266" s="16"/>
      <c r="KO266" s="16"/>
      <c r="KP266" s="16"/>
      <c r="KQ266" s="16"/>
      <c r="KR266" s="16"/>
      <c r="KS266" s="16"/>
      <c r="KT266" s="16"/>
      <c r="KU266" s="16"/>
      <c r="KV266" s="16"/>
      <c r="KW266" s="16"/>
      <c r="KX266" s="16"/>
      <c r="KY266" s="16"/>
      <c r="KZ266" s="16"/>
      <c r="LA266" s="16"/>
      <c r="LB266" s="16"/>
      <c r="LC266" s="16"/>
      <c r="LD266" s="16"/>
      <c r="LE266" s="16"/>
      <c r="LF266" s="16"/>
      <c r="LI266" s="9"/>
      <c r="LJ266" s="16"/>
      <c r="LK266" s="16"/>
      <c r="LL266" s="16"/>
      <c r="LM266" s="16"/>
      <c r="LN266" s="16"/>
      <c r="LO266" s="16"/>
      <c r="LP266" s="16"/>
      <c r="LQ266" s="16"/>
      <c r="LR266" s="16"/>
      <c r="LS266" s="16"/>
      <c r="LT266" s="16"/>
      <c r="LU266" s="16"/>
      <c r="LV266" s="16"/>
      <c r="LW266" s="16"/>
      <c r="LX266" s="16"/>
      <c r="LY266" s="16"/>
      <c r="LZ266" s="16"/>
      <c r="MA266" s="16"/>
      <c r="MB266" s="16"/>
      <c r="MC266" s="16"/>
      <c r="MD266" s="16"/>
      <c r="MG266" s="9"/>
      <c r="MH266" s="16"/>
      <c r="MI266" s="16"/>
      <c r="MJ266" s="16"/>
      <c r="MK266" s="16"/>
      <c r="ML266" s="16"/>
      <c r="MM266" s="16"/>
      <c r="MN266" s="16"/>
      <c r="MO266" s="16"/>
      <c r="MP266" s="16"/>
      <c r="MQ266" s="16"/>
      <c r="MR266" s="16"/>
      <c r="MS266" s="16"/>
      <c r="MT266" s="16"/>
      <c r="MU266" s="16"/>
      <c r="MV266" s="16"/>
      <c r="MW266" s="16"/>
      <c r="MX266" s="16"/>
      <c r="MY266" s="16"/>
      <c r="MZ266" s="16"/>
      <c r="NA266" s="16"/>
      <c r="NB266" s="16"/>
      <c r="NE266" s="9"/>
      <c r="NF266" s="16"/>
      <c r="NG266" s="16"/>
      <c r="NH266" s="16"/>
      <c r="NI266" s="16"/>
      <c r="NJ266" s="16"/>
      <c r="NK266" s="16"/>
      <c r="NL266" s="16"/>
      <c r="NM266" s="16"/>
      <c r="NN266" s="16"/>
      <c r="NO266" s="16"/>
      <c r="NP266" s="16"/>
      <c r="NQ266" s="16"/>
      <c r="NR266" s="16"/>
      <c r="NS266" s="16"/>
      <c r="NT266" s="16"/>
      <c r="NU266" s="16"/>
      <c r="NV266" s="16"/>
      <c r="NW266" s="16"/>
      <c r="NX266" s="16"/>
      <c r="NY266" s="16"/>
      <c r="NZ266" s="16"/>
      <c r="OC266" s="9"/>
      <c r="OD266" s="16"/>
      <c r="OE266" s="16"/>
      <c r="OF266" s="16"/>
      <c r="OG266" s="16"/>
      <c r="OH266" s="16"/>
      <c r="OI266" s="16"/>
      <c r="OJ266" s="16"/>
      <c r="OK266" s="16"/>
      <c r="OL266" s="16"/>
      <c r="OM266" s="16"/>
      <c r="ON266" s="16"/>
      <c r="OO266" s="16"/>
      <c r="OP266" s="16"/>
      <c r="OQ266" s="16"/>
      <c r="OR266" s="16"/>
      <c r="OS266" s="16"/>
      <c r="OT266" s="16"/>
      <c r="OU266" s="16"/>
      <c r="OV266" s="16"/>
      <c r="OW266" s="16"/>
      <c r="OX266" s="16"/>
      <c r="PA266" s="9"/>
      <c r="PB266" s="16"/>
      <c r="PC266" s="16"/>
      <c r="PD266" s="16"/>
      <c r="PE266" s="16"/>
      <c r="PF266" s="16"/>
      <c r="PG266" s="16"/>
      <c r="PH266" s="16"/>
      <c r="PI266" s="16"/>
      <c r="PJ266" s="16"/>
      <c r="PK266" s="16"/>
      <c r="PL266" s="16"/>
      <c r="PM266" s="16"/>
      <c r="PN266" s="16"/>
      <c r="PO266" s="16"/>
      <c r="PP266" s="16"/>
      <c r="PQ266" s="16"/>
      <c r="PR266" s="16"/>
      <c r="PS266" s="16"/>
      <c r="PT266" s="16"/>
      <c r="PU266" s="16"/>
      <c r="PV266" s="16"/>
    </row>
    <row r="267" spans="3:438" x14ac:dyDescent="0.25">
      <c r="I267" s="9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G267" s="9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E267" s="9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C267" s="9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DA267" s="9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Y267" s="9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W267" s="9"/>
      <c r="EX267" s="16"/>
      <c r="EY267" s="16"/>
      <c r="EZ267" s="16"/>
      <c r="FA267" s="16"/>
      <c r="FB267" s="16"/>
      <c r="FC267" s="16"/>
      <c r="FD267" s="16"/>
      <c r="FE267" s="16"/>
      <c r="FF267" s="16"/>
      <c r="FG267" s="16"/>
      <c r="FH267" s="16"/>
      <c r="FI267" s="16"/>
      <c r="FJ267" s="16"/>
      <c r="FK267" s="16"/>
      <c r="FL267" s="16"/>
      <c r="FM267" s="16"/>
      <c r="FN267" s="16"/>
      <c r="FO267" s="16"/>
      <c r="FP267" s="16"/>
      <c r="FQ267" s="16"/>
      <c r="FR267" s="16"/>
      <c r="FU267" s="9"/>
      <c r="FV267" s="16"/>
      <c r="FW267" s="16"/>
      <c r="FX267" s="16"/>
      <c r="FY267" s="16"/>
      <c r="FZ267" s="16"/>
      <c r="GA267" s="16"/>
      <c r="GB267" s="16"/>
      <c r="GC267" s="16"/>
      <c r="GD267" s="16"/>
      <c r="GE267" s="16"/>
      <c r="GF267" s="16"/>
      <c r="GG267" s="16"/>
      <c r="GH267" s="16"/>
      <c r="GI267" s="16"/>
      <c r="GJ267" s="16"/>
      <c r="GK267" s="16"/>
      <c r="GL267" s="16"/>
      <c r="GM267" s="16"/>
      <c r="GN267" s="16"/>
      <c r="GO267" s="16"/>
      <c r="GP267" s="16"/>
      <c r="GS267" s="9"/>
      <c r="GT267" s="16"/>
      <c r="GU267" s="16"/>
      <c r="GV267" s="16"/>
      <c r="GW267" s="16"/>
      <c r="GX267" s="16"/>
      <c r="GY267" s="16"/>
      <c r="GZ267" s="16"/>
      <c r="HA267" s="16"/>
      <c r="HB267" s="16"/>
      <c r="HC267" s="16"/>
      <c r="HD267" s="16"/>
      <c r="HE267" s="16"/>
      <c r="HF267" s="16"/>
      <c r="HG267" s="16"/>
      <c r="HH267" s="16"/>
      <c r="HI267" s="16"/>
      <c r="HJ267" s="16"/>
      <c r="HK267" s="16"/>
      <c r="HL267" s="16"/>
      <c r="HM267" s="16"/>
      <c r="HN267" s="16"/>
      <c r="HQ267" s="9"/>
      <c r="HR267" s="16"/>
      <c r="HS267" s="16"/>
      <c r="HT267" s="16"/>
      <c r="HU267" s="16"/>
      <c r="HV267" s="16"/>
      <c r="HW267" s="16"/>
      <c r="HX267" s="16"/>
      <c r="HY267" s="16"/>
      <c r="HZ267" s="16"/>
      <c r="IA267" s="16"/>
      <c r="IB267" s="16"/>
      <c r="IC267" s="16"/>
      <c r="ID267" s="16"/>
      <c r="IE267" s="16"/>
      <c r="IF267" s="16"/>
      <c r="IG267" s="16"/>
      <c r="IH267" s="16"/>
      <c r="II267" s="16"/>
      <c r="IJ267" s="16"/>
      <c r="IK267" s="16"/>
      <c r="IL267" s="16"/>
      <c r="IO267" s="9"/>
      <c r="IP267" s="16"/>
      <c r="IQ267" s="16"/>
      <c r="IR267" s="16"/>
      <c r="IS267" s="16"/>
      <c r="IT267" s="16"/>
      <c r="IU267" s="16"/>
      <c r="IV267" s="16"/>
      <c r="IW267" s="16"/>
      <c r="IX267" s="16"/>
      <c r="IY267" s="16"/>
      <c r="IZ267" s="16"/>
      <c r="JA267" s="16"/>
      <c r="JB267" s="16"/>
      <c r="JC267" s="16"/>
      <c r="JD267" s="16"/>
      <c r="JE267" s="16"/>
      <c r="JF267" s="16"/>
      <c r="JG267" s="16"/>
      <c r="JH267" s="16"/>
      <c r="JI267" s="16"/>
      <c r="JJ267" s="16"/>
      <c r="JM267" s="9"/>
      <c r="JN267" s="16"/>
      <c r="JO267" s="16"/>
      <c r="JP267" s="16"/>
      <c r="JQ267" s="16"/>
      <c r="JR267" s="16"/>
      <c r="JS267" s="16"/>
      <c r="JT267" s="16"/>
      <c r="JU267" s="16"/>
      <c r="JV267" s="16"/>
      <c r="JW267" s="16"/>
      <c r="JX267" s="16"/>
      <c r="JY267" s="16"/>
      <c r="JZ267" s="16"/>
      <c r="KA267" s="16"/>
      <c r="KB267" s="16"/>
      <c r="KC267" s="16"/>
      <c r="KD267" s="16"/>
      <c r="KE267" s="16"/>
      <c r="KF267" s="16"/>
      <c r="KG267" s="16"/>
      <c r="KH267" s="16"/>
      <c r="KK267" s="9"/>
      <c r="KL267" s="16"/>
      <c r="KM267" s="16"/>
      <c r="KN267" s="16"/>
      <c r="KO267" s="16"/>
      <c r="KP267" s="16"/>
      <c r="KQ267" s="16"/>
      <c r="KR267" s="16"/>
      <c r="KS267" s="16"/>
      <c r="KT267" s="16"/>
      <c r="KU267" s="16"/>
      <c r="KV267" s="16"/>
      <c r="KW267" s="16"/>
      <c r="KX267" s="16"/>
      <c r="KY267" s="16"/>
      <c r="KZ267" s="16"/>
      <c r="LA267" s="16"/>
      <c r="LB267" s="16"/>
      <c r="LC267" s="16"/>
      <c r="LD267" s="16"/>
      <c r="LE267" s="16"/>
      <c r="LF267" s="16"/>
      <c r="LI267" s="9"/>
      <c r="LJ267" s="16"/>
      <c r="LK267" s="16"/>
      <c r="LL267" s="16"/>
      <c r="LM267" s="16"/>
      <c r="LN267" s="16"/>
      <c r="LO267" s="16"/>
      <c r="LP267" s="16"/>
      <c r="LQ267" s="16"/>
      <c r="LR267" s="16"/>
      <c r="LS267" s="16"/>
      <c r="LT267" s="16"/>
      <c r="LU267" s="16"/>
      <c r="LV267" s="16"/>
      <c r="LW267" s="16"/>
      <c r="LX267" s="16"/>
      <c r="LY267" s="16"/>
      <c r="LZ267" s="16"/>
      <c r="MA267" s="16"/>
      <c r="MB267" s="16"/>
      <c r="MC267" s="16"/>
      <c r="MD267" s="16"/>
      <c r="MG267" s="9"/>
      <c r="MH267" s="16"/>
      <c r="MI267" s="16"/>
      <c r="MJ267" s="16"/>
      <c r="MK267" s="16"/>
      <c r="ML267" s="16"/>
      <c r="MM267" s="16"/>
      <c r="MN267" s="16"/>
      <c r="MO267" s="16"/>
      <c r="MP267" s="16"/>
      <c r="MQ267" s="16"/>
      <c r="MR267" s="16"/>
      <c r="MS267" s="16"/>
      <c r="MT267" s="16"/>
      <c r="MU267" s="16"/>
      <c r="MV267" s="16"/>
      <c r="MW267" s="16"/>
      <c r="MX267" s="16"/>
      <c r="MY267" s="16"/>
      <c r="MZ267" s="16"/>
      <c r="NA267" s="16"/>
      <c r="NB267" s="16"/>
      <c r="NE267" s="9"/>
      <c r="NF267" s="16"/>
      <c r="NG267" s="16"/>
      <c r="NH267" s="16"/>
      <c r="NI267" s="16"/>
      <c r="NJ267" s="16"/>
      <c r="NK267" s="16"/>
      <c r="NL267" s="16"/>
      <c r="NM267" s="16"/>
      <c r="NN267" s="16"/>
      <c r="NO267" s="16"/>
      <c r="NP267" s="16"/>
      <c r="NQ267" s="16"/>
      <c r="NR267" s="16"/>
      <c r="NS267" s="16"/>
      <c r="NT267" s="16"/>
      <c r="NU267" s="16"/>
      <c r="NV267" s="16"/>
      <c r="NW267" s="16"/>
      <c r="NX267" s="16"/>
      <c r="NY267" s="16"/>
      <c r="NZ267" s="16"/>
      <c r="OC267" s="9"/>
      <c r="OD267" s="16"/>
      <c r="OE267" s="16"/>
      <c r="OF267" s="16"/>
      <c r="OG267" s="16"/>
      <c r="OH267" s="16"/>
      <c r="OI267" s="16"/>
      <c r="OJ267" s="16"/>
      <c r="OK267" s="16"/>
      <c r="OL267" s="16"/>
      <c r="OM267" s="16"/>
      <c r="ON267" s="16"/>
      <c r="OO267" s="16"/>
      <c r="OP267" s="16"/>
      <c r="OQ267" s="16"/>
      <c r="OR267" s="16"/>
      <c r="OS267" s="16"/>
      <c r="OT267" s="16"/>
      <c r="OU267" s="16"/>
      <c r="OV267" s="16"/>
      <c r="OW267" s="16"/>
      <c r="OX267" s="16"/>
      <c r="PA267" s="9"/>
      <c r="PB267" s="16"/>
      <c r="PC267" s="16"/>
      <c r="PD267" s="16"/>
      <c r="PE267" s="16"/>
      <c r="PF267" s="16"/>
      <c r="PG267" s="16"/>
      <c r="PH267" s="16"/>
      <c r="PI267" s="16"/>
      <c r="PJ267" s="16"/>
      <c r="PK267" s="16"/>
      <c r="PL267" s="16"/>
      <c r="PM267" s="16"/>
      <c r="PN267" s="16"/>
      <c r="PO267" s="16"/>
      <c r="PP267" s="16"/>
      <c r="PQ267" s="16"/>
      <c r="PR267" s="16"/>
      <c r="PS267" s="16"/>
      <c r="PT267" s="16"/>
      <c r="PU267" s="16"/>
      <c r="PV267" s="16"/>
    </row>
    <row r="268" spans="3:438" x14ac:dyDescent="0.25">
      <c r="I268" s="9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G268" s="9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E268" s="9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C268" s="9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DA268" s="9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Y268" s="9"/>
      <c r="DZ268" s="16"/>
      <c r="EA268" s="16"/>
      <c r="EB268" s="16"/>
      <c r="EC268" s="16"/>
      <c r="ED268" s="16"/>
      <c r="EE268" s="16"/>
      <c r="EF268" s="16"/>
      <c r="EG268" s="16"/>
      <c r="EH268" s="16"/>
      <c r="EI268" s="16"/>
      <c r="EJ268" s="16"/>
      <c r="EK268" s="16"/>
      <c r="EL268" s="16"/>
      <c r="EM268" s="16"/>
      <c r="EN268" s="16"/>
      <c r="EO268" s="16"/>
      <c r="EP268" s="16"/>
      <c r="EQ268" s="16"/>
      <c r="ER268" s="16"/>
      <c r="ES268" s="16"/>
      <c r="ET268" s="16"/>
      <c r="EW268" s="9"/>
      <c r="EX268" s="16"/>
      <c r="EY268" s="16"/>
      <c r="EZ268" s="16"/>
      <c r="FA268" s="16"/>
      <c r="FB268" s="16"/>
      <c r="FC268" s="16"/>
      <c r="FD268" s="16"/>
      <c r="FE268" s="16"/>
      <c r="FF268" s="16"/>
      <c r="FG268" s="16"/>
      <c r="FH268" s="16"/>
      <c r="FI268" s="16"/>
      <c r="FJ268" s="16"/>
      <c r="FK268" s="16"/>
      <c r="FL268" s="16"/>
      <c r="FM268" s="16"/>
      <c r="FN268" s="16"/>
      <c r="FO268" s="16"/>
      <c r="FP268" s="16"/>
      <c r="FQ268" s="16"/>
      <c r="FR268" s="16"/>
      <c r="FU268" s="9"/>
      <c r="FV268" s="16"/>
      <c r="FW268" s="16"/>
      <c r="FX268" s="16"/>
      <c r="FY268" s="16"/>
      <c r="FZ268" s="16"/>
      <c r="GA268" s="16"/>
      <c r="GB268" s="16"/>
      <c r="GC268" s="16"/>
      <c r="GD268" s="16"/>
      <c r="GE268" s="16"/>
      <c r="GF268" s="16"/>
      <c r="GG268" s="16"/>
      <c r="GH268" s="16"/>
      <c r="GI268" s="16"/>
      <c r="GJ268" s="16"/>
      <c r="GK268" s="16"/>
      <c r="GL268" s="16"/>
      <c r="GM268" s="16"/>
      <c r="GN268" s="16"/>
      <c r="GO268" s="16"/>
      <c r="GP268" s="16"/>
      <c r="GS268" s="9"/>
      <c r="GT268" s="16"/>
      <c r="GU268" s="16"/>
      <c r="GV268" s="16"/>
      <c r="GW268" s="16"/>
      <c r="GX268" s="16"/>
      <c r="GY268" s="16"/>
      <c r="GZ268" s="16"/>
      <c r="HA268" s="16"/>
      <c r="HB268" s="16"/>
      <c r="HC268" s="16"/>
      <c r="HD268" s="16"/>
      <c r="HE268" s="16"/>
      <c r="HF268" s="16"/>
      <c r="HG268" s="16"/>
      <c r="HH268" s="16"/>
      <c r="HI268" s="16"/>
      <c r="HJ268" s="16"/>
      <c r="HK268" s="16"/>
      <c r="HL268" s="16"/>
      <c r="HM268" s="16"/>
      <c r="HN268" s="16"/>
      <c r="HQ268" s="9"/>
      <c r="HR268" s="16"/>
      <c r="HS268" s="16"/>
      <c r="HT268" s="16"/>
      <c r="HU268" s="16"/>
      <c r="HV268" s="16"/>
      <c r="HW268" s="16"/>
      <c r="HX268" s="16"/>
      <c r="HY268" s="16"/>
      <c r="HZ268" s="16"/>
      <c r="IA268" s="16"/>
      <c r="IB268" s="16"/>
      <c r="IC268" s="16"/>
      <c r="ID268" s="16"/>
      <c r="IE268" s="16"/>
      <c r="IF268" s="16"/>
      <c r="IG268" s="16"/>
      <c r="IH268" s="16"/>
      <c r="II268" s="16"/>
      <c r="IJ268" s="16"/>
      <c r="IK268" s="16"/>
      <c r="IL268" s="16"/>
      <c r="IO268" s="9"/>
      <c r="IP268" s="16"/>
      <c r="IQ268" s="16"/>
      <c r="IR268" s="16"/>
      <c r="IS268" s="16"/>
      <c r="IT268" s="16"/>
      <c r="IU268" s="16"/>
      <c r="IV268" s="16"/>
      <c r="IW268" s="16"/>
      <c r="IX268" s="16"/>
      <c r="IY268" s="16"/>
      <c r="IZ268" s="16"/>
      <c r="JA268" s="16"/>
      <c r="JB268" s="16"/>
      <c r="JC268" s="16"/>
      <c r="JD268" s="16"/>
      <c r="JE268" s="16"/>
      <c r="JF268" s="16"/>
      <c r="JG268" s="16"/>
      <c r="JH268" s="16"/>
      <c r="JI268" s="16"/>
      <c r="JJ268" s="16"/>
      <c r="JM268" s="9"/>
      <c r="JN268" s="16"/>
      <c r="JO268" s="16"/>
      <c r="JP268" s="16"/>
      <c r="JQ268" s="16"/>
      <c r="JR268" s="16"/>
      <c r="JS268" s="16"/>
      <c r="JT268" s="16"/>
      <c r="JU268" s="16"/>
      <c r="JV268" s="16"/>
      <c r="JW268" s="16"/>
      <c r="JX268" s="16"/>
      <c r="JY268" s="16"/>
      <c r="JZ268" s="16"/>
      <c r="KA268" s="16"/>
      <c r="KB268" s="16"/>
      <c r="KC268" s="16"/>
      <c r="KD268" s="16"/>
      <c r="KE268" s="16"/>
      <c r="KF268" s="16"/>
      <c r="KG268" s="16"/>
      <c r="KH268" s="16"/>
      <c r="KK268" s="9"/>
      <c r="KL268" s="16"/>
      <c r="KM268" s="16"/>
      <c r="KN268" s="16"/>
      <c r="KO268" s="16"/>
      <c r="KP268" s="16"/>
      <c r="KQ268" s="16"/>
      <c r="KR268" s="16"/>
      <c r="KS268" s="16"/>
      <c r="KT268" s="16"/>
      <c r="KU268" s="16"/>
      <c r="KV268" s="16"/>
      <c r="KW268" s="16"/>
      <c r="KX268" s="16"/>
      <c r="KY268" s="16"/>
      <c r="KZ268" s="16"/>
      <c r="LA268" s="16"/>
      <c r="LB268" s="16"/>
      <c r="LC268" s="16"/>
      <c r="LD268" s="16"/>
      <c r="LE268" s="16"/>
      <c r="LF268" s="16"/>
      <c r="LI268" s="9"/>
      <c r="LJ268" s="16"/>
      <c r="LK268" s="16"/>
      <c r="LL268" s="16"/>
      <c r="LM268" s="16"/>
      <c r="LN268" s="16"/>
      <c r="LO268" s="16"/>
      <c r="LP268" s="16"/>
      <c r="LQ268" s="16"/>
      <c r="LR268" s="16"/>
      <c r="LS268" s="16"/>
      <c r="LT268" s="16"/>
      <c r="LU268" s="16"/>
      <c r="LV268" s="16"/>
      <c r="LW268" s="16"/>
      <c r="LX268" s="16"/>
      <c r="LY268" s="16"/>
      <c r="LZ268" s="16"/>
      <c r="MA268" s="16"/>
      <c r="MB268" s="16"/>
      <c r="MC268" s="16"/>
      <c r="MD268" s="16"/>
      <c r="MG268" s="9"/>
      <c r="MH268" s="16"/>
      <c r="MI268" s="16"/>
      <c r="MJ268" s="16"/>
      <c r="MK268" s="16"/>
      <c r="ML268" s="16"/>
      <c r="MM268" s="16"/>
      <c r="MN268" s="16"/>
      <c r="MO268" s="16"/>
      <c r="MP268" s="16"/>
      <c r="MQ268" s="16"/>
      <c r="MR268" s="16"/>
      <c r="MS268" s="16"/>
      <c r="MT268" s="16"/>
      <c r="MU268" s="16"/>
      <c r="MV268" s="16"/>
      <c r="MW268" s="16"/>
      <c r="MX268" s="16"/>
      <c r="MY268" s="16"/>
      <c r="MZ268" s="16"/>
      <c r="NA268" s="16"/>
      <c r="NB268" s="16"/>
      <c r="NE268" s="9"/>
      <c r="NF268" s="16"/>
      <c r="NG268" s="16"/>
      <c r="NH268" s="16"/>
      <c r="NI268" s="16"/>
      <c r="NJ268" s="16"/>
      <c r="NK268" s="16"/>
      <c r="NL268" s="16"/>
      <c r="NM268" s="16"/>
      <c r="NN268" s="16"/>
      <c r="NO268" s="16"/>
      <c r="NP268" s="16"/>
      <c r="NQ268" s="16"/>
      <c r="NR268" s="16"/>
      <c r="NS268" s="16"/>
      <c r="NT268" s="16"/>
      <c r="NU268" s="16"/>
      <c r="NV268" s="16"/>
      <c r="NW268" s="16"/>
      <c r="NX268" s="16"/>
      <c r="NY268" s="16"/>
      <c r="NZ268" s="16"/>
      <c r="OC268" s="9"/>
      <c r="OD268" s="16"/>
      <c r="OE268" s="16"/>
      <c r="OF268" s="16"/>
      <c r="OG268" s="16"/>
      <c r="OH268" s="16"/>
      <c r="OI268" s="16"/>
      <c r="OJ268" s="16"/>
      <c r="OK268" s="16"/>
      <c r="OL268" s="16"/>
      <c r="OM268" s="16"/>
      <c r="ON268" s="16"/>
      <c r="OO268" s="16"/>
      <c r="OP268" s="16"/>
      <c r="OQ268" s="16"/>
      <c r="OR268" s="16"/>
      <c r="OS268" s="16"/>
      <c r="OT268" s="16"/>
      <c r="OU268" s="16"/>
      <c r="OV268" s="16"/>
      <c r="OW268" s="16"/>
      <c r="OX268" s="16"/>
      <c r="PA268" s="9"/>
      <c r="PB268" s="16"/>
      <c r="PC268" s="16"/>
      <c r="PD268" s="16"/>
      <c r="PE268" s="16"/>
      <c r="PF268" s="16"/>
      <c r="PG268" s="16"/>
      <c r="PH268" s="16"/>
      <c r="PI268" s="16"/>
      <c r="PJ268" s="16"/>
      <c r="PK268" s="16"/>
      <c r="PL268" s="16"/>
      <c r="PM268" s="16"/>
      <c r="PN268" s="16"/>
      <c r="PO268" s="16"/>
      <c r="PP268" s="16"/>
      <c r="PQ268" s="16"/>
      <c r="PR268" s="16"/>
      <c r="PS268" s="16"/>
      <c r="PT268" s="16"/>
      <c r="PU268" s="16"/>
      <c r="PV268" s="16"/>
    </row>
    <row r="269" spans="3:438" x14ac:dyDescent="0.25">
      <c r="I269" s="9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G269" s="9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E269" s="9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C269" s="9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DA269" s="9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Y269" s="9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W269" s="9"/>
      <c r="EX269" s="16"/>
      <c r="EY269" s="16"/>
      <c r="EZ269" s="16"/>
      <c r="FA269" s="16"/>
      <c r="FB269" s="16"/>
      <c r="FC269" s="16"/>
      <c r="FD269" s="16"/>
      <c r="FE269" s="16"/>
      <c r="FF269" s="16"/>
      <c r="FG269" s="16"/>
      <c r="FH269" s="16"/>
      <c r="FI269" s="16"/>
      <c r="FJ269" s="16"/>
      <c r="FK269" s="16"/>
      <c r="FL269" s="16"/>
      <c r="FM269" s="16"/>
      <c r="FN269" s="16"/>
      <c r="FO269" s="16"/>
      <c r="FP269" s="16"/>
      <c r="FQ269" s="16"/>
      <c r="FR269" s="16"/>
      <c r="FU269" s="9"/>
      <c r="FV269" s="16"/>
      <c r="FW269" s="16"/>
      <c r="FX269" s="16"/>
      <c r="FY269" s="16"/>
      <c r="FZ269" s="16"/>
      <c r="GA269" s="16"/>
      <c r="GB269" s="16"/>
      <c r="GC269" s="16"/>
      <c r="GD269" s="16"/>
      <c r="GE269" s="16"/>
      <c r="GF269" s="16"/>
      <c r="GG269" s="16"/>
      <c r="GH269" s="16"/>
      <c r="GI269" s="16"/>
      <c r="GJ269" s="16"/>
      <c r="GK269" s="16"/>
      <c r="GL269" s="16"/>
      <c r="GM269" s="16"/>
      <c r="GN269" s="16"/>
      <c r="GO269" s="16"/>
      <c r="GP269" s="16"/>
      <c r="GS269" s="9"/>
      <c r="GT269" s="16"/>
      <c r="GU269" s="16"/>
      <c r="GV269" s="16"/>
      <c r="GW269" s="16"/>
      <c r="GX269" s="16"/>
      <c r="GY269" s="16"/>
      <c r="GZ269" s="16"/>
      <c r="HA269" s="16"/>
      <c r="HB269" s="16"/>
      <c r="HC269" s="16"/>
      <c r="HD269" s="16"/>
      <c r="HE269" s="16"/>
      <c r="HF269" s="16"/>
      <c r="HG269" s="16"/>
      <c r="HH269" s="16"/>
      <c r="HI269" s="16"/>
      <c r="HJ269" s="16"/>
      <c r="HK269" s="16"/>
      <c r="HL269" s="16"/>
      <c r="HM269" s="16"/>
      <c r="HN269" s="16"/>
      <c r="HQ269" s="9"/>
      <c r="HR269" s="16"/>
      <c r="HS269" s="16"/>
      <c r="HT269" s="16"/>
      <c r="HU269" s="16"/>
      <c r="HV269" s="16"/>
      <c r="HW269" s="16"/>
      <c r="HX269" s="16"/>
      <c r="HY269" s="16"/>
      <c r="HZ269" s="16"/>
      <c r="IA269" s="16"/>
      <c r="IB269" s="16"/>
      <c r="IC269" s="16"/>
      <c r="ID269" s="16"/>
      <c r="IE269" s="16"/>
      <c r="IF269" s="16"/>
      <c r="IG269" s="16"/>
      <c r="IH269" s="16"/>
      <c r="II269" s="16"/>
      <c r="IJ269" s="16"/>
      <c r="IK269" s="16"/>
      <c r="IL269" s="16"/>
      <c r="IO269" s="9"/>
      <c r="IP269" s="16"/>
      <c r="IQ269" s="16"/>
      <c r="IR269" s="16"/>
      <c r="IS269" s="16"/>
      <c r="IT269" s="16"/>
      <c r="IU269" s="16"/>
      <c r="IV269" s="16"/>
      <c r="IW269" s="16"/>
      <c r="IX269" s="16"/>
      <c r="IY269" s="16"/>
      <c r="IZ269" s="16"/>
      <c r="JA269" s="16"/>
      <c r="JB269" s="16"/>
      <c r="JC269" s="16"/>
      <c r="JD269" s="16"/>
      <c r="JE269" s="16"/>
      <c r="JF269" s="16"/>
      <c r="JG269" s="16"/>
      <c r="JH269" s="16"/>
      <c r="JI269" s="16"/>
      <c r="JJ269" s="16"/>
      <c r="JM269" s="9"/>
      <c r="JN269" s="16"/>
      <c r="JO269" s="16"/>
      <c r="JP269" s="16"/>
      <c r="JQ269" s="16"/>
      <c r="JR269" s="16"/>
      <c r="JS269" s="16"/>
      <c r="JT269" s="16"/>
      <c r="JU269" s="16"/>
      <c r="JV269" s="16"/>
      <c r="JW269" s="16"/>
      <c r="JX269" s="16"/>
      <c r="JY269" s="16"/>
      <c r="JZ269" s="16"/>
      <c r="KA269" s="16"/>
      <c r="KB269" s="16"/>
      <c r="KC269" s="16"/>
      <c r="KD269" s="16"/>
      <c r="KE269" s="16"/>
      <c r="KF269" s="16"/>
      <c r="KG269" s="16"/>
      <c r="KH269" s="16"/>
      <c r="KK269" s="9"/>
      <c r="KL269" s="16"/>
      <c r="KM269" s="16"/>
      <c r="KN269" s="16"/>
      <c r="KO269" s="16"/>
      <c r="KP269" s="16"/>
      <c r="KQ269" s="16"/>
      <c r="KR269" s="16"/>
      <c r="KS269" s="16"/>
      <c r="KT269" s="16"/>
      <c r="KU269" s="16"/>
      <c r="KV269" s="16"/>
      <c r="KW269" s="16"/>
      <c r="KX269" s="16"/>
      <c r="KY269" s="16"/>
      <c r="KZ269" s="16"/>
      <c r="LA269" s="16"/>
      <c r="LB269" s="16"/>
      <c r="LC269" s="16"/>
      <c r="LD269" s="16"/>
      <c r="LE269" s="16"/>
      <c r="LF269" s="16"/>
      <c r="LI269" s="9"/>
      <c r="LJ269" s="16"/>
      <c r="LK269" s="16"/>
      <c r="LL269" s="16"/>
      <c r="LM269" s="16"/>
      <c r="LN269" s="16"/>
      <c r="LO269" s="16"/>
      <c r="LP269" s="16"/>
      <c r="LQ269" s="16"/>
      <c r="LR269" s="16"/>
      <c r="LS269" s="16"/>
      <c r="LT269" s="16"/>
      <c r="LU269" s="16"/>
      <c r="LV269" s="16"/>
      <c r="LW269" s="16"/>
      <c r="LX269" s="16"/>
      <c r="LY269" s="16"/>
      <c r="LZ269" s="16"/>
      <c r="MA269" s="16"/>
      <c r="MB269" s="16"/>
      <c r="MC269" s="16"/>
      <c r="MD269" s="16"/>
      <c r="MG269" s="9"/>
      <c r="MH269" s="16"/>
      <c r="MI269" s="16"/>
      <c r="MJ269" s="16"/>
      <c r="MK269" s="16"/>
      <c r="ML269" s="16"/>
      <c r="MM269" s="16"/>
      <c r="MN269" s="16"/>
      <c r="MO269" s="16"/>
      <c r="MP269" s="16"/>
      <c r="MQ269" s="16"/>
      <c r="MR269" s="16"/>
      <c r="MS269" s="16"/>
      <c r="MT269" s="16"/>
      <c r="MU269" s="16"/>
      <c r="MV269" s="16"/>
      <c r="MW269" s="16"/>
      <c r="MX269" s="16"/>
      <c r="MY269" s="16"/>
      <c r="MZ269" s="16"/>
      <c r="NA269" s="16"/>
      <c r="NB269" s="16"/>
      <c r="NE269" s="9"/>
      <c r="NF269" s="16"/>
      <c r="NG269" s="16"/>
      <c r="NH269" s="16"/>
      <c r="NI269" s="16"/>
      <c r="NJ269" s="16"/>
      <c r="NK269" s="16"/>
      <c r="NL269" s="16"/>
      <c r="NM269" s="16"/>
      <c r="NN269" s="16"/>
      <c r="NO269" s="16"/>
      <c r="NP269" s="16"/>
      <c r="NQ269" s="16"/>
      <c r="NR269" s="16"/>
      <c r="NS269" s="16"/>
      <c r="NT269" s="16"/>
      <c r="NU269" s="16"/>
      <c r="NV269" s="16"/>
      <c r="NW269" s="16"/>
      <c r="NX269" s="16"/>
      <c r="NY269" s="16"/>
      <c r="NZ269" s="16"/>
      <c r="OC269" s="9"/>
      <c r="OD269" s="16"/>
      <c r="OE269" s="16"/>
      <c r="OF269" s="16"/>
      <c r="OG269" s="16"/>
      <c r="OH269" s="16"/>
      <c r="OI269" s="16"/>
      <c r="OJ269" s="16"/>
      <c r="OK269" s="16"/>
      <c r="OL269" s="16"/>
      <c r="OM269" s="16"/>
      <c r="ON269" s="16"/>
      <c r="OO269" s="16"/>
      <c r="OP269" s="16"/>
      <c r="OQ269" s="16"/>
      <c r="OR269" s="16"/>
      <c r="OS269" s="16"/>
      <c r="OT269" s="16"/>
      <c r="OU269" s="16"/>
      <c r="OV269" s="16"/>
      <c r="OW269" s="16"/>
      <c r="OX269" s="16"/>
      <c r="PA269" s="9"/>
      <c r="PB269" s="16"/>
      <c r="PC269" s="16"/>
      <c r="PD269" s="16"/>
      <c r="PE269" s="16"/>
      <c r="PF269" s="16"/>
      <c r="PG269" s="16"/>
      <c r="PH269" s="16"/>
      <c r="PI269" s="16"/>
      <c r="PJ269" s="16"/>
      <c r="PK269" s="16"/>
      <c r="PL269" s="16"/>
      <c r="PM269" s="16"/>
      <c r="PN269" s="16"/>
      <c r="PO269" s="16"/>
      <c r="PP269" s="16"/>
      <c r="PQ269" s="16"/>
      <c r="PR269" s="16"/>
      <c r="PS269" s="16"/>
      <c r="PT269" s="16"/>
      <c r="PU269" s="16"/>
      <c r="PV269" s="16"/>
    </row>
    <row r="270" spans="3:438" x14ac:dyDescent="0.25">
      <c r="I270" s="9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G270" s="9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E270" s="9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C270" s="9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DA270" s="9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Y270" s="9"/>
      <c r="DZ270" s="16"/>
      <c r="EA270" s="16"/>
      <c r="EB270" s="16"/>
      <c r="EC270" s="16"/>
      <c r="ED270" s="16"/>
      <c r="EE270" s="16"/>
      <c r="EF270" s="16"/>
      <c r="EG270" s="16"/>
      <c r="EH270" s="16"/>
      <c r="EI270" s="16"/>
      <c r="EJ270" s="16"/>
      <c r="EK270" s="16"/>
      <c r="EL270" s="16"/>
      <c r="EM270" s="16"/>
      <c r="EN270" s="16"/>
      <c r="EO270" s="16"/>
      <c r="EP270" s="16"/>
      <c r="EQ270" s="16"/>
      <c r="ER270" s="16"/>
      <c r="ES270" s="16"/>
      <c r="ET270" s="16"/>
      <c r="EW270" s="9"/>
      <c r="EX270" s="16"/>
      <c r="EY270" s="16"/>
      <c r="EZ270" s="16"/>
      <c r="FA270" s="16"/>
      <c r="FB270" s="16"/>
      <c r="FC270" s="16"/>
      <c r="FD270" s="16"/>
      <c r="FE270" s="16"/>
      <c r="FF270" s="16"/>
      <c r="FG270" s="16"/>
      <c r="FH270" s="16"/>
      <c r="FI270" s="16"/>
      <c r="FJ270" s="16"/>
      <c r="FK270" s="16"/>
      <c r="FL270" s="16"/>
      <c r="FM270" s="16"/>
      <c r="FN270" s="16"/>
      <c r="FO270" s="16"/>
      <c r="FP270" s="16"/>
      <c r="FQ270" s="16"/>
      <c r="FR270" s="16"/>
      <c r="FU270" s="9"/>
      <c r="FV270" s="16"/>
      <c r="FW270" s="16"/>
      <c r="FX270" s="16"/>
      <c r="FY270" s="16"/>
      <c r="FZ270" s="16"/>
      <c r="GA270" s="16"/>
      <c r="GB270" s="16"/>
      <c r="GC270" s="16"/>
      <c r="GD270" s="16"/>
      <c r="GE270" s="16"/>
      <c r="GF270" s="16"/>
      <c r="GG270" s="16"/>
      <c r="GH270" s="16"/>
      <c r="GI270" s="16"/>
      <c r="GJ270" s="16"/>
      <c r="GK270" s="16"/>
      <c r="GL270" s="16"/>
      <c r="GM270" s="16"/>
      <c r="GN270" s="16"/>
      <c r="GO270" s="16"/>
      <c r="GP270" s="16"/>
      <c r="GS270" s="9"/>
      <c r="GT270" s="16"/>
      <c r="GU270" s="16"/>
      <c r="GV270" s="16"/>
      <c r="GW270" s="16"/>
      <c r="GX270" s="16"/>
      <c r="GY270" s="16"/>
      <c r="GZ270" s="16"/>
      <c r="HA270" s="16"/>
      <c r="HB270" s="16"/>
      <c r="HC270" s="16"/>
      <c r="HD270" s="16"/>
      <c r="HE270" s="16"/>
      <c r="HF270" s="16"/>
      <c r="HG270" s="16"/>
      <c r="HH270" s="16"/>
      <c r="HI270" s="16"/>
      <c r="HJ270" s="16"/>
      <c r="HK270" s="16"/>
      <c r="HL270" s="16"/>
      <c r="HM270" s="16"/>
      <c r="HN270" s="16"/>
      <c r="HQ270" s="9"/>
      <c r="HR270" s="16"/>
      <c r="HS270" s="16"/>
      <c r="HT270" s="16"/>
      <c r="HU270" s="16"/>
      <c r="HV270" s="16"/>
      <c r="HW270" s="16"/>
      <c r="HX270" s="16"/>
      <c r="HY270" s="16"/>
      <c r="HZ270" s="16"/>
      <c r="IA270" s="16"/>
      <c r="IB270" s="16"/>
      <c r="IC270" s="16"/>
      <c r="ID270" s="16"/>
      <c r="IE270" s="16"/>
      <c r="IF270" s="16"/>
      <c r="IG270" s="16"/>
      <c r="IH270" s="16"/>
      <c r="II270" s="16"/>
      <c r="IJ270" s="16"/>
      <c r="IK270" s="16"/>
      <c r="IL270" s="16"/>
      <c r="IO270" s="9"/>
      <c r="IP270" s="16"/>
      <c r="IQ270" s="16"/>
      <c r="IR270" s="16"/>
      <c r="IS270" s="16"/>
      <c r="IT270" s="16"/>
      <c r="IU270" s="16"/>
      <c r="IV270" s="16"/>
      <c r="IW270" s="16"/>
      <c r="IX270" s="16"/>
      <c r="IY270" s="16"/>
      <c r="IZ270" s="16"/>
      <c r="JA270" s="16"/>
      <c r="JB270" s="16"/>
      <c r="JC270" s="16"/>
      <c r="JD270" s="16"/>
      <c r="JE270" s="16"/>
      <c r="JF270" s="16"/>
      <c r="JG270" s="16"/>
      <c r="JH270" s="16"/>
      <c r="JI270" s="16"/>
      <c r="JJ270" s="16"/>
      <c r="JM270" s="9"/>
      <c r="JN270" s="16"/>
      <c r="JO270" s="16"/>
      <c r="JP270" s="16"/>
      <c r="JQ270" s="16"/>
      <c r="JR270" s="16"/>
      <c r="JS270" s="16"/>
      <c r="JT270" s="16"/>
      <c r="JU270" s="16"/>
      <c r="JV270" s="16"/>
      <c r="JW270" s="16"/>
      <c r="JX270" s="16"/>
      <c r="JY270" s="16"/>
      <c r="JZ270" s="16"/>
      <c r="KA270" s="16"/>
      <c r="KB270" s="16"/>
      <c r="KC270" s="16"/>
      <c r="KD270" s="16"/>
      <c r="KE270" s="16"/>
      <c r="KF270" s="16"/>
      <c r="KG270" s="16"/>
      <c r="KH270" s="16"/>
      <c r="KK270" s="9"/>
      <c r="KL270" s="16"/>
      <c r="KM270" s="16"/>
      <c r="KN270" s="16"/>
      <c r="KO270" s="16"/>
      <c r="KP270" s="16"/>
      <c r="KQ270" s="16"/>
      <c r="KR270" s="16"/>
      <c r="KS270" s="16"/>
      <c r="KT270" s="16"/>
      <c r="KU270" s="16"/>
      <c r="KV270" s="16"/>
      <c r="KW270" s="16"/>
      <c r="KX270" s="16"/>
      <c r="KY270" s="16"/>
      <c r="KZ270" s="16"/>
      <c r="LA270" s="16"/>
      <c r="LB270" s="16"/>
      <c r="LC270" s="16"/>
      <c r="LD270" s="16"/>
      <c r="LE270" s="16"/>
      <c r="LF270" s="16"/>
      <c r="LI270" s="9"/>
      <c r="LJ270" s="16"/>
      <c r="LK270" s="16"/>
      <c r="LL270" s="16"/>
      <c r="LM270" s="16"/>
      <c r="LN270" s="16"/>
      <c r="LO270" s="16"/>
      <c r="LP270" s="16"/>
      <c r="LQ270" s="16"/>
      <c r="LR270" s="16"/>
      <c r="LS270" s="16"/>
      <c r="LT270" s="16"/>
      <c r="LU270" s="16"/>
      <c r="LV270" s="16"/>
      <c r="LW270" s="16"/>
      <c r="LX270" s="16"/>
      <c r="LY270" s="16"/>
      <c r="LZ270" s="16"/>
      <c r="MA270" s="16"/>
      <c r="MB270" s="16"/>
      <c r="MC270" s="16"/>
      <c r="MD270" s="16"/>
      <c r="MG270" s="9"/>
      <c r="MH270" s="16"/>
      <c r="MI270" s="16"/>
      <c r="MJ270" s="16"/>
      <c r="MK270" s="16"/>
      <c r="ML270" s="16"/>
      <c r="MM270" s="16"/>
      <c r="MN270" s="16"/>
      <c r="MO270" s="16"/>
      <c r="MP270" s="16"/>
      <c r="MQ270" s="16"/>
      <c r="MR270" s="16"/>
      <c r="MS270" s="16"/>
      <c r="MT270" s="16"/>
      <c r="MU270" s="16"/>
      <c r="MV270" s="16"/>
      <c r="MW270" s="16"/>
      <c r="MX270" s="16"/>
      <c r="MY270" s="16"/>
      <c r="MZ270" s="16"/>
      <c r="NA270" s="16"/>
      <c r="NB270" s="16"/>
      <c r="NE270" s="9"/>
      <c r="NF270" s="16"/>
      <c r="NG270" s="16"/>
      <c r="NH270" s="16"/>
      <c r="NI270" s="16"/>
      <c r="NJ270" s="16"/>
      <c r="NK270" s="16"/>
      <c r="NL270" s="16"/>
      <c r="NM270" s="16"/>
      <c r="NN270" s="16"/>
      <c r="NO270" s="16"/>
      <c r="NP270" s="16"/>
      <c r="NQ270" s="16"/>
      <c r="NR270" s="16"/>
      <c r="NS270" s="16"/>
      <c r="NT270" s="16"/>
      <c r="NU270" s="16"/>
      <c r="NV270" s="16"/>
      <c r="NW270" s="16"/>
      <c r="NX270" s="16"/>
      <c r="NY270" s="16"/>
      <c r="NZ270" s="16"/>
      <c r="OC270" s="9"/>
      <c r="OD270" s="16"/>
      <c r="OE270" s="16"/>
      <c r="OF270" s="16"/>
      <c r="OG270" s="16"/>
      <c r="OH270" s="16"/>
      <c r="OI270" s="16"/>
      <c r="OJ270" s="16"/>
      <c r="OK270" s="16"/>
      <c r="OL270" s="16"/>
      <c r="OM270" s="16"/>
      <c r="ON270" s="16"/>
      <c r="OO270" s="16"/>
      <c r="OP270" s="16"/>
      <c r="OQ270" s="16"/>
      <c r="OR270" s="16"/>
      <c r="OS270" s="16"/>
      <c r="OT270" s="16"/>
      <c r="OU270" s="16"/>
      <c r="OV270" s="16"/>
      <c r="OW270" s="16"/>
      <c r="OX270" s="16"/>
      <c r="PA270" s="9"/>
      <c r="PB270" s="16"/>
      <c r="PC270" s="16"/>
      <c r="PD270" s="16"/>
      <c r="PE270" s="16"/>
      <c r="PF270" s="16"/>
      <c r="PG270" s="16"/>
      <c r="PH270" s="16"/>
      <c r="PI270" s="16"/>
      <c r="PJ270" s="16"/>
      <c r="PK270" s="16"/>
      <c r="PL270" s="16"/>
      <c r="PM270" s="16"/>
      <c r="PN270" s="16"/>
      <c r="PO270" s="16"/>
      <c r="PP270" s="16"/>
      <c r="PQ270" s="16"/>
      <c r="PR270" s="16"/>
      <c r="PS270" s="16"/>
      <c r="PT270" s="16"/>
      <c r="PU270" s="16"/>
      <c r="PV270" s="16"/>
    </row>
    <row r="271" spans="3:438" x14ac:dyDescent="0.25">
      <c r="I271" s="9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G271" s="9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E271" s="9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C271" s="9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DA271" s="9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Y271" s="9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W271" s="9"/>
      <c r="EX271" s="16"/>
      <c r="EY271" s="16"/>
      <c r="EZ271" s="16"/>
      <c r="FA271" s="16"/>
      <c r="FB271" s="16"/>
      <c r="FC271" s="16"/>
      <c r="FD271" s="16"/>
      <c r="FE271" s="16"/>
      <c r="FF271" s="16"/>
      <c r="FG271" s="16"/>
      <c r="FH271" s="16"/>
      <c r="FI271" s="16"/>
      <c r="FJ271" s="16"/>
      <c r="FK271" s="16"/>
      <c r="FL271" s="16"/>
      <c r="FM271" s="16"/>
      <c r="FN271" s="16"/>
      <c r="FO271" s="16"/>
      <c r="FP271" s="16"/>
      <c r="FQ271" s="16"/>
      <c r="FR271" s="16"/>
      <c r="FU271" s="9"/>
      <c r="FV271" s="16"/>
      <c r="FW271" s="16"/>
      <c r="FX271" s="16"/>
      <c r="FY271" s="16"/>
      <c r="FZ271" s="16"/>
      <c r="GA271" s="16"/>
      <c r="GB271" s="16"/>
      <c r="GC271" s="16"/>
      <c r="GD271" s="16"/>
      <c r="GE271" s="16"/>
      <c r="GF271" s="16"/>
      <c r="GG271" s="16"/>
      <c r="GH271" s="16"/>
      <c r="GI271" s="16"/>
      <c r="GJ271" s="16"/>
      <c r="GK271" s="16"/>
      <c r="GL271" s="16"/>
      <c r="GM271" s="16"/>
      <c r="GN271" s="16"/>
      <c r="GO271" s="16"/>
      <c r="GP271" s="16"/>
      <c r="GS271" s="9"/>
      <c r="GT271" s="16"/>
      <c r="GU271" s="16"/>
      <c r="GV271" s="16"/>
      <c r="GW271" s="16"/>
      <c r="GX271" s="16"/>
      <c r="GY271" s="16"/>
      <c r="GZ271" s="16"/>
      <c r="HA271" s="16"/>
      <c r="HB271" s="16"/>
      <c r="HC271" s="16"/>
      <c r="HD271" s="16"/>
      <c r="HE271" s="16"/>
      <c r="HF271" s="16"/>
      <c r="HG271" s="16"/>
      <c r="HH271" s="16"/>
      <c r="HI271" s="16"/>
      <c r="HJ271" s="16"/>
      <c r="HK271" s="16"/>
      <c r="HL271" s="16"/>
      <c r="HM271" s="16"/>
      <c r="HN271" s="16"/>
      <c r="HQ271" s="9"/>
      <c r="HR271" s="16"/>
      <c r="HS271" s="16"/>
      <c r="HT271" s="16"/>
      <c r="HU271" s="16"/>
      <c r="HV271" s="16"/>
      <c r="HW271" s="16"/>
      <c r="HX271" s="16"/>
      <c r="HY271" s="16"/>
      <c r="HZ271" s="16"/>
      <c r="IA271" s="16"/>
      <c r="IB271" s="16"/>
      <c r="IC271" s="16"/>
      <c r="ID271" s="16"/>
      <c r="IE271" s="16"/>
      <c r="IF271" s="16"/>
      <c r="IG271" s="16"/>
      <c r="IH271" s="16"/>
      <c r="II271" s="16"/>
      <c r="IJ271" s="16"/>
      <c r="IK271" s="16"/>
      <c r="IL271" s="16"/>
      <c r="IO271" s="9"/>
      <c r="IP271" s="16"/>
      <c r="IQ271" s="16"/>
      <c r="IR271" s="16"/>
      <c r="IS271" s="16"/>
      <c r="IT271" s="16"/>
      <c r="IU271" s="16"/>
      <c r="IV271" s="16"/>
      <c r="IW271" s="16"/>
      <c r="IX271" s="16"/>
      <c r="IY271" s="16"/>
      <c r="IZ271" s="16"/>
      <c r="JA271" s="16"/>
      <c r="JB271" s="16"/>
      <c r="JC271" s="16"/>
      <c r="JD271" s="16"/>
      <c r="JE271" s="16"/>
      <c r="JF271" s="16"/>
      <c r="JG271" s="16"/>
      <c r="JH271" s="16"/>
      <c r="JI271" s="16"/>
      <c r="JJ271" s="16"/>
      <c r="JM271" s="9"/>
      <c r="JN271" s="16"/>
      <c r="JO271" s="16"/>
      <c r="JP271" s="16"/>
      <c r="JQ271" s="16"/>
      <c r="JR271" s="16"/>
      <c r="JS271" s="16"/>
      <c r="JT271" s="16"/>
      <c r="JU271" s="16"/>
      <c r="JV271" s="16"/>
      <c r="JW271" s="16"/>
      <c r="JX271" s="16"/>
      <c r="JY271" s="16"/>
      <c r="JZ271" s="16"/>
      <c r="KA271" s="16"/>
      <c r="KB271" s="16"/>
      <c r="KC271" s="16"/>
      <c r="KD271" s="16"/>
      <c r="KE271" s="16"/>
      <c r="KF271" s="16"/>
      <c r="KG271" s="16"/>
      <c r="KH271" s="16"/>
      <c r="KK271" s="9"/>
      <c r="KL271" s="16"/>
      <c r="KM271" s="16"/>
      <c r="KN271" s="16"/>
      <c r="KO271" s="16"/>
      <c r="KP271" s="16"/>
      <c r="KQ271" s="16"/>
      <c r="KR271" s="16"/>
      <c r="KS271" s="16"/>
      <c r="KT271" s="16"/>
      <c r="KU271" s="16"/>
      <c r="KV271" s="16"/>
      <c r="KW271" s="16"/>
      <c r="KX271" s="16"/>
      <c r="KY271" s="16"/>
      <c r="KZ271" s="16"/>
      <c r="LA271" s="16"/>
      <c r="LB271" s="16"/>
      <c r="LC271" s="16"/>
      <c r="LD271" s="16"/>
      <c r="LE271" s="16"/>
      <c r="LF271" s="16"/>
      <c r="LI271" s="9"/>
      <c r="LJ271" s="16"/>
      <c r="LK271" s="16"/>
      <c r="LL271" s="16"/>
      <c r="LM271" s="16"/>
      <c r="LN271" s="16"/>
      <c r="LO271" s="16"/>
      <c r="LP271" s="16"/>
      <c r="LQ271" s="16"/>
      <c r="LR271" s="16"/>
      <c r="LS271" s="16"/>
      <c r="LT271" s="16"/>
      <c r="LU271" s="16"/>
      <c r="LV271" s="16"/>
      <c r="LW271" s="16"/>
      <c r="LX271" s="16"/>
      <c r="LY271" s="16"/>
      <c r="LZ271" s="16"/>
      <c r="MA271" s="16"/>
      <c r="MB271" s="16"/>
      <c r="MC271" s="16"/>
      <c r="MD271" s="16"/>
      <c r="MG271" s="9"/>
      <c r="MH271" s="16"/>
      <c r="MI271" s="16"/>
      <c r="MJ271" s="16"/>
      <c r="MK271" s="16"/>
      <c r="ML271" s="16"/>
      <c r="MM271" s="16"/>
      <c r="MN271" s="16"/>
      <c r="MO271" s="16"/>
      <c r="MP271" s="16"/>
      <c r="MQ271" s="16"/>
      <c r="MR271" s="16"/>
      <c r="MS271" s="16"/>
      <c r="MT271" s="16"/>
      <c r="MU271" s="16"/>
      <c r="MV271" s="16"/>
      <c r="MW271" s="16"/>
      <c r="MX271" s="16"/>
      <c r="MY271" s="16"/>
      <c r="MZ271" s="16"/>
      <c r="NA271" s="16"/>
      <c r="NB271" s="16"/>
      <c r="NE271" s="9"/>
      <c r="NF271" s="16"/>
      <c r="NG271" s="16"/>
      <c r="NH271" s="16"/>
      <c r="NI271" s="16"/>
      <c r="NJ271" s="16"/>
      <c r="NK271" s="16"/>
      <c r="NL271" s="16"/>
      <c r="NM271" s="16"/>
      <c r="NN271" s="16"/>
      <c r="NO271" s="16"/>
      <c r="NP271" s="16"/>
      <c r="NQ271" s="16"/>
      <c r="NR271" s="16"/>
      <c r="NS271" s="16"/>
      <c r="NT271" s="16"/>
      <c r="NU271" s="16"/>
      <c r="NV271" s="16"/>
      <c r="NW271" s="16"/>
      <c r="NX271" s="16"/>
      <c r="NY271" s="16"/>
      <c r="NZ271" s="16"/>
      <c r="OC271" s="9"/>
      <c r="OD271" s="16"/>
      <c r="OE271" s="16"/>
      <c r="OF271" s="16"/>
      <c r="OG271" s="16"/>
      <c r="OH271" s="16"/>
      <c r="OI271" s="16"/>
      <c r="OJ271" s="16"/>
      <c r="OK271" s="16"/>
      <c r="OL271" s="16"/>
      <c r="OM271" s="16"/>
      <c r="ON271" s="16"/>
      <c r="OO271" s="16"/>
      <c r="OP271" s="16"/>
      <c r="OQ271" s="16"/>
      <c r="OR271" s="16"/>
      <c r="OS271" s="16"/>
      <c r="OT271" s="16"/>
      <c r="OU271" s="16"/>
      <c r="OV271" s="16"/>
      <c r="OW271" s="16"/>
      <c r="OX271" s="16"/>
      <c r="PA271" s="9"/>
      <c r="PB271" s="16"/>
      <c r="PC271" s="16"/>
      <c r="PD271" s="16"/>
      <c r="PE271" s="16"/>
      <c r="PF271" s="16"/>
      <c r="PG271" s="16"/>
      <c r="PH271" s="16"/>
      <c r="PI271" s="16"/>
      <c r="PJ271" s="16"/>
      <c r="PK271" s="16"/>
      <c r="PL271" s="16"/>
      <c r="PM271" s="16"/>
      <c r="PN271" s="16"/>
      <c r="PO271" s="16"/>
      <c r="PP271" s="16"/>
      <c r="PQ271" s="16"/>
      <c r="PR271" s="16"/>
      <c r="PS271" s="16"/>
      <c r="PT271" s="16"/>
      <c r="PU271" s="16"/>
      <c r="PV271" s="16"/>
    </row>
    <row r="272" spans="3:438" x14ac:dyDescent="0.25">
      <c r="I272" s="9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G272" s="9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E272" s="9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C272" s="9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DA272" s="9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Y272" s="9"/>
      <c r="DZ272" s="16"/>
      <c r="EA272" s="16"/>
      <c r="EB272" s="16"/>
      <c r="EC272" s="16"/>
      <c r="ED272" s="16"/>
      <c r="EE272" s="16"/>
      <c r="EF272" s="16"/>
      <c r="EG272" s="16"/>
      <c r="EH272" s="16"/>
      <c r="EI272" s="16"/>
      <c r="EJ272" s="16"/>
      <c r="EK272" s="16"/>
      <c r="EL272" s="16"/>
      <c r="EM272" s="16"/>
      <c r="EN272" s="16"/>
      <c r="EO272" s="16"/>
      <c r="EP272" s="16"/>
      <c r="EQ272" s="16"/>
      <c r="ER272" s="16"/>
      <c r="ES272" s="16"/>
      <c r="ET272" s="16"/>
      <c r="EW272" s="9"/>
      <c r="EX272" s="16"/>
      <c r="EY272" s="16"/>
      <c r="EZ272" s="16"/>
      <c r="FA272" s="16"/>
      <c r="FB272" s="16"/>
      <c r="FC272" s="16"/>
      <c r="FD272" s="16"/>
      <c r="FE272" s="16"/>
      <c r="FF272" s="16"/>
      <c r="FG272" s="16"/>
      <c r="FH272" s="16"/>
      <c r="FI272" s="16"/>
      <c r="FJ272" s="16"/>
      <c r="FK272" s="16"/>
      <c r="FL272" s="16"/>
      <c r="FM272" s="16"/>
      <c r="FN272" s="16"/>
      <c r="FO272" s="16"/>
      <c r="FP272" s="16"/>
      <c r="FQ272" s="16"/>
      <c r="FR272" s="16"/>
      <c r="FU272" s="9"/>
      <c r="FV272" s="16"/>
      <c r="FW272" s="16"/>
      <c r="FX272" s="16"/>
      <c r="FY272" s="16"/>
      <c r="FZ272" s="16"/>
      <c r="GA272" s="16"/>
      <c r="GB272" s="16"/>
      <c r="GC272" s="16"/>
      <c r="GD272" s="16"/>
      <c r="GE272" s="16"/>
      <c r="GF272" s="16"/>
      <c r="GG272" s="16"/>
      <c r="GH272" s="16"/>
      <c r="GI272" s="16"/>
      <c r="GJ272" s="16"/>
      <c r="GK272" s="16"/>
      <c r="GL272" s="16"/>
      <c r="GM272" s="16"/>
      <c r="GN272" s="16"/>
      <c r="GO272" s="16"/>
      <c r="GP272" s="16"/>
      <c r="GS272" s="9"/>
      <c r="GT272" s="16"/>
      <c r="GU272" s="16"/>
      <c r="GV272" s="16"/>
      <c r="GW272" s="16"/>
      <c r="GX272" s="16"/>
      <c r="GY272" s="16"/>
      <c r="GZ272" s="16"/>
      <c r="HA272" s="16"/>
      <c r="HB272" s="16"/>
      <c r="HC272" s="16"/>
      <c r="HD272" s="16"/>
      <c r="HE272" s="16"/>
      <c r="HF272" s="16"/>
      <c r="HG272" s="16"/>
      <c r="HH272" s="16"/>
      <c r="HI272" s="16"/>
      <c r="HJ272" s="16"/>
      <c r="HK272" s="16"/>
      <c r="HL272" s="16"/>
      <c r="HM272" s="16"/>
      <c r="HN272" s="16"/>
      <c r="HQ272" s="9"/>
      <c r="HR272" s="16"/>
      <c r="HS272" s="16"/>
      <c r="HT272" s="16"/>
      <c r="HU272" s="16"/>
      <c r="HV272" s="16"/>
      <c r="HW272" s="16"/>
      <c r="HX272" s="16"/>
      <c r="HY272" s="16"/>
      <c r="HZ272" s="16"/>
      <c r="IA272" s="16"/>
      <c r="IB272" s="16"/>
      <c r="IC272" s="16"/>
      <c r="ID272" s="16"/>
      <c r="IE272" s="16"/>
      <c r="IF272" s="16"/>
      <c r="IG272" s="16"/>
      <c r="IH272" s="16"/>
      <c r="II272" s="16"/>
      <c r="IJ272" s="16"/>
      <c r="IK272" s="16"/>
      <c r="IL272" s="16"/>
      <c r="IO272" s="9"/>
      <c r="IP272" s="16"/>
      <c r="IQ272" s="16"/>
      <c r="IR272" s="16"/>
      <c r="IS272" s="16"/>
      <c r="IT272" s="16"/>
      <c r="IU272" s="16"/>
      <c r="IV272" s="16"/>
      <c r="IW272" s="16"/>
      <c r="IX272" s="16"/>
      <c r="IY272" s="16"/>
      <c r="IZ272" s="16"/>
      <c r="JA272" s="16"/>
      <c r="JB272" s="16"/>
      <c r="JC272" s="16"/>
      <c r="JD272" s="16"/>
      <c r="JE272" s="16"/>
      <c r="JF272" s="16"/>
      <c r="JG272" s="16"/>
      <c r="JH272" s="16"/>
      <c r="JI272" s="16"/>
      <c r="JJ272" s="16"/>
      <c r="JM272" s="9"/>
      <c r="JN272" s="16"/>
      <c r="JO272" s="16"/>
      <c r="JP272" s="16"/>
      <c r="JQ272" s="16"/>
      <c r="JR272" s="16"/>
      <c r="JS272" s="16"/>
      <c r="JT272" s="16"/>
      <c r="JU272" s="16"/>
      <c r="JV272" s="16"/>
      <c r="JW272" s="16"/>
      <c r="JX272" s="16"/>
      <c r="JY272" s="16"/>
      <c r="JZ272" s="16"/>
      <c r="KA272" s="16"/>
      <c r="KB272" s="16"/>
      <c r="KC272" s="16"/>
      <c r="KD272" s="16"/>
      <c r="KE272" s="16"/>
      <c r="KF272" s="16"/>
      <c r="KG272" s="16"/>
      <c r="KH272" s="16"/>
      <c r="KK272" s="9"/>
      <c r="KL272" s="16"/>
      <c r="KM272" s="16"/>
      <c r="KN272" s="16"/>
      <c r="KO272" s="16"/>
      <c r="KP272" s="16"/>
      <c r="KQ272" s="16"/>
      <c r="KR272" s="16"/>
      <c r="KS272" s="16"/>
      <c r="KT272" s="16"/>
      <c r="KU272" s="16"/>
      <c r="KV272" s="16"/>
      <c r="KW272" s="16"/>
      <c r="KX272" s="16"/>
      <c r="KY272" s="16"/>
      <c r="KZ272" s="16"/>
      <c r="LA272" s="16"/>
      <c r="LB272" s="16"/>
      <c r="LC272" s="16"/>
      <c r="LD272" s="16"/>
      <c r="LE272" s="16"/>
      <c r="LF272" s="16"/>
      <c r="LI272" s="9"/>
      <c r="LJ272" s="16"/>
      <c r="LK272" s="16"/>
      <c r="LL272" s="16"/>
      <c r="LM272" s="16"/>
      <c r="LN272" s="16"/>
      <c r="LO272" s="16"/>
      <c r="LP272" s="16"/>
      <c r="LQ272" s="16"/>
      <c r="LR272" s="16"/>
      <c r="LS272" s="16"/>
      <c r="LT272" s="16"/>
      <c r="LU272" s="16"/>
      <c r="LV272" s="16"/>
      <c r="LW272" s="16"/>
      <c r="LX272" s="16"/>
      <c r="LY272" s="16"/>
      <c r="LZ272" s="16"/>
      <c r="MA272" s="16"/>
      <c r="MB272" s="16"/>
      <c r="MC272" s="16"/>
      <c r="MD272" s="16"/>
      <c r="MG272" s="9"/>
      <c r="MH272" s="16"/>
      <c r="MI272" s="16"/>
      <c r="MJ272" s="16"/>
      <c r="MK272" s="16"/>
      <c r="ML272" s="16"/>
      <c r="MM272" s="16"/>
      <c r="MN272" s="16"/>
      <c r="MO272" s="16"/>
      <c r="MP272" s="16"/>
      <c r="MQ272" s="16"/>
      <c r="MR272" s="16"/>
      <c r="MS272" s="16"/>
      <c r="MT272" s="16"/>
      <c r="MU272" s="16"/>
      <c r="MV272" s="16"/>
      <c r="MW272" s="16"/>
      <c r="MX272" s="16"/>
      <c r="MY272" s="16"/>
      <c r="MZ272" s="16"/>
      <c r="NA272" s="16"/>
      <c r="NB272" s="16"/>
      <c r="NE272" s="9"/>
      <c r="NF272" s="16"/>
      <c r="NG272" s="16"/>
      <c r="NH272" s="16"/>
      <c r="NI272" s="16"/>
      <c r="NJ272" s="16"/>
      <c r="NK272" s="16"/>
      <c r="NL272" s="16"/>
      <c r="NM272" s="16"/>
      <c r="NN272" s="16"/>
      <c r="NO272" s="16"/>
      <c r="NP272" s="16"/>
      <c r="NQ272" s="16"/>
      <c r="NR272" s="16"/>
      <c r="NS272" s="16"/>
      <c r="NT272" s="16"/>
      <c r="NU272" s="16"/>
      <c r="NV272" s="16"/>
      <c r="NW272" s="16"/>
      <c r="NX272" s="16"/>
      <c r="NY272" s="16"/>
      <c r="NZ272" s="16"/>
      <c r="OC272" s="9"/>
      <c r="OD272" s="16"/>
      <c r="OE272" s="16"/>
      <c r="OF272" s="16"/>
      <c r="OG272" s="16"/>
      <c r="OH272" s="16"/>
      <c r="OI272" s="16"/>
      <c r="OJ272" s="16"/>
      <c r="OK272" s="16"/>
      <c r="OL272" s="16"/>
      <c r="OM272" s="16"/>
      <c r="ON272" s="16"/>
      <c r="OO272" s="16"/>
      <c r="OP272" s="16"/>
      <c r="OQ272" s="16"/>
      <c r="OR272" s="16"/>
      <c r="OS272" s="16"/>
      <c r="OT272" s="16"/>
      <c r="OU272" s="16"/>
      <c r="OV272" s="16"/>
      <c r="OW272" s="16"/>
      <c r="OX272" s="16"/>
      <c r="PA272" s="9"/>
      <c r="PB272" s="16"/>
      <c r="PC272" s="16"/>
      <c r="PD272" s="16"/>
      <c r="PE272" s="16"/>
      <c r="PF272" s="16"/>
      <c r="PG272" s="16"/>
      <c r="PH272" s="16"/>
      <c r="PI272" s="16"/>
      <c r="PJ272" s="16"/>
      <c r="PK272" s="16"/>
      <c r="PL272" s="16"/>
      <c r="PM272" s="16"/>
      <c r="PN272" s="16"/>
      <c r="PO272" s="16"/>
      <c r="PP272" s="16"/>
      <c r="PQ272" s="16"/>
      <c r="PR272" s="16"/>
      <c r="PS272" s="16"/>
      <c r="PT272" s="16"/>
      <c r="PU272" s="16"/>
      <c r="PV272" s="16"/>
    </row>
    <row r="273" spans="9:438" x14ac:dyDescent="0.25">
      <c r="I273" s="9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G273" s="9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E273" s="9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C273" s="9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DA273" s="9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Y273" s="9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W273" s="9"/>
      <c r="EX273" s="16"/>
      <c r="EY273" s="16"/>
      <c r="EZ273" s="16"/>
      <c r="FA273" s="16"/>
      <c r="FB273" s="16"/>
      <c r="FC273" s="16"/>
      <c r="FD273" s="16"/>
      <c r="FE273" s="16"/>
      <c r="FF273" s="16"/>
      <c r="FG273" s="16"/>
      <c r="FH273" s="16"/>
      <c r="FI273" s="16"/>
      <c r="FJ273" s="16"/>
      <c r="FK273" s="16"/>
      <c r="FL273" s="16"/>
      <c r="FM273" s="16"/>
      <c r="FN273" s="16"/>
      <c r="FO273" s="16"/>
      <c r="FP273" s="16"/>
      <c r="FQ273" s="16"/>
      <c r="FR273" s="16"/>
      <c r="FU273" s="9"/>
      <c r="FV273" s="16"/>
      <c r="FW273" s="16"/>
      <c r="FX273" s="16"/>
      <c r="FY273" s="16"/>
      <c r="FZ273" s="16"/>
      <c r="GA273" s="16"/>
      <c r="GB273" s="16"/>
      <c r="GC273" s="16"/>
      <c r="GD273" s="16"/>
      <c r="GE273" s="16"/>
      <c r="GF273" s="16"/>
      <c r="GG273" s="16"/>
      <c r="GH273" s="16"/>
      <c r="GI273" s="16"/>
      <c r="GJ273" s="16"/>
      <c r="GK273" s="16"/>
      <c r="GL273" s="16"/>
      <c r="GM273" s="16"/>
      <c r="GN273" s="16"/>
      <c r="GO273" s="16"/>
      <c r="GP273" s="16"/>
      <c r="GS273" s="9"/>
      <c r="GT273" s="16"/>
      <c r="GU273" s="16"/>
      <c r="GV273" s="16"/>
      <c r="GW273" s="16"/>
      <c r="GX273" s="16"/>
      <c r="GY273" s="16"/>
      <c r="GZ273" s="16"/>
      <c r="HA273" s="16"/>
      <c r="HB273" s="16"/>
      <c r="HC273" s="16"/>
      <c r="HD273" s="16"/>
      <c r="HE273" s="16"/>
      <c r="HF273" s="16"/>
      <c r="HG273" s="16"/>
      <c r="HH273" s="16"/>
      <c r="HI273" s="16"/>
      <c r="HJ273" s="16"/>
      <c r="HK273" s="16"/>
      <c r="HL273" s="16"/>
      <c r="HM273" s="16"/>
      <c r="HN273" s="16"/>
      <c r="HQ273" s="9"/>
      <c r="HR273" s="16"/>
      <c r="HS273" s="16"/>
      <c r="HT273" s="16"/>
      <c r="HU273" s="16"/>
      <c r="HV273" s="16"/>
      <c r="HW273" s="16"/>
      <c r="HX273" s="16"/>
      <c r="HY273" s="16"/>
      <c r="HZ273" s="16"/>
      <c r="IA273" s="16"/>
      <c r="IB273" s="16"/>
      <c r="IC273" s="16"/>
      <c r="ID273" s="16"/>
      <c r="IE273" s="16"/>
      <c r="IF273" s="16"/>
      <c r="IG273" s="16"/>
      <c r="IH273" s="16"/>
      <c r="II273" s="16"/>
      <c r="IJ273" s="16"/>
      <c r="IK273" s="16"/>
      <c r="IL273" s="16"/>
      <c r="IO273" s="9"/>
      <c r="IP273" s="16"/>
      <c r="IQ273" s="16"/>
      <c r="IR273" s="16"/>
      <c r="IS273" s="16"/>
      <c r="IT273" s="16"/>
      <c r="IU273" s="16"/>
      <c r="IV273" s="16"/>
      <c r="IW273" s="16"/>
      <c r="IX273" s="16"/>
      <c r="IY273" s="16"/>
      <c r="IZ273" s="16"/>
      <c r="JA273" s="16"/>
      <c r="JB273" s="16"/>
      <c r="JC273" s="16"/>
      <c r="JD273" s="16"/>
      <c r="JE273" s="16"/>
      <c r="JF273" s="16"/>
      <c r="JG273" s="16"/>
      <c r="JH273" s="16"/>
      <c r="JI273" s="16"/>
      <c r="JJ273" s="16"/>
      <c r="JM273" s="9"/>
      <c r="JN273" s="16"/>
      <c r="JO273" s="16"/>
      <c r="JP273" s="16"/>
      <c r="JQ273" s="16"/>
      <c r="JR273" s="16"/>
      <c r="JS273" s="16"/>
      <c r="JT273" s="16"/>
      <c r="JU273" s="16"/>
      <c r="JV273" s="16"/>
      <c r="JW273" s="16"/>
      <c r="JX273" s="16"/>
      <c r="JY273" s="16"/>
      <c r="JZ273" s="16"/>
      <c r="KA273" s="16"/>
      <c r="KB273" s="16"/>
      <c r="KC273" s="16"/>
      <c r="KD273" s="16"/>
      <c r="KE273" s="16"/>
      <c r="KF273" s="16"/>
      <c r="KG273" s="16"/>
      <c r="KH273" s="16"/>
      <c r="KK273" s="9"/>
      <c r="KL273" s="16"/>
      <c r="KM273" s="16"/>
      <c r="KN273" s="16"/>
      <c r="KO273" s="16"/>
      <c r="KP273" s="16"/>
      <c r="KQ273" s="16"/>
      <c r="KR273" s="16"/>
      <c r="KS273" s="16"/>
      <c r="KT273" s="16"/>
      <c r="KU273" s="16"/>
      <c r="KV273" s="16"/>
      <c r="KW273" s="16"/>
      <c r="KX273" s="16"/>
      <c r="KY273" s="16"/>
      <c r="KZ273" s="16"/>
      <c r="LA273" s="16"/>
      <c r="LB273" s="16"/>
      <c r="LC273" s="16"/>
      <c r="LD273" s="16"/>
      <c r="LE273" s="16"/>
      <c r="LF273" s="16"/>
      <c r="LI273" s="9"/>
      <c r="LJ273" s="16"/>
      <c r="LK273" s="16"/>
      <c r="LL273" s="16"/>
      <c r="LM273" s="16"/>
      <c r="LN273" s="16"/>
      <c r="LO273" s="16"/>
      <c r="LP273" s="16"/>
      <c r="LQ273" s="16"/>
      <c r="LR273" s="16"/>
      <c r="LS273" s="16"/>
      <c r="LT273" s="16"/>
      <c r="LU273" s="16"/>
      <c r="LV273" s="16"/>
      <c r="LW273" s="16"/>
      <c r="LX273" s="16"/>
      <c r="LY273" s="16"/>
      <c r="LZ273" s="16"/>
      <c r="MA273" s="16"/>
      <c r="MB273" s="16"/>
      <c r="MC273" s="16"/>
      <c r="MD273" s="16"/>
      <c r="MG273" s="9"/>
      <c r="MH273" s="16"/>
      <c r="MI273" s="16"/>
      <c r="MJ273" s="16"/>
      <c r="MK273" s="16"/>
      <c r="ML273" s="16"/>
      <c r="MM273" s="16"/>
      <c r="MN273" s="16"/>
      <c r="MO273" s="16"/>
      <c r="MP273" s="16"/>
      <c r="MQ273" s="16"/>
      <c r="MR273" s="16"/>
      <c r="MS273" s="16"/>
      <c r="MT273" s="16"/>
      <c r="MU273" s="16"/>
      <c r="MV273" s="16"/>
      <c r="MW273" s="16"/>
      <c r="MX273" s="16"/>
      <c r="MY273" s="16"/>
      <c r="MZ273" s="16"/>
      <c r="NA273" s="16"/>
      <c r="NB273" s="16"/>
      <c r="NE273" s="9"/>
      <c r="NF273" s="16"/>
      <c r="NG273" s="16"/>
      <c r="NH273" s="16"/>
      <c r="NI273" s="16"/>
      <c r="NJ273" s="16"/>
      <c r="NK273" s="16"/>
      <c r="NL273" s="16"/>
      <c r="NM273" s="16"/>
      <c r="NN273" s="16"/>
      <c r="NO273" s="16"/>
      <c r="NP273" s="16"/>
      <c r="NQ273" s="16"/>
      <c r="NR273" s="16"/>
      <c r="NS273" s="16"/>
      <c r="NT273" s="16"/>
      <c r="NU273" s="16"/>
      <c r="NV273" s="16"/>
      <c r="NW273" s="16"/>
      <c r="NX273" s="16"/>
      <c r="NY273" s="16"/>
      <c r="NZ273" s="16"/>
      <c r="OC273" s="9"/>
      <c r="OD273" s="16"/>
      <c r="OE273" s="16"/>
      <c r="OF273" s="16"/>
      <c r="OG273" s="16"/>
      <c r="OH273" s="16"/>
      <c r="OI273" s="16"/>
      <c r="OJ273" s="16"/>
      <c r="OK273" s="16"/>
      <c r="OL273" s="16"/>
      <c r="OM273" s="16"/>
      <c r="ON273" s="16"/>
      <c r="OO273" s="16"/>
      <c r="OP273" s="16"/>
      <c r="OQ273" s="16"/>
      <c r="OR273" s="16"/>
      <c r="OS273" s="16"/>
      <c r="OT273" s="16"/>
      <c r="OU273" s="16"/>
      <c r="OV273" s="16"/>
      <c r="OW273" s="16"/>
      <c r="OX273" s="16"/>
      <c r="PA273" s="9"/>
      <c r="PB273" s="16"/>
      <c r="PC273" s="16"/>
      <c r="PD273" s="16"/>
      <c r="PE273" s="16"/>
      <c r="PF273" s="16"/>
      <c r="PG273" s="16"/>
      <c r="PH273" s="16"/>
      <c r="PI273" s="16"/>
      <c r="PJ273" s="16"/>
      <c r="PK273" s="16"/>
      <c r="PL273" s="16"/>
      <c r="PM273" s="16"/>
      <c r="PN273" s="16"/>
      <c r="PO273" s="16"/>
      <c r="PP273" s="16"/>
      <c r="PQ273" s="16"/>
      <c r="PR273" s="16"/>
      <c r="PS273" s="16"/>
      <c r="PT273" s="16"/>
      <c r="PU273" s="16"/>
      <c r="PV273" s="16"/>
    </row>
    <row r="274" spans="9:438" x14ac:dyDescent="0.25">
      <c r="I274" s="9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G274" s="9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E274" s="9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C274" s="9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DA274" s="9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Y274" s="9"/>
      <c r="DZ274" s="16"/>
      <c r="EA274" s="16"/>
      <c r="EB274" s="16"/>
      <c r="EC274" s="16"/>
      <c r="ED274" s="16"/>
      <c r="EE274" s="16"/>
      <c r="EF274" s="16"/>
      <c r="EG274" s="16"/>
      <c r="EH274" s="16"/>
      <c r="EI274" s="16"/>
      <c r="EJ274" s="16"/>
      <c r="EK274" s="16"/>
      <c r="EL274" s="16"/>
      <c r="EM274" s="16"/>
      <c r="EN274" s="16"/>
      <c r="EO274" s="16"/>
      <c r="EP274" s="16"/>
      <c r="EQ274" s="16"/>
      <c r="ER274" s="16"/>
      <c r="ES274" s="16"/>
      <c r="ET274" s="16"/>
      <c r="EW274" s="9"/>
      <c r="EX274" s="16"/>
      <c r="EY274" s="16"/>
      <c r="EZ274" s="16"/>
      <c r="FA274" s="16"/>
      <c r="FB274" s="16"/>
      <c r="FC274" s="16"/>
      <c r="FD274" s="16"/>
      <c r="FE274" s="16"/>
      <c r="FF274" s="16"/>
      <c r="FG274" s="16"/>
      <c r="FH274" s="16"/>
      <c r="FI274" s="16"/>
      <c r="FJ274" s="16"/>
      <c r="FK274" s="16"/>
      <c r="FL274" s="16"/>
      <c r="FM274" s="16"/>
      <c r="FN274" s="16"/>
      <c r="FO274" s="16"/>
      <c r="FP274" s="16"/>
      <c r="FQ274" s="16"/>
      <c r="FR274" s="16"/>
      <c r="FU274" s="9"/>
      <c r="FV274" s="16"/>
      <c r="FW274" s="16"/>
      <c r="FX274" s="16"/>
      <c r="FY274" s="16"/>
      <c r="FZ274" s="16"/>
      <c r="GA274" s="16"/>
      <c r="GB274" s="16"/>
      <c r="GC274" s="16"/>
      <c r="GD274" s="16"/>
      <c r="GE274" s="16"/>
      <c r="GF274" s="16"/>
      <c r="GG274" s="16"/>
      <c r="GH274" s="16"/>
      <c r="GI274" s="16"/>
      <c r="GJ274" s="16"/>
      <c r="GK274" s="16"/>
      <c r="GL274" s="16"/>
      <c r="GM274" s="16"/>
      <c r="GN274" s="16"/>
      <c r="GO274" s="16"/>
      <c r="GP274" s="16"/>
      <c r="GS274" s="9"/>
      <c r="GT274" s="16"/>
      <c r="GU274" s="16"/>
      <c r="GV274" s="16"/>
      <c r="GW274" s="16"/>
      <c r="GX274" s="16"/>
      <c r="GY274" s="16"/>
      <c r="GZ274" s="16"/>
      <c r="HA274" s="16"/>
      <c r="HB274" s="16"/>
      <c r="HC274" s="16"/>
      <c r="HD274" s="16"/>
      <c r="HE274" s="16"/>
      <c r="HF274" s="16"/>
      <c r="HG274" s="16"/>
      <c r="HH274" s="16"/>
      <c r="HI274" s="16"/>
      <c r="HJ274" s="16"/>
      <c r="HK274" s="16"/>
      <c r="HL274" s="16"/>
      <c r="HM274" s="16"/>
      <c r="HN274" s="16"/>
      <c r="HQ274" s="9"/>
      <c r="HR274" s="16"/>
      <c r="HS274" s="16"/>
      <c r="HT274" s="16"/>
      <c r="HU274" s="16"/>
      <c r="HV274" s="16"/>
      <c r="HW274" s="16"/>
      <c r="HX274" s="16"/>
      <c r="HY274" s="16"/>
      <c r="HZ274" s="16"/>
      <c r="IA274" s="16"/>
      <c r="IB274" s="16"/>
      <c r="IC274" s="16"/>
      <c r="ID274" s="16"/>
      <c r="IE274" s="16"/>
      <c r="IF274" s="16"/>
      <c r="IG274" s="16"/>
      <c r="IH274" s="16"/>
      <c r="II274" s="16"/>
      <c r="IJ274" s="16"/>
      <c r="IK274" s="16"/>
      <c r="IL274" s="16"/>
      <c r="IO274" s="9"/>
      <c r="IP274" s="16"/>
      <c r="IQ274" s="16"/>
      <c r="IR274" s="16"/>
      <c r="IS274" s="16"/>
      <c r="IT274" s="16"/>
      <c r="IU274" s="16"/>
      <c r="IV274" s="16"/>
      <c r="IW274" s="16"/>
      <c r="IX274" s="16"/>
      <c r="IY274" s="16"/>
      <c r="IZ274" s="16"/>
      <c r="JA274" s="16"/>
      <c r="JB274" s="16"/>
      <c r="JC274" s="16"/>
      <c r="JD274" s="16"/>
      <c r="JE274" s="16"/>
      <c r="JF274" s="16"/>
      <c r="JG274" s="16"/>
      <c r="JH274" s="16"/>
      <c r="JI274" s="16"/>
      <c r="JJ274" s="16"/>
      <c r="JM274" s="9"/>
      <c r="JN274" s="16"/>
      <c r="JO274" s="16"/>
      <c r="JP274" s="16"/>
      <c r="JQ274" s="16"/>
      <c r="JR274" s="16"/>
      <c r="JS274" s="16"/>
      <c r="JT274" s="16"/>
      <c r="JU274" s="16"/>
      <c r="JV274" s="16"/>
      <c r="JW274" s="16"/>
      <c r="JX274" s="16"/>
      <c r="JY274" s="16"/>
      <c r="JZ274" s="16"/>
      <c r="KA274" s="16"/>
      <c r="KB274" s="16"/>
      <c r="KC274" s="16"/>
      <c r="KD274" s="16"/>
      <c r="KE274" s="16"/>
      <c r="KF274" s="16"/>
      <c r="KG274" s="16"/>
      <c r="KH274" s="16"/>
      <c r="KK274" s="9"/>
      <c r="KL274" s="16"/>
      <c r="KM274" s="16"/>
      <c r="KN274" s="16"/>
      <c r="KO274" s="16"/>
      <c r="KP274" s="16"/>
      <c r="KQ274" s="16"/>
      <c r="KR274" s="16"/>
      <c r="KS274" s="16"/>
      <c r="KT274" s="16"/>
      <c r="KU274" s="16"/>
      <c r="KV274" s="16"/>
      <c r="KW274" s="16"/>
      <c r="KX274" s="16"/>
      <c r="KY274" s="16"/>
      <c r="KZ274" s="16"/>
      <c r="LA274" s="16"/>
      <c r="LB274" s="16"/>
      <c r="LC274" s="16"/>
      <c r="LD274" s="16"/>
      <c r="LE274" s="16"/>
      <c r="LF274" s="16"/>
      <c r="LI274" s="9"/>
      <c r="LJ274" s="16"/>
      <c r="LK274" s="16"/>
      <c r="LL274" s="16"/>
      <c r="LM274" s="16"/>
      <c r="LN274" s="16"/>
      <c r="LO274" s="16"/>
      <c r="LP274" s="16"/>
      <c r="LQ274" s="16"/>
      <c r="LR274" s="16"/>
      <c r="LS274" s="16"/>
      <c r="LT274" s="16"/>
      <c r="LU274" s="16"/>
      <c r="LV274" s="16"/>
      <c r="LW274" s="16"/>
      <c r="LX274" s="16"/>
      <c r="LY274" s="16"/>
      <c r="LZ274" s="16"/>
      <c r="MA274" s="16"/>
      <c r="MB274" s="16"/>
      <c r="MC274" s="16"/>
      <c r="MD274" s="16"/>
      <c r="MG274" s="9"/>
      <c r="MH274" s="16"/>
      <c r="MI274" s="16"/>
      <c r="MJ274" s="16"/>
      <c r="MK274" s="16"/>
      <c r="ML274" s="16"/>
      <c r="MM274" s="16"/>
      <c r="MN274" s="16"/>
      <c r="MO274" s="16"/>
      <c r="MP274" s="16"/>
      <c r="MQ274" s="16"/>
      <c r="MR274" s="16"/>
      <c r="MS274" s="16"/>
      <c r="MT274" s="16"/>
      <c r="MU274" s="16"/>
      <c r="MV274" s="16"/>
      <c r="MW274" s="16"/>
      <c r="MX274" s="16"/>
      <c r="MY274" s="16"/>
      <c r="MZ274" s="16"/>
      <c r="NA274" s="16"/>
      <c r="NB274" s="16"/>
      <c r="NE274" s="9"/>
      <c r="NF274" s="16"/>
      <c r="NG274" s="16"/>
      <c r="NH274" s="16"/>
      <c r="NI274" s="16"/>
      <c r="NJ274" s="16"/>
      <c r="NK274" s="16"/>
      <c r="NL274" s="16"/>
      <c r="NM274" s="16"/>
      <c r="NN274" s="16"/>
      <c r="NO274" s="16"/>
      <c r="NP274" s="16"/>
      <c r="NQ274" s="16"/>
      <c r="NR274" s="16"/>
      <c r="NS274" s="16"/>
      <c r="NT274" s="16"/>
      <c r="NU274" s="16"/>
      <c r="NV274" s="16"/>
      <c r="NW274" s="16"/>
      <c r="NX274" s="16"/>
      <c r="NY274" s="16"/>
      <c r="NZ274" s="16"/>
      <c r="OC274" s="9"/>
      <c r="OD274" s="16"/>
      <c r="OE274" s="16"/>
      <c r="OF274" s="16"/>
      <c r="OG274" s="16"/>
      <c r="OH274" s="16"/>
      <c r="OI274" s="16"/>
      <c r="OJ274" s="16"/>
      <c r="OK274" s="16"/>
      <c r="OL274" s="16"/>
      <c r="OM274" s="16"/>
      <c r="ON274" s="16"/>
      <c r="OO274" s="16"/>
      <c r="OP274" s="16"/>
      <c r="OQ274" s="16"/>
      <c r="OR274" s="16"/>
      <c r="OS274" s="16"/>
      <c r="OT274" s="16"/>
      <c r="OU274" s="16"/>
      <c r="OV274" s="16"/>
      <c r="OW274" s="16"/>
      <c r="OX274" s="16"/>
      <c r="PA274" s="9"/>
      <c r="PB274" s="16"/>
      <c r="PC274" s="16"/>
      <c r="PD274" s="16"/>
      <c r="PE274" s="16"/>
      <c r="PF274" s="16"/>
      <c r="PG274" s="16"/>
      <c r="PH274" s="16"/>
      <c r="PI274" s="16"/>
      <c r="PJ274" s="16"/>
      <c r="PK274" s="16"/>
      <c r="PL274" s="16"/>
      <c r="PM274" s="16"/>
      <c r="PN274" s="16"/>
      <c r="PO274" s="16"/>
      <c r="PP274" s="16"/>
      <c r="PQ274" s="16"/>
      <c r="PR274" s="16"/>
      <c r="PS274" s="16"/>
      <c r="PT274" s="16"/>
      <c r="PU274" s="16"/>
      <c r="PV274" s="16"/>
    </row>
    <row r="275" spans="9:438" x14ac:dyDescent="0.25">
      <c r="I275" s="9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G275" s="9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E275" s="9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C275" s="9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DA275" s="9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Y275" s="9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W275" s="9"/>
      <c r="EX275" s="16"/>
      <c r="EY275" s="16"/>
      <c r="EZ275" s="16"/>
      <c r="FA275" s="16"/>
      <c r="FB275" s="16"/>
      <c r="FC275" s="16"/>
      <c r="FD275" s="16"/>
      <c r="FE275" s="16"/>
      <c r="FF275" s="16"/>
      <c r="FG275" s="16"/>
      <c r="FH275" s="16"/>
      <c r="FI275" s="16"/>
      <c r="FJ275" s="16"/>
      <c r="FK275" s="16"/>
      <c r="FL275" s="16"/>
      <c r="FM275" s="16"/>
      <c r="FN275" s="16"/>
      <c r="FO275" s="16"/>
      <c r="FP275" s="16"/>
      <c r="FQ275" s="16"/>
      <c r="FR275" s="16"/>
      <c r="FU275" s="9"/>
      <c r="FV275" s="16"/>
      <c r="FW275" s="16"/>
      <c r="FX275" s="16"/>
      <c r="FY275" s="16"/>
      <c r="FZ275" s="16"/>
      <c r="GA275" s="16"/>
      <c r="GB275" s="16"/>
      <c r="GC275" s="16"/>
      <c r="GD275" s="16"/>
      <c r="GE275" s="16"/>
      <c r="GF275" s="16"/>
      <c r="GG275" s="16"/>
      <c r="GH275" s="16"/>
      <c r="GI275" s="16"/>
      <c r="GJ275" s="16"/>
      <c r="GK275" s="16"/>
      <c r="GL275" s="16"/>
      <c r="GM275" s="16"/>
      <c r="GN275" s="16"/>
      <c r="GO275" s="16"/>
      <c r="GP275" s="16"/>
      <c r="GS275" s="9"/>
      <c r="GT275" s="16"/>
      <c r="GU275" s="16"/>
      <c r="GV275" s="16"/>
      <c r="GW275" s="16"/>
      <c r="GX275" s="16"/>
      <c r="GY275" s="16"/>
      <c r="GZ275" s="16"/>
      <c r="HA275" s="16"/>
      <c r="HB275" s="16"/>
      <c r="HC275" s="16"/>
      <c r="HD275" s="16"/>
      <c r="HE275" s="16"/>
      <c r="HF275" s="16"/>
      <c r="HG275" s="16"/>
      <c r="HH275" s="16"/>
      <c r="HI275" s="16"/>
      <c r="HJ275" s="16"/>
      <c r="HK275" s="16"/>
      <c r="HL275" s="16"/>
      <c r="HM275" s="16"/>
      <c r="HN275" s="16"/>
      <c r="HQ275" s="9"/>
      <c r="HR275" s="16"/>
      <c r="HS275" s="16"/>
      <c r="HT275" s="16"/>
      <c r="HU275" s="16"/>
      <c r="HV275" s="16"/>
      <c r="HW275" s="16"/>
      <c r="HX275" s="16"/>
      <c r="HY275" s="16"/>
      <c r="HZ275" s="16"/>
      <c r="IA275" s="16"/>
      <c r="IB275" s="16"/>
      <c r="IC275" s="16"/>
      <c r="ID275" s="16"/>
      <c r="IE275" s="16"/>
      <c r="IF275" s="16"/>
      <c r="IG275" s="16"/>
      <c r="IH275" s="16"/>
      <c r="II275" s="16"/>
      <c r="IJ275" s="16"/>
      <c r="IK275" s="16"/>
      <c r="IL275" s="16"/>
      <c r="IO275" s="9"/>
      <c r="IP275" s="16"/>
      <c r="IQ275" s="16"/>
      <c r="IR275" s="16"/>
      <c r="IS275" s="16"/>
      <c r="IT275" s="16"/>
      <c r="IU275" s="16"/>
      <c r="IV275" s="16"/>
      <c r="IW275" s="16"/>
      <c r="IX275" s="16"/>
      <c r="IY275" s="16"/>
      <c r="IZ275" s="16"/>
      <c r="JA275" s="16"/>
      <c r="JB275" s="16"/>
      <c r="JC275" s="16"/>
      <c r="JD275" s="16"/>
      <c r="JE275" s="16"/>
      <c r="JF275" s="16"/>
      <c r="JG275" s="16"/>
      <c r="JH275" s="16"/>
      <c r="JI275" s="16"/>
      <c r="JJ275" s="16"/>
      <c r="JM275" s="9"/>
      <c r="JN275" s="16"/>
      <c r="JO275" s="16"/>
      <c r="JP275" s="16"/>
      <c r="JQ275" s="16"/>
      <c r="JR275" s="16"/>
      <c r="JS275" s="16"/>
      <c r="JT275" s="16"/>
      <c r="JU275" s="16"/>
      <c r="JV275" s="16"/>
      <c r="JW275" s="16"/>
      <c r="JX275" s="16"/>
      <c r="JY275" s="16"/>
      <c r="JZ275" s="16"/>
      <c r="KA275" s="16"/>
      <c r="KB275" s="16"/>
      <c r="KC275" s="16"/>
      <c r="KD275" s="16"/>
      <c r="KE275" s="16"/>
      <c r="KF275" s="16"/>
      <c r="KG275" s="16"/>
      <c r="KH275" s="16"/>
      <c r="KK275" s="9"/>
      <c r="KL275" s="16"/>
      <c r="KM275" s="16"/>
      <c r="KN275" s="16"/>
      <c r="KO275" s="16"/>
      <c r="KP275" s="16"/>
      <c r="KQ275" s="16"/>
      <c r="KR275" s="16"/>
      <c r="KS275" s="16"/>
      <c r="KT275" s="16"/>
      <c r="KU275" s="16"/>
      <c r="KV275" s="16"/>
      <c r="KW275" s="16"/>
      <c r="KX275" s="16"/>
      <c r="KY275" s="16"/>
      <c r="KZ275" s="16"/>
      <c r="LA275" s="16"/>
      <c r="LB275" s="16"/>
      <c r="LC275" s="16"/>
      <c r="LD275" s="16"/>
      <c r="LE275" s="16"/>
      <c r="LF275" s="16"/>
      <c r="LI275" s="9"/>
      <c r="LJ275" s="16"/>
      <c r="LK275" s="16"/>
      <c r="LL275" s="16"/>
      <c r="LM275" s="16"/>
      <c r="LN275" s="16"/>
      <c r="LO275" s="16"/>
      <c r="LP275" s="16"/>
      <c r="LQ275" s="16"/>
      <c r="LR275" s="16"/>
      <c r="LS275" s="16"/>
      <c r="LT275" s="16"/>
      <c r="LU275" s="16"/>
      <c r="LV275" s="16"/>
      <c r="LW275" s="16"/>
      <c r="LX275" s="16"/>
      <c r="LY275" s="16"/>
      <c r="LZ275" s="16"/>
      <c r="MA275" s="16"/>
      <c r="MB275" s="16"/>
      <c r="MC275" s="16"/>
      <c r="MD275" s="16"/>
      <c r="MG275" s="9"/>
      <c r="MH275" s="16"/>
      <c r="MI275" s="16"/>
      <c r="MJ275" s="16"/>
      <c r="MK275" s="16"/>
      <c r="ML275" s="16"/>
      <c r="MM275" s="16"/>
      <c r="MN275" s="16"/>
      <c r="MO275" s="16"/>
      <c r="MP275" s="16"/>
      <c r="MQ275" s="16"/>
      <c r="MR275" s="16"/>
      <c r="MS275" s="16"/>
      <c r="MT275" s="16"/>
      <c r="MU275" s="16"/>
      <c r="MV275" s="16"/>
      <c r="MW275" s="16"/>
      <c r="MX275" s="16"/>
      <c r="MY275" s="16"/>
      <c r="MZ275" s="16"/>
      <c r="NA275" s="16"/>
      <c r="NB275" s="16"/>
      <c r="NE275" s="9"/>
      <c r="NF275" s="16"/>
      <c r="NG275" s="16"/>
      <c r="NH275" s="16"/>
      <c r="NI275" s="16"/>
      <c r="NJ275" s="16"/>
      <c r="NK275" s="16"/>
      <c r="NL275" s="16"/>
      <c r="NM275" s="16"/>
      <c r="NN275" s="16"/>
      <c r="NO275" s="16"/>
      <c r="NP275" s="16"/>
      <c r="NQ275" s="16"/>
      <c r="NR275" s="16"/>
      <c r="NS275" s="16"/>
      <c r="NT275" s="16"/>
      <c r="NU275" s="16"/>
      <c r="NV275" s="16"/>
      <c r="NW275" s="16"/>
      <c r="NX275" s="16"/>
      <c r="NY275" s="16"/>
      <c r="NZ275" s="16"/>
      <c r="OC275" s="9"/>
      <c r="OD275" s="16"/>
      <c r="OE275" s="16"/>
      <c r="OF275" s="16"/>
      <c r="OG275" s="16"/>
      <c r="OH275" s="16"/>
      <c r="OI275" s="16"/>
      <c r="OJ275" s="16"/>
      <c r="OK275" s="16"/>
      <c r="OL275" s="16"/>
      <c r="OM275" s="16"/>
      <c r="ON275" s="16"/>
      <c r="OO275" s="16"/>
      <c r="OP275" s="16"/>
      <c r="OQ275" s="16"/>
      <c r="OR275" s="16"/>
      <c r="OS275" s="16"/>
      <c r="OT275" s="16"/>
      <c r="OU275" s="16"/>
      <c r="OV275" s="16"/>
      <c r="OW275" s="16"/>
      <c r="OX275" s="16"/>
      <c r="PA275" s="9"/>
      <c r="PB275" s="16"/>
      <c r="PC275" s="16"/>
      <c r="PD275" s="16"/>
      <c r="PE275" s="16"/>
      <c r="PF275" s="16"/>
      <c r="PG275" s="16"/>
      <c r="PH275" s="16"/>
      <c r="PI275" s="16"/>
      <c r="PJ275" s="16"/>
      <c r="PK275" s="16"/>
      <c r="PL275" s="16"/>
      <c r="PM275" s="16"/>
      <c r="PN275" s="16"/>
      <c r="PO275" s="16"/>
      <c r="PP275" s="16"/>
      <c r="PQ275" s="16"/>
      <c r="PR275" s="16"/>
      <c r="PS275" s="16"/>
      <c r="PT275" s="16"/>
      <c r="PU275" s="16"/>
      <c r="PV275" s="16"/>
    </row>
    <row r="276" spans="9:438" x14ac:dyDescent="0.25">
      <c r="I276" s="9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G276" s="9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E276" s="9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C276" s="9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DA276" s="9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Y276" s="9"/>
      <c r="DZ276" s="16"/>
      <c r="EA276" s="16"/>
      <c r="EB276" s="16"/>
      <c r="EC276" s="16"/>
      <c r="ED276" s="16"/>
      <c r="EE276" s="16"/>
      <c r="EF276" s="16"/>
      <c r="EG276" s="16"/>
      <c r="EH276" s="16"/>
      <c r="EI276" s="16"/>
      <c r="EJ276" s="16"/>
      <c r="EK276" s="16"/>
      <c r="EL276" s="16"/>
      <c r="EM276" s="16"/>
      <c r="EN276" s="16"/>
      <c r="EO276" s="16"/>
      <c r="EP276" s="16"/>
      <c r="EQ276" s="16"/>
      <c r="ER276" s="16"/>
      <c r="ES276" s="16"/>
      <c r="ET276" s="16"/>
      <c r="EW276" s="9"/>
      <c r="EX276" s="16"/>
      <c r="EY276" s="16"/>
      <c r="EZ276" s="16"/>
      <c r="FA276" s="16"/>
      <c r="FB276" s="16"/>
      <c r="FC276" s="16"/>
      <c r="FD276" s="16"/>
      <c r="FE276" s="16"/>
      <c r="FF276" s="16"/>
      <c r="FG276" s="16"/>
      <c r="FH276" s="16"/>
      <c r="FI276" s="16"/>
      <c r="FJ276" s="16"/>
      <c r="FK276" s="16"/>
      <c r="FL276" s="16"/>
      <c r="FM276" s="16"/>
      <c r="FN276" s="16"/>
      <c r="FO276" s="16"/>
      <c r="FP276" s="16"/>
      <c r="FQ276" s="16"/>
      <c r="FR276" s="16"/>
      <c r="FU276" s="9"/>
      <c r="FV276" s="16"/>
      <c r="FW276" s="16"/>
      <c r="FX276" s="16"/>
      <c r="FY276" s="16"/>
      <c r="FZ276" s="16"/>
      <c r="GA276" s="16"/>
      <c r="GB276" s="16"/>
      <c r="GC276" s="16"/>
      <c r="GD276" s="16"/>
      <c r="GE276" s="16"/>
      <c r="GF276" s="16"/>
      <c r="GG276" s="16"/>
      <c r="GH276" s="16"/>
      <c r="GI276" s="16"/>
      <c r="GJ276" s="16"/>
      <c r="GK276" s="16"/>
      <c r="GL276" s="16"/>
      <c r="GM276" s="16"/>
      <c r="GN276" s="16"/>
      <c r="GO276" s="16"/>
      <c r="GP276" s="16"/>
      <c r="GS276" s="9"/>
      <c r="GT276" s="16"/>
      <c r="GU276" s="16"/>
      <c r="GV276" s="16"/>
      <c r="GW276" s="16"/>
      <c r="GX276" s="16"/>
      <c r="GY276" s="16"/>
      <c r="GZ276" s="16"/>
      <c r="HA276" s="16"/>
      <c r="HB276" s="16"/>
      <c r="HC276" s="16"/>
      <c r="HD276" s="16"/>
      <c r="HE276" s="16"/>
      <c r="HF276" s="16"/>
      <c r="HG276" s="16"/>
      <c r="HH276" s="16"/>
      <c r="HI276" s="16"/>
      <c r="HJ276" s="16"/>
      <c r="HK276" s="16"/>
      <c r="HL276" s="16"/>
      <c r="HM276" s="16"/>
      <c r="HN276" s="16"/>
      <c r="HQ276" s="9"/>
      <c r="HR276" s="16"/>
      <c r="HS276" s="16"/>
      <c r="HT276" s="16"/>
      <c r="HU276" s="16"/>
      <c r="HV276" s="16"/>
      <c r="HW276" s="16"/>
      <c r="HX276" s="16"/>
      <c r="HY276" s="16"/>
      <c r="HZ276" s="16"/>
      <c r="IA276" s="16"/>
      <c r="IB276" s="16"/>
      <c r="IC276" s="16"/>
      <c r="ID276" s="16"/>
      <c r="IE276" s="16"/>
      <c r="IF276" s="16"/>
      <c r="IG276" s="16"/>
      <c r="IH276" s="16"/>
      <c r="II276" s="16"/>
      <c r="IJ276" s="16"/>
      <c r="IK276" s="16"/>
      <c r="IL276" s="16"/>
      <c r="IO276" s="9"/>
      <c r="IP276" s="16"/>
      <c r="IQ276" s="16"/>
      <c r="IR276" s="16"/>
      <c r="IS276" s="16"/>
      <c r="IT276" s="16"/>
      <c r="IU276" s="16"/>
      <c r="IV276" s="16"/>
      <c r="IW276" s="16"/>
      <c r="IX276" s="16"/>
      <c r="IY276" s="16"/>
      <c r="IZ276" s="16"/>
      <c r="JA276" s="16"/>
      <c r="JB276" s="16"/>
      <c r="JC276" s="16"/>
      <c r="JD276" s="16"/>
      <c r="JE276" s="16"/>
      <c r="JF276" s="16"/>
      <c r="JG276" s="16"/>
      <c r="JH276" s="16"/>
      <c r="JI276" s="16"/>
      <c r="JJ276" s="16"/>
      <c r="JM276" s="9"/>
      <c r="JN276" s="16"/>
      <c r="JO276" s="16"/>
      <c r="JP276" s="16"/>
      <c r="JQ276" s="16"/>
      <c r="JR276" s="16"/>
      <c r="JS276" s="16"/>
      <c r="JT276" s="16"/>
      <c r="JU276" s="16"/>
      <c r="JV276" s="16"/>
      <c r="JW276" s="16"/>
      <c r="JX276" s="16"/>
      <c r="JY276" s="16"/>
      <c r="JZ276" s="16"/>
      <c r="KA276" s="16"/>
      <c r="KB276" s="16"/>
      <c r="KC276" s="16"/>
      <c r="KD276" s="16"/>
      <c r="KE276" s="16"/>
      <c r="KF276" s="16"/>
      <c r="KG276" s="16"/>
      <c r="KH276" s="16"/>
      <c r="KK276" s="9"/>
      <c r="KL276" s="16"/>
      <c r="KM276" s="16"/>
      <c r="KN276" s="16"/>
      <c r="KO276" s="16"/>
      <c r="KP276" s="16"/>
      <c r="KQ276" s="16"/>
      <c r="KR276" s="16"/>
      <c r="KS276" s="16"/>
      <c r="KT276" s="16"/>
      <c r="KU276" s="16"/>
      <c r="KV276" s="16"/>
      <c r="KW276" s="16"/>
      <c r="KX276" s="16"/>
      <c r="KY276" s="16"/>
      <c r="KZ276" s="16"/>
      <c r="LA276" s="16"/>
      <c r="LB276" s="16"/>
      <c r="LC276" s="16"/>
      <c r="LD276" s="16"/>
      <c r="LE276" s="16"/>
      <c r="LF276" s="16"/>
      <c r="LI276" s="9"/>
      <c r="LJ276" s="16"/>
      <c r="LK276" s="16"/>
      <c r="LL276" s="16"/>
      <c r="LM276" s="16"/>
      <c r="LN276" s="16"/>
      <c r="LO276" s="16"/>
      <c r="LP276" s="16"/>
      <c r="LQ276" s="16"/>
      <c r="LR276" s="16"/>
      <c r="LS276" s="16"/>
      <c r="LT276" s="16"/>
      <c r="LU276" s="16"/>
      <c r="LV276" s="16"/>
      <c r="LW276" s="16"/>
      <c r="LX276" s="16"/>
      <c r="LY276" s="16"/>
      <c r="LZ276" s="16"/>
      <c r="MA276" s="16"/>
      <c r="MB276" s="16"/>
      <c r="MC276" s="16"/>
      <c r="MD276" s="16"/>
      <c r="MG276" s="9"/>
      <c r="MH276" s="16"/>
      <c r="MI276" s="16"/>
      <c r="MJ276" s="16"/>
      <c r="MK276" s="16"/>
      <c r="ML276" s="16"/>
      <c r="MM276" s="16"/>
      <c r="MN276" s="16"/>
      <c r="MO276" s="16"/>
      <c r="MP276" s="16"/>
      <c r="MQ276" s="16"/>
      <c r="MR276" s="16"/>
      <c r="MS276" s="16"/>
      <c r="MT276" s="16"/>
      <c r="MU276" s="16"/>
      <c r="MV276" s="16"/>
      <c r="MW276" s="16"/>
      <c r="MX276" s="16"/>
      <c r="MY276" s="16"/>
      <c r="MZ276" s="16"/>
      <c r="NA276" s="16"/>
      <c r="NB276" s="16"/>
      <c r="NE276" s="9"/>
      <c r="NF276" s="16"/>
      <c r="NG276" s="16"/>
      <c r="NH276" s="16"/>
      <c r="NI276" s="16"/>
      <c r="NJ276" s="16"/>
      <c r="NK276" s="16"/>
      <c r="NL276" s="16"/>
      <c r="NM276" s="16"/>
      <c r="NN276" s="16"/>
      <c r="NO276" s="16"/>
      <c r="NP276" s="16"/>
      <c r="NQ276" s="16"/>
      <c r="NR276" s="16"/>
      <c r="NS276" s="16"/>
      <c r="NT276" s="16"/>
      <c r="NU276" s="16"/>
      <c r="NV276" s="16"/>
      <c r="NW276" s="16"/>
      <c r="NX276" s="16"/>
      <c r="NY276" s="16"/>
      <c r="NZ276" s="16"/>
      <c r="OC276" s="9"/>
      <c r="OD276" s="16"/>
      <c r="OE276" s="16"/>
      <c r="OF276" s="16"/>
      <c r="OG276" s="16"/>
      <c r="OH276" s="16"/>
      <c r="OI276" s="16"/>
      <c r="OJ276" s="16"/>
      <c r="OK276" s="16"/>
      <c r="OL276" s="16"/>
      <c r="OM276" s="16"/>
      <c r="ON276" s="16"/>
      <c r="OO276" s="16"/>
      <c r="OP276" s="16"/>
      <c r="OQ276" s="16"/>
      <c r="OR276" s="16"/>
      <c r="OS276" s="16"/>
      <c r="OT276" s="16"/>
      <c r="OU276" s="16"/>
      <c r="OV276" s="16"/>
      <c r="OW276" s="16"/>
      <c r="OX276" s="16"/>
      <c r="PA276" s="9"/>
      <c r="PB276" s="16"/>
      <c r="PC276" s="16"/>
      <c r="PD276" s="16"/>
      <c r="PE276" s="16"/>
      <c r="PF276" s="16"/>
      <c r="PG276" s="16"/>
      <c r="PH276" s="16"/>
      <c r="PI276" s="16"/>
      <c r="PJ276" s="16"/>
      <c r="PK276" s="16"/>
      <c r="PL276" s="16"/>
      <c r="PM276" s="16"/>
      <c r="PN276" s="16"/>
      <c r="PO276" s="16"/>
      <c r="PP276" s="16"/>
      <c r="PQ276" s="16"/>
      <c r="PR276" s="16"/>
      <c r="PS276" s="16"/>
      <c r="PT276" s="16"/>
      <c r="PU276" s="16"/>
      <c r="PV276" s="16"/>
    </row>
    <row r="277" spans="9:438" x14ac:dyDescent="0.25">
      <c r="I277" s="9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G277" s="9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E277" s="9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C277" s="9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DA277" s="9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Y277" s="9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W277" s="9"/>
      <c r="EX277" s="16"/>
      <c r="EY277" s="16"/>
      <c r="EZ277" s="16"/>
      <c r="FA277" s="16"/>
      <c r="FB277" s="16"/>
      <c r="FC277" s="16"/>
      <c r="FD277" s="16"/>
      <c r="FE277" s="16"/>
      <c r="FF277" s="16"/>
      <c r="FG277" s="16"/>
      <c r="FH277" s="16"/>
      <c r="FI277" s="16"/>
      <c r="FJ277" s="16"/>
      <c r="FK277" s="16"/>
      <c r="FL277" s="16"/>
      <c r="FM277" s="16"/>
      <c r="FN277" s="16"/>
      <c r="FO277" s="16"/>
      <c r="FP277" s="16"/>
      <c r="FQ277" s="16"/>
      <c r="FR277" s="16"/>
      <c r="FU277" s="9"/>
      <c r="FV277" s="16"/>
      <c r="FW277" s="16"/>
      <c r="FX277" s="16"/>
      <c r="FY277" s="16"/>
      <c r="FZ277" s="16"/>
      <c r="GA277" s="16"/>
      <c r="GB277" s="16"/>
      <c r="GC277" s="16"/>
      <c r="GD277" s="16"/>
      <c r="GE277" s="16"/>
      <c r="GF277" s="16"/>
      <c r="GG277" s="16"/>
      <c r="GH277" s="16"/>
      <c r="GI277" s="16"/>
      <c r="GJ277" s="16"/>
      <c r="GK277" s="16"/>
      <c r="GL277" s="16"/>
      <c r="GM277" s="16"/>
      <c r="GN277" s="16"/>
      <c r="GO277" s="16"/>
      <c r="GP277" s="16"/>
      <c r="GS277" s="9"/>
      <c r="GT277" s="16"/>
      <c r="GU277" s="16"/>
      <c r="GV277" s="16"/>
      <c r="GW277" s="16"/>
      <c r="GX277" s="16"/>
      <c r="GY277" s="16"/>
      <c r="GZ277" s="16"/>
      <c r="HA277" s="16"/>
      <c r="HB277" s="16"/>
      <c r="HC277" s="16"/>
      <c r="HD277" s="16"/>
      <c r="HE277" s="16"/>
      <c r="HF277" s="16"/>
      <c r="HG277" s="16"/>
      <c r="HH277" s="16"/>
      <c r="HI277" s="16"/>
      <c r="HJ277" s="16"/>
      <c r="HK277" s="16"/>
      <c r="HL277" s="16"/>
      <c r="HM277" s="16"/>
      <c r="HN277" s="16"/>
      <c r="HQ277" s="9"/>
      <c r="HR277" s="16"/>
      <c r="HS277" s="16"/>
      <c r="HT277" s="16"/>
      <c r="HU277" s="16"/>
      <c r="HV277" s="16"/>
      <c r="HW277" s="16"/>
      <c r="HX277" s="16"/>
      <c r="HY277" s="16"/>
      <c r="HZ277" s="16"/>
      <c r="IA277" s="16"/>
      <c r="IB277" s="16"/>
      <c r="IC277" s="16"/>
      <c r="ID277" s="16"/>
      <c r="IE277" s="16"/>
      <c r="IF277" s="16"/>
      <c r="IG277" s="16"/>
      <c r="IH277" s="16"/>
      <c r="II277" s="16"/>
      <c r="IJ277" s="16"/>
      <c r="IK277" s="16"/>
      <c r="IL277" s="16"/>
      <c r="IO277" s="9"/>
      <c r="IP277" s="16"/>
      <c r="IQ277" s="16"/>
      <c r="IR277" s="16"/>
      <c r="IS277" s="16"/>
      <c r="IT277" s="16"/>
      <c r="IU277" s="16"/>
      <c r="IV277" s="16"/>
      <c r="IW277" s="16"/>
      <c r="IX277" s="16"/>
      <c r="IY277" s="16"/>
      <c r="IZ277" s="16"/>
      <c r="JA277" s="16"/>
      <c r="JB277" s="16"/>
      <c r="JC277" s="16"/>
      <c r="JD277" s="16"/>
      <c r="JE277" s="16"/>
      <c r="JF277" s="16"/>
      <c r="JG277" s="16"/>
      <c r="JH277" s="16"/>
      <c r="JI277" s="16"/>
      <c r="JJ277" s="16"/>
      <c r="JM277" s="9"/>
      <c r="JN277" s="16"/>
      <c r="JO277" s="16"/>
      <c r="JP277" s="16"/>
      <c r="JQ277" s="16"/>
      <c r="JR277" s="16"/>
      <c r="JS277" s="16"/>
      <c r="JT277" s="16"/>
      <c r="JU277" s="16"/>
      <c r="JV277" s="16"/>
      <c r="JW277" s="16"/>
      <c r="JX277" s="16"/>
      <c r="JY277" s="16"/>
      <c r="JZ277" s="16"/>
      <c r="KA277" s="16"/>
      <c r="KB277" s="16"/>
      <c r="KC277" s="16"/>
      <c r="KD277" s="16"/>
      <c r="KE277" s="16"/>
      <c r="KF277" s="16"/>
      <c r="KG277" s="16"/>
      <c r="KH277" s="16"/>
      <c r="KK277" s="9"/>
      <c r="KL277" s="16"/>
      <c r="KM277" s="16"/>
      <c r="KN277" s="16"/>
      <c r="KO277" s="16"/>
      <c r="KP277" s="16"/>
      <c r="KQ277" s="16"/>
      <c r="KR277" s="16"/>
      <c r="KS277" s="16"/>
      <c r="KT277" s="16"/>
      <c r="KU277" s="16"/>
      <c r="KV277" s="16"/>
      <c r="KW277" s="16"/>
      <c r="KX277" s="16"/>
      <c r="KY277" s="16"/>
      <c r="KZ277" s="16"/>
      <c r="LA277" s="16"/>
      <c r="LB277" s="16"/>
      <c r="LC277" s="16"/>
      <c r="LD277" s="16"/>
      <c r="LE277" s="16"/>
      <c r="LF277" s="16"/>
      <c r="LI277" s="9"/>
      <c r="LJ277" s="16"/>
      <c r="LK277" s="16"/>
      <c r="LL277" s="16"/>
      <c r="LM277" s="16"/>
      <c r="LN277" s="16"/>
      <c r="LO277" s="16"/>
      <c r="LP277" s="16"/>
      <c r="LQ277" s="16"/>
      <c r="LR277" s="16"/>
      <c r="LS277" s="16"/>
      <c r="LT277" s="16"/>
      <c r="LU277" s="16"/>
      <c r="LV277" s="16"/>
      <c r="LW277" s="16"/>
      <c r="LX277" s="16"/>
      <c r="LY277" s="16"/>
      <c r="LZ277" s="16"/>
      <c r="MA277" s="16"/>
      <c r="MB277" s="16"/>
      <c r="MC277" s="16"/>
      <c r="MD277" s="16"/>
      <c r="MG277" s="9"/>
      <c r="MH277" s="16"/>
      <c r="MI277" s="16"/>
      <c r="MJ277" s="16"/>
      <c r="MK277" s="16"/>
      <c r="ML277" s="16"/>
      <c r="MM277" s="16"/>
      <c r="MN277" s="16"/>
      <c r="MO277" s="16"/>
      <c r="MP277" s="16"/>
      <c r="MQ277" s="16"/>
      <c r="MR277" s="16"/>
      <c r="MS277" s="16"/>
      <c r="MT277" s="16"/>
      <c r="MU277" s="16"/>
      <c r="MV277" s="16"/>
      <c r="MW277" s="16"/>
      <c r="MX277" s="16"/>
      <c r="MY277" s="16"/>
      <c r="MZ277" s="16"/>
      <c r="NA277" s="16"/>
      <c r="NB277" s="16"/>
      <c r="NE277" s="9"/>
      <c r="NF277" s="16"/>
      <c r="NG277" s="16"/>
      <c r="NH277" s="16"/>
      <c r="NI277" s="16"/>
      <c r="NJ277" s="16"/>
      <c r="NK277" s="16"/>
      <c r="NL277" s="16"/>
      <c r="NM277" s="16"/>
      <c r="NN277" s="16"/>
      <c r="NO277" s="16"/>
      <c r="NP277" s="16"/>
      <c r="NQ277" s="16"/>
      <c r="NR277" s="16"/>
      <c r="NS277" s="16"/>
      <c r="NT277" s="16"/>
      <c r="NU277" s="16"/>
      <c r="NV277" s="16"/>
      <c r="NW277" s="16"/>
      <c r="NX277" s="16"/>
      <c r="NY277" s="16"/>
      <c r="NZ277" s="16"/>
      <c r="OC277" s="9"/>
      <c r="OD277" s="16"/>
      <c r="OE277" s="16"/>
      <c r="OF277" s="16"/>
      <c r="OG277" s="16"/>
      <c r="OH277" s="16"/>
      <c r="OI277" s="16"/>
      <c r="OJ277" s="16"/>
      <c r="OK277" s="16"/>
      <c r="OL277" s="16"/>
      <c r="OM277" s="16"/>
      <c r="ON277" s="16"/>
      <c r="OO277" s="16"/>
      <c r="OP277" s="16"/>
      <c r="OQ277" s="16"/>
      <c r="OR277" s="16"/>
      <c r="OS277" s="16"/>
      <c r="OT277" s="16"/>
      <c r="OU277" s="16"/>
      <c r="OV277" s="16"/>
      <c r="OW277" s="16"/>
      <c r="OX277" s="16"/>
      <c r="PA277" s="9"/>
      <c r="PB277" s="16"/>
      <c r="PC277" s="16"/>
      <c r="PD277" s="16"/>
      <c r="PE277" s="16"/>
      <c r="PF277" s="16"/>
      <c r="PG277" s="16"/>
      <c r="PH277" s="16"/>
      <c r="PI277" s="16"/>
      <c r="PJ277" s="16"/>
      <c r="PK277" s="16"/>
      <c r="PL277" s="16"/>
      <c r="PM277" s="16"/>
      <c r="PN277" s="16"/>
      <c r="PO277" s="16"/>
      <c r="PP277" s="16"/>
      <c r="PQ277" s="16"/>
      <c r="PR277" s="16"/>
      <c r="PS277" s="16"/>
      <c r="PT277" s="16"/>
      <c r="PU277" s="16"/>
      <c r="PV277" s="16"/>
    </row>
    <row r="278" spans="9:438" x14ac:dyDescent="0.25">
      <c r="I278" s="9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G278" s="9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E278" s="9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C278" s="9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DA278" s="9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Y278" s="9"/>
      <c r="DZ278" s="16"/>
      <c r="EA278" s="16"/>
      <c r="EB278" s="16"/>
      <c r="EC278" s="16"/>
      <c r="ED278" s="16"/>
      <c r="EE278" s="16"/>
      <c r="EF278" s="16"/>
      <c r="EG278" s="16"/>
      <c r="EH278" s="16"/>
      <c r="EI278" s="16"/>
      <c r="EJ278" s="16"/>
      <c r="EK278" s="16"/>
      <c r="EL278" s="16"/>
      <c r="EM278" s="16"/>
      <c r="EN278" s="16"/>
      <c r="EO278" s="16"/>
      <c r="EP278" s="16"/>
      <c r="EQ278" s="16"/>
      <c r="ER278" s="16"/>
      <c r="ES278" s="16"/>
      <c r="ET278" s="16"/>
      <c r="EW278" s="9"/>
      <c r="EX278" s="16"/>
      <c r="EY278" s="16"/>
      <c r="EZ278" s="16"/>
      <c r="FA278" s="16"/>
      <c r="FB278" s="16"/>
      <c r="FC278" s="16"/>
      <c r="FD278" s="16"/>
      <c r="FE278" s="16"/>
      <c r="FF278" s="16"/>
      <c r="FG278" s="16"/>
      <c r="FH278" s="16"/>
      <c r="FI278" s="16"/>
      <c r="FJ278" s="16"/>
      <c r="FK278" s="16"/>
      <c r="FL278" s="16"/>
      <c r="FM278" s="16"/>
      <c r="FN278" s="16"/>
      <c r="FO278" s="16"/>
      <c r="FP278" s="16"/>
      <c r="FQ278" s="16"/>
      <c r="FR278" s="16"/>
      <c r="FU278" s="9"/>
      <c r="FV278" s="16"/>
      <c r="FW278" s="16"/>
      <c r="FX278" s="16"/>
      <c r="FY278" s="16"/>
      <c r="FZ278" s="16"/>
      <c r="GA278" s="16"/>
      <c r="GB278" s="16"/>
      <c r="GC278" s="16"/>
      <c r="GD278" s="16"/>
      <c r="GE278" s="16"/>
      <c r="GF278" s="16"/>
      <c r="GG278" s="16"/>
      <c r="GH278" s="16"/>
      <c r="GI278" s="16"/>
      <c r="GJ278" s="16"/>
      <c r="GK278" s="16"/>
      <c r="GL278" s="16"/>
      <c r="GM278" s="16"/>
      <c r="GN278" s="16"/>
      <c r="GO278" s="16"/>
      <c r="GP278" s="16"/>
      <c r="GS278" s="9"/>
      <c r="GT278" s="16"/>
      <c r="GU278" s="16"/>
      <c r="GV278" s="16"/>
      <c r="GW278" s="16"/>
      <c r="GX278" s="16"/>
      <c r="GY278" s="16"/>
      <c r="GZ278" s="16"/>
      <c r="HA278" s="16"/>
      <c r="HB278" s="16"/>
      <c r="HC278" s="16"/>
      <c r="HD278" s="16"/>
      <c r="HE278" s="16"/>
      <c r="HF278" s="16"/>
      <c r="HG278" s="16"/>
      <c r="HH278" s="16"/>
      <c r="HI278" s="16"/>
      <c r="HJ278" s="16"/>
      <c r="HK278" s="16"/>
      <c r="HL278" s="16"/>
      <c r="HM278" s="16"/>
      <c r="HN278" s="16"/>
      <c r="HQ278" s="9"/>
      <c r="HR278" s="16"/>
      <c r="HS278" s="16"/>
      <c r="HT278" s="16"/>
      <c r="HU278" s="16"/>
      <c r="HV278" s="16"/>
      <c r="HW278" s="16"/>
      <c r="HX278" s="16"/>
      <c r="HY278" s="16"/>
      <c r="HZ278" s="16"/>
      <c r="IA278" s="16"/>
      <c r="IB278" s="16"/>
      <c r="IC278" s="16"/>
      <c r="ID278" s="16"/>
      <c r="IE278" s="16"/>
      <c r="IF278" s="16"/>
      <c r="IG278" s="16"/>
      <c r="IH278" s="16"/>
      <c r="II278" s="16"/>
      <c r="IJ278" s="16"/>
      <c r="IK278" s="16"/>
      <c r="IL278" s="16"/>
      <c r="IO278" s="9"/>
      <c r="IP278" s="16"/>
      <c r="IQ278" s="16"/>
      <c r="IR278" s="16"/>
      <c r="IS278" s="16"/>
      <c r="IT278" s="16"/>
      <c r="IU278" s="16"/>
      <c r="IV278" s="16"/>
      <c r="IW278" s="16"/>
      <c r="IX278" s="16"/>
      <c r="IY278" s="16"/>
      <c r="IZ278" s="16"/>
      <c r="JA278" s="16"/>
      <c r="JB278" s="16"/>
      <c r="JC278" s="16"/>
      <c r="JD278" s="16"/>
      <c r="JE278" s="16"/>
      <c r="JF278" s="16"/>
      <c r="JG278" s="16"/>
      <c r="JH278" s="16"/>
      <c r="JI278" s="16"/>
      <c r="JJ278" s="16"/>
      <c r="JM278" s="9"/>
      <c r="JN278" s="16"/>
      <c r="JO278" s="16"/>
      <c r="JP278" s="16"/>
      <c r="JQ278" s="16"/>
      <c r="JR278" s="16"/>
      <c r="JS278" s="16"/>
      <c r="JT278" s="16"/>
      <c r="JU278" s="16"/>
      <c r="JV278" s="16"/>
      <c r="JW278" s="16"/>
      <c r="JX278" s="16"/>
      <c r="JY278" s="16"/>
      <c r="JZ278" s="16"/>
      <c r="KA278" s="16"/>
      <c r="KB278" s="16"/>
      <c r="KC278" s="16"/>
      <c r="KD278" s="16"/>
      <c r="KE278" s="16"/>
      <c r="KF278" s="16"/>
      <c r="KG278" s="16"/>
      <c r="KH278" s="16"/>
      <c r="KK278" s="9"/>
      <c r="KL278" s="16"/>
      <c r="KM278" s="16"/>
      <c r="KN278" s="16"/>
      <c r="KO278" s="16"/>
      <c r="KP278" s="16"/>
      <c r="KQ278" s="16"/>
      <c r="KR278" s="16"/>
      <c r="KS278" s="16"/>
      <c r="KT278" s="16"/>
      <c r="KU278" s="16"/>
      <c r="KV278" s="16"/>
      <c r="KW278" s="16"/>
      <c r="KX278" s="16"/>
      <c r="KY278" s="16"/>
      <c r="KZ278" s="16"/>
      <c r="LA278" s="16"/>
      <c r="LB278" s="16"/>
      <c r="LC278" s="16"/>
      <c r="LD278" s="16"/>
      <c r="LE278" s="16"/>
      <c r="LF278" s="16"/>
      <c r="LI278" s="9"/>
      <c r="LJ278" s="16"/>
      <c r="LK278" s="16"/>
      <c r="LL278" s="16"/>
      <c r="LM278" s="16"/>
      <c r="LN278" s="16"/>
      <c r="LO278" s="16"/>
      <c r="LP278" s="16"/>
      <c r="LQ278" s="16"/>
      <c r="LR278" s="16"/>
      <c r="LS278" s="16"/>
      <c r="LT278" s="16"/>
      <c r="LU278" s="16"/>
      <c r="LV278" s="16"/>
      <c r="LW278" s="16"/>
      <c r="LX278" s="16"/>
      <c r="LY278" s="16"/>
      <c r="LZ278" s="16"/>
      <c r="MA278" s="16"/>
      <c r="MB278" s="16"/>
      <c r="MC278" s="16"/>
      <c r="MD278" s="16"/>
      <c r="MG278" s="9"/>
      <c r="MH278" s="16"/>
      <c r="MI278" s="16"/>
      <c r="MJ278" s="16"/>
      <c r="MK278" s="16"/>
      <c r="ML278" s="16"/>
      <c r="MM278" s="16"/>
      <c r="MN278" s="16"/>
      <c r="MO278" s="16"/>
      <c r="MP278" s="16"/>
      <c r="MQ278" s="16"/>
      <c r="MR278" s="16"/>
      <c r="MS278" s="16"/>
      <c r="MT278" s="16"/>
      <c r="MU278" s="16"/>
      <c r="MV278" s="16"/>
      <c r="MW278" s="16"/>
      <c r="MX278" s="16"/>
      <c r="MY278" s="16"/>
      <c r="MZ278" s="16"/>
      <c r="NA278" s="16"/>
      <c r="NB278" s="16"/>
      <c r="NE278" s="9"/>
      <c r="NF278" s="16"/>
      <c r="NG278" s="16"/>
      <c r="NH278" s="16"/>
      <c r="NI278" s="16"/>
      <c r="NJ278" s="16"/>
      <c r="NK278" s="16"/>
      <c r="NL278" s="16"/>
      <c r="NM278" s="16"/>
      <c r="NN278" s="16"/>
      <c r="NO278" s="16"/>
      <c r="NP278" s="16"/>
      <c r="NQ278" s="16"/>
      <c r="NR278" s="16"/>
      <c r="NS278" s="16"/>
      <c r="NT278" s="16"/>
      <c r="NU278" s="16"/>
      <c r="NV278" s="16"/>
      <c r="NW278" s="16"/>
      <c r="NX278" s="16"/>
      <c r="NY278" s="16"/>
      <c r="NZ278" s="16"/>
      <c r="OC278" s="9"/>
      <c r="OD278" s="16"/>
      <c r="OE278" s="16"/>
      <c r="OF278" s="16"/>
      <c r="OG278" s="16"/>
      <c r="OH278" s="16"/>
      <c r="OI278" s="16"/>
      <c r="OJ278" s="16"/>
      <c r="OK278" s="16"/>
      <c r="OL278" s="16"/>
      <c r="OM278" s="16"/>
      <c r="ON278" s="16"/>
      <c r="OO278" s="16"/>
      <c r="OP278" s="16"/>
      <c r="OQ278" s="16"/>
      <c r="OR278" s="16"/>
      <c r="OS278" s="16"/>
      <c r="OT278" s="16"/>
      <c r="OU278" s="16"/>
      <c r="OV278" s="16"/>
      <c r="OW278" s="16"/>
      <c r="OX278" s="16"/>
      <c r="PA278" s="9"/>
      <c r="PB278" s="16"/>
      <c r="PC278" s="16"/>
      <c r="PD278" s="16"/>
      <c r="PE278" s="16"/>
      <c r="PF278" s="16"/>
      <c r="PG278" s="16"/>
      <c r="PH278" s="16"/>
      <c r="PI278" s="16"/>
      <c r="PJ278" s="16"/>
      <c r="PK278" s="16"/>
      <c r="PL278" s="16"/>
      <c r="PM278" s="16"/>
      <c r="PN278" s="16"/>
      <c r="PO278" s="16"/>
      <c r="PP278" s="16"/>
      <c r="PQ278" s="16"/>
      <c r="PR278" s="16"/>
      <c r="PS278" s="16"/>
      <c r="PT278" s="16"/>
      <c r="PU278" s="16"/>
      <c r="PV278" s="16"/>
    </row>
    <row r="279" spans="9:438" x14ac:dyDescent="0.25">
      <c r="I279" s="9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G279" s="9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E279" s="9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C279" s="9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DA279" s="9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Y279" s="9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W279" s="9"/>
      <c r="EX279" s="16"/>
      <c r="EY279" s="16"/>
      <c r="EZ279" s="16"/>
      <c r="FA279" s="16"/>
      <c r="FB279" s="16"/>
      <c r="FC279" s="16"/>
      <c r="FD279" s="16"/>
      <c r="FE279" s="16"/>
      <c r="FF279" s="16"/>
      <c r="FG279" s="16"/>
      <c r="FH279" s="16"/>
      <c r="FI279" s="16"/>
      <c r="FJ279" s="16"/>
      <c r="FK279" s="16"/>
      <c r="FL279" s="16"/>
      <c r="FM279" s="16"/>
      <c r="FN279" s="16"/>
      <c r="FO279" s="16"/>
      <c r="FP279" s="16"/>
      <c r="FQ279" s="16"/>
      <c r="FR279" s="16"/>
      <c r="FU279" s="9"/>
      <c r="FV279" s="16"/>
      <c r="FW279" s="16"/>
      <c r="FX279" s="16"/>
      <c r="FY279" s="16"/>
      <c r="FZ279" s="16"/>
      <c r="GA279" s="16"/>
      <c r="GB279" s="16"/>
      <c r="GC279" s="16"/>
      <c r="GD279" s="16"/>
      <c r="GE279" s="16"/>
      <c r="GF279" s="16"/>
      <c r="GG279" s="16"/>
      <c r="GH279" s="16"/>
      <c r="GI279" s="16"/>
      <c r="GJ279" s="16"/>
      <c r="GK279" s="16"/>
      <c r="GL279" s="16"/>
      <c r="GM279" s="16"/>
      <c r="GN279" s="16"/>
      <c r="GO279" s="16"/>
      <c r="GP279" s="16"/>
      <c r="GS279" s="9"/>
      <c r="GT279" s="16"/>
      <c r="GU279" s="16"/>
      <c r="GV279" s="16"/>
      <c r="GW279" s="16"/>
      <c r="GX279" s="16"/>
      <c r="GY279" s="16"/>
      <c r="GZ279" s="16"/>
      <c r="HA279" s="16"/>
      <c r="HB279" s="16"/>
      <c r="HC279" s="16"/>
      <c r="HD279" s="16"/>
      <c r="HE279" s="16"/>
      <c r="HF279" s="16"/>
      <c r="HG279" s="16"/>
      <c r="HH279" s="16"/>
      <c r="HI279" s="16"/>
      <c r="HJ279" s="16"/>
      <c r="HK279" s="16"/>
      <c r="HL279" s="16"/>
      <c r="HM279" s="16"/>
      <c r="HN279" s="16"/>
      <c r="HQ279" s="9"/>
      <c r="HR279" s="16"/>
      <c r="HS279" s="16"/>
      <c r="HT279" s="16"/>
      <c r="HU279" s="16"/>
      <c r="HV279" s="16"/>
      <c r="HW279" s="16"/>
      <c r="HX279" s="16"/>
      <c r="HY279" s="16"/>
      <c r="HZ279" s="16"/>
      <c r="IA279" s="16"/>
      <c r="IB279" s="16"/>
      <c r="IC279" s="16"/>
      <c r="ID279" s="16"/>
      <c r="IE279" s="16"/>
      <c r="IF279" s="16"/>
      <c r="IG279" s="16"/>
      <c r="IH279" s="16"/>
      <c r="II279" s="16"/>
      <c r="IJ279" s="16"/>
      <c r="IK279" s="16"/>
      <c r="IL279" s="16"/>
      <c r="IO279" s="9"/>
      <c r="IP279" s="16"/>
      <c r="IQ279" s="16"/>
      <c r="IR279" s="16"/>
      <c r="IS279" s="16"/>
      <c r="IT279" s="16"/>
      <c r="IU279" s="16"/>
      <c r="IV279" s="16"/>
      <c r="IW279" s="16"/>
      <c r="IX279" s="16"/>
      <c r="IY279" s="16"/>
      <c r="IZ279" s="16"/>
      <c r="JA279" s="16"/>
      <c r="JB279" s="16"/>
      <c r="JC279" s="16"/>
      <c r="JD279" s="16"/>
      <c r="JE279" s="16"/>
      <c r="JF279" s="16"/>
      <c r="JG279" s="16"/>
      <c r="JH279" s="16"/>
      <c r="JI279" s="16"/>
      <c r="JJ279" s="16"/>
      <c r="JM279" s="9"/>
      <c r="JN279" s="16"/>
      <c r="JO279" s="16"/>
      <c r="JP279" s="16"/>
      <c r="JQ279" s="16"/>
      <c r="JR279" s="16"/>
      <c r="JS279" s="16"/>
      <c r="JT279" s="16"/>
      <c r="JU279" s="16"/>
      <c r="JV279" s="16"/>
      <c r="JW279" s="16"/>
      <c r="JX279" s="16"/>
      <c r="JY279" s="16"/>
      <c r="JZ279" s="16"/>
      <c r="KA279" s="16"/>
      <c r="KB279" s="16"/>
      <c r="KC279" s="16"/>
      <c r="KD279" s="16"/>
      <c r="KE279" s="16"/>
      <c r="KF279" s="16"/>
      <c r="KG279" s="16"/>
      <c r="KH279" s="16"/>
      <c r="KK279" s="9"/>
      <c r="KL279" s="16"/>
      <c r="KM279" s="16"/>
      <c r="KN279" s="16"/>
      <c r="KO279" s="16"/>
      <c r="KP279" s="16"/>
      <c r="KQ279" s="16"/>
      <c r="KR279" s="16"/>
      <c r="KS279" s="16"/>
      <c r="KT279" s="16"/>
      <c r="KU279" s="16"/>
      <c r="KV279" s="16"/>
      <c r="KW279" s="16"/>
      <c r="KX279" s="16"/>
      <c r="KY279" s="16"/>
      <c r="KZ279" s="16"/>
      <c r="LA279" s="16"/>
      <c r="LB279" s="16"/>
      <c r="LC279" s="16"/>
      <c r="LD279" s="16"/>
      <c r="LE279" s="16"/>
      <c r="LF279" s="16"/>
      <c r="LI279" s="9"/>
      <c r="LJ279" s="16"/>
      <c r="LK279" s="16"/>
      <c r="LL279" s="16"/>
      <c r="LM279" s="16"/>
      <c r="LN279" s="16"/>
      <c r="LO279" s="16"/>
      <c r="LP279" s="16"/>
      <c r="LQ279" s="16"/>
      <c r="LR279" s="16"/>
      <c r="LS279" s="16"/>
      <c r="LT279" s="16"/>
      <c r="LU279" s="16"/>
      <c r="LV279" s="16"/>
      <c r="LW279" s="16"/>
      <c r="LX279" s="16"/>
      <c r="LY279" s="16"/>
      <c r="LZ279" s="16"/>
      <c r="MA279" s="16"/>
      <c r="MB279" s="16"/>
      <c r="MC279" s="16"/>
      <c r="MD279" s="16"/>
      <c r="MG279" s="9"/>
      <c r="MH279" s="16"/>
      <c r="MI279" s="16"/>
      <c r="MJ279" s="16"/>
      <c r="MK279" s="16"/>
      <c r="ML279" s="16"/>
      <c r="MM279" s="16"/>
      <c r="MN279" s="16"/>
      <c r="MO279" s="16"/>
      <c r="MP279" s="16"/>
      <c r="MQ279" s="16"/>
      <c r="MR279" s="16"/>
      <c r="MS279" s="16"/>
      <c r="MT279" s="16"/>
      <c r="MU279" s="16"/>
      <c r="MV279" s="16"/>
      <c r="MW279" s="16"/>
      <c r="MX279" s="16"/>
      <c r="MY279" s="16"/>
      <c r="MZ279" s="16"/>
      <c r="NA279" s="16"/>
      <c r="NB279" s="16"/>
      <c r="NE279" s="9"/>
      <c r="NF279" s="16"/>
      <c r="NG279" s="16"/>
      <c r="NH279" s="16"/>
      <c r="NI279" s="16"/>
      <c r="NJ279" s="16"/>
      <c r="NK279" s="16"/>
      <c r="NL279" s="16"/>
      <c r="NM279" s="16"/>
      <c r="NN279" s="16"/>
      <c r="NO279" s="16"/>
      <c r="NP279" s="16"/>
      <c r="NQ279" s="16"/>
      <c r="NR279" s="16"/>
      <c r="NS279" s="16"/>
      <c r="NT279" s="16"/>
      <c r="NU279" s="16"/>
      <c r="NV279" s="16"/>
      <c r="NW279" s="16"/>
      <c r="NX279" s="16"/>
      <c r="NY279" s="16"/>
      <c r="NZ279" s="16"/>
      <c r="OC279" s="9"/>
      <c r="OD279" s="16"/>
      <c r="OE279" s="16"/>
      <c r="OF279" s="16"/>
      <c r="OG279" s="16"/>
      <c r="OH279" s="16"/>
      <c r="OI279" s="16"/>
      <c r="OJ279" s="16"/>
      <c r="OK279" s="16"/>
      <c r="OL279" s="16"/>
      <c r="OM279" s="16"/>
      <c r="ON279" s="16"/>
      <c r="OO279" s="16"/>
      <c r="OP279" s="16"/>
      <c r="OQ279" s="16"/>
      <c r="OR279" s="16"/>
      <c r="OS279" s="16"/>
      <c r="OT279" s="16"/>
      <c r="OU279" s="16"/>
      <c r="OV279" s="16"/>
      <c r="OW279" s="16"/>
      <c r="OX279" s="16"/>
      <c r="PA279" s="9"/>
      <c r="PB279" s="16"/>
      <c r="PC279" s="16"/>
      <c r="PD279" s="16"/>
      <c r="PE279" s="16"/>
      <c r="PF279" s="16"/>
      <c r="PG279" s="16"/>
      <c r="PH279" s="16"/>
      <c r="PI279" s="16"/>
      <c r="PJ279" s="16"/>
      <c r="PK279" s="16"/>
      <c r="PL279" s="16"/>
      <c r="PM279" s="16"/>
      <c r="PN279" s="16"/>
      <c r="PO279" s="16"/>
      <c r="PP279" s="16"/>
      <c r="PQ279" s="16"/>
      <c r="PR279" s="16"/>
      <c r="PS279" s="16"/>
      <c r="PT279" s="16"/>
      <c r="PU279" s="16"/>
      <c r="PV279" s="16"/>
    </row>
    <row r="280" spans="9:438" x14ac:dyDescent="0.25">
      <c r="I280" s="9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G280" s="9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E280" s="9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C280" s="9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DA280" s="9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Y280" s="9"/>
      <c r="DZ280" s="16"/>
      <c r="EA280" s="16"/>
      <c r="EB280" s="16"/>
      <c r="EC280" s="16"/>
      <c r="ED280" s="16"/>
      <c r="EE280" s="16"/>
      <c r="EF280" s="16"/>
      <c r="EG280" s="16"/>
      <c r="EH280" s="16"/>
      <c r="EI280" s="16"/>
      <c r="EJ280" s="16"/>
      <c r="EK280" s="16"/>
      <c r="EL280" s="16"/>
      <c r="EM280" s="16"/>
      <c r="EN280" s="16"/>
      <c r="EO280" s="16"/>
      <c r="EP280" s="16"/>
      <c r="EQ280" s="16"/>
      <c r="ER280" s="16"/>
      <c r="ES280" s="16"/>
      <c r="ET280" s="16"/>
      <c r="EW280" s="9"/>
      <c r="EX280" s="16"/>
      <c r="EY280" s="16"/>
      <c r="EZ280" s="16"/>
      <c r="FA280" s="16"/>
      <c r="FB280" s="16"/>
      <c r="FC280" s="16"/>
      <c r="FD280" s="16"/>
      <c r="FE280" s="16"/>
      <c r="FF280" s="16"/>
      <c r="FG280" s="16"/>
      <c r="FH280" s="16"/>
      <c r="FI280" s="16"/>
      <c r="FJ280" s="16"/>
      <c r="FK280" s="16"/>
      <c r="FL280" s="16"/>
      <c r="FM280" s="16"/>
      <c r="FN280" s="16"/>
      <c r="FO280" s="16"/>
      <c r="FP280" s="16"/>
      <c r="FQ280" s="16"/>
      <c r="FR280" s="16"/>
      <c r="FU280" s="9"/>
      <c r="FV280" s="16"/>
      <c r="FW280" s="16"/>
      <c r="FX280" s="16"/>
      <c r="FY280" s="16"/>
      <c r="FZ280" s="16"/>
      <c r="GA280" s="16"/>
      <c r="GB280" s="16"/>
      <c r="GC280" s="16"/>
      <c r="GD280" s="16"/>
      <c r="GE280" s="16"/>
      <c r="GF280" s="16"/>
      <c r="GG280" s="16"/>
      <c r="GH280" s="16"/>
      <c r="GI280" s="16"/>
      <c r="GJ280" s="16"/>
      <c r="GK280" s="16"/>
      <c r="GL280" s="16"/>
      <c r="GM280" s="16"/>
      <c r="GN280" s="16"/>
      <c r="GO280" s="16"/>
      <c r="GP280" s="16"/>
      <c r="GS280" s="9"/>
      <c r="GT280" s="16"/>
      <c r="GU280" s="16"/>
      <c r="GV280" s="16"/>
      <c r="GW280" s="16"/>
      <c r="GX280" s="16"/>
      <c r="GY280" s="16"/>
      <c r="GZ280" s="16"/>
      <c r="HA280" s="16"/>
      <c r="HB280" s="16"/>
      <c r="HC280" s="16"/>
      <c r="HD280" s="16"/>
      <c r="HE280" s="16"/>
      <c r="HF280" s="16"/>
      <c r="HG280" s="16"/>
      <c r="HH280" s="16"/>
      <c r="HI280" s="16"/>
      <c r="HJ280" s="16"/>
      <c r="HK280" s="16"/>
      <c r="HL280" s="16"/>
      <c r="HM280" s="16"/>
      <c r="HN280" s="16"/>
      <c r="HQ280" s="9"/>
      <c r="HR280" s="16"/>
      <c r="HS280" s="16"/>
      <c r="HT280" s="16"/>
      <c r="HU280" s="16"/>
      <c r="HV280" s="16"/>
      <c r="HW280" s="16"/>
      <c r="HX280" s="16"/>
      <c r="HY280" s="16"/>
      <c r="HZ280" s="16"/>
      <c r="IA280" s="16"/>
      <c r="IB280" s="16"/>
      <c r="IC280" s="16"/>
      <c r="ID280" s="16"/>
      <c r="IE280" s="16"/>
      <c r="IF280" s="16"/>
      <c r="IG280" s="16"/>
      <c r="IH280" s="16"/>
      <c r="II280" s="16"/>
      <c r="IJ280" s="16"/>
      <c r="IK280" s="16"/>
      <c r="IL280" s="16"/>
      <c r="IO280" s="9"/>
      <c r="IP280" s="16"/>
      <c r="IQ280" s="16"/>
      <c r="IR280" s="16"/>
      <c r="IS280" s="16"/>
      <c r="IT280" s="16"/>
      <c r="IU280" s="16"/>
      <c r="IV280" s="16"/>
      <c r="IW280" s="16"/>
      <c r="IX280" s="16"/>
      <c r="IY280" s="16"/>
      <c r="IZ280" s="16"/>
      <c r="JA280" s="16"/>
      <c r="JB280" s="16"/>
      <c r="JC280" s="16"/>
      <c r="JD280" s="16"/>
      <c r="JE280" s="16"/>
      <c r="JF280" s="16"/>
      <c r="JG280" s="16"/>
      <c r="JH280" s="16"/>
      <c r="JI280" s="16"/>
      <c r="JJ280" s="16"/>
      <c r="JM280" s="9"/>
      <c r="JN280" s="16"/>
      <c r="JO280" s="16"/>
      <c r="JP280" s="16"/>
      <c r="JQ280" s="16"/>
      <c r="JR280" s="16"/>
      <c r="JS280" s="16"/>
      <c r="JT280" s="16"/>
      <c r="JU280" s="16"/>
      <c r="JV280" s="16"/>
      <c r="JW280" s="16"/>
      <c r="JX280" s="16"/>
      <c r="JY280" s="16"/>
      <c r="JZ280" s="16"/>
      <c r="KA280" s="16"/>
      <c r="KB280" s="16"/>
      <c r="KC280" s="16"/>
      <c r="KD280" s="16"/>
      <c r="KE280" s="16"/>
      <c r="KF280" s="16"/>
      <c r="KG280" s="16"/>
      <c r="KH280" s="16"/>
      <c r="KK280" s="9"/>
      <c r="KL280" s="16"/>
      <c r="KM280" s="16"/>
      <c r="KN280" s="16"/>
      <c r="KO280" s="16"/>
      <c r="KP280" s="16"/>
      <c r="KQ280" s="16"/>
      <c r="KR280" s="16"/>
      <c r="KS280" s="16"/>
      <c r="KT280" s="16"/>
      <c r="KU280" s="16"/>
      <c r="KV280" s="16"/>
      <c r="KW280" s="16"/>
      <c r="KX280" s="16"/>
      <c r="KY280" s="16"/>
      <c r="KZ280" s="16"/>
      <c r="LA280" s="16"/>
      <c r="LB280" s="16"/>
      <c r="LC280" s="16"/>
      <c r="LD280" s="16"/>
      <c r="LE280" s="16"/>
      <c r="LF280" s="16"/>
      <c r="LI280" s="9"/>
      <c r="LJ280" s="16"/>
      <c r="LK280" s="16"/>
      <c r="LL280" s="16"/>
      <c r="LM280" s="16"/>
      <c r="LN280" s="16"/>
      <c r="LO280" s="16"/>
      <c r="LP280" s="16"/>
      <c r="LQ280" s="16"/>
      <c r="LR280" s="16"/>
      <c r="LS280" s="16"/>
      <c r="LT280" s="16"/>
      <c r="LU280" s="16"/>
      <c r="LV280" s="16"/>
      <c r="LW280" s="16"/>
      <c r="LX280" s="16"/>
      <c r="LY280" s="16"/>
      <c r="LZ280" s="16"/>
      <c r="MA280" s="16"/>
      <c r="MB280" s="16"/>
      <c r="MC280" s="16"/>
      <c r="MD280" s="16"/>
      <c r="MG280" s="9"/>
      <c r="MH280" s="16"/>
      <c r="MI280" s="16"/>
      <c r="MJ280" s="16"/>
      <c r="MK280" s="16"/>
      <c r="ML280" s="16"/>
      <c r="MM280" s="16"/>
      <c r="MN280" s="16"/>
      <c r="MO280" s="16"/>
      <c r="MP280" s="16"/>
      <c r="MQ280" s="16"/>
      <c r="MR280" s="16"/>
      <c r="MS280" s="16"/>
      <c r="MT280" s="16"/>
      <c r="MU280" s="16"/>
      <c r="MV280" s="16"/>
      <c r="MW280" s="16"/>
      <c r="MX280" s="16"/>
      <c r="MY280" s="16"/>
      <c r="MZ280" s="16"/>
      <c r="NA280" s="16"/>
      <c r="NB280" s="16"/>
      <c r="NE280" s="9"/>
      <c r="NF280" s="16"/>
      <c r="NG280" s="16"/>
      <c r="NH280" s="16"/>
      <c r="NI280" s="16"/>
      <c r="NJ280" s="16"/>
      <c r="NK280" s="16"/>
      <c r="NL280" s="16"/>
      <c r="NM280" s="16"/>
      <c r="NN280" s="16"/>
      <c r="NO280" s="16"/>
      <c r="NP280" s="16"/>
      <c r="NQ280" s="16"/>
      <c r="NR280" s="16"/>
      <c r="NS280" s="16"/>
      <c r="NT280" s="16"/>
      <c r="NU280" s="16"/>
      <c r="NV280" s="16"/>
      <c r="NW280" s="16"/>
      <c r="NX280" s="16"/>
      <c r="NY280" s="16"/>
      <c r="NZ280" s="16"/>
      <c r="OC280" s="9"/>
      <c r="OD280" s="16"/>
      <c r="OE280" s="16"/>
      <c r="OF280" s="16"/>
      <c r="OG280" s="16"/>
      <c r="OH280" s="16"/>
      <c r="OI280" s="16"/>
      <c r="OJ280" s="16"/>
      <c r="OK280" s="16"/>
      <c r="OL280" s="16"/>
      <c r="OM280" s="16"/>
      <c r="ON280" s="16"/>
      <c r="OO280" s="16"/>
      <c r="OP280" s="16"/>
      <c r="OQ280" s="16"/>
      <c r="OR280" s="16"/>
      <c r="OS280" s="16"/>
      <c r="OT280" s="16"/>
      <c r="OU280" s="16"/>
      <c r="OV280" s="16"/>
      <c r="OW280" s="16"/>
      <c r="OX280" s="16"/>
      <c r="PA280" s="9"/>
      <c r="PB280" s="16"/>
      <c r="PC280" s="16"/>
      <c r="PD280" s="16"/>
      <c r="PE280" s="16"/>
      <c r="PF280" s="16"/>
      <c r="PG280" s="16"/>
      <c r="PH280" s="16"/>
      <c r="PI280" s="16"/>
      <c r="PJ280" s="16"/>
      <c r="PK280" s="16"/>
      <c r="PL280" s="16"/>
      <c r="PM280" s="16"/>
      <c r="PN280" s="16"/>
      <c r="PO280" s="16"/>
      <c r="PP280" s="16"/>
      <c r="PQ280" s="16"/>
      <c r="PR280" s="16"/>
      <c r="PS280" s="16"/>
      <c r="PT280" s="16"/>
      <c r="PU280" s="16"/>
      <c r="PV280" s="16"/>
    </row>
    <row r="281" spans="9:438" x14ac:dyDescent="0.25">
      <c r="I281" s="9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G281" s="9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E281" s="9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C281" s="9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DA281" s="9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Y281" s="9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W281" s="9"/>
      <c r="EX281" s="16"/>
      <c r="EY281" s="16"/>
      <c r="EZ281" s="16"/>
      <c r="FA281" s="16"/>
      <c r="FB281" s="16"/>
      <c r="FC281" s="16"/>
      <c r="FD281" s="16"/>
      <c r="FE281" s="16"/>
      <c r="FF281" s="16"/>
      <c r="FG281" s="16"/>
      <c r="FH281" s="16"/>
      <c r="FI281" s="16"/>
      <c r="FJ281" s="16"/>
      <c r="FK281" s="16"/>
      <c r="FL281" s="16"/>
      <c r="FM281" s="16"/>
      <c r="FN281" s="16"/>
      <c r="FO281" s="16"/>
      <c r="FP281" s="16"/>
      <c r="FQ281" s="16"/>
      <c r="FR281" s="16"/>
      <c r="FU281" s="9"/>
      <c r="FV281" s="16"/>
      <c r="FW281" s="16"/>
      <c r="FX281" s="16"/>
      <c r="FY281" s="16"/>
      <c r="FZ281" s="16"/>
      <c r="GA281" s="16"/>
      <c r="GB281" s="16"/>
      <c r="GC281" s="16"/>
      <c r="GD281" s="16"/>
      <c r="GE281" s="16"/>
      <c r="GF281" s="16"/>
      <c r="GG281" s="16"/>
      <c r="GH281" s="16"/>
      <c r="GI281" s="16"/>
      <c r="GJ281" s="16"/>
      <c r="GK281" s="16"/>
      <c r="GL281" s="16"/>
      <c r="GM281" s="16"/>
      <c r="GN281" s="16"/>
      <c r="GO281" s="16"/>
      <c r="GP281" s="16"/>
      <c r="GS281" s="9"/>
      <c r="GT281" s="16"/>
      <c r="GU281" s="16"/>
      <c r="GV281" s="16"/>
      <c r="GW281" s="16"/>
      <c r="GX281" s="16"/>
      <c r="GY281" s="16"/>
      <c r="GZ281" s="16"/>
      <c r="HA281" s="16"/>
      <c r="HB281" s="16"/>
      <c r="HC281" s="16"/>
      <c r="HD281" s="16"/>
      <c r="HE281" s="16"/>
      <c r="HF281" s="16"/>
      <c r="HG281" s="16"/>
      <c r="HH281" s="16"/>
      <c r="HI281" s="16"/>
      <c r="HJ281" s="16"/>
      <c r="HK281" s="16"/>
      <c r="HL281" s="16"/>
      <c r="HM281" s="16"/>
      <c r="HN281" s="16"/>
      <c r="HQ281" s="9"/>
      <c r="HR281" s="16"/>
      <c r="HS281" s="16"/>
      <c r="HT281" s="16"/>
      <c r="HU281" s="16"/>
      <c r="HV281" s="16"/>
      <c r="HW281" s="16"/>
      <c r="HX281" s="16"/>
      <c r="HY281" s="16"/>
      <c r="HZ281" s="16"/>
      <c r="IA281" s="16"/>
      <c r="IB281" s="16"/>
      <c r="IC281" s="16"/>
      <c r="ID281" s="16"/>
      <c r="IE281" s="16"/>
      <c r="IF281" s="16"/>
      <c r="IG281" s="16"/>
      <c r="IH281" s="16"/>
      <c r="II281" s="16"/>
      <c r="IJ281" s="16"/>
      <c r="IK281" s="16"/>
      <c r="IL281" s="16"/>
      <c r="IO281" s="9"/>
      <c r="IP281" s="16"/>
      <c r="IQ281" s="16"/>
      <c r="IR281" s="16"/>
      <c r="IS281" s="16"/>
      <c r="IT281" s="16"/>
      <c r="IU281" s="16"/>
      <c r="IV281" s="16"/>
      <c r="IW281" s="16"/>
      <c r="IX281" s="16"/>
      <c r="IY281" s="16"/>
      <c r="IZ281" s="16"/>
      <c r="JA281" s="16"/>
      <c r="JB281" s="16"/>
      <c r="JC281" s="16"/>
      <c r="JD281" s="16"/>
      <c r="JE281" s="16"/>
      <c r="JF281" s="16"/>
      <c r="JG281" s="16"/>
      <c r="JH281" s="16"/>
      <c r="JI281" s="16"/>
      <c r="JJ281" s="16"/>
      <c r="JM281" s="9"/>
      <c r="JN281" s="16"/>
      <c r="JO281" s="16"/>
      <c r="JP281" s="16"/>
      <c r="JQ281" s="16"/>
      <c r="JR281" s="16"/>
      <c r="JS281" s="16"/>
      <c r="JT281" s="16"/>
      <c r="JU281" s="16"/>
      <c r="JV281" s="16"/>
      <c r="JW281" s="16"/>
      <c r="JX281" s="16"/>
      <c r="JY281" s="16"/>
      <c r="JZ281" s="16"/>
      <c r="KA281" s="16"/>
      <c r="KB281" s="16"/>
      <c r="KC281" s="16"/>
      <c r="KD281" s="16"/>
      <c r="KE281" s="16"/>
      <c r="KF281" s="16"/>
      <c r="KG281" s="16"/>
      <c r="KH281" s="16"/>
      <c r="KK281" s="9"/>
      <c r="KL281" s="16"/>
      <c r="KM281" s="16"/>
      <c r="KN281" s="16"/>
      <c r="KO281" s="16"/>
      <c r="KP281" s="16"/>
      <c r="KQ281" s="16"/>
      <c r="KR281" s="16"/>
      <c r="KS281" s="16"/>
      <c r="KT281" s="16"/>
      <c r="KU281" s="16"/>
      <c r="KV281" s="16"/>
      <c r="KW281" s="16"/>
      <c r="KX281" s="16"/>
      <c r="KY281" s="16"/>
      <c r="KZ281" s="16"/>
      <c r="LA281" s="16"/>
      <c r="LB281" s="16"/>
      <c r="LC281" s="16"/>
      <c r="LD281" s="16"/>
      <c r="LE281" s="16"/>
      <c r="LF281" s="16"/>
      <c r="LI281" s="9"/>
      <c r="LJ281" s="16"/>
      <c r="LK281" s="16"/>
      <c r="LL281" s="16"/>
      <c r="LM281" s="16"/>
      <c r="LN281" s="16"/>
      <c r="LO281" s="16"/>
      <c r="LP281" s="16"/>
      <c r="LQ281" s="16"/>
      <c r="LR281" s="16"/>
      <c r="LS281" s="16"/>
      <c r="LT281" s="16"/>
      <c r="LU281" s="16"/>
      <c r="LV281" s="16"/>
      <c r="LW281" s="16"/>
      <c r="LX281" s="16"/>
      <c r="LY281" s="16"/>
      <c r="LZ281" s="16"/>
      <c r="MA281" s="16"/>
      <c r="MB281" s="16"/>
      <c r="MC281" s="16"/>
      <c r="MD281" s="16"/>
      <c r="MG281" s="9"/>
      <c r="MH281" s="16"/>
      <c r="MI281" s="16"/>
      <c r="MJ281" s="16"/>
      <c r="MK281" s="16"/>
      <c r="ML281" s="16"/>
      <c r="MM281" s="16"/>
      <c r="MN281" s="16"/>
      <c r="MO281" s="16"/>
      <c r="MP281" s="16"/>
      <c r="MQ281" s="16"/>
      <c r="MR281" s="16"/>
      <c r="MS281" s="16"/>
      <c r="MT281" s="16"/>
      <c r="MU281" s="16"/>
      <c r="MV281" s="16"/>
      <c r="MW281" s="16"/>
      <c r="MX281" s="16"/>
      <c r="MY281" s="16"/>
      <c r="MZ281" s="16"/>
      <c r="NA281" s="16"/>
      <c r="NB281" s="16"/>
      <c r="NE281" s="9"/>
      <c r="NF281" s="16"/>
      <c r="NG281" s="16"/>
      <c r="NH281" s="16"/>
      <c r="NI281" s="16"/>
      <c r="NJ281" s="16"/>
      <c r="NK281" s="16"/>
      <c r="NL281" s="16"/>
      <c r="NM281" s="16"/>
      <c r="NN281" s="16"/>
      <c r="NO281" s="16"/>
      <c r="NP281" s="16"/>
      <c r="NQ281" s="16"/>
      <c r="NR281" s="16"/>
      <c r="NS281" s="16"/>
      <c r="NT281" s="16"/>
      <c r="NU281" s="16"/>
      <c r="NV281" s="16"/>
      <c r="NW281" s="16"/>
      <c r="NX281" s="16"/>
      <c r="NY281" s="16"/>
      <c r="NZ281" s="16"/>
      <c r="OC281" s="9"/>
      <c r="OD281" s="16"/>
      <c r="OE281" s="16"/>
      <c r="OF281" s="16"/>
      <c r="OG281" s="16"/>
      <c r="OH281" s="16"/>
      <c r="OI281" s="16"/>
      <c r="OJ281" s="16"/>
      <c r="OK281" s="16"/>
      <c r="OL281" s="16"/>
      <c r="OM281" s="16"/>
      <c r="ON281" s="16"/>
      <c r="OO281" s="16"/>
      <c r="OP281" s="16"/>
      <c r="OQ281" s="16"/>
      <c r="OR281" s="16"/>
      <c r="OS281" s="16"/>
      <c r="OT281" s="16"/>
      <c r="OU281" s="16"/>
      <c r="OV281" s="16"/>
      <c r="OW281" s="16"/>
      <c r="OX281" s="16"/>
      <c r="PA281" s="9"/>
      <c r="PB281" s="16"/>
      <c r="PC281" s="16"/>
      <c r="PD281" s="16"/>
      <c r="PE281" s="16"/>
      <c r="PF281" s="16"/>
      <c r="PG281" s="16"/>
      <c r="PH281" s="16"/>
      <c r="PI281" s="16"/>
      <c r="PJ281" s="16"/>
      <c r="PK281" s="16"/>
      <c r="PL281" s="16"/>
      <c r="PM281" s="16"/>
      <c r="PN281" s="16"/>
      <c r="PO281" s="16"/>
      <c r="PP281" s="16"/>
      <c r="PQ281" s="16"/>
      <c r="PR281" s="16"/>
      <c r="PS281" s="16"/>
      <c r="PT281" s="16"/>
      <c r="PU281" s="16"/>
      <c r="PV281" s="16"/>
    </row>
    <row r="282" spans="9:438" x14ac:dyDescent="0.25">
      <c r="I282" s="9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G282" s="9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E282" s="9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C282" s="9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DA282" s="9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Y282" s="9"/>
      <c r="DZ282" s="16"/>
      <c r="EA282" s="16"/>
      <c r="EB282" s="16"/>
      <c r="EC282" s="16"/>
      <c r="ED282" s="16"/>
      <c r="EE282" s="16"/>
      <c r="EF282" s="16"/>
      <c r="EG282" s="16"/>
      <c r="EH282" s="16"/>
      <c r="EI282" s="16"/>
      <c r="EJ282" s="16"/>
      <c r="EK282" s="16"/>
      <c r="EL282" s="16"/>
      <c r="EM282" s="16"/>
      <c r="EN282" s="16"/>
      <c r="EO282" s="16"/>
      <c r="EP282" s="16"/>
      <c r="EQ282" s="16"/>
      <c r="ER282" s="16"/>
      <c r="ES282" s="16"/>
      <c r="ET282" s="16"/>
      <c r="EW282" s="9"/>
      <c r="EX282" s="16"/>
      <c r="EY282" s="16"/>
      <c r="EZ282" s="16"/>
      <c r="FA282" s="16"/>
      <c r="FB282" s="16"/>
      <c r="FC282" s="16"/>
      <c r="FD282" s="16"/>
      <c r="FE282" s="16"/>
      <c r="FF282" s="16"/>
      <c r="FG282" s="16"/>
      <c r="FH282" s="16"/>
      <c r="FI282" s="16"/>
      <c r="FJ282" s="16"/>
      <c r="FK282" s="16"/>
      <c r="FL282" s="16"/>
      <c r="FM282" s="16"/>
      <c r="FN282" s="16"/>
      <c r="FO282" s="16"/>
      <c r="FP282" s="16"/>
      <c r="FQ282" s="16"/>
      <c r="FR282" s="16"/>
      <c r="FU282" s="9"/>
      <c r="FV282" s="16"/>
      <c r="FW282" s="16"/>
      <c r="FX282" s="16"/>
      <c r="FY282" s="16"/>
      <c r="FZ282" s="16"/>
      <c r="GA282" s="16"/>
      <c r="GB282" s="16"/>
      <c r="GC282" s="16"/>
      <c r="GD282" s="16"/>
      <c r="GE282" s="16"/>
      <c r="GF282" s="16"/>
      <c r="GG282" s="16"/>
      <c r="GH282" s="16"/>
      <c r="GI282" s="16"/>
      <c r="GJ282" s="16"/>
      <c r="GK282" s="16"/>
      <c r="GL282" s="16"/>
      <c r="GM282" s="16"/>
      <c r="GN282" s="16"/>
      <c r="GO282" s="16"/>
      <c r="GP282" s="16"/>
      <c r="GS282" s="9"/>
      <c r="GT282" s="16"/>
      <c r="GU282" s="16"/>
      <c r="GV282" s="16"/>
      <c r="GW282" s="16"/>
      <c r="GX282" s="16"/>
      <c r="GY282" s="16"/>
      <c r="GZ282" s="16"/>
      <c r="HA282" s="16"/>
      <c r="HB282" s="16"/>
      <c r="HC282" s="16"/>
      <c r="HD282" s="16"/>
      <c r="HE282" s="16"/>
      <c r="HF282" s="16"/>
      <c r="HG282" s="16"/>
      <c r="HH282" s="16"/>
      <c r="HI282" s="16"/>
      <c r="HJ282" s="16"/>
      <c r="HK282" s="16"/>
      <c r="HL282" s="16"/>
      <c r="HM282" s="16"/>
      <c r="HN282" s="16"/>
      <c r="HQ282" s="9"/>
      <c r="HR282" s="16"/>
      <c r="HS282" s="16"/>
      <c r="HT282" s="16"/>
      <c r="HU282" s="16"/>
      <c r="HV282" s="16"/>
      <c r="HW282" s="16"/>
      <c r="HX282" s="16"/>
      <c r="HY282" s="16"/>
      <c r="HZ282" s="16"/>
      <c r="IA282" s="16"/>
      <c r="IB282" s="16"/>
      <c r="IC282" s="16"/>
      <c r="ID282" s="16"/>
      <c r="IE282" s="16"/>
      <c r="IF282" s="16"/>
      <c r="IG282" s="16"/>
      <c r="IH282" s="16"/>
      <c r="II282" s="16"/>
      <c r="IJ282" s="16"/>
      <c r="IK282" s="16"/>
      <c r="IL282" s="16"/>
      <c r="IO282" s="9"/>
      <c r="IP282" s="16"/>
      <c r="IQ282" s="16"/>
      <c r="IR282" s="16"/>
      <c r="IS282" s="16"/>
      <c r="IT282" s="16"/>
      <c r="IU282" s="16"/>
      <c r="IV282" s="16"/>
      <c r="IW282" s="16"/>
      <c r="IX282" s="16"/>
      <c r="IY282" s="16"/>
      <c r="IZ282" s="16"/>
      <c r="JA282" s="16"/>
      <c r="JB282" s="16"/>
      <c r="JC282" s="16"/>
      <c r="JD282" s="16"/>
      <c r="JE282" s="16"/>
      <c r="JF282" s="16"/>
      <c r="JG282" s="16"/>
      <c r="JH282" s="16"/>
      <c r="JI282" s="16"/>
      <c r="JJ282" s="16"/>
      <c r="JM282" s="9"/>
      <c r="JN282" s="16"/>
      <c r="JO282" s="16"/>
      <c r="JP282" s="16"/>
      <c r="JQ282" s="16"/>
      <c r="JR282" s="16"/>
      <c r="JS282" s="16"/>
      <c r="JT282" s="16"/>
      <c r="JU282" s="16"/>
      <c r="JV282" s="16"/>
      <c r="JW282" s="16"/>
      <c r="JX282" s="16"/>
      <c r="JY282" s="16"/>
      <c r="JZ282" s="16"/>
      <c r="KA282" s="16"/>
      <c r="KB282" s="16"/>
      <c r="KC282" s="16"/>
      <c r="KD282" s="16"/>
      <c r="KE282" s="16"/>
      <c r="KF282" s="16"/>
      <c r="KG282" s="16"/>
      <c r="KH282" s="16"/>
      <c r="KK282" s="9"/>
      <c r="KL282" s="16"/>
      <c r="KM282" s="16"/>
      <c r="KN282" s="16"/>
      <c r="KO282" s="16"/>
      <c r="KP282" s="16"/>
      <c r="KQ282" s="16"/>
      <c r="KR282" s="16"/>
      <c r="KS282" s="16"/>
      <c r="KT282" s="16"/>
      <c r="KU282" s="16"/>
      <c r="KV282" s="16"/>
      <c r="KW282" s="16"/>
      <c r="KX282" s="16"/>
      <c r="KY282" s="16"/>
      <c r="KZ282" s="16"/>
      <c r="LA282" s="16"/>
      <c r="LB282" s="16"/>
      <c r="LC282" s="16"/>
      <c r="LD282" s="16"/>
      <c r="LE282" s="16"/>
      <c r="LF282" s="16"/>
      <c r="LI282" s="9"/>
      <c r="LJ282" s="16"/>
      <c r="LK282" s="16"/>
      <c r="LL282" s="16"/>
      <c r="LM282" s="16"/>
      <c r="LN282" s="16"/>
      <c r="LO282" s="16"/>
      <c r="LP282" s="16"/>
      <c r="LQ282" s="16"/>
      <c r="LR282" s="16"/>
      <c r="LS282" s="16"/>
      <c r="LT282" s="16"/>
      <c r="LU282" s="16"/>
      <c r="LV282" s="16"/>
      <c r="LW282" s="16"/>
      <c r="LX282" s="16"/>
      <c r="LY282" s="16"/>
      <c r="LZ282" s="16"/>
      <c r="MA282" s="16"/>
      <c r="MB282" s="16"/>
      <c r="MC282" s="16"/>
      <c r="MD282" s="16"/>
      <c r="MG282" s="9"/>
      <c r="MH282" s="16"/>
      <c r="MI282" s="16"/>
      <c r="MJ282" s="16"/>
      <c r="MK282" s="16"/>
      <c r="ML282" s="16"/>
      <c r="MM282" s="16"/>
      <c r="MN282" s="16"/>
      <c r="MO282" s="16"/>
      <c r="MP282" s="16"/>
      <c r="MQ282" s="16"/>
      <c r="MR282" s="16"/>
      <c r="MS282" s="16"/>
      <c r="MT282" s="16"/>
      <c r="MU282" s="16"/>
      <c r="MV282" s="16"/>
      <c r="MW282" s="16"/>
      <c r="MX282" s="16"/>
      <c r="MY282" s="16"/>
      <c r="MZ282" s="16"/>
      <c r="NA282" s="16"/>
      <c r="NB282" s="16"/>
      <c r="NE282" s="9"/>
      <c r="NF282" s="16"/>
      <c r="NG282" s="16"/>
      <c r="NH282" s="16"/>
      <c r="NI282" s="16"/>
      <c r="NJ282" s="16"/>
      <c r="NK282" s="16"/>
      <c r="NL282" s="16"/>
      <c r="NM282" s="16"/>
      <c r="NN282" s="16"/>
      <c r="NO282" s="16"/>
      <c r="NP282" s="16"/>
      <c r="NQ282" s="16"/>
      <c r="NR282" s="16"/>
      <c r="NS282" s="16"/>
      <c r="NT282" s="16"/>
      <c r="NU282" s="16"/>
      <c r="NV282" s="16"/>
      <c r="NW282" s="16"/>
      <c r="NX282" s="16"/>
      <c r="NY282" s="16"/>
      <c r="NZ282" s="16"/>
      <c r="OC282" s="9"/>
      <c r="OD282" s="16"/>
      <c r="OE282" s="16"/>
      <c r="OF282" s="16"/>
      <c r="OG282" s="16"/>
      <c r="OH282" s="16"/>
      <c r="OI282" s="16"/>
      <c r="OJ282" s="16"/>
      <c r="OK282" s="16"/>
      <c r="OL282" s="16"/>
      <c r="OM282" s="16"/>
      <c r="ON282" s="16"/>
      <c r="OO282" s="16"/>
      <c r="OP282" s="16"/>
      <c r="OQ282" s="16"/>
      <c r="OR282" s="16"/>
      <c r="OS282" s="16"/>
      <c r="OT282" s="16"/>
      <c r="OU282" s="16"/>
      <c r="OV282" s="16"/>
      <c r="OW282" s="16"/>
      <c r="OX282" s="16"/>
      <c r="PA282" s="9"/>
      <c r="PB282" s="16"/>
      <c r="PC282" s="16"/>
      <c r="PD282" s="16"/>
      <c r="PE282" s="16"/>
      <c r="PF282" s="16"/>
      <c r="PG282" s="16"/>
      <c r="PH282" s="16"/>
      <c r="PI282" s="16"/>
      <c r="PJ282" s="16"/>
      <c r="PK282" s="16"/>
      <c r="PL282" s="16"/>
      <c r="PM282" s="16"/>
      <c r="PN282" s="16"/>
      <c r="PO282" s="16"/>
      <c r="PP282" s="16"/>
      <c r="PQ282" s="16"/>
      <c r="PR282" s="16"/>
      <c r="PS282" s="16"/>
      <c r="PT282" s="16"/>
      <c r="PU282" s="16"/>
      <c r="PV282" s="16"/>
    </row>
    <row r="283" spans="9:438" x14ac:dyDescent="0.25">
      <c r="I283" s="9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G283" s="9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E283" s="9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C283" s="9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DA283" s="9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Y283" s="9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W283" s="9"/>
      <c r="EX283" s="16"/>
      <c r="EY283" s="16"/>
      <c r="EZ283" s="16"/>
      <c r="FA283" s="16"/>
      <c r="FB283" s="16"/>
      <c r="FC283" s="16"/>
      <c r="FD283" s="16"/>
      <c r="FE283" s="16"/>
      <c r="FF283" s="16"/>
      <c r="FG283" s="16"/>
      <c r="FH283" s="16"/>
      <c r="FI283" s="16"/>
      <c r="FJ283" s="16"/>
      <c r="FK283" s="16"/>
      <c r="FL283" s="16"/>
      <c r="FM283" s="16"/>
      <c r="FN283" s="16"/>
      <c r="FO283" s="16"/>
      <c r="FP283" s="16"/>
      <c r="FQ283" s="16"/>
      <c r="FR283" s="16"/>
      <c r="FU283" s="9"/>
      <c r="FV283" s="16"/>
      <c r="FW283" s="16"/>
      <c r="FX283" s="16"/>
      <c r="FY283" s="16"/>
      <c r="FZ283" s="16"/>
      <c r="GA283" s="16"/>
      <c r="GB283" s="16"/>
      <c r="GC283" s="16"/>
      <c r="GD283" s="16"/>
      <c r="GE283" s="16"/>
      <c r="GF283" s="16"/>
      <c r="GG283" s="16"/>
      <c r="GH283" s="16"/>
      <c r="GI283" s="16"/>
      <c r="GJ283" s="16"/>
      <c r="GK283" s="16"/>
      <c r="GL283" s="16"/>
      <c r="GM283" s="16"/>
      <c r="GN283" s="16"/>
      <c r="GO283" s="16"/>
      <c r="GP283" s="16"/>
      <c r="GS283" s="9"/>
      <c r="GT283" s="16"/>
      <c r="GU283" s="16"/>
      <c r="GV283" s="16"/>
      <c r="GW283" s="16"/>
      <c r="GX283" s="16"/>
      <c r="GY283" s="16"/>
      <c r="GZ283" s="16"/>
      <c r="HA283" s="16"/>
      <c r="HB283" s="16"/>
      <c r="HC283" s="16"/>
      <c r="HD283" s="16"/>
      <c r="HE283" s="16"/>
      <c r="HF283" s="16"/>
      <c r="HG283" s="16"/>
      <c r="HH283" s="16"/>
      <c r="HI283" s="16"/>
      <c r="HJ283" s="16"/>
      <c r="HK283" s="16"/>
      <c r="HL283" s="16"/>
      <c r="HM283" s="16"/>
      <c r="HN283" s="16"/>
      <c r="HQ283" s="9"/>
      <c r="HR283" s="16"/>
      <c r="HS283" s="16"/>
      <c r="HT283" s="16"/>
      <c r="HU283" s="16"/>
      <c r="HV283" s="16"/>
      <c r="HW283" s="16"/>
      <c r="HX283" s="16"/>
      <c r="HY283" s="16"/>
      <c r="HZ283" s="16"/>
      <c r="IA283" s="16"/>
      <c r="IB283" s="16"/>
      <c r="IC283" s="16"/>
      <c r="ID283" s="16"/>
      <c r="IE283" s="16"/>
      <c r="IF283" s="16"/>
      <c r="IG283" s="16"/>
      <c r="IH283" s="16"/>
      <c r="II283" s="16"/>
      <c r="IJ283" s="16"/>
      <c r="IK283" s="16"/>
      <c r="IL283" s="16"/>
      <c r="IO283" s="9"/>
      <c r="IP283" s="16"/>
      <c r="IQ283" s="16"/>
      <c r="IR283" s="16"/>
      <c r="IS283" s="16"/>
      <c r="IT283" s="16"/>
      <c r="IU283" s="16"/>
      <c r="IV283" s="16"/>
      <c r="IW283" s="16"/>
      <c r="IX283" s="16"/>
      <c r="IY283" s="16"/>
      <c r="IZ283" s="16"/>
      <c r="JA283" s="16"/>
      <c r="JB283" s="16"/>
      <c r="JC283" s="16"/>
      <c r="JD283" s="16"/>
      <c r="JE283" s="16"/>
      <c r="JF283" s="16"/>
      <c r="JG283" s="16"/>
      <c r="JH283" s="16"/>
      <c r="JI283" s="16"/>
      <c r="JJ283" s="16"/>
      <c r="JM283" s="9"/>
      <c r="JN283" s="16"/>
      <c r="JO283" s="16"/>
      <c r="JP283" s="16"/>
      <c r="JQ283" s="16"/>
      <c r="JR283" s="16"/>
      <c r="JS283" s="16"/>
      <c r="JT283" s="16"/>
      <c r="JU283" s="16"/>
      <c r="JV283" s="16"/>
      <c r="JW283" s="16"/>
      <c r="JX283" s="16"/>
      <c r="JY283" s="16"/>
      <c r="JZ283" s="16"/>
      <c r="KA283" s="16"/>
      <c r="KB283" s="16"/>
      <c r="KC283" s="16"/>
      <c r="KD283" s="16"/>
      <c r="KE283" s="16"/>
      <c r="KF283" s="16"/>
      <c r="KG283" s="16"/>
      <c r="KH283" s="16"/>
      <c r="KK283" s="9"/>
      <c r="KL283" s="16"/>
      <c r="KM283" s="16"/>
      <c r="KN283" s="16"/>
      <c r="KO283" s="16"/>
      <c r="KP283" s="16"/>
      <c r="KQ283" s="16"/>
      <c r="KR283" s="16"/>
      <c r="KS283" s="16"/>
      <c r="KT283" s="16"/>
      <c r="KU283" s="16"/>
      <c r="KV283" s="16"/>
      <c r="KW283" s="16"/>
      <c r="KX283" s="16"/>
      <c r="KY283" s="16"/>
      <c r="KZ283" s="16"/>
      <c r="LA283" s="16"/>
      <c r="LB283" s="16"/>
      <c r="LC283" s="16"/>
      <c r="LD283" s="16"/>
      <c r="LE283" s="16"/>
      <c r="LF283" s="16"/>
      <c r="LI283" s="9"/>
      <c r="LJ283" s="16"/>
      <c r="LK283" s="16"/>
      <c r="LL283" s="16"/>
      <c r="LM283" s="16"/>
      <c r="LN283" s="16"/>
      <c r="LO283" s="16"/>
      <c r="LP283" s="16"/>
      <c r="LQ283" s="16"/>
      <c r="LR283" s="16"/>
      <c r="LS283" s="16"/>
      <c r="LT283" s="16"/>
      <c r="LU283" s="16"/>
      <c r="LV283" s="16"/>
      <c r="LW283" s="16"/>
      <c r="LX283" s="16"/>
      <c r="LY283" s="16"/>
      <c r="LZ283" s="16"/>
      <c r="MA283" s="16"/>
      <c r="MB283" s="16"/>
      <c r="MC283" s="16"/>
      <c r="MD283" s="16"/>
      <c r="MG283" s="9"/>
      <c r="MH283" s="16"/>
      <c r="MI283" s="16"/>
      <c r="MJ283" s="16"/>
      <c r="MK283" s="16"/>
      <c r="ML283" s="16"/>
      <c r="MM283" s="16"/>
      <c r="MN283" s="16"/>
      <c r="MO283" s="16"/>
      <c r="MP283" s="16"/>
      <c r="MQ283" s="16"/>
      <c r="MR283" s="16"/>
      <c r="MS283" s="16"/>
      <c r="MT283" s="16"/>
      <c r="MU283" s="16"/>
      <c r="MV283" s="16"/>
      <c r="MW283" s="16"/>
      <c r="MX283" s="16"/>
      <c r="MY283" s="16"/>
      <c r="MZ283" s="16"/>
      <c r="NA283" s="16"/>
      <c r="NB283" s="16"/>
      <c r="NE283" s="9"/>
      <c r="NF283" s="16"/>
      <c r="NG283" s="16"/>
      <c r="NH283" s="16"/>
      <c r="NI283" s="16"/>
      <c r="NJ283" s="16"/>
      <c r="NK283" s="16"/>
      <c r="NL283" s="16"/>
      <c r="NM283" s="16"/>
      <c r="NN283" s="16"/>
      <c r="NO283" s="16"/>
      <c r="NP283" s="16"/>
      <c r="NQ283" s="16"/>
      <c r="NR283" s="16"/>
      <c r="NS283" s="16"/>
      <c r="NT283" s="16"/>
      <c r="NU283" s="16"/>
      <c r="NV283" s="16"/>
      <c r="NW283" s="16"/>
      <c r="NX283" s="16"/>
      <c r="NY283" s="16"/>
      <c r="NZ283" s="16"/>
      <c r="OC283" s="9"/>
      <c r="OD283" s="16"/>
      <c r="OE283" s="16"/>
      <c r="OF283" s="16"/>
      <c r="OG283" s="16"/>
      <c r="OH283" s="16"/>
      <c r="OI283" s="16"/>
      <c r="OJ283" s="16"/>
      <c r="OK283" s="16"/>
      <c r="OL283" s="16"/>
      <c r="OM283" s="16"/>
      <c r="ON283" s="16"/>
      <c r="OO283" s="16"/>
      <c r="OP283" s="16"/>
      <c r="OQ283" s="16"/>
      <c r="OR283" s="16"/>
      <c r="OS283" s="16"/>
      <c r="OT283" s="16"/>
      <c r="OU283" s="16"/>
      <c r="OV283" s="16"/>
      <c r="OW283" s="16"/>
      <c r="OX283" s="16"/>
      <c r="PA283" s="9"/>
      <c r="PB283" s="16"/>
      <c r="PC283" s="16"/>
      <c r="PD283" s="16"/>
      <c r="PE283" s="16"/>
      <c r="PF283" s="16"/>
      <c r="PG283" s="16"/>
      <c r="PH283" s="16"/>
      <c r="PI283" s="16"/>
      <c r="PJ283" s="16"/>
      <c r="PK283" s="16"/>
      <c r="PL283" s="16"/>
      <c r="PM283" s="16"/>
      <c r="PN283" s="16"/>
      <c r="PO283" s="16"/>
      <c r="PP283" s="16"/>
      <c r="PQ283" s="16"/>
      <c r="PR283" s="16"/>
      <c r="PS283" s="16"/>
      <c r="PT283" s="16"/>
      <c r="PU283" s="16"/>
      <c r="PV283" s="16"/>
    </row>
    <row r="284" spans="9:438" x14ac:dyDescent="0.25">
      <c r="I284" s="9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G284" s="9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E284" s="9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C284" s="9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DA284" s="9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Y284" s="9"/>
      <c r="DZ284" s="16"/>
      <c r="EA284" s="16"/>
      <c r="EB284" s="16"/>
      <c r="EC284" s="16"/>
      <c r="ED284" s="16"/>
      <c r="EE284" s="16"/>
      <c r="EF284" s="16"/>
      <c r="EG284" s="16"/>
      <c r="EH284" s="16"/>
      <c r="EI284" s="16"/>
      <c r="EJ284" s="16"/>
      <c r="EK284" s="16"/>
      <c r="EL284" s="16"/>
      <c r="EM284" s="16"/>
      <c r="EN284" s="16"/>
      <c r="EO284" s="16"/>
      <c r="EP284" s="16"/>
      <c r="EQ284" s="16"/>
      <c r="ER284" s="16"/>
      <c r="ES284" s="16"/>
      <c r="ET284" s="16"/>
      <c r="EW284" s="9"/>
      <c r="EX284" s="16"/>
      <c r="EY284" s="16"/>
      <c r="EZ284" s="16"/>
      <c r="FA284" s="16"/>
      <c r="FB284" s="16"/>
      <c r="FC284" s="16"/>
      <c r="FD284" s="16"/>
      <c r="FE284" s="16"/>
      <c r="FF284" s="16"/>
      <c r="FG284" s="16"/>
      <c r="FH284" s="16"/>
      <c r="FI284" s="16"/>
      <c r="FJ284" s="16"/>
      <c r="FK284" s="16"/>
      <c r="FL284" s="16"/>
      <c r="FM284" s="16"/>
      <c r="FN284" s="16"/>
      <c r="FO284" s="16"/>
      <c r="FP284" s="16"/>
      <c r="FQ284" s="16"/>
      <c r="FR284" s="16"/>
      <c r="FU284" s="9"/>
      <c r="FV284" s="16"/>
      <c r="FW284" s="16"/>
      <c r="FX284" s="16"/>
      <c r="FY284" s="16"/>
      <c r="FZ284" s="16"/>
      <c r="GA284" s="16"/>
      <c r="GB284" s="16"/>
      <c r="GC284" s="16"/>
      <c r="GD284" s="16"/>
      <c r="GE284" s="16"/>
      <c r="GF284" s="16"/>
      <c r="GG284" s="16"/>
      <c r="GH284" s="16"/>
      <c r="GI284" s="16"/>
      <c r="GJ284" s="16"/>
      <c r="GK284" s="16"/>
      <c r="GL284" s="16"/>
      <c r="GM284" s="16"/>
      <c r="GN284" s="16"/>
      <c r="GO284" s="16"/>
      <c r="GP284" s="16"/>
      <c r="GS284" s="9"/>
      <c r="GT284" s="16"/>
      <c r="GU284" s="16"/>
      <c r="GV284" s="16"/>
      <c r="GW284" s="16"/>
      <c r="GX284" s="16"/>
      <c r="GY284" s="16"/>
      <c r="GZ284" s="16"/>
      <c r="HA284" s="16"/>
      <c r="HB284" s="16"/>
      <c r="HC284" s="16"/>
      <c r="HD284" s="16"/>
      <c r="HE284" s="16"/>
      <c r="HF284" s="16"/>
      <c r="HG284" s="16"/>
      <c r="HH284" s="16"/>
      <c r="HI284" s="16"/>
      <c r="HJ284" s="16"/>
      <c r="HK284" s="16"/>
      <c r="HL284" s="16"/>
      <c r="HM284" s="16"/>
      <c r="HN284" s="16"/>
      <c r="HQ284" s="9"/>
      <c r="HR284" s="16"/>
      <c r="HS284" s="16"/>
      <c r="HT284" s="16"/>
      <c r="HU284" s="16"/>
      <c r="HV284" s="16"/>
      <c r="HW284" s="16"/>
      <c r="HX284" s="16"/>
      <c r="HY284" s="16"/>
      <c r="HZ284" s="16"/>
      <c r="IA284" s="16"/>
      <c r="IB284" s="16"/>
      <c r="IC284" s="16"/>
      <c r="ID284" s="16"/>
      <c r="IE284" s="16"/>
      <c r="IF284" s="16"/>
      <c r="IG284" s="16"/>
      <c r="IH284" s="16"/>
      <c r="II284" s="16"/>
      <c r="IJ284" s="16"/>
      <c r="IK284" s="16"/>
      <c r="IL284" s="16"/>
      <c r="IO284" s="9"/>
      <c r="IP284" s="16"/>
      <c r="IQ284" s="16"/>
      <c r="IR284" s="16"/>
      <c r="IS284" s="16"/>
      <c r="IT284" s="16"/>
      <c r="IU284" s="16"/>
      <c r="IV284" s="16"/>
      <c r="IW284" s="16"/>
      <c r="IX284" s="16"/>
      <c r="IY284" s="16"/>
      <c r="IZ284" s="16"/>
      <c r="JA284" s="16"/>
      <c r="JB284" s="16"/>
      <c r="JC284" s="16"/>
      <c r="JD284" s="16"/>
      <c r="JE284" s="16"/>
      <c r="JF284" s="16"/>
      <c r="JG284" s="16"/>
      <c r="JH284" s="16"/>
      <c r="JI284" s="16"/>
      <c r="JJ284" s="16"/>
      <c r="JM284" s="9"/>
      <c r="JN284" s="16"/>
      <c r="JO284" s="16"/>
      <c r="JP284" s="16"/>
      <c r="JQ284" s="16"/>
      <c r="JR284" s="16"/>
      <c r="JS284" s="16"/>
      <c r="JT284" s="16"/>
      <c r="JU284" s="16"/>
      <c r="JV284" s="16"/>
      <c r="JW284" s="16"/>
      <c r="JX284" s="16"/>
      <c r="JY284" s="16"/>
      <c r="JZ284" s="16"/>
      <c r="KA284" s="16"/>
      <c r="KB284" s="16"/>
      <c r="KC284" s="16"/>
      <c r="KD284" s="16"/>
      <c r="KE284" s="16"/>
      <c r="KF284" s="16"/>
      <c r="KG284" s="16"/>
      <c r="KH284" s="16"/>
      <c r="KK284" s="9"/>
      <c r="KL284" s="16"/>
      <c r="KM284" s="16"/>
      <c r="KN284" s="16"/>
      <c r="KO284" s="16"/>
      <c r="KP284" s="16"/>
      <c r="KQ284" s="16"/>
      <c r="KR284" s="16"/>
      <c r="KS284" s="16"/>
      <c r="KT284" s="16"/>
      <c r="KU284" s="16"/>
      <c r="KV284" s="16"/>
      <c r="KW284" s="16"/>
      <c r="KX284" s="16"/>
      <c r="KY284" s="16"/>
      <c r="KZ284" s="16"/>
      <c r="LA284" s="16"/>
      <c r="LB284" s="16"/>
      <c r="LC284" s="16"/>
      <c r="LD284" s="16"/>
      <c r="LE284" s="16"/>
      <c r="LF284" s="16"/>
      <c r="LI284" s="9"/>
      <c r="LJ284" s="16"/>
      <c r="LK284" s="16"/>
      <c r="LL284" s="16"/>
      <c r="LM284" s="16"/>
      <c r="LN284" s="16"/>
      <c r="LO284" s="16"/>
      <c r="LP284" s="16"/>
      <c r="LQ284" s="16"/>
      <c r="LR284" s="16"/>
      <c r="LS284" s="16"/>
      <c r="LT284" s="16"/>
      <c r="LU284" s="16"/>
      <c r="LV284" s="16"/>
      <c r="LW284" s="16"/>
      <c r="LX284" s="16"/>
      <c r="LY284" s="16"/>
      <c r="LZ284" s="16"/>
      <c r="MA284" s="16"/>
      <c r="MB284" s="16"/>
      <c r="MC284" s="16"/>
      <c r="MD284" s="16"/>
      <c r="MG284" s="9"/>
      <c r="MH284" s="16"/>
      <c r="MI284" s="16"/>
      <c r="MJ284" s="16"/>
      <c r="MK284" s="16"/>
      <c r="ML284" s="16"/>
      <c r="MM284" s="16"/>
      <c r="MN284" s="16"/>
      <c r="MO284" s="16"/>
      <c r="MP284" s="16"/>
      <c r="MQ284" s="16"/>
      <c r="MR284" s="16"/>
      <c r="MS284" s="16"/>
      <c r="MT284" s="16"/>
      <c r="MU284" s="16"/>
      <c r="MV284" s="16"/>
      <c r="MW284" s="16"/>
      <c r="MX284" s="16"/>
      <c r="MY284" s="16"/>
      <c r="MZ284" s="16"/>
      <c r="NA284" s="16"/>
      <c r="NB284" s="16"/>
      <c r="NE284" s="9"/>
      <c r="NF284" s="16"/>
      <c r="NG284" s="16"/>
      <c r="NH284" s="16"/>
      <c r="NI284" s="16"/>
      <c r="NJ284" s="16"/>
      <c r="NK284" s="16"/>
      <c r="NL284" s="16"/>
      <c r="NM284" s="16"/>
      <c r="NN284" s="16"/>
      <c r="NO284" s="16"/>
      <c r="NP284" s="16"/>
      <c r="NQ284" s="16"/>
      <c r="NR284" s="16"/>
      <c r="NS284" s="16"/>
      <c r="NT284" s="16"/>
      <c r="NU284" s="16"/>
      <c r="NV284" s="16"/>
      <c r="NW284" s="16"/>
      <c r="NX284" s="16"/>
      <c r="NY284" s="16"/>
      <c r="NZ284" s="16"/>
      <c r="OC284" s="9"/>
      <c r="OD284" s="16"/>
      <c r="OE284" s="16"/>
      <c r="OF284" s="16"/>
      <c r="OG284" s="16"/>
      <c r="OH284" s="16"/>
      <c r="OI284" s="16"/>
      <c r="OJ284" s="16"/>
      <c r="OK284" s="16"/>
      <c r="OL284" s="16"/>
      <c r="OM284" s="16"/>
      <c r="ON284" s="16"/>
      <c r="OO284" s="16"/>
      <c r="OP284" s="16"/>
      <c r="OQ284" s="16"/>
      <c r="OR284" s="16"/>
      <c r="OS284" s="16"/>
      <c r="OT284" s="16"/>
      <c r="OU284" s="16"/>
      <c r="OV284" s="16"/>
      <c r="OW284" s="16"/>
      <c r="OX284" s="16"/>
      <c r="PA284" s="9"/>
      <c r="PB284" s="16"/>
      <c r="PC284" s="16"/>
      <c r="PD284" s="16"/>
      <c r="PE284" s="16"/>
      <c r="PF284" s="16"/>
      <c r="PG284" s="16"/>
      <c r="PH284" s="16"/>
      <c r="PI284" s="16"/>
      <c r="PJ284" s="16"/>
      <c r="PK284" s="16"/>
      <c r="PL284" s="16"/>
      <c r="PM284" s="16"/>
      <c r="PN284" s="16"/>
      <c r="PO284" s="16"/>
      <c r="PP284" s="16"/>
      <c r="PQ284" s="16"/>
      <c r="PR284" s="16"/>
      <c r="PS284" s="16"/>
      <c r="PT284" s="16"/>
      <c r="PU284" s="16"/>
      <c r="PV284" s="16"/>
    </row>
    <row r="285" spans="9:438" x14ac:dyDescent="0.25">
      <c r="I285" s="9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G285" s="9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E285" s="9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C285" s="9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DA285" s="9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Y285" s="9"/>
      <c r="DZ285" s="16"/>
      <c r="EA285" s="16"/>
      <c r="EB285" s="16"/>
      <c r="EC285" s="16"/>
      <c r="ED285" s="16"/>
      <c r="EE285" s="16"/>
      <c r="EF285" s="16"/>
      <c r="EG285" s="16"/>
      <c r="EH285" s="16"/>
      <c r="EI285" s="16"/>
      <c r="EJ285" s="16"/>
      <c r="EK285" s="16"/>
      <c r="EL285" s="16"/>
      <c r="EM285" s="16"/>
      <c r="EN285" s="16"/>
      <c r="EO285" s="16"/>
      <c r="EP285" s="16"/>
      <c r="EQ285" s="16"/>
      <c r="ER285" s="16"/>
      <c r="ES285" s="16"/>
      <c r="ET285" s="16"/>
      <c r="EW285" s="9"/>
      <c r="EX285" s="16"/>
      <c r="EY285" s="16"/>
      <c r="EZ285" s="16"/>
      <c r="FA285" s="16"/>
      <c r="FB285" s="16"/>
      <c r="FC285" s="16"/>
      <c r="FD285" s="16"/>
      <c r="FE285" s="16"/>
      <c r="FF285" s="16"/>
      <c r="FG285" s="16"/>
      <c r="FH285" s="16"/>
      <c r="FI285" s="16"/>
      <c r="FJ285" s="16"/>
      <c r="FK285" s="16"/>
      <c r="FL285" s="16"/>
      <c r="FM285" s="16"/>
      <c r="FN285" s="16"/>
      <c r="FO285" s="16"/>
      <c r="FP285" s="16"/>
      <c r="FQ285" s="16"/>
      <c r="FR285" s="16"/>
      <c r="FU285" s="9"/>
      <c r="FV285" s="16"/>
      <c r="FW285" s="16"/>
      <c r="FX285" s="16"/>
      <c r="FY285" s="16"/>
      <c r="FZ285" s="16"/>
      <c r="GA285" s="16"/>
      <c r="GB285" s="16"/>
      <c r="GC285" s="16"/>
      <c r="GD285" s="16"/>
      <c r="GE285" s="16"/>
      <c r="GF285" s="16"/>
      <c r="GG285" s="16"/>
      <c r="GH285" s="16"/>
      <c r="GI285" s="16"/>
      <c r="GJ285" s="16"/>
      <c r="GK285" s="16"/>
      <c r="GL285" s="16"/>
      <c r="GM285" s="16"/>
      <c r="GN285" s="16"/>
      <c r="GO285" s="16"/>
      <c r="GP285" s="16"/>
      <c r="GS285" s="9"/>
      <c r="GT285" s="16"/>
      <c r="GU285" s="16"/>
      <c r="GV285" s="16"/>
      <c r="GW285" s="16"/>
      <c r="GX285" s="16"/>
      <c r="GY285" s="16"/>
      <c r="GZ285" s="16"/>
      <c r="HA285" s="16"/>
      <c r="HB285" s="16"/>
      <c r="HC285" s="16"/>
      <c r="HD285" s="16"/>
      <c r="HE285" s="16"/>
      <c r="HF285" s="16"/>
      <c r="HG285" s="16"/>
      <c r="HH285" s="16"/>
      <c r="HI285" s="16"/>
      <c r="HJ285" s="16"/>
      <c r="HK285" s="16"/>
      <c r="HL285" s="16"/>
      <c r="HM285" s="16"/>
      <c r="HN285" s="16"/>
      <c r="HQ285" s="9"/>
      <c r="HR285" s="16"/>
      <c r="HS285" s="16"/>
      <c r="HT285" s="16"/>
      <c r="HU285" s="16"/>
      <c r="HV285" s="16"/>
      <c r="HW285" s="16"/>
      <c r="HX285" s="16"/>
      <c r="HY285" s="16"/>
      <c r="HZ285" s="16"/>
      <c r="IA285" s="16"/>
      <c r="IB285" s="16"/>
      <c r="IC285" s="16"/>
      <c r="ID285" s="16"/>
      <c r="IE285" s="16"/>
      <c r="IF285" s="16"/>
      <c r="IG285" s="16"/>
      <c r="IH285" s="16"/>
      <c r="II285" s="16"/>
      <c r="IJ285" s="16"/>
      <c r="IK285" s="16"/>
      <c r="IL285" s="16"/>
      <c r="IO285" s="9"/>
      <c r="IP285" s="16"/>
      <c r="IQ285" s="16"/>
      <c r="IR285" s="16"/>
      <c r="IS285" s="16"/>
      <c r="IT285" s="16"/>
      <c r="IU285" s="16"/>
      <c r="IV285" s="16"/>
      <c r="IW285" s="16"/>
      <c r="IX285" s="16"/>
      <c r="IY285" s="16"/>
      <c r="IZ285" s="16"/>
      <c r="JA285" s="16"/>
      <c r="JB285" s="16"/>
      <c r="JC285" s="16"/>
      <c r="JD285" s="16"/>
      <c r="JE285" s="16"/>
      <c r="JF285" s="16"/>
      <c r="JG285" s="16"/>
      <c r="JH285" s="16"/>
      <c r="JI285" s="16"/>
      <c r="JJ285" s="16"/>
      <c r="JM285" s="9"/>
      <c r="JN285" s="16"/>
      <c r="JO285" s="16"/>
      <c r="JP285" s="16"/>
      <c r="JQ285" s="16"/>
      <c r="JR285" s="16"/>
      <c r="JS285" s="16"/>
      <c r="JT285" s="16"/>
      <c r="JU285" s="16"/>
      <c r="JV285" s="16"/>
      <c r="JW285" s="16"/>
      <c r="JX285" s="16"/>
      <c r="JY285" s="16"/>
      <c r="JZ285" s="16"/>
      <c r="KA285" s="16"/>
      <c r="KB285" s="16"/>
      <c r="KC285" s="16"/>
      <c r="KD285" s="16"/>
      <c r="KE285" s="16"/>
      <c r="KF285" s="16"/>
      <c r="KG285" s="16"/>
      <c r="KH285" s="16"/>
      <c r="KK285" s="9"/>
      <c r="KL285" s="16"/>
      <c r="KM285" s="16"/>
      <c r="KN285" s="16"/>
      <c r="KO285" s="16"/>
      <c r="KP285" s="16"/>
      <c r="KQ285" s="16"/>
      <c r="KR285" s="16"/>
      <c r="KS285" s="16"/>
      <c r="KT285" s="16"/>
      <c r="KU285" s="16"/>
      <c r="KV285" s="16"/>
      <c r="KW285" s="16"/>
      <c r="KX285" s="16"/>
      <c r="KY285" s="16"/>
      <c r="KZ285" s="16"/>
      <c r="LA285" s="16"/>
      <c r="LB285" s="16"/>
      <c r="LC285" s="16"/>
      <c r="LD285" s="16"/>
      <c r="LE285" s="16"/>
      <c r="LF285" s="16"/>
      <c r="LI285" s="9"/>
      <c r="LJ285" s="16"/>
      <c r="LK285" s="16"/>
      <c r="LL285" s="16"/>
      <c r="LM285" s="16"/>
      <c r="LN285" s="16"/>
      <c r="LO285" s="16"/>
      <c r="LP285" s="16"/>
      <c r="LQ285" s="16"/>
      <c r="LR285" s="16"/>
      <c r="LS285" s="16"/>
      <c r="LT285" s="16"/>
      <c r="LU285" s="16"/>
      <c r="LV285" s="16"/>
      <c r="LW285" s="16"/>
      <c r="LX285" s="16"/>
      <c r="LY285" s="16"/>
      <c r="LZ285" s="16"/>
      <c r="MA285" s="16"/>
      <c r="MB285" s="16"/>
      <c r="MC285" s="16"/>
      <c r="MD285" s="16"/>
      <c r="MG285" s="9"/>
      <c r="MH285" s="16"/>
      <c r="MI285" s="16"/>
      <c r="MJ285" s="16"/>
      <c r="MK285" s="16"/>
      <c r="ML285" s="16"/>
      <c r="MM285" s="16"/>
      <c r="MN285" s="16"/>
      <c r="MO285" s="16"/>
      <c r="MP285" s="16"/>
      <c r="MQ285" s="16"/>
      <c r="MR285" s="16"/>
      <c r="MS285" s="16"/>
      <c r="MT285" s="16"/>
      <c r="MU285" s="16"/>
      <c r="MV285" s="16"/>
      <c r="MW285" s="16"/>
      <c r="MX285" s="16"/>
      <c r="MY285" s="16"/>
      <c r="MZ285" s="16"/>
      <c r="NA285" s="16"/>
      <c r="NB285" s="16"/>
      <c r="NE285" s="9"/>
      <c r="NF285" s="16"/>
      <c r="NG285" s="16"/>
      <c r="NH285" s="16"/>
      <c r="NI285" s="16"/>
      <c r="NJ285" s="16"/>
      <c r="NK285" s="16"/>
      <c r="NL285" s="16"/>
      <c r="NM285" s="16"/>
      <c r="NN285" s="16"/>
      <c r="NO285" s="16"/>
      <c r="NP285" s="16"/>
      <c r="NQ285" s="16"/>
      <c r="NR285" s="16"/>
      <c r="NS285" s="16"/>
      <c r="NT285" s="16"/>
      <c r="NU285" s="16"/>
      <c r="NV285" s="16"/>
      <c r="NW285" s="16"/>
      <c r="NX285" s="16"/>
      <c r="NY285" s="16"/>
      <c r="NZ285" s="16"/>
      <c r="OC285" s="9"/>
      <c r="OD285" s="16"/>
      <c r="OE285" s="16"/>
      <c r="OF285" s="16"/>
      <c r="OG285" s="16"/>
      <c r="OH285" s="16"/>
      <c r="OI285" s="16"/>
      <c r="OJ285" s="16"/>
      <c r="OK285" s="16"/>
      <c r="OL285" s="16"/>
      <c r="OM285" s="16"/>
      <c r="ON285" s="16"/>
      <c r="OO285" s="16"/>
      <c r="OP285" s="16"/>
      <c r="OQ285" s="16"/>
      <c r="OR285" s="16"/>
      <c r="OS285" s="16"/>
      <c r="OT285" s="16"/>
      <c r="OU285" s="16"/>
      <c r="OV285" s="16"/>
      <c r="OW285" s="16"/>
      <c r="OX285" s="16"/>
      <c r="PA285" s="9"/>
      <c r="PB285" s="16"/>
      <c r="PC285" s="16"/>
      <c r="PD285" s="16"/>
      <c r="PE285" s="16"/>
      <c r="PF285" s="16"/>
      <c r="PG285" s="16"/>
      <c r="PH285" s="16"/>
      <c r="PI285" s="16"/>
      <c r="PJ285" s="16"/>
      <c r="PK285" s="16"/>
      <c r="PL285" s="16"/>
      <c r="PM285" s="16"/>
      <c r="PN285" s="16"/>
      <c r="PO285" s="16"/>
      <c r="PP285" s="16"/>
      <c r="PQ285" s="16"/>
      <c r="PR285" s="16"/>
      <c r="PS285" s="16"/>
      <c r="PT285" s="16"/>
      <c r="PU285" s="16"/>
      <c r="PV285" s="16"/>
    </row>
    <row r="286" spans="9:438" x14ac:dyDescent="0.25">
      <c r="I286" s="9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G286" s="9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E286" s="9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C286" s="9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DA286" s="9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Y286" s="9"/>
      <c r="DZ286" s="16"/>
      <c r="EA286" s="16"/>
      <c r="EB286" s="16"/>
      <c r="EC286" s="16"/>
      <c r="ED286" s="16"/>
      <c r="EE286" s="16"/>
      <c r="EF286" s="16"/>
      <c r="EG286" s="16"/>
      <c r="EH286" s="16"/>
      <c r="EI286" s="16"/>
      <c r="EJ286" s="16"/>
      <c r="EK286" s="16"/>
      <c r="EL286" s="16"/>
      <c r="EM286" s="16"/>
      <c r="EN286" s="16"/>
      <c r="EO286" s="16"/>
      <c r="EP286" s="16"/>
      <c r="EQ286" s="16"/>
      <c r="ER286" s="16"/>
      <c r="ES286" s="16"/>
      <c r="ET286" s="16"/>
      <c r="EW286" s="9"/>
      <c r="EX286" s="16"/>
      <c r="EY286" s="16"/>
      <c r="EZ286" s="16"/>
      <c r="FA286" s="16"/>
      <c r="FB286" s="16"/>
      <c r="FC286" s="16"/>
      <c r="FD286" s="16"/>
      <c r="FE286" s="16"/>
      <c r="FF286" s="16"/>
      <c r="FG286" s="16"/>
      <c r="FH286" s="16"/>
      <c r="FI286" s="16"/>
      <c r="FJ286" s="16"/>
      <c r="FK286" s="16"/>
      <c r="FL286" s="16"/>
      <c r="FM286" s="16"/>
      <c r="FN286" s="16"/>
      <c r="FO286" s="16"/>
      <c r="FP286" s="16"/>
      <c r="FQ286" s="16"/>
      <c r="FR286" s="16"/>
      <c r="FU286" s="9"/>
      <c r="FV286" s="16"/>
      <c r="FW286" s="16"/>
      <c r="FX286" s="16"/>
      <c r="FY286" s="16"/>
      <c r="FZ286" s="16"/>
      <c r="GA286" s="16"/>
      <c r="GB286" s="16"/>
      <c r="GC286" s="16"/>
      <c r="GD286" s="16"/>
      <c r="GE286" s="16"/>
      <c r="GF286" s="16"/>
      <c r="GG286" s="16"/>
      <c r="GH286" s="16"/>
      <c r="GI286" s="16"/>
      <c r="GJ286" s="16"/>
      <c r="GK286" s="16"/>
      <c r="GL286" s="16"/>
      <c r="GM286" s="16"/>
      <c r="GN286" s="16"/>
      <c r="GO286" s="16"/>
      <c r="GP286" s="16"/>
      <c r="GS286" s="9"/>
      <c r="GT286" s="16"/>
      <c r="GU286" s="16"/>
      <c r="GV286" s="16"/>
      <c r="GW286" s="16"/>
      <c r="GX286" s="16"/>
      <c r="GY286" s="16"/>
      <c r="GZ286" s="16"/>
      <c r="HA286" s="16"/>
      <c r="HB286" s="16"/>
      <c r="HC286" s="16"/>
      <c r="HD286" s="16"/>
      <c r="HE286" s="16"/>
      <c r="HF286" s="16"/>
      <c r="HG286" s="16"/>
      <c r="HH286" s="16"/>
      <c r="HI286" s="16"/>
      <c r="HJ286" s="16"/>
      <c r="HK286" s="16"/>
      <c r="HL286" s="16"/>
      <c r="HM286" s="16"/>
      <c r="HN286" s="16"/>
      <c r="HQ286" s="9"/>
      <c r="HR286" s="16"/>
      <c r="HS286" s="16"/>
      <c r="HT286" s="16"/>
      <c r="HU286" s="16"/>
      <c r="HV286" s="16"/>
      <c r="HW286" s="16"/>
      <c r="HX286" s="16"/>
      <c r="HY286" s="16"/>
      <c r="HZ286" s="16"/>
      <c r="IA286" s="16"/>
      <c r="IB286" s="16"/>
      <c r="IC286" s="16"/>
      <c r="ID286" s="16"/>
      <c r="IE286" s="16"/>
      <c r="IF286" s="16"/>
      <c r="IG286" s="16"/>
      <c r="IH286" s="16"/>
      <c r="II286" s="16"/>
      <c r="IJ286" s="16"/>
      <c r="IK286" s="16"/>
      <c r="IL286" s="16"/>
      <c r="IO286" s="9"/>
      <c r="IP286" s="16"/>
      <c r="IQ286" s="16"/>
      <c r="IR286" s="16"/>
      <c r="IS286" s="16"/>
      <c r="IT286" s="16"/>
      <c r="IU286" s="16"/>
      <c r="IV286" s="16"/>
      <c r="IW286" s="16"/>
      <c r="IX286" s="16"/>
      <c r="IY286" s="16"/>
      <c r="IZ286" s="16"/>
      <c r="JA286" s="16"/>
      <c r="JB286" s="16"/>
      <c r="JC286" s="16"/>
      <c r="JD286" s="16"/>
      <c r="JE286" s="16"/>
      <c r="JF286" s="16"/>
      <c r="JG286" s="16"/>
      <c r="JH286" s="16"/>
      <c r="JI286" s="16"/>
      <c r="JJ286" s="16"/>
      <c r="JM286" s="9"/>
      <c r="JN286" s="16"/>
      <c r="JO286" s="16"/>
      <c r="JP286" s="16"/>
      <c r="JQ286" s="16"/>
      <c r="JR286" s="16"/>
      <c r="JS286" s="16"/>
      <c r="JT286" s="16"/>
      <c r="JU286" s="16"/>
      <c r="JV286" s="16"/>
      <c r="JW286" s="16"/>
      <c r="JX286" s="16"/>
      <c r="JY286" s="16"/>
      <c r="JZ286" s="16"/>
      <c r="KA286" s="16"/>
      <c r="KB286" s="16"/>
      <c r="KC286" s="16"/>
      <c r="KD286" s="16"/>
      <c r="KE286" s="16"/>
      <c r="KF286" s="16"/>
      <c r="KG286" s="16"/>
      <c r="KH286" s="16"/>
      <c r="KK286" s="9"/>
      <c r="KL286" s="16"/>
      <c r="KM286" s="16"/>
      <c r="KN286" s="16"/>
      <c r="KO286" s="16"/>
      <c r="KP286" s="16"/>
      <c r="KQ286" s="16"/>
      <c r="KR286" s="16"/>
      <c r="KS286" s="16"/>
      <c r="KT286" s="16"/>
      <c r="KU286" s="16"/>
      <c r="KV286" s="16"/>
      <c r="KW286" s="16"/>
      <c r="KX286" s="16"/>
      <c r="KY286" s="16"/>
      <c r="KZ286" s="16"/>
      <c r="LA286" s="16"/>
      <c r="LB286" s="16"/>
      <c r="LC286" s="16"/>
      <c r="LD286" s="16"/>
      <c r="LE286" s="16"/>
      <c r="LF286" s="16"/>
      <c r="LI286" s="9"/>
      <c r="LJ286" s="16"/>
      <c r="LK286" s="16"/>
      <c r="LL286" s="16"/>
      <c r="LM286" s="16"/>
      <c r="LN286" s="16"/>
      <c r="LO286" s="16"/>
      <c r="LP286" s="16"/>
      <c r="LQ286" s="16"/>
      <c r="LR286" s="16"/>
      <c r="LS286" s="16"/>
      <c r="LT286" s="16"/>
      <c r="LU286" s="16"/>
      <c r="LV286" s="16"/>
      <c r="LW286" s="16"/>
      <c r="LX286" s="16"/>
      <c r="LY286" s="16"/>
      <c r="LZ286" s="16"/>
      <c r="MA286" s="16"/>
      <c r="MB286" s="16"/>
      <c r="MC286" s="16"/>
      <c r="MD286" s="16"/>
      <c r="MG286" s="9"/>
      <c r="MH286" s="16"/>
      <c r="MI286" s="16"/>
      <c r="MJ286" s="16"/>
      <c r="MK286" s="16"/>
      <c r="ML286" s="16"/>
      <c r="MM286" s="16"/>
      <c r="MN286" s="16"/>
      <c r="MO286" s="16"/>
      <c r="MP286" s="16"/>
      <c r="MQ286" s="16"/>
      <c r="MR286" s="16"/>
      <c r="MS286" s="16"/>
      <c r="MT286" s="16"/>
      <c r="MU286" s="16"/>
      <c r="MV286" s="16"/>
      <c r="MW286" s="16"/>
      <c r="MX286" s="16"/>
      <c r="MY286" s="16"/>
      <c r="MZ286" s="16"/>
      <c r="NA286" s="16"/>
      <c r="NB286" s="16"/>
      <c r="NE286" s="9"/>
      <c r="NF286" s="16"/>
      <c r="NG286" s="16"/>
      <c r="NH286" s="16"/>
      <c r="NI286" s="16"/>
      <c r="NJ286" s="16"/>
      <c r="NK286" s="16"/>
      <c r="NL286" s="16"/>
      <c r="NM286" s="16"/>
      <c r="NN286" s="16"/>
      <c r="NO286" s="16"/>
      <c r="NP286" s="16"/>
      <c r="NQ286" s="16"/>
      <c r="NR286" s="16"/>
      <c r="NS286" s="16"/>
      <c r="NT286" s="16"/>
      <c r="NU286" s="16"/>
      <c r="NV286" s="16"/>
      <c r="NW286" s="16"/>
      <c r="NX286" s="16"/>
      <c r="NY286" s="16"/>
      <c r="NZ286" s="16"/>
      <c r="OC286" s="9"/>
      <c r="OD286" s="16"/>
      <c r="OE286" s="16"/>
      <c r="OF286" s="16"/>
      <c r="OG286" s="16"/>
      <c r="OH286" s="16"/>
      <c r="OI286" s="16"/>
      <c r="OJ286" s="16"/>
      <c r="OK286" s="16"/>
      <c r="OL286" s="16"/>
      <c r="OM286" s="16"/>
      <c r="ON286" s="16"/>
      <c r="OO286" s="16"/>
      <c r="OP286" s="16"/>
      <c r="OQ286" s="16"/>
      <c r="OR286" s="16"/>
      <c r="OS286" s="16"/>
      <c r="OT286" s="16"/>
      <c r="OU286" s="16"/>
      <c r="OV286" s="16"/>
      <c r="OW286" s="16"/>
      <c r="OX286" s="16"/>
      <c r="PA286" s="9"/>
      <c r="PB286" s="16"/>
      <c r="PC286" s="16"/>
      <c r="PD286" s="16"/>
      <c r="PE286" s="16"/>
      <c r="PF286" s="16"/>
      <c r="PG286" s="16"/>
      <c r="PH286" s="16"/>
      <c r="PI286" s="16"/>
      <c r="PJ286" s="16"/>
      <c r="PK286" s="16"/>
      <c r="PL286" s="16"/>
      <c r="PM286" s="16"/>
      <c r="PN286" s="16"/>
      <c r="PO286" s="16"/>
      <c r="PP286" s="16"/>
      <c r="PQ286" s="16"/>
      <c r="PR286" s="16"/>
      <c r="PS286" s="16"/>
      <c r="PT286" s="16"/>
      <c r="PU286" s="16"/>
      <c r="PV286" s="16"/>
    </row>
    <row r="287" spans="9:438" x14ac:dyDescent="0.25">
      <c r="I287" s="9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G287" s="9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E287" s="9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C287" s="9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DA287" s="9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Y287" s="9"/>
      <c r="DZ287" s="16"/>
      <c r="EA287" s="16"/>
      <c r="EB287" s="16"/>
      <c r="EC287" s="16"/>
      <c r="ED287" s="16"/>
      <c r="EE287" s="16"/>
      <c r="EF287" s="16"/>
      <c r="EG287" s="16"/>
      <c r="EH287" s="16"/>
      <c r="EI287" s="16"/>
      <c r="EJ287" s="16"/>
      <c r="EK287" s="16"/>
      <c r="EL287" s="16"/>
      <c r="EM287" s="16"/>
      <c r="EN287" s="16"/>
      <c r="EO287" s="16"/>
      <c r="EP287" s="16"/>
      <c r="EQ287" s="16"/>
      <c r="ER287" s="16"/>
      <c r="ES287" s="16"/>
      <c r="ET287" s="16"/>
      <c r="EW287" s="9"/>
      <c r="EX287" s="16"/>
      <c r="EY287" s="16"/>
      <c r="EZ287" s="16"/>
      <c r="FA287" s="16"/>
      <c r="FB287" s="16"/>
      <c r="FC287" s="16"/>
      <c r="FD287" s="16"/>
      <c r="FE287" s="16"/>
      <c r="FF287" s="16"/>
      <c r="FG287" s="16"/>
      <c r="FH287" s="16"/>
      <c r="FI287" s="16"/>
      <c r="FJ287" s="16"/>
      <c r="FK287" s="16"/>
      <c r="FL287" s="16"/>
      <c r="FM287" s="16"/>
      <c r="FN287" s="16"/>
      <c r="FO287" s="16"/>
      <c r="FP287" s="16"/>
      <c r="FQ287" s="16"/>
      <c r="FR287" s="16"/>
      <c r="FU287" s="9"/>
      <c r="FV287" s="16"/>
      <c r="FW287" s="16"/>
      <c r="FX287" s="16"/>
      <c r="FY287" s="16"/>
      <c r="FZ287" s="16"/>
      <c r="GA287" s="16"/>
      <c r="GB287" s="16"/>
      <c r="GC287" s="16"/>
      <c r="GD287" s="16"/>
      <c r="GE287" s="16"/>
      <c r="GF287" s="16"/>
      <c r="GG287" s="16"/>
      <c r="GH287" s="16"/>
      <c r="GI287" s="16"/>
      <c r="GJ287" s="16"/>
      <c r="GK287" s="16"/>
      <c r="GL287" s="16"/>
      <c r="GM287" s="16"/>
      <c r="GN287" s="16"/>
      <c r="GO287" s="16"/>
      <c r="GP287" s="16"/>
      <c r="GS287" s="9"/>
      <c r="GT287" s="16"/>
      <c r="GU287" s="16"/>
      <c r="GV287" s="16"/>
      <c r="GW287" s="16"/>
      <c r="GX287" s="16"/>
      <c r="GY287" s="16"/>
      <c r="GZ287" s="16"/>
      <c r="HA287" s="16"/>
      <c r="HB287" s="16"/>
      <c r="HC287" s="16"/>
      <c r="HD287" s="16"/>
      <c r="HE287" s="16"/>
      <c r="HF287" s="16"/>
      <c r="HG287" s="16"/>
      <c r="HH287" s="16"/>
      <c r="HI287" s="16"/>
      <c r="HJ287" s="16"/>
      <c r="HK287" s="16"/>
      <c r="HL287" s="16"/>
      <c r="HM287" s="16"/>
      <c r="HN287" s="16"/>
      <c r="HQ287" s="9"/>
      <c r="HR287" s="16"/>
      <c r="HS287" s="16"/>
      <c r="HT287" s="16"/>
      <c r="HU287" s="16"/>
      <c r="HV287" s="16"/>
      <c r="HW287" s="16"/>
      <c r="HX287" s="16"/>
      <c r="HY287" s="16"/>
      <c r="HZ287" s="16"/>
      <c r="IA287" s="16"/>
      <c r="IB287" s="16"/>
      <c r="IC287" s="16"/>
      <c r="ID287" s="16"/>
      <c r="IE287" s="16"/>
      <c r="IF287" s="16"/>
      <c r="IG287" s="16"/>
      <c r="IH287" s="16"/>
      <c r="II287" s="16"/>
      <c r="IJ287" s="16"/>
      <c r="IK287" s="16"/>
      <c r="IL287" s="16"/>
      <c r="IO287" s="9"/>
      <c r="IP287" s="16"/>
      <c r="IQ287" s="16"/>
      <c r="IR287" s="16"/>
      <c r="IS287" s="16"/>
      <c r="IT287" s="16"/>
      <c r="IU287" s="16"/>
      <c r="IV287" s="16"/>
      <c r="IW287" s="16"/>
      <c r="IX287" s="16"/>
      <c r="IY287" s="16"/>
      <c r="IZ287" s="16"/>
      <c r="JA287" s="16"/>
      <c r="JB287" s="16"/>
      <c r="JC287" s="16"/>
      <c r="JD287" s="16"/>
      <c r="JE287" s="16"/>
      <c r="JF287" s="16"/>
      <c r="JG287" s="16"/>
      <c r="JH287" s="16"/>
      <c r="JI287" s="16"/>
      <c r="JJ287" s="16"/>
      <c r="JM287" s="9"/>
      <c r="JN287" s="16"/>
      <c r="JO287" s="16"/>
      <c r="JP287" s="16"/>
      <c r="JQ287" s="16"/>
      <c r="JR287" s="16"/>
      <c r="JS287" s="16"/>
      <c r="JT287" s="16"/>
      <c r="JU287" s="16"/>
      <c r="JV287" s="16"/>
      <c r="JW287" s="16"/>
      <c r="JX287" s="16"/>
      <c r="JY287" s="16"/>
      <c r="JZ287" s="16"/>
      <c r="KA287" s="16"/>
      <c r="KB287" s="16"/>
      <c r="KC287" s="16"/>
      <c r="KD287" s="16"/>
      <c r="KE287" s="16"/>
      <c r="KF287" s="16"/>
      <c r="KG287" s="16"/>
      <c r="KH287" s="16"/>
      <c r="KK287" s="9"/>
      <c r="KL287" s="16"/>
      <c r="KM287" s="16"/>
      <c r="KN287" s="16"/>
      <c r="KO287" s="16"/>
      <c r="KP287" s="16"/>
      <c r="KQ287" s="16"/>
      <c r="KR287" s="16"/>
      <c r="KS287" s="16"/>
      <c r="KT287" s="16"/>
      <c r="KU287" s="16"/>
      <c r="KV287" s="16"/>
      <c r="KW287" s="16"/>
      <c r="KX287" s="16"/>
      <c r="KY287" s="16"/>
      <c r="KZ287" s="16"/>
      <c r="LA287" s="16"/>
      <c r="LB287" s="16"/>
      <c r="LC287" s="16"/>
      <c r="LD287" s="16"/>
      <c r="LE287" s="16"/>
      <c r="LF287" s="16"/>
      <c r="LI287" s="9"/>
      <c r="LJ287" s="16"/>
      <c r="LK287" s="16"/>
      <c r="LL287" s="16"/>
      <c r="LM287" s="16"/>
      <c r="LN287" s="16"/>
      <c r="LO287" s="16"/>
      <c r="LP287" s="16"/>
      <c r="LQ287" s="16"/>
      <c r="LR287" s="16"/>
      <c r="LS287" s="16"/>
      <c r="LT287" s="16"/>
      <c r="LU287" s="16"/>
      <c r="LV287" s="16"/>
      <c r="LW287" s="16"/>
      <c r="LX287" s="16"/>
      <c r="LY287" s="16"/>
      <c r="LZ287" s="16"/>
      <c r="MA287" s="16"/>
      <c r="MB287" s="16"/>
      <c r="MC287" s="16"/>
      <c r="MD287" s="16"/>
      <c r="MG287" s="9"/>
      <c r="MH287" s="16"/>
      <c r="MI287" s="16"/>
      <c r="MJ287" s="16"/>
      <c r="MK287" s="16"/>
      <c r="ML287" s="16"/>
      <c r="MM287" s="16"/>
      <c r="MN287" s="16"/>
      <c r="MO287" s="16"/>
      <c r="MP287" s="16"/>
      <c r="MQ287" s="16"/>
      <c r="MR287" s="16"/>
      <c r="MS287" s="16"/>
      <c r="MT287" s="16"/>
      <c r="MU287" s="16"/>
      <c r="MV287" s="16"/>
      <c r="MW287" s="16"/>
      <c r="MX287" s="16"/>
      <c r="MY287" s="16"/>
      <c r="MZ287" s="16"/>
      <c r="NA287" s="16"/>
      <c r="NB287" s="16"/>
      <c r="NE287" s="9"/>
      <c r="NF287" s="16"/>
      <c r="NG287" s="16"/>
      <c r="NH287" s="16"/>
      <c r="NI287" s="16"/>
      <c r="NJ287" s="16"/>
      <c r="NK287" s="16"/>
      <c r="NL287" s="16"/>
      <c r="NM287" s="16"/>
      <c r="NN287" s="16"/>
      <c r="NO287" s="16"/>
      <c r="NP287" s="16"/>
      <c r="NQ287" s="16"/>
      <c r="NR287" s="16"/>
      <c r="NS287" s="16"/>
      <c r="NT287" s="16"/>
      <c r="NU287" s="16"/>
      <c r="NV287" s="16"/>
      <c r="NW287" s="16"/>
      <c r="NX287" s="16"/>
      <c r="NY287" s="16"/>
      <c r="NZ287" s="16"/>
      <c r="OC287" s="9"/>
      <c r="OD287" s="16"/>
      <c r="OE287" s="16"/>
      <c r="OF287" s="16"/>
      <c r="OG287" s="16"/>
      <c r="OH287" s="16"/>
      <c r="OI287" s="16"/>
      <c r="OJ287" s="16"/>
      <c r="OK287" s="16"/>
      <c r="OL287" s="16"/>
      <c r="OM287" s="16"/>
      <c r="ON287" s="16"/>
      <c r="OO287" s="16"/>
      <c r="OP287" s="16"/>
      <c r="OQ287" s="16"/>
      <c r="OR287" s="16"/>
      <c r="OS287" s="16"/>
      <c r="OT287" s="16"/>
      <c r="OU287" s="16"/>
      <c r="OV287" s="16"/>
      <c r="OW287" s="16"/>
      <c r="OX287" s="16"/>
      <c r="PA287" s="9"/>
      <c r="PB287" s="16"/>
      <c r="PC287" s="16"/>
      <c r="PD287" s="16"/>
      <c r="PE287" s="16"/>
      <c r="PF287" s="16"/>
      <c r="PG287" s="16"/>
      <c r="PH287" s="16"/>
      <c r="PI287" s="16"/>
      <c r="PJ287" s="16"/>
      <c r="PK287" s="16"/>
      <c r="PL287" s="16"/>
      <c r="PM287" s="16"/>
      <c r="PN287" s="16"/>
      <c r="PO287" s="16"/>
      <c r="PP287" s="16"/>
      <c r="PQ287" s="16"/>
      <c r="PR287" s="16"/>
      <c r="PS287" s="16"/>
      <c r="PT287" s="16"/>
      <c r="PU287" s="16"/>
      <c r="PV287" s="16"/>
    </row>
    <row r="288" spans="9:438" x14ac:dyDescent="0.25">
      <c r="I288" s="9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G288" s="9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E288" s="9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C288" s="9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DA288" s="9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Y288" s="9"/>
      <c r="DZ288" s="16"/>
      <c r="EA288" s="16"/>
      <c r="EB288" s="16"/>
      <c r="EC288" s="16"/>
      <c r="ED288" s="16"/>
      <c r="EE288" s="16"/>
      <c r="EF288" s="16"/>
      <c r="EG288" s="16"/>
      <c r="EH288" s="16"/>
      <c r="EI288" s="16"/>
      <c r="EJ288" s="16"/>
      <c r="EK288" s="16"/>
      <c r="EL288" s="16"/>
      <c r="EM288" s="16"/>
      <c r="EN288" s="16"/>
      <c r="EO288" s="16"/>
      <c r="EP288" s="16"/>
      <c r="EQ288" s="16"/>
      <c r="ER288" s="16"/>
      <c r="ES288" s="16"/>
      <c r="ET288" s="16"/>
      <c r="EW288" s="9"/>
      <c r="EX288" s="16"/>
      <c r="EY288" s="16"/>
      <c r="EZ288" s="16"/>
      <c r="FA288" s="16"/>
      <c r="FB288" s="16"/>
      <c r="FC288" s="16"/>
      <c r="FD288" s="16"/>
      <c r="FE288" s="16"/>
      <c r="FF288" s="16"/>
      <c r="FG288" s="16"/>
      <c r="FH288" s="16"/>
      <c r="FI288" s="16"/>
      <c r="FJ288" s="16"/>
      <c r="FK288" s="16"/>
      <c r="FL288" s="16"/>
      <c r="FM288" s="16"/>
      <c r="FN288" s="16"/>
      <c r="FO288" s="16"/>
      <c r="FP288" s="16"/>
      <c r="FQ288" s="16"/>
      <c r="FR288" s="16"/>
      <c r="FU288" s="9"/>
      <c r="FV288" s="16"/>
      <c r="FW288" s="16"/>
      <c r="FX288" s="16"/>
      <c r="FY288" s="16"/>
      <c r="FZ288" s="16"/>
      <c r="GA288" s="16"/>
      <c r="GB288" s="16"/>
      <c r="GC288" s="16"/>
      <c r="GD288" s="16"/>
      <c r="GE288" s="16"/>
      <c r="GF288" s="16"/>
      <c r="GG288" s="16"/>
      <c r="GH288" s="16"/>
      <c r="GI288" s="16"/>
      <c r="GJ288" s="16"/>
      <c r="GK288" s="16"/>
      <c r="GL288" s="16"/>
      <c r="GM288" s="16"/>
      <c r="GN288" s="16"/>
      <c r="GO288" s="16"/>
      <c r="GP288" s="16"/>
      <c r="GS288" s="9"/>
      <c r="GT288" s="16"/>
      <c r="GU288" s="16"/>
      <c r="GV288" s="16"/>
      <c r="GW288" s="16"/>
      <c r="GX288" s="16"/>
      <c r="GY288" s="16"/>
      <c r="GZ288" s="16"/>
      <c r="HA288" s="16"/>
      <c r="HB288" s="16"/>
      <c r="HC288" s="16"/>
      <c r="HD288" s="16"/>
      <c r="HE288" s="16"/>
      <c r="HF288" s="16"/>
      <c r="HG288" s="16"/>
      <c r="HH288" s="16"/>
      <c r="HI288" s="16"/>
      <c r="HJ288" s="16"/>
      <c r="HK288" s="16"/>
      <c r="HL288" s="16"/>
      <c r="HM288" s="16"/>
      <c r="HN288" s="16"/>
      <c r="HQ288" s="9"/>
      <c r="HR288" s="16"/>
      <c r="HS288" s="16"/>
      <c r="HT288" s="16"/>
      <c r="HU288" s="16"/>
      <c r="HV288" s="16"/>
      <c r="HW288" s="16"/>
      <c r="HX288" s="16"/>
      <c r="HY288" s="16"/>
      <c r="HZ288" s="16"/>
      <c r="IA288" s="16"/>
      <c r="IB288" s="16"/>
      <c r="IC288" s="16"/>
      <c r="ID288" s="16"/>
      <c r="IE288" s="16"/>
      <c r="IF288" s="16"/>
      <c r="IG288" s="16"/>
      <c r="IH288" s="16"/>
      <c r="II288" s="16"/>
      <c r="IJ288" s="16"/>
      <c r="IK288" s="16"/>
      <c r="IL288" s="16"/>
      <c r="IO288" s="9"/>
      <c r="IP288" s="16"/>
      <c r="IQ288" s="16"/>
      <c r="IR288" s="16"/>
      <c r="IS288" s="16"/>
      <c r="IT288" s="16"/>
      <c r="IU288" s="16"/>
      <c r="IV288" s="16"/>
      <c r="IW288" s="16"/>
      <c r="IX288" s="16"/>
      <c r="IY288" s="16"/>
      <c r="IZ288" s="16"/>
      <c r="JA288" s="16"/>
      <c r="JB288" s="16"/>
      <c r="JC288" s="16"/>
      <c r="JD288" s="16"/>
      <c r="JE288" s="16"/>
      <c r="JF288" s="16"/>
      <c r="JG288" s="16"/>
      <c r="JH288" s="16"/>
      <c r="JI288" s="16"/>
      <c r="JJ288" s="16"/>
      <c r="JM288" s="9"/>
      <c r="JN288" s="16"/>
      <c r="JO288" s="16"/>
      <c r="JP288" s="16"/>
      <c r="JQ288" s="16"/>
      <c r="JR288" s="16"/>
      <c r="JS288" s="16"/>
      <c r="JT288" s="16"/>
      <c r="JU288" s="16"/>
      <c r="JV288" s="16"/>
      <c r="JW288" s="16"/>
      <c r="JX288" s="16"/>
      <c r="JY288" s="16"/>
      <c r="JZ288" s="16"/>
      <c r="KA288" s="16"/>
      <c r="KB288" s="16"/>
      <c r="KC288" s="16"/>
      <c r="KD288" s="16"/>
      <c r="KE288" s="16"/>
      <c r="KF288" s="16"/>
      <c r="KG288" s="16"/>
      <c r="KH288" s="16"/>
      <c r="KK288" s="9"/>
      <c r="KL288" s="16"/>
      <c r="KM288" s="16"/>
      <c r="KN288" s="16"/>
      <c r="KO288" s="16"/>
      <c r="KP288" s="16"/>
      <c r="KQ288" s="16"/>
      <c r="KR288" s="16"/>
      <c r="KS288" s="16"/>
      <c r="KT288" s="16"/>
      <c r="KU288" s="16"/>
      <c r="KV288" s="16"/>
      <c r="KW288" s="16"/>
      <c r="KX288" s="16"/>
      <c r="KY288" s="16"/>
      <c r="KZ288" s="16"/>
      <c r="LA288" s="16"/>
      <c r="LB288" s="16"/>
      <c r="LC288" s="16"/>
      <c r="LD288" s="16"/>
      <c r="LE288" s="16"/>
      <c r="LF288" s="16"/>
      <c r="LI288" s="9"/>
      <c r="LJ288" s="16"/>
      <c r="LK288" s="16"/>
      <c r="LL288" s="16"/>
      <c r="LM288" s="16"/>
      <c r="LN288" s="16"/>
      <c r="LO288" s="16"/>
      <c r="LP288" s="16"/>
      <c r="LQ288" s="16"/>
      <c r="LR288" s="16"/>
      <c r="LS288" s="16"/>
      <c r="LT288" s="16"/>
      <c r="LU288" s="16"/>
      <c r="LV288" s="16"/>
      <c r="LW288" s="16"/>
      <c r="LX288" s="16"/>
      <c r="LY288" s="16"/>
      <c r="LZ288" s="16"/>
      <c r="MA288" s="16"/>
      <c r="MB288" s="16"/>
      <c r="MC288" s="16"/>
      <c r="MD288" s="16"/>
      <c r="MG288" s="9"/>
      <c r="MH288" s="16"/>
      <c r="MI288" s="16"/>
      <c r="MJ288" s="16"/>
      <c r="MK288" s="16"/>
      <c r="ML288" s="16"/>
      <c r="MM288" s="16"/>
      <c r="MN288" s="16"/>
      <c r="MO288" s="16"/>
      <c r="MP288" s="16"/>
      <c r="MQ288" s="16"/>
      <c r="MR288" s="16"/>
      <c r="MS288" s="16"/>
      <c r="MT288" s="16"/>
      <c r="MU288" s="16"/>
      <c r="MV288" s="16"/>
      <c r="MW288" s="16"/>
      <c r="MX288" s="16"/>
      <c r="MY288" s="16"/>
      <c r="MZ288" s="16"/>
      <c r="NA288" s="16"/>
      <c r="NB288" s="16"/>
      <c r="NE288" s="9"/>
      <c r="NF288" s="16"/>
      <c r="NG288" s="16"/>
      <c r="NH288" s="16"/>
      <c r="NI288" s="16"/>
      <c r="NJ288" s="16"/>
      <c r="NK288" s="16"/>
      <c r="NL288" s="16"/>
      <c r="NM288" s="16"/>
      <c r="NN288" s="16"/>
      <c r="NO288" s="16"/>
      <c r="NP288" s="16"/>
      <c r="NQ288" s="16"/>
      <c r="NR288" s="16"/>
      <c r="NS288" s="16"/>
      <c r="NT288" s="16"/>
      <c r="NU288" s="16"/>
      <c r="NV288" s="16"/>
      <c r="NW288" s="16"/>
      <c r="NX288" s="16"/>
      <c r="NY288" s="16"/>
      <c r="NZ288" s="16"/>
      <c r="OC288" s="9"/>
      <c r="OD288" s="16"/>
      <c r="OE288" s="16"/>
      <c r="OF288" s="16"/>
      <c r="OG288" s="16"/>
      <c r="OH288" s="16"/>
      <c r="OI288" s="16"/>
      <c r="OJ288" s="16"/>
      <c r="OK288" s="16"/>
      <c r="OL288" s="16"/>
      <c r="OM288" s="16"/>
      <c r="ON288" s="16"/>
      <c r="OO288" s="16"/>
      <c r="OP288" s="16"/>
      <c r="OQ288" s="16"/>
      <c r="OR288" s="16"/>
      <c r="OS288" s="16"/>
      <c r="OT288" s="16"/>
      <c r="OU288" s="16"/>
      <c r="OV288" s="16"/>
      <c r="OW288" s="16"/>
      <c r="OX288" s="16"/>
      <c r="PA288" s="9"/>
      <c r="PB288" s="16"/>
      <c r="PC288" s="16"/>
      <c r="PD288" s="16"/>
      <c r="PE288" s="16"/>
      <c r="PF288" s="16"/>
      <c r="PG288" s="16"/>
      <c r="PH288" s="16"/>
      <c r="PI288" s="16"/>
      <c r="PJ288" s="16"/>
      <c r="PK288" s="16"/>
      <c r="PL288" s="16"/>
      <c r="PM288" s="16"/>
      <c r="PN288" s="16"/>
      <c r="PO288" s="16"/>
      <c r="PP288" s="16"/>
      <c r="PQ288" s="16"/>
      <c r="PR288" s="16"/>
      <c r="PS288" s="16"/>
      <c r="PT288" s="16"/>
      <c r="PU288" s="16"/>
      <c r="PV288" s="16"/>
    </row>
    <row r="289" spans="9:438" x14ac:dyDescent="0.25">
      <c r="I289" s="9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G289" s="9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E289" s="9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C289" s="9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DA289" s="9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Y289" s="9"/>
      <c r="DZ289" s="16"/>
      <c r="EA289" s="16"/>
      <c r="EB289" s="16"/>
      <c r="EC289" s="16"/>
      <c r="ED289" s="16"/>
      <c r="EE289" s="16"/>
      <c r="EF289" s="16"/>
      <c r="EG289" s="16"/>
      <c r="EH289" s="16"/>
      <c r="EI289" s="16"/>
      <c r="EJ289" s="16"/>
      <c r="EK289" s="16"/>
      <c r="EL289" s="16"/>
      <c r="EM289" s="16"/>
      <c r="EN289" s="16"/>
      <c r="EO289" s="16"/>
      <c r="EP289" s="16"/>
      <c r="EQ289" s="16"/>
      <c r="ER289" s="16"/>
      <c r="ES289" s="16"/>
      <c r="ET289" s="16"/>
      <c r="EW289" s="9"/>
      <c r="EX289" s="16"/>
      <c r="EY289" s="16"/>
      <c r="EZ289" s="16"/>
      <c r="FA289" s="16"/>
      <c r="FB289" s="16"/>
      <c r="FC289" s="16"/>
      <c r="FD289" s="16"/>
      <c r="FE289" s="16"/>
      <c r="FF289" s="16"/>
      <c r="FG289" s="16"/>
      <c r="FH289" s="16"/>
      <c r="FI289" s="16"/>
      <c r="FJ289" s="16"/>
      <c r="FK289" s="16"/>
      <c r="FL289" s="16"/>
      <c r="FM289" s="16"/>
      <c r="FN289" s="16"/>
      <c r="FO289" s="16"/>
      <c r="FP289" s="16"/>
      <c r="FQ289" s="16"/>
      <c r="FR289" s="16"/>
      <c r="FU289" s="9"/>
      <c r="FV289" s="16"/>
      <c r="FW289" s="16"/>
      <c r="FX289" s="16"/>
      <c r="FY289" s="16"/>
      <c r="FZ289" s="16"/>
      <c r="GA289" s="16"/>
      <c r="GB289" s="16"/>
      <c r="GC289" s="16"/>
      <c r="GD289" s="16"/>
      <c r="GE289" s="16"/>
      <c r="GF289" s="16"/>
      <c r="GG289" s="16"/>
      <c r="GH289" s="16"/>
      <c r="GI289" s="16"/>
      <c r="GJ289" s="16"/>
      <c r="GK289" s="16"/>
      <c r="GL289" s="16"/>
      <c r="GM289" s="16"/>
      <c r="GN289" s="16"/>
      <c r="GO289" s="16"/>
      <c r="GP289" s="16"/>
      <c r="GS289" s="9"/>
      <c r="GT289" s="16"/>
      <c r="GU289" s="16"/>
      <c r="GV289" s="16"/>
      <c r="GW289" s="16"/>
      <c r="GX289" s="16"/>
      <c r="GY289" s="16"/>
      <c r="GZ289" s="16"/>
      <c r="HA289" s="16"/>
      <c r="HB289" s="16"/>
      <c r="HC289" s="16"/>
      <c r="HD289" s="16"/>
      <c r="HE289" s="16"/>
      <c r="HF289" s="16"/>
      <c r="HG289" s="16"/>
      <c r="HH289" s="16"/>
      <c r="HI289" s="16"/>
      <c r="HJ289" s="16"/>
      <c r="HK289" s="16"/>
      <c r="HL289" s="16"/>
      <c r="HM289" s="16"/>
      <c r="HN289" s="16"/>
      <c r="HQ289" s="9"/>
      <c r="HR289" s="16"/>
      <c r="HS289" s="16"/>
      <c r="HT289" s="16"/>
      <c r="HU289" s="16"/>
      <c r="HV289" s="16"/>
      <c r="HW289" s="16"/>
      <c r="HX289" s="16"/>
      <c r="HY289" s="16"/>
      <c r="HZ289" s="16"/>
      <c r="IA289" s="16"/>
      <c r="IB289" s="16"/>
      <c r="IC289" s="16"/>
      <c r="ID289" s="16"/>
      <c r="IE289" s="16"/>
      <c r="IF289" s="16"/>
      <c r="IG289" s="16"/>
      <c r="IH289" s="16"/>
      <c r="II289" s="16"/>
      <c r="IJ289" s="16"/>
      <c r="IK289" s="16"/>
      <c r="IL289" s="16"/>
      <c r="IO289" s="9"/>
      <c r="IP289" s="16"/>
      <c r="IQ289" s="16"/>
      <c r="IR289" s="16"/>
      <c r="IS289" s="16"/>
      <c r="IT289" s="16"/>
      <c r="IU289" s="16"/>
      <c r="IV289" s="16"/>
      <c r="IW289" s="16"/>
      <c r="IX289" s="16"/>
      <c r="IY289" s="16"/>
      <c r="IZ289" s="16"/>
      <c r="JA289" s="16"/>
      <c r="JB289" s="16"/>
      <c r="JC289" s="16"/>
      <c r="JD289" s="16"/>
      <c r="JE289" s="16"/>
      <c r="JF289" s="16"/>
      <c r="JG289" s="16"/>
      <c r="JH289" s="16"/>
      <c r="JI289" s="16"/>
      <c r="JJ289" s="16"/>
      <c r="JM289" s="9"/>
      <c r="JN289" s="16"/>
      <c r="JO289" s="16"/>
      <c r="JP289" s="16"/>
      <c r="JQ289" s="16"/>
      <c r="JR289" s="16"/>
      <c r="JS289" s="16"/>
      <c r="JT289" s="16"/>
      <c r="JU289" s="16"/>
      <c r="JV289" s="16"/>
      <c r="JW289" s="16"/>
      <c r="JX289" s="16"/>
      <c r="JY289" s="16"/>
      <c r="JZ289" s="16"/>
      <c r="KA289" s="16"/>
      <c r="KB289" s="16"/>
      <c r="KC289" s="16"/>
      <c r="KD289" s="16"/>
      <c r="KE289" s="16"/>
      <c r="KF289" s="16"/>
      <c r="KG289" s="16"/>
      <c r="KH289" s="16"/>
      <c r="KK289" s="9"/>
      <c r="KL289" s="16"/>
      <c r="KM289" s="16"/>
      <c r="KN289" s="16"/>
      <c r="KO289" s="16"/>
      <c r="KP289" s="16"/>
      <c r="KQ289" s="16"/>
      <c r="KR289" s="16"/>
      <c r="KS289" s="16"/>
      <c r="KT289" s="16"/>
      <c r="KU289" s="16"/>
      <c r="KV289" s="16"/>
      <c r="KW289" s="16"/>
      <c r="KX289" s="16"/>
      <c r="KY289" s="16"/>
      <c r="KZ289" s="16"/>
      <c r="LA289" s="16"/>
      <c r="LB289" s="16"/>
      <c r="LC289" s="16"/>
      <c r="LD289" s="16"/>
      <c r="LE289" s="16"/>
      <c r="LF289" s="16"/>
      <c r="LI289" s="9"/>
      <c r="LJ289" s="16"/>
      <c r="LK289" s="16"/>
      <c r="LL289" s="16"/>
      <c r="LM289" s="16"/>
      <c r="LN289" s="16"/>
      <c r="LO289" s="16"/>
      <c r="LP289" s="16"/>
      <c r="LQ289" s="16"/>
      <c r="LR289" s="16"/>
      <c r="LS289" s="16"/>
      <c r="LT289" s="16"/>
      <c r="LU289" s="16"/>
      <c r="LV289" s="16"/>
      <c r="LW289" s="16"/>
      <c r="LX289" s="16"/>
      <c r="LY289" s="16"/>
      <c r="LZ289" s="16"/>
      <c r="MA289" s="16"/>
      <c r="MB289" s="16"/>
      <c r="MC289" s="16"/>
      <c r="MD289" s="16"/>
      <c r="MG289" s="9"/>
      <c r="MH289" s="16"/>
      <c r="MI289" s="16"/>
      <c r="MJ289" s="16"/>
      <c r="MK289" s="16"/>
      <c r="ML289" s="16"/>
      <c r="MM289" s="16"/>
      <c r="MN289" s="16"/>
      <c r="MO289" s="16"/>
      <c r="MP289" s="16"/>
      <c r="MQ289" s="16"/>
      <c r="MR289" s="16"/>
      <c r="MS289" s="16"/>
      <c r="MT289" s="16"/>
      <c r="MU289" s="16"/>
      <c r="MV289" s="16"/>
      <c r="MW289" s="16"/>
      <c r="MX289" s="16"/>
      <c r="MY289" s="16"/>
      <c r="MZ289" s="16"/>
      <c r="NA289" s="16"/>
      <c r="NB289" s="16"/>
      <c r="NE289" s="9"/>
      <c r="NF289" s="16"/>
      <c r="NG289" s="16"/>
      <c r="NH289" s="16"/>
      <c r="NI289" s="16"/>
      <c r="NJ289" s="16"/>
      <c r="NK289" s="16"/>
      <c r="NL289" s="16"/>
      <c r="NM289" s="16"/>
      <c r="NN289" s="16"/>
      <c r="NO289" s="16"/>
      <c r="NP289" s="16"/>
      <c r="NQ289" s="16"/>
      <c r="NR289" s="16"/>
      <c r="NS289" s="16"/>
      <c r="NT289" s="16"/>
      <c r="NU289" s="16"/>
      <c r="NV289" s="16"/>
      <c r="NW289" s="16"/>
      <c r="NX289" s="16"/>
      <c r="NY289" s="16"/>
      <c r="NZ289" s="16"/>
      <c r="OC289" s="9"/>
      <c r="OD289" s="16"/>
      <c r="OE289" s="16"/>
      <c r="OF289" s="16"/>
      <c r="OG289" s="16"/>
      <c r="OH289" s="16"/>
      <c r="OI289" s="16"/>
      <c r="OJ289" s="16"/>
      <c r="OK289" s="16"/>
      <c r="OL289" s="16"/>
      <c r="OM289" s="16"/>
      <c r="ON289" s="16"/>
      <c r="OO289" s="16"/>
      <c r="OP289" s="16"/>
      <c r="OQ289" s="16"/>
      <c r="OR289" s="16"/>
      <c r="OS289" s="16"/>
      <c r="OT289" s="16"/>
      <c r="OU289" s="16"/>
      <c r="OV289" s="16"/>
      <c r="OW289" s="16"/>
      <c r="OX289" s="16"/>
      <c r="PA289" s="9"/>
      <c r="PB289" s="16"/>
      <c r="PC289" s="16"/>
      <c r="PD289" s="16"/>
      <c r="PE289" s="16"/>
      <c r="PF289" s="16"/>
      <c r="PG289" s="16"/>
      <c r="PH289" s="16"/>
      <c r="PI289" s="16"/>
      <c r="PJ289" s="16"/>
      <c r="PK289" s="16"/>
      <c r="PL289" s="16"/>
      <c r="PM289" s="16"/>
      <c r="PN289" s="16"/>
      <c r="PO289" s="16"/>
      <c r="PP289" s="16"/>
      <c r="PQ289" s="16"/>
      <c r="PR289" s="16"/>
      <c r="PS289" s="16"/>
      <c r="PT289" s="16"/>
      <c r="PU289" s="16"/>
      <c r="PV289" s="16"/>
    </row>
    <row r="290" spans="9:438" x14ac:dyDescent="0.25">
      <c r="I290" s="9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G290" s="9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E290" s="9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C290" s="9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DA290" s="9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Y290" s="9"/>
      <c r="DZ290" s="16"/>
      <c r="EA290" s="16"/>
      <c r="EB290" s="16"/>
      <c r="EC290" s="16"/>
      <c r="ED290" s="16"/>
      <c r="EE290" s="16"/>
      <c r="EF290" s="16"/>
      <c r="EG290" s="16"/>
      <c r="EH290" s="16"/>
      <c r="EI290" s="16"/>
      <c r="EJ290" s="16"/>
      <c r="EK290" s="16"/>
      <c r="EL290" s="16"/>
      <c r="EM290" s="16"/>
      <c r="EN290" s="16"/>
      <c r="EO290" s="16"/>
      <c r="EP290" s="16"/>
      <c r="EQ290" s="16"/>
      <c r="ER290" s="16"/>
      <c r="ES290" s="16"/>
      <c r="ET290" s="16"/>
      <c r="EW290" s="9"/>
      <c r="EX290" s="16"/>
      <c r="EY290" s="16"/>
      <c r="EZ290" s="16"/>
      <c r="FA290" s="16"/>
      <c r="FB290" s="16"/>
      <c r="FC290" s="16"/>
      <c r="FD290" s="16"/>
      <c r="FE290" s="16"/>
      <c r="FF290" s="16"/>
      <c r="FG290" s="16"/>
      <c r="FH290" s="16"/>
      <c r="FI290" s="16"/>
      <c r="FJ290" s="16"/>
      <c r="FK290" s="16"/>
      <c r="FL290" s="16"/>
      <c r="FM290" s="16"/>
      <c r="FN290" s="16"/>
      <c r="FO290" s="16"/>
      <c r="FP290" s="16"/>
      <c r="FQ290" s="16"/>
      <c r="FR290" s="16"/>
      <c r="FU290" s="9"/>
      <c r="FV290" s="16"/>
      <c r="FW290" s="16"/>
      <c r="FX290" s="16"/>
      <c r="FY290" s="16"/>
      <c r="FZ290" s="16"/>
      <c r="GA290" s="16"/>
      <c r="GB290" s="16"/>
      <c r="GC290" s="16"/>
      <c r="GD290" s="16"/>
      <c r="GE290" s="16"/>
      <c r="GF290" s="16"/>
      <c r="GG290" s="16"/>
      <c r="GH290" s="16"/>
      <c r="GI290" s="16"/>
      <c r="GJ290" s="16"/>
      <c r="GK290" s="16"/>
      <c r="GL290" s="16"/>
      <c r="GM290" s="16"/>
      <c r="GN290" s="16"/>
      <c r="GO290" s="16"/>
      <c r="GP290" s="16"/>
      <c r="GS290" s="9"/>
      <c r="GT290" s="16"/>
      <c r="GU290" s="16"/>
      <c r="GV290" s="16"/>
      <c r="GW290" s="16"/>
      <c r="GX290" s="16"/>
      <c r="GY290" s="16"/>
      <c r="GZ290" s="16"/>
      <c r="HA290" s="16"/>
      <c r="HB290" s="16"/>
      <c r="HC290" s="16"/>
      <c r="HD290" s="16"/>
      <c r="HE290" s="16"/>
      <c r="HF290" s="16"/>
      <c r="HG290" s="16"/>
      <c r="HH290" s="16"/>
      <c r="HI290" s="16"/>
      <c r="HJ290" s="16"/>
      <c r="HK290" s="16"/>
      <c r="HL290" s="16"/>
      <c r="HM290" s="16"/>
      <c r="HN290" s="16"/>
      <c r="HQ290" s="9"/>
      <c r="HR290" s="16"/>
      <c r="HS290" s="16"/>
      <c r="HT290" s="16"/>
      <c r="HU290" s="16"/>
      <c r="HV290" s="16"/>
      <c r="HW290" s="16"/>
      <c r="HX290" s="16"/>
      <c r="HY290" s="16"/>
      <c r="HZ290" s="16"/>
      <c r="IA290" s="16"/>
      <c r="IB290" s="16"/>
      <c r="IC290" s="16"/>
      <c r="ID290" s="16"/>
      <c r="IE290" s="16"/>
      <c r="IF290" s="16"/>
      <c r="IG290" s="16"/>
      <c r="IH290" s="16"/>
      <c r="II290" s="16"/>
      <c r="IJ290" s="16"/>
      <c r="IK290" s="16"/>
      <c r="IL290" s="16"/>
      <c r="IO290" s="9"/>
      <c r="IP290" s="16"/>
      <c r="IQ290" s="16"/>
      <c r="IR290" s="16"/>
      <c r="IS290" s="16"/>
      <c r="IT290" s="16"/>
      <c r="IU290" s="16"/>
      <c r="IV290" s="16"/>
      <c r="IW290" s="16"/>
      <c r="IX290" s="16"/>
      <c r="IY290" s="16"/>
      <c r="IZ290" s="16"/>
      <c r="JA290" s="16"/>
      <c r="JB290" s="16"/>
      <c r="JC290" s="16"/>
      <c r="JD290" s="16"/>
      <c r="JE290" s="16"/>
      <c r="JF290" s="16"/>
      <c r="JG290" s="16"/>
      <c r="JH290" s="16"/>
      <c r="JI290" s="16"/>
      <c r="JJ290" s="16"/>
      <c r="JM290" s="9"/>
      <c r="JN290" s="16"/>
      <c r="JO290" s="16"/>
      <c r="JP290" s="16"/>
      <c r="JQ290" s="16"/>
      <c r="JR290" s="16"/>
      <c r="JS290" s="16"/>
      <c r="JT290" s="16"/>
      <c r="JU290" s="16"/>
      <c r="JV290" s="16"/>
      <c r="JW290" s="16"/>
      <c r="JX290" s="16"/>
      <c r="JY290" s="16"/>
      <c r="JZ290" s="16"/>
      <c r="KA290" s="16"/>
      <c r="KB290" s="16"/>
      <c r="KC290" s="16"/>
      <c r="KD290" s="16"/>
      <c r="KE290" s="16"/>
      <c r="KF290" s="16"/>
      <c r="KG290" s="16"/>
      <c r="KH290" s="16"/>
      <c r="KK290" s="9"/>
      <c r="KL290" s="16"/>
      <c r="KM290" s="16"/>
      <c r="KN290" s="16"/>
      <c r="KO290" s="16"/>
      <c r="KP290" s="16"/>
      <c r="KQ290" s="16"/>
      <c r="KR290" s="16"/>
      <c r="KS290" s="16"/>
      <c r="KT290" s="16"/>
      <c r="KU290" s="16"/>
      <c r="KV290" s="16"/>
      <c r="KW290" s="16"/>
      <c r="KX290" s="16"/>
      <c r="KY290" s="16"/>
      <c r="KZ290" s="16"/>
      <c r="LA290" s="16"/>
      <c r="LB290" s="16"/>
      <c r="LC290" s="16"/>
      <c r="LD290" s="16"/>
      <c r="LE290" s="16"/>
      <c r="LF290" s="16"/>
      <c r="LI290" s="9"/>
      <c r="LJ290" s="16"/>
      <c r="LK290" s="16"/>
      <c r="LL290" s="16"/>
      <c r="LM290" s="16"/>
      <c r="LN290" s="16"/>
      <c r="LO290" s="16"/>
      <c r="LP290" s="16"/>
      <c r="LQ290" s="16"/>
      <c r="LR290" s="16"/>
      <c r="LS290" s="16"/>
      <c r="LT290" s="16"/>
      <c r="LU290" s="16"/>
      <c r="LV290" s="16"/>
      <c r="LW290" s="16"/>
      <c r="LX290" s="16"/>
      <c r="LY290" s="16"/>
      <c r="LZ290" s="16"/>
      <c r="MA290" s="16"/>
      <c r="MB290" s="16"/>
      <c r="MC290" s="16"/>
      <c r="MD290" s="16"/>
      <c r="MG290" s="9"/>
      <c r="MH290" s="16"/>
      <c r="MI290" s="16"/>
      <c r="MJ290" s="16"/>
      <c r="MK290" s="16"/>
      <c r="ML290" s="16"/>
      <c r="MM290" s="16"/>
      <c r="MN290" s="16"/>
      <c r="MO290" s="16"/>
      <c r="MP290" s="16"/>
      <c r="MQ290" s="16"/>
      <c r="MR290" s="16"/>
      <c r="MS290" s="16"/>
      <c r="MT290" s="16"/>
      <c r="MU290" s="16"/>
      <c r="MV290" s="16"/>
      <c r="MW290" s="16"/>
      <c r="MX290" s="16"/>
      <c r="MY290" s="16"/>
      <c r="MZ290" s="16"/>
      <c r="NA290" s="16"/>
      <c r="NB290" s="16"/>
      <c r="NE290" s="9"/>
      <c r="NF290" s="16"/>
      <c r="NG290" s="16"/>
      <c r="NH290" s="16"/>
      <c r="NI290" s="16"/>
      <c r="NJ290" s="16"/>
      <c r="NK290" s="16"/>
      <c r="NL290" s="16"/>
      <c r="NM290" s="16"/>
      <c r="NN290" s="16"/>
      <c r="NO290" s="16"/>
      <c r="NP290" s="16"/>
      <c r="NQ290" s="16"/>
      <c r="NR290" s="16"/>
      <c r="NS290" s="16"/>
      <c r="NT290" s="16"/>
      <c r="NU290" s="16"/>
      <c r="NV290" s="16"/>
      <c r="NW290" s="16"/>
      <c r="NX290" s="16"/>
      <c r="NY290" s="16"/>
      <c r="NZ290" s="16"/>
      <c r="OC290" s="9"/>
      <c r="OD290" s="16"/>
      <c r="OE290" s="16"/>
      <c r="OF290" s="16"/>
      <c r="OG290" s="16"/>
      <c r="OH290" s="16"/>
      <c r="OI290" s="16"/>
      <c r="OJ290" s="16"/>
      <c r="OK290" s="16"/>
      <c r="OL290" s="16"/>
      <c r="OM290" s="16"/>
      <c r="ON290" s="16"/>
      <c r="OO290" s="16"/>
      <c r="OP290" s="16"/>
      <c r="OQ290" s="16"/>
      <c r="OR290" s="16"/>
      <c r="OS290" s="16"/>
      <c r="OT290" s="16"/>
      <c r="OU290" s="16"/>
      <c r="OV290" s="16"/>
      <c r="OW290" s="16"/>
      <c r="OX290" s="16"/>
      <c r="PA290" s="9"/>
      <c r="PB290" s="16"/>
      <c r="PC290" s="16"/>
      <c r="PD290" s="16"/>
      <c r="PE290" s="16"/>
      <c r="PF290" s="16"/>
      <c r="PG290" s="16"/>
      <c r="PH290" s="16"/>
      <c r="PI290" s="16"/>
      <c r="PJ290" s="16"/>
      <c r="PK290" s="16"/>
      <c r="PL290" s="16"/>
      <c r="PM290" s="16"/>
      <c r="PN290" s="16"/>
      <c r="PO290" s="16"/>
      <c r="PP290" s="16"/>
      <c r="PQ290" s="16"/>
      <c r="PR290" s="16"/>
      <c r="PS290" s="16"/>
      <c r="PT290" s="16"/>
      <c r="PU290" s="16"/>
      <c r="PV290" s="16"/>
    </row>
    <row r="291" spans="9:438" x14ac:dyDescent="0.25">
      <c r="I291" s="9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G291" s="9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E291" s="9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C291" s="9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DA291" s="9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Y291" s="9"/>
      <c r="DZ291" s="16"/>
      <c r="EA291" s="16"/>
      <c r="EB291" s="16"/>
      <c r="EC291" s="16"/>
      <c r="ED291" s="16"/>
      <c r="EE291" s="16"/>
      <c r="EF291" s="16"/>
      <c r="EG291" s="16"/>
      <c r="EH291" s="16"/>
      <c r="EI291" s="16"/>
      <c r="EJ291" s="16"/>
      <c r="EK291" s="16"/>
      <c r="EL291" s="16"/>
      <c r="EM291" s="16"/>
      <c r="EN291" s="16"/>
      <c r="EO291" s="16"/>
      <c r="EP291" s="16"/>
      <c r="EQ291" s="16"/>
      <c r="ER291" s="16"/>
      <c r="ES291" s="16"/>
      <c r="ET291" s="16"/>
      <c r="EW291" s="9"/>
      <c r="EX291" s="16"/>
      <c r="EY291" s="16"/>
      <c r="EZ291" s="16"/>
      <c r="FA291" s="16"/>
      <c r="FB291" s="16"/>
      <c r="FC291" s="16"/>
      <c r="FD291" s="16"/>
      <c r="FE291" s="16"/>
      <c r="FF291" s="16"/>
      <c r="FG291" s="16"/>
      <c r="FH291" s="16"/>
      <c r="FI291" s="16"/>
      <c r="FJ291" s="16"/>
      <c r="FK291" s="16"/>
      <c r="FL291" s="16"/>
      <c r="FM291" s="16"/>
      <c r="FN291" s="16"/>
      <c r="FO291" s="16"/>
      <c r="FP291" s="16"/>
      <c r="FQ291" s="16"/>
      <c r="FR291" s="16"/>
      <c r="FU291" s="9"/>
      <c r="FV291" s="16"/>
      <c r="FW291" s="16"/>
      <c r="FX291" s="16"/>
      <c r="FY291" s="16"/>
      <c r="FZ291" s="16"/>
      <c r="GA291" s="16"/>
      <c r="GB291" s="16"/>
      <c r="GC291" s="16"/>
      <c r="GD291" s="16"/>
      <c r="GE291" s="16"/>
      <c r="GF291" s="16"/>
      <c r="GG291" s="16"/>
      <c r="GH291" s="16"/>
      <c r="GI291" s="16"/>
      <c r="GJ291" s="16"/>
      <c r="GK291" s="16"/>
      <c r="GL291" s="16"/>
      <c r="GM291" s="16"/>
      <c r="GN291" s="16"/>
      <c r="GO291" s="16"/>
      <c r="GP291" s="16"/>
      <c r="GS291" s="9"/>
      <c r="GT291" s="16"/>
      <c r="GU291" s="16"/>
      <c r="GV291" s="16"/>
      <c r="GW291" s="16"/>
      <c r="GX291" s="16"/>
      <c r="GY291" s="16"/>
      <c r="GZ291" s="16"/>
      <c r="HA291" s="16"/>
      <c r="HB291" s="16"/>
      <c r="HC291" s="16"/>
      <c r="HD291" s="16"/>
      <c r="HE291" s="16"/>
      <c r="HF291" s="16"/>
      <c r="HG291" s="16"/>
      <c r="HH291" s="16"/>
      <c r="HI291" s="16"/>
      <c r="HJ291" s="16"/>
      <c r="HK291" s="16"/>
      <c r="HL291" s="16"/>
      <c r="HM291" s="16"/>
      <c r="HN291" s="16"/>
      <c r="HQ291" s="9"/>
      <c r="HR291" s="16"/>
      <c r="HS291" s="16"/>
      <c r="HT291" s="16"/>
      <c r="HU291" s="16"/>
      <c r="HV291" s="16"/>
      <c r="HW291" s="16"/>
      <c r="HX291" s="16"/>
      <c r="HY291" s="16"/>
      <c r="HZ291" s="16"/>
      <c r="IA291" s="16"/>
      <c r="IB291" s="16"/>
      <c r="IC291" s="16"/>
      <c r="ID291" s="16"/>
      <c r="IE291" s="16"/>
      <c r="IF291" s="16"/>
      <c r="IG291" s="16"/>
      <c r="IH291" s="16"/>
      <c r="II291" s="16"/>
      <c r="IJ291" s="16"/>
      <c r="IK291" s="16"/>
      <c r="IL291" s="16"/>
      <c r="IO291" s="9"/>
      <c r="IP291" s="16"/>
      <c r="IQ291" s="16"/>
      <c r="IR291" s="16"/>
      <c r="IS291" s="16"/>
      <c r="IT291" s="16"/>
      <c r="IU291" s="16"/>
      <c r="IV291" s="16"/>
      <c r="IW291" s="16"/>
      <c r="IX291" s="16"/>
      <c r="IY291" s="16"/>
      <c r="IZ291" s="16"/>
      <c r="JA291" s="16"/>
      <c r="JB291" s="16"/>
      <c r="JC291" s="16"/>
      <c r="JD291" s="16"/>
      <c r="JE291" s="16"/>
      <c r="JF291" s="16"/>
      <c r="JG291" s="16"/>
      <c r="JH291" s="16"/>
      <c r="JI291" s="16"/>
      <c r="JJ291" s="16"/>
      <c r="JM291" s="9"/>
      <c r="JN291" s="16"/>
      <c r="JO291" s="16"/>
      <c r="JP291" s="16"/>
      <c r="JQ291" s="16"/>
      <c r="JR291" s="16"/>
      <c r="JS291" s="16"/>
      <c r="JT291" s="16"/>
      <c r="JU291" s="16"/>
      <c r="JV291" s="16"/>
      <c r="JW291" s="16"/>
      <c r="JX291" s="16"/>
      <c r="JY291" s="16"/>
      <c r="JZ291" s="16"/>
      <c r="KA291" s="16"/>
      <c r="KB291" s="16"/>
      <c r="KC291" s="16"/>
      <c r="KD291" s="16"/>
      <c r="KE291" s="16"/>
      <c r="KF291" s="16"/>
      <c r="KG291" s="16"/>
      <c r="KH291" s="16"/>
      <c r="KK291" s="9"/>
      <c r="KL291" s="16"/>
      <c r="KM291" s="16"/>
      <c r="KN291" s="16"/>
      <c r="KO291" s="16"/>
      <c r="KP291" s="16"/>
      <c r="KQ291" s="16"/>
      <c r="KR291" s="16"/>
      <c r="KS291" s="16"/>
      <c r="KT291" s="16"/>
      <c r="KU291" s="16"/>
      <c r="KV291" s="16"/>
      <c r="KW291" s="16"/>
      <c r="KX291" s="16"/>
      <c r="KY291" s="16"/>
      <c r="KZ291" s="16"/>
      <c r="LA291" s="16"/>
      <c r="LB291" s="16"/>
      <c r="LC291" s="16"/>
      <c r="LD291" s="16"/>
      <c r="LE291" s="16"/>
      <c r="LF291" s="16"/>
      <c r="LI291" s="9"/>
      <c r="LJ291" s="16"/>
      <c r="LK291" s="16"/>
      <c r="LL291" s="16"/>
      <c r="LM291" s="16"/>
      <c r="LN291" s="16"/>
      <c r="LO291" s="16"/>
      <c r="LP291" s="16"/>
      <c r="LQ291" s="16"/>
      <c r="LR291" s="16"/>
      <c r="LS291" s="16"/>
      <c r="LT291" s="16"/>
      <c r="LU291" s="16"/>
      <c r="LV291" s="16"/>
      <c r="LW291" s="16"/>
      <c r="LX291" s="16"/>
      <c r="LY291" s="16"/>
      <c r="LZ291" s="16"/>
      <c r="MA291" s="16"/>
      <c r="MB291" s="16"/>
      <c r="MC291" s="16"/>
      <c r="MD291" s="16"/>
      <c r="MG291" s="9"/>
      <c r="MH291" s="16"/>
      <c r="MI291" s="16"/>
      <c r="MJ291" s="16"/>
      <c r="MK291" s="16"/>
      <c r="ML291" s="16"/>
      <c r="MM291" s="16"/>
      <c r="MN291" s="16"/>
      <c r="MO291" s="16"/>
      <c r="MP291" s="16"/>
      <c r="MQ291" s="16"/>
      <c r="MR291" s="16"/>
      <c r="MS291" s="16"/>
      <c r="MT291" s="16"/>
      <c r="MU291" s="16"/>
      <c r="MV291" s="16"/>
      <c r="MW291" s="16"/>
      <c r="MX291" s="16"/>
      <c r="MY291" s="16"/>
      <c r="MZ291" s="16"/>
      <c r="NA291" s="16"/>
      <c r="NB291" s="16"/>
      <c r="NE291" s="9"/>
      <c r="NF291" s="16"/>
      <c r="NG291" s="16"/>
      <c r="NH291" s="16"/>
      <c r="NI291" s="16"/>
      <c r="NJ291" s="16"/>
      <c r="NK291" s="16"/>
      <c r="NL291" s="16"/>
      <c r="NM291" s="16"/>
      <c r="NN291" s="16"/>
      <c r="NO291" s="16"/>
      <c r="NP291" s="16"/>
      <c r="NQ291" s="16"/>
      <c r="NR291" s="16"/>
      <c r="NS291" s="16"/>
      <c r="NT291" s="16"/>
      <c r="NU291" s="16"/>
      <c r="NV291" s="16"/>
      <c r="NW291" s="16"/>
      <c r="NX291" s="16"/>
      <c r="NY291" s="16"/>
      <c r="NZ291" s="16"/>
      <c r="OC291" s="9"/>
      <c r="OD291" s="16"/>
      <c r="OE291" s="16"/>
      <c r="OF291" s="16"/>
      <c r="OG291" s="16"/>
      <c r="OH291" s="16"/>
      <c r="OI291" s="16"/>
      <c r="OJ291" s="16"/>
      <c r="OK291" s="16"/>
      <c r="OL291" s="16"/>
      <c r="OM291" s="16"/>
      <c r="ON291" s="16"/>
      <c r="OO291" s="16"/>
      <c r="OP291" s="16"/>
      <c r="OQ291" s="16"/>
      <c r="OR291" s="16"/>
      <c r="OS291" s="16"/>
      <c r="OT291" s="16"/>
      <c r="OU291" s="16"/>
      <c r="OV291" s="16"/>
      <c r="OW291" s="16"/>
      <c r="OX291" s="16"/>
      <c r="PA291" s="9"/>
      <c r="PB291" s="16"/>
      <c r="PC291" s="16"/>
      <c r="PD291" s="16"/>
      <c r="PE291" s="16"/>
      <c r="PF291" s="16"/>
      <c r="PG291" s="16"/>
      <c r="PH291" s="16"/>
      <c r="PI291" s="16"/>
      <c r="PJ291" s="16"/>
      <c r="PK291" s="16"/>
      <c r="PL291" s="16"/>
      <c r="PM291" s="16"/>
      <c r="PN291" s="16"/>
      <c r="PO291" s="16"/>
      <c r="PP291" s="16"/>
      <c r="PQ291" s="16"/>
      <c r="PR291" s="16"/>
      <c r="PS291" s="16"/>
      <c r="PT291" s="16"/>
      <c r="PU291" s="16"/>
      <c r="PV291" s="16"/>
    </row>
    <row r="292" spans="9:438" x14ac:dyDescent="0.25">
      <c r="I292" s="9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G292" s="9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E292" s="9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C292" s="9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DA292" s="9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Y292" s="9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16"/>
      <c r="ER292" s="16"/>
      <c r="ES292" s="16"/>
      <c r="ET292" s="16"/>
      <c r="EW292" s="9"/>
      <c r="EX292" s="16"/>
      <c r="EY292" s="16"/>
      <c r="EZ292" s="16"/>
      <c r="FA292" s="16"/>
      <c r="FB292" s="16"/>
      <c r="FC292" s="16"/>
      <c r="FD292" s="16"/>
      <c r="FE292" s="16"/>
      <c r="FF292" s="16"/>
      <c r="FG292" s="16"/>
      <c r="FH292" s="16"/>
      <c r="FI292" s="16"/>
      <c r="FJ292" s="16"/>
      <c r="FK292" s="16"/>
      <c r="FL292" s="16"/>
      <c r="FM292" s="16"/>
      <c r="FN292" s="16"/>
      <c r="FO292" s="16"/>
      <c r="FP292" s="16"/>
      <c r="FQ292" s="16"/>
      <c r="FR292" s="16"/>
      <c r="FU292" s="9"/>
      <c r="FV292" s="16"/>
      <c r="FW292" s="16"/>
      <c r="FX292" s="16"/>
      <c r="FY292" s="16"/>
      <c r="FZ292" s="16"/>
      <c r="GA292" s="16"/>
      <c r="GB292" s="16"/>
      <c r="GC292" s="16"/>
      <c r="GD292" s="16"/>
      <c r="GE292" s="16"/>
      <c r="GF292" s="16"/>
      <c r="GG292" s="16"/>
      <c r="GH292" s="16"/>
      <c r="GI292" s="16"/>
      <c r="GJ292" s="16"/>
      <c r="GK292" s="16"/>
      <c r="GL292" s="16"/>
      <c r="GM292" s="16"/>
      <c r="GN292" s="16"/>
      <c r="GO292" s="16"/>
      <c r="GP292" s="16"/>
      <c r="GS292" s="9"/>
      <c r="GT292" s="16"/>
      <c r="GU292" s="16"/>
      <c r="GV292" s="16"/>
      <c r="GW292" s="16"/>
      <c r="GX292" s="16"/>
      <c r="GY292" s="16"/>
      <c r="GZ292" s="16"/>
      <c r="HA292" s="16"/>
      <c r="HB292" s="16"/>
      <c r="HC292" s="16"/>
      <c r="HD292" s="16"/>
      <c r="HE292" s="16"/>
      <c r="HF292" s="16"/>
      <c r="HG292" s="16"/>
      <c r="HH292" s="16"/>
      <c r="HI292" s="16"/>
      <c r="HJ292" s="16"/>
      <c r="HK292" s="16"/>
      <c r="HL292" s="16"/>
      <c r="HM292" s="16"/>
      <c r="HN292" s="16"/>
      <c r="HQ292" s="9"/>
      <c r="HR292" s="16"/>
      <c r="HS292" s="16"/>
      <c r="HT292" s="16"/>
      <c r="HU292" s="16"/>
      <c r="HV292" s="16"/>
      <c r="HW292" s="16"/>
      <c r="HX292" s="16"/>
      <c r="HY292" s="16"/>
      <c r="HZ292" s="16"/>
      <c r="IA292" s="16"/>
      <c r="IB292" s="16"/>
      <c r="IC292" s="16"/>
      <c r="ID292" s="16"/>
      <c r="IE292" s="16"/>
      <c r="IF292" s="16"/>
      <c r="IG292" s="16"/>
      <c r="IH292" s="16"/>
      <c r="II292" s="16"/>
      <c r="IJ292" s="16"/>
      <c r="IK292" s="16"/>
      <c r="IL292" s="16"/>
      <c r="IO292" s="9"/>
      <c r="IP292" s="16"/>
      <c r="IQ292" s="16"/>
      <c r="IR292" s="16"/>
      <c r="IS292" s="16"/>
      <c r="IT292" s="16"/>
      <c r="IU292" s="16"/>
      <c r="IV292" s="16"/>
      <c r="IW292" s="16"/>
      <c r="IX292" s="16"/>
      <c r="IY292" s="16"/>
      <c r="IZ292" s="16"/>
      <c r="JA292" s="16"/>
      <c r="JB292" s="16"/>
      <c r="JC292" s="16"/>
      <c r="JD292" s="16"/>
      <c r="JE292" s="16"/>
      <c r="JF292" s="16"/>
      <c r="JG292" s="16"/>
      <c r="JH292" s="16"/>
      <c r="JI292" s="16"/>
      <c r="JJ292" s="16"/>
      <c r="JM292" s="9"/>
      <c r="JN292" s="16"/>
      <c r="JO292" s="16"/>
      <c r="JP292" s="16"/>
      <c r="JQ292" s="16"/>
      <c r="JR292" s="16"/>
      <c r="JS292" s="16"/>
      <c r="JT292" s="16"/>
      <c r="JU292" s="16"/>
      <c r="JV292" s="16"/>
      <c r="JW292" s="16"/>
      <c r="JX292" s="16"/>
      <c r="JY292" s="16"/>
      <c r="JZ292" s="16"/>
      <c r="KA292" s="16"/>
      <c r="KB292" s="16"/>
      <c r="KC292" s="16"/>
      <c r="KD292" s="16"/>
      <c r="KE292" s="16"/>
      <c r="KF292" s="16"/>
      <c r="KG292" s="16"/>
      <c r="KH292" s="16"/>
      <c r="KK292" s="9"/>
      <c r="KL292" s="16"/>
      <c r="KM292" s="16"/>
      <c r="KN292" s="16"/>
      <c r="KO292" s="16"/>
      <c r="KP292" s="16"/>
      <c r="KQ292" s="16"/>
      <c r="KR292" s="16"/>
      <c r="KS292" s="16"/>
      <c r="KT292" s="16"/>
      <c r="KU292" s="16"/>
      <c r="KV292" s="16"/>
      <c r="KW292" s="16"/>
      <c r="KX292" s="16"/>
      <c r="KY292" s="16"/>
      <c r="KZ292" s="16"/>
      <c r="LA292" s="16"/>
      <c r="LB292" s="16"/>
      <c r="LC292" s="16"/>
      <c r="LD292" s="16"/>
      <c r="LE292" s="16"/>
      <c r="LF292" s="16"/>
      <c r="LI292" s="9"/>
      <c r="LJ292" s="16"/>
      <c r="LK292" s="16"/>
      <c r="LL292" s="16"/>
      <c r="LM292" s="16"/>
      <c r="LN292" s="16"/>
      <c r="LO292" s="16"/>
      <c r="LP292" s="16"/>
      <c r="LQ292" s="16"/>
      <c r="LR292" s="16"/>
      <c r="LS292" s="16"/>
      <c r="LT292" s="16"/>
      <c r="LU292" s="16"/>
      <c r="LV292" s="16"/>
      <c r="LW292" s="16"/>
      <c r="LX292" s="16"/>
      <c r="LY292" s="16"/>
      <c r="LZ292" s="16"/>
      <c r="MA292" s="16"/>
      <c r="MB292" s="16"/>
      <c r="MC292" s="16"/>
      <c r="MD292" s="16"/>
      <c r="MG292" s="9"/>
      <c r="MH292" s="16"/>
      <c r="MI292" s="16"/>
      <c r="MJ292" s="16"/>
      <c r="MK292" s="16"/>
      <c r="ML292" s="16"/>
      <c r="MM292" s="16"/>
      <c r="MN292" s="16"/>
      <c r="MO292" s="16"/>
      <c r="MP292" s="16"/>
      <c r="MQ292" s="16"/>
      <c r="MR292" s="16"/>
      <c r="MS292" s="16"/>
      <c r="MT292" s="16"/>
      <c r="MU292" s="16"/>
      <c r="MV292" s="16"/>
      <c r="MW292" s="16"/>
      <c r="MX292" s="16"/>
      <c r="MY292" s="16"/>
      <c r="MZ292" s="16"/>
      <c r="NA292" s="16"/>
      <c r="NB292" s="16"/>
      <c r="NE292" s="9"/>
      <c r="NF292" s="16"/>
      <c r="NG292" s="16"/>
      <c r="NH292" s="16"/>
      <c r="NI292" s="16"/>
      <c r="NJ292" s="16"/>
      <c r="NK292" s="16"/>
      <c r="NL292" s="16"/>
      <c r="NM292" s="16"/>
      <c r="NN292" s="16"/>
      <c r="NO292" s="16"/>
      <c r="NP292" s="16"/>
      <c r="NQ292" s="16"/>
      <c r="NR292" s="16"/>
      <c r="NS292" s="16"/>
      <c r="NT292" s="16"/>
      <c r="NU292" s="16"/>
      <c r="NV292" s="16"/>
      <c r="NW292" s="16"/>
      <c r="NX292" s="16"/>
      <c r="NY292" s="16"/>
      <c r="NZ292" s="16"/>
      <c r="OC292" s="9"/>
      <c r="OD292" s="16"/>
      <c r="OE292" s="16"/>
      <c r="OF292" s="16"/>
      <c r="OG292" s="16"/>
      <c r="OH292" s="16"/>
      <c r="OI292" s="16"/>
      <c r="OJ292" s="16"/>
      <c r="OK292" s="16"/>
      <c r="OL292" s="16"/>
      <c r="OM292" s="16"/>
      <c r="ON292" s="16"/>
      <c r="OO292" s="16"/>
      <c r="OP292" s="16"/>
      <c r="OQ292" s="16"/>
      <c r="OR292" s="16"/>
      <c r="OS292" s="16"/>
      <c r="OT292" s="16"/>
      <c r="OU292" s="16"/>
      <c r="OV292" s="16"/>
      <c r="OW292" s="16"/>
      <c r="OX292" s="16"/>
      <c r="PA292" s="9"/>
      <c r="PB292" s="16"/>
      <c r="PC292" s="16"/>
      <c r="PD292" s="16"/>
      <c r="PE292" s="16"/>
      <c r="PF292" s="16"/>
      <c r="PG292" s="16"/>
      <c r="PH292" s="16"/>
      <c r="PI292" s="16"/>
      <c r="PJ292" s="16"/>
      <c r="PK292" s="16"/>
      <c r="PL292" s="16"/>
      <c r="PM292" s="16"/>
      <c r="PN292" s="16"/>
      <c r="PO292" s="16"/>
      <c r="PP292" s="16"/>
      <c r="PQ292" s="16"/>
      <c r="PR292" s="16"/>
      <c r="PS292" s="16"/>
      <c r="PT292" s="16"/>
      <c r="PU292" s="16"/>
      <c r="PV292" s="16"/>
    </row>
    <row r="293" spans="9:438" x14ac:dyDescent="0.25">
      <c r="I293" s="9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G293" s="9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E293" s="9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C293" s="9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DA293" s="9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Y293" s="9"/>
      <c r="DZ293" s="16"/>
      <c r="EA293" s="16"/>
      <c r="EB293" s="16"/>
      <c r="EC293" s="16"/>
      <c r="ED293" s="16"/>
      <c r="EE293" s="16"/>
      <c r="EF293" s="16"/>
      <c r="EG293" s="16"/>
      <c r="EH293" s="16"/>
      <c r="EI293" s="16"/>
      <c r="EJ293" s="16"/>
      <c r="EK293" s="16"/>
      <c r="EL293" s="16"/>
      <c r="EM293" s="16"/>
      <c r="EN293" s="16"/>
      <c r="EO293" s="16"/>
      <c r="EP293" s="16"/>
      <c r="EQ293" s="16"/>
      <c r="ER293" s="16"/>
      <c r="ES293" s="16"/>
      <c r="ET293" s="16"/>
      <c r="EW293" s="9"/>
      <c r="EX293" s="16"/>
      <c r="EY293" s="16"/>
      <c r="EZ293" s="16"/>
      <c r="FA293" s="16"/>
      <c r="FB293" s="16"/>
      <c r="FC293" s="16"/>
      <c r="FD293" s="16"/>
      <c r="FE293" s="16"/>
      <c r="FF293" s="16"/>
      <c r="FG293" s="16"/>
      <c r="FH293" s="16"/>
      <c r="FI293" s="16"/>
      <c r="FJ293" s="16"/>
      <c r="FK293" s="16"/>
      <c r="FL293" s="16"/>
      <c r="FM293" s="16"/>
      <c r="FN293" s="16"/>
      <c r="FO293" s="16"/>
      <c r="FP293" s="16"/>
      <c r="FQ293" s="16"/>
      <c r="FR293" s="16"/>
      <c r="FU293" s="9"/>
      <c r="FV293" s="16"/>
      <c r="FW293" s="16"/>
      <c r="FX293" s="16"/>
      <c r="FY293" s="16"/>
      <c r="FZ293" s="16"/>
      <c r="GA293" s="16"/>
      <c r="GB293" s="16"/>
      <c r="GC293" s="16"/>
      <c r="GD293" s="16"/>
      <c r="GE293" s="16"/>
      <c r="GF293" s="16"/>
      <c r="GG293" s="16"/>
      <c r="GH293" s="16"/>
      <c r="GI293" s="16"/>
      <c r="GJ293" s="16"/>
      <c r="GK293" s="16"/>
      <c r="GL293" s="16"/>
      <c r="GM293" s="16"/>
      <c r="GN293" s="16"/>
      <c r="GO293" s="16"/>
      <c r="GP293" s="16"/>
      <c r="GS293" s="9"/>
      <c r="GT293" s="16"/>
      <c r="GU293" s="16"/>
      <c r="GV293" s="16"/>
      <c r="GW293" s="16"/>
      <c r="GX293" s="16"/>
      <c r="GY293" s="16"/>
      <c r="GZ293" s="16"/>
      <c r="HA293" s="16"/>
      <c r="HB293" s="16"/>
      <c r="HC293" s="16"/>
      <c r="HD293" s="16"/>
      <c r="HE293" s="16"/>
      <c r="HF293" s="16"/>
      <c r="HG293" s="16"/>
      <c r="HH293" s="16"/>
      <c r="HI293" s="16"/>
      <c r="HJ293" s="16"/>
      <c r="HK293" s="16"/>
      <c r="HL293" s="16"/>
      <c r="HM293" s="16"/>
      <c r="HN293" s="16"/>
      <c r="HQ293" s="9"/>
      <c r="HR293" s="16"/>
      <c r="HS293" s="16"/>
      <c r="HT293" s="16"/>
      <c r="HU293" s="16"/>
      <c r="HV293" s="16"/>
      <c r="HW293" s="16"/>
      <c r="HX293" s="16"/>
      <c r="HY293" s="16"/>
      <c r="HZ293" s="16"/>
      <c r="IA293" s="16"/>
      <c r="IB293" s="16"/>
      <c r="IC293" s="16"/>
      <c r="ID293" s="16"/>
      <c r="IE293" s="16"/>
      <c r="IF293" s="16"/>
      <c r="IG293" s="16"/>
      <c r="IH293" s="16"/>
      <c r="II293" s="16"/>
      <c r="IJ293" s="16"/>
      <c r="IK293" s="16"/>
      <c r="IL293" s="16"/>
      <c r="IO293" s="9"/>
      <c r="IP293" s="16"/>
      <c r="IQ293" s="16"/>
      <c r="IR293" s="16"/>
      <c r="IS293" s="16"/>
      <c r="IT293" s="16"/>
      <c r="IU293" s="16"/>
      <c r="IV293" s="16"/>
      <c r="IW293" s="16"/>
      <c r="IX293" s="16"/>
      <c r="IY293" s="16"/>
      <c r="IZ293" s="16"/>
      <c r="JA293" s="16"/>
      <c r="JB293" s="16"/>
      <c r="JC293" s="16"/>
      <c r="JD293" s="16"/>
      <c r="JE293" s="16"/>
      <c r="JF293" s="16"/>
      <c r="JG293" s="16"/>
      <c r="JH293" s="16"/>
      <c r="JI293" s="16"/>
      <c r="JJ293" s="16"/>
      <c r="JM293" s="9"/>
      <c r="JN293" s="16"/>
      <c r="JO293" s="16"/>
      <c r="JP293" s="16"/>
      <c r="JQ293" s="16"/>
      <c r="JR293" s="16"/>
      <c r="JS293" s="16"/>
      <c r="JT293" s="16"/>
      <c r="JU293" s="16"/>
      <c r="JV293" s="16"/>
      <c r="JW293" s="16"/>
      <c r="JX293" s="16"/>
      <c r="JY293" s="16"/>
      <c r="JZ293" s="16"/>
      <c r="KA293" s="16"/>
      <c r="KB293" s="16"/>
      <c r="KC293" s="16"/>
      <c r="KD293" s="16"/>
      <c r="KE293" s="16"/>
      <c r="KF293" s="16"/>
      <c r="KG293" s="16"/>
      <c r="KH293" s="16"/>
      <c r="KK293" s="9"/>
      <c r="KL293" s="16"/>
      <c r="KM293" s="16"/>
      <c r="KN293" s="16"/>
      <c r="KO293" s="16"/>
      <c r="KP293" s="16"/>
      <c r="KQ293" s="16"/>
      <c r="KR293" s="16"/>
      <c r="KS293" s="16"/>
      <c r="KT293" s="16"/>
      <c r="KU293" s="16"/>
      <c r="KV293" s="16"/>
      <c r="KW293" s="16"/>
      <c r="KX293" s="16"/>
      <c r="KY293" s="16"/>
      <c r="KZ293" s="16"/>
      <c r="LA293" s="16"/>
      <c r="LB293" s="16"/>
      <c r="LC293" s="16"/>
      <c r="LD293" s="16"/>
      <c r="LE293" s="16"/>
      <c r="LF293" s="16"/>
      <c r="LI293" s="9"/>
      <c r="LJ293" s="16"/>
      <c r="LK293" s="16"/>
      <c r="LL293" s="16"/>
      <c r="LM293" s="16"/>
      <c r="LN293" s="16"/>
      <c r="LO293" s="16"/>
      <c r="LP293" s="16"/>
      <c r="LQ293" s="16"/>
      <c r="LR293" s="16"/>
      <c r="LS293" s="16"/>
      <c r="LT293" s="16"/>
      <c r="LU293" s="16"/>
      <c r="LV293" s="16"/>
      <c r="LW293" s="16"/>
      <c r="LX293" s="16"/>
      <c r="LY293" s="16"/>
      <c r="LZ293" s="16"/>
      <c r="MA293" s="16"/>
      <c r="MB293" s="16"/>
      <c r="MC293" s="16"/>
      <c r="MD293" s="16"/>
      <c r="MG293" s="9"/>
      <c r="MH293" s="16"/>
      <c r="MI293" s="16"/>
      <c r="MJ293" s="16"/>
      <c r="MK293" s="16"/>
      <c r="ML293" s="16"/>
      <c r="MM293" s="16"/>
      <c r="MN293" s="16"/>
      <c r="MO293" s="16"/>
      <c r="MP293" s="16"/>
      <c r="MQ293" s="16"/>
      <c r="MR293" s="16"/>
      <c r="MS293" s="16"/>
      <c r="MT293" s="16"/>
      <c r="MU293" s="16"/>
      <c r="MV293" s="16"/>
      <c r="MW293" s="16"/>
      <c r="MX293" s="16"/>
      <c r="MY293" s="16"/>
      <c r="MZ293" s="16"/>
      <c r="NA293" s="16"/>
      <c r="NB293" s="16"/>
      <c r="NE293" s="9"/>
      <c r="NF293" s="16"/>
      <c r="NG293" s="16"/>
      <c r="NH293" s="16"/>
      <c r="NI293" s="16"/>
      <c r="NJ293" s="16"/>
      <c r="NK293" s="16"/>
      <c r="NL293" s="16"/>
      <c r="NM293" s="16"/>
      <c r="NN293" s="16"/>
      <c r="NO293" s="16"/>
      <c r="NP293" s="16"/>
      <c r="NQ293" s="16"/>
      <c r="NR293" s="16"/>
      <c r="NS293" s="16"/>
      <c r="NT293" s="16"/>
      <c r="NU293" s="16"/>
      <c r="NV293" s="16"/>
      <c r="NW293" s="16"/>
      <c r="NX293" s="16"/>
      <c r="NY293" s="16"/>
      <c r="NZ293" s="16"/>
      <c r="OC293" s="9"/>
      <c r="OD293" s="16"/>
      <c r="OE293" s="16"/>
      <c r="OF293" s="16"/>
      <c r="OG293" s="16"/>
      <c r="OH293" s="16"/>
      <c r="OI293" s="16"/>
      <c r="OJ293" s="16"/>
      <c r="OK293" s="16"/>
      <c r="OL293" s="16"/>
      <c r="OM293" s="16"/>
      <c r="ON293" s="16"/>
      <c r="OO293" s="16"/>
      <c r="OP293" s="16"/>
      <c r="OQ293" s="16"/>
      <c r="OR293" s="16"/>
      <c r="OS293" s="16"/>
      <c r="OT293" s="16"/>
      <c r="OU293" s="16"/>
      <c r="OV293" s="16"/>
      <c r="OW293" s="16"/>
      <c r="OX293" s="16"/>
      <c r="PA293" s="9"/>
      <c r="PB293" s="16"/>
      <c r="PC293" s="16"/>
      <c r="PD293" s="16"/>
      <c r="PE293" s="16"/>
      <c r="PF293" s="16"/>
      <c r="PG293" s="16"/>
      <c r="PH293" s="16"/>
      <c r="PI293" s="16"/>
      <c r="PJ293" s="16"/>
      <c r="PK293" s="16"/>
      <c r="PL293" s="16"/>
      <c r="PM293" s="16"/>
      <c r="PN293" s="16"/>
      <c r="PO293" s="16"/>
      <c r="PP293" s="16"/>
      <c r="PQ293" s="16"/>
      <c r="PR293" s="16"/>
      <c r="PS293" s="16"/>
      <c r="PT293" s="16"/>
      <c r="PU293" s="16"/>
      <c r="PV293" s="16"/>
    </row>
    <row r="294" spans="9:438" x14ac:dyDescent="0.25">
      <c r="I294" s="9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G294" s="9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E294" s="9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C294" s="9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DA294" s="9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Y294" s="9"/>
      <c r="DZ294" s="16"/>
      <c r="EA294" s="16"/>
      <c r="EB294" s="16"/>
      <c r="EC294" s="16"/>
      <c r="ED294" s="16"/>
      <c r="EE294" s="16"/>
      <c r="EF294" s="16"/>
      <c r="EG294" s="16"/>
      <c r="EH294" s="16"/>
      <c r="EI294" s="16"/>
      <c r="EJ294" s="16"/>
      <c r="EK294" s="16"/>
      <c r="EL294" s="16"/>
      <c r="EM294" s="16"/>
      <c r="EN294" s="16"/>
      <c r="EO294" s="16"/>
      <c r="EP294" s="16"/>
      <c r="EQ294" s="16"/>
      <c r="ER294" s="16"/>
      <c r="ES294" s="16"/>
      <c r="ET294" s="16"/>
      <c r="EW294" s="9"/>
      <c r="EX294" s="16"/>
      <c r="EY294" s="16"/>
      <c r="EZ294" s="16"/>
      <c r="FA294" s="16"/>
      <c r="FB294" s="16"/>
      <c r="FC294" s="16"/>
      <c r="FD294" s="16"/>
      <c r="FE294" s="16"/>
      <c r="FF294" s="16"/>
      <c r="FG294" s="16"/>
      <c r="FH294" s="16"/>
      <c r="FI294" s="16"/>
      <c r="FJ294" s="16"/>
      <c r="FK294" s="16"/>
      <c r="FL294" s="16"/>
      <c r="FM294" s="16"/>
      <c r="FN294" s="16"/>
      <c r="FO294" s="16"/>
      <c r="FP294" s="16"/>
      <c r="FQ294" s="16"/>
      <c r="FR294" s="16"/>
      <c r="FU294" s="9"/>
      <c r="FV294" s="16"/>
      <c r="FW294" s="16"/>
      <c r="FX294" s="16"/>
      <c r="FY294" s="16"/>
      <c r="FZ294" s="16"/>
      <c r="GA294" s="16"/>
      <c r="GB294" s="16"/>
      <c r="GC294" s="16"/>
      <c r="GD294" s="16"/>
      <c r="GE294" s="16"/>
      <c r="GF294" s="16"/>
      <c r="GG294" s="16"/>
      <c r="GH294" s="16"/>
      <c r="GI294" s="16"/>
      <c r="GJ294" s="16"/>
      <c r="GK294" s="16"/>
      <c r="GL294" s="16"/>
      <c r="GM294" s="16"/>
      <c r="GN294" s="16"/>
      <c r="GO294" s="16"/>
      <c r="GP294" s="16"/>
      <c r="GS294" s="9"/>
      <c r="GT294" s="16"/>
      <c r="GU294" s="16"/>
      <c r="GV294" s="16"/>
      <c r="GW294" s="16"/>
      <c r="GX294" s="16"/>
      <c r="GY294" s="16"/>
      <c r="GZ294" s="16"/>
      <c r="HA294" s="16"/>
      <c r="HB294" s="16"/>
      <c r="HC294" s="16"/>
      <c r="HD294" s="16"/>
      <c r="HE294" s="16"/>
      <c r="HF294" s="16"/>
      <c r="HG294" s="16"/>
      <c r="HH294" s="16"/>
      <c r="HI294" s="16"/>
      <c r="HJ294" s="16"/>
      <c r="HK294" s="16"/>
      <c r="HL294" s="16"/>
      <c r="HM294" s="16"/>
      <c r="HN294" s="16"/>
      <c r="HQ294" s="9"/>
      <c r="HR294" s="16"/>
      <c r="HS294" s="16"/>
      <c r="HT294" s="16"/>
      <c r="HU294" s="16"/>
      <c r="HV294" s="16"/>
      <c r="HW294" s="16"/>
      <c r="HX294" s="16"/>
      <c r="HY294" s="16"/>
      <c r="HZ294" s="16"/>
      <c r="IA294" s="16"/>
      <c r="IB294" s="16"/>
      <c r="IC294" s="16"/>
      <c r="ID294" s="16"/>
      <c r="IE294" s="16"/>
      <c r="IF294" s="16"/>
      <c r="IG294" s="16"/>
      <c r="IH294" s="16"/>
      <c r="II294" s="16"/>
      <c r="IJ294" s="16"/>
      <c r="IK294" s="16"/>
      <c r="IL294" s="16"/>
      <c r="IO294" s="9"/>
      <c r="IP294" s="16"/>
      <c r="IQ294" s="16"/>
      <c r="IR294" s="16"/>
      <c r="IS294" s="16"/>
      <c r="IT294" s="16"/>
      <c r="IU294" s="16"/>
      <c r="IV294" s="16"/>
      <c r="IW294" s="16"/>
      <c r="IX294" s="16"/>
      <c r="IY294" s="16"/>
      <c r="IZ294" s="16"/>
      <c r="JA294" s="16"/>
      <c r="JB294" s="16"/>
      <c r="JC294" s="16"/>
      <c r="JD294" s="16"/>
      <c r="JE294" s="16"/>
      <c r="JF294" s="16"/>
      <c r="JG294" s="16"/>
      <c r="JH294" s="16"/>
      <c r="JI294" s="16"/>
      <c r="JJ294" s="16"/>
      <c r="JM294" s="9"/>
      <c r="JN294" s="16"/>
      <c r="JO294" s="16"/>
      <c r="JP294" s="16"/>
      <c r="JQ294" s="16"/>
      <c r="JR294" s="16"/>
      <c r="JS294" s="16"/>
      <c r="JT294" s="16"/>
      <c r="JU294" s="16"/>
      <c r="JV294" s="16"/>
      <c r="JW294" s="16"/>
      <c r="JX294" s="16"/>
      <c r="JY294" s="16"/>
      <c r="JZ294" s="16"/>
      <c r="KA294" s="16"/>
      <c r="KB294" s="16"/>
      <c r="KC294" s="16"/>
      <c r="KD294" s="16"/>
      <c r="KE294" s="16"/>
      <c r="KF294" s="16"/>
      <c r="KG294" s="16"/>
      <c r="KH294" s="16"/>
      <c r="KK294" s="9"/>
      <c r="KL294" s="16"/>
      <c r="KM294" s="16"/>
      <c r="KN294" s="16"/>
      <c r="KO294" s="16"/>
      <c r="KP294" s="16"/>
      <c r="KQ294" s="16"/>
      <c r="KR294" s="16"/>
      <c r="KS294" s="16"/>
      <c r="KT294" s="16"/>
      <c r="KU294" s="16"/>
      <c r="KV294" s="16"/>
      <c r="KW294" s="16"/>
      <c r="KX294" s="16"/>
      <c r="KY294" s="16"/>
      <c r="KZ294" s="16"/>
      <c r="LA294" s="16"/>
      <c r="LB294" s="16"/>
      <c r="LC294" s="16"/>
      <c r="LD294" s="16"/>
      <c r="LE294" s="16"/>
      <c r="LF294" s="16"/>
      <c r="LI294" s="9"/>
      <c r="LJ294" s="16"/>
      <c r="LK294" s="16"/>
      <c r="LL294" s="16"/>
      <c r="LM294" s="16"/>
      <c r="LN294" s="16"/>
      <c r="LO294" s="16"/>
      <c r="LP294" s="16"/>
      <c r="LQ294" s="16"/>
      <c r="LR294" s="16"/>
      <c r="LS294" s="16"/>
      <c r="LT294" s="16"/>
      <c r="LU294" s="16"/>
      <c r="LV294" s="16"/>
      <c r="LW294" s="16"/>
      <c r="LX294" s="16"/>
      <c r="LY294" s="16"/>
      <c r="LZ294" s="16"/>
      <c r="MA294" s="16"/>
      <c r="MB294" s="16"/>
      <c r="MC294" s="16"/>
      <c r="MD294" s="16"/>
      <c r="MG294" s="9"/>
      <c r="MH294" s="16"/>
      <c r="MI294" s="16"/>
      <c r="MJ294" s="16"/>
      <c r="MK294" s="16"/>
      <c r="ML294" s="16"/>
      <c r="MM294" s="16"/>
      <c r="MN294" s="16"/>
      <c r="MO294" s="16"/>
      <c r="MP294" s="16"/>
      <c r="MQ294" s="16"/>
      <c r="MR294" s="16"/>
      <c r="MS294" s="16"/>
      <c r="MT294" s="16"/>
      <c r="MU294" s="16"/>
      <c r="MV294" s="16"/>
      <c r="MW294" s="16"/>
      <c r="MX294" s="16"/>
      <c r="MY294" s="16"/>
      <c r="MZ294" s="16"/>
      <c r="NA294" s="16"/>
      <c r="NB294" s="16"/>
      <c r="NE294" s="9"/>
      <c r="NF294" s="16"/>
      <c r="NG294" s="16"/>
      <c r="NH294" s="16"/>
      <c r="NI294" s="16"/>
      <c r="NJ294" s="16"/>
      <c r="NK294" s="16"/>
      <c r="NL294" s="16"/>
      <c r="NM294" s="16"/>
      <c r="NN294" s="16"/>
      <c r="NO294" s="16"/>
      <c r="NP294" s="16"/>
      <c r="NQ294" s="16"/>
      <c r="NR294" s="16"/>
      <c r="NS294" s="16"/>
      <c r="NT294" s="16"/>
      <c r="NU294" s="16"/>
      <c r="NV294" s="16"/>
      <c r="NW294" s="16"/>
      <c r="NX294" s="16"/>
      <c r="NY294" s="16"/>
      <c r="NZ294" s="16"/>
      <c r="OC294" s="9"/>
      <c r="OD294" s="16"/>
      <c r="OE294" s="16"/>
      <c r="OF294" s="16"/>
      <c r="OG294" s="16"/>
      <c r="OH294" s="16"/>
      <c r="OI294" s="16"/>
      <c r="OJ294" s="16"/>
      <c r="OK294" s="16"/>
      <c r="OL294" s="16"/>
      <c r="OM294" s="16"/>
      <c r="ON294" s="16"/>
      <c r="OO294" s="16"/>
      <c r="OP294" s="16"/>
      <c r="OQ294" s="16"/>
      <c r="OR294" s="16"/>
      <c r="OS294" s="16"/>
      <c r="OT294" s="16"/>
      <c r="OU294" s="16"/>
      <c r="OV294" s="16"/>
      <c r="OW294" s="16"/>
      <c r="OX294" s="16"/>
      <c r="PA294" s="9"/>
      <c r="PB294" s="16"/>
      <c r="PC294" s="16"/>
      <c r="PD294" s="16"/>
      <c r="PE294" s="16"/>
      <c r="PF294" s="16"/>
      <c r="PG294" s="16"/>
      <c r="PH294" s="16"/>
      <c r="PI294" s="16"/>
      <c r="PJ294" s="16"/>
      <c r="PK294" s="16"/>
      <c r="PL294" s="16"/>
      <c r="PM294" s="16"/>
      <c r="PN294" s="16"/>
      <c r="PO294" s="16"/>
      <c r="PP294" s="16"/>
      <c r="PQ294" s="16"/>
      <c r="PR294" s="16"/>
      <c r="PS294" s="16"/>
      <c r="PT294" s="16"/>
      <c r="PU294" s="16"/>
      <c r="PV294" s="16"/>
    </row>
    <row r="295" spans="9:438" x14ac:dyDescent="0.25">
      <c r="I295" s="9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G295" s="9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E295" s="9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C295" s="9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DA295" s="9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Y295" s="9"/>
      <c r="DZ295" s="16"/>
      <c r="EA295" s="16"/>
      <c r="EB295" s="16"/>
      <c r="EC295" s="16"/>
      <c r="ED295" s="16"/>
      <c r="EE295" s="16"/>
      <c r="EF295" s="16"/>
      <c r="EG295" s="16"/>
      <c r="EH295" s="16"/>
      <c r="EI295" s="16"/>
      <c r="EJ295" s="16"/>
      <c r="EK295" s="16"/>
      <c r="EL295" s="16"/>
      <c r="EM295" s="16"/>
      <c r="EN295" s="16"/>
      <c r="EO295" s="16"/>
      <c r="EP295" s="16"/>
      <c r="EQ295" s="16"/>
      <c r="ER295" s="16"/>
      <c r="ES295" s="16"/>
      <c r="ET295" s="16"/>
      <c r="EW295" s="9"/>
      <c r="EX295" s="16"/>
      <c r="EY295" s="16"/>
      <c r="EZ295" s="16"/>
      <c r="FA295" s="16"/>
      <c r="FB295" s="16"/>
      <c r="FC295" s="16"/>
      <c r="FD295" s="16"/>
      <c r="FE295" s="16"/>
      <c r="FF295" s="16"/>
      <c r="FG295" s="16"/>
      <c r="FH295" s="16"/>
      <c r="FI295" s="16"/>
      <c r="FJ295" s="16"/>
      <c r="FK295" s="16"/>
      <c r="FL295" s="16"/>
      <c r="FM295" s="16"/>
      <c r="FN295" s="16"/>
      <c r="FO295" s="16"/>
      <c r="FP295" s="16"/>
      <c r="FQ295" s="16"/>
      <c r="FR295" s="16"/>
      <c r="FU295" s="9"/>
      <c r="FV295" s="16"/>
      <c r="FW295" s="16"/>
      <c r="FX295" s="16"/>
      <c r="FY295" s="16"/>
      <c r="FZ295" s="16"/>
      <c r="GA295" s="16"/>
      <c r="GB295" s="16"/>
      <c r="GC295" s="16"/>
      <c r="GD295" s="16"/>
      <c r="GE295" s="16"/>
      <c r="GF295" s="16"/>
      <c r="GG295" s="16"/>
      <c r="GH295" s="16"/>
      <c r="GI295" s="16"/>
      <c r="GJ295" s="16"/>
      <c r="GK295" s="16"/>
      <c r="GL295" s="16"/>
      <c r="GM295" s="16"/>
      <c r="GN295" s="16"/>
      <c r="GO295" s="16"/>
      <c r="GP295" s="16"/>
      <c r="GS295" s="9"/>
      <c r="GT295" s="16"/>
      <c r="GU295" s="16"/>
      <c r="GV295" s="16"/>
      <c r="GW295" s="16"/>
      <c r="GX295" s="16"/>
      <c r="GY295" s="16"/>
      <c r="GZ295" s="16"/>
      <c r="HA295" s="16"/>
      <c r="HB295" s="16"/>
      <c r="HC295" s="16"/>
      <c r="HD295" s="16"/>
      <c r="HE295" s="16"/>
      <c r="HF295" s="16"/>
      <c r="HG295" s="16"/>
      <c r="HH295" s="16"/>
      <c r="HI295" s="16"/>
      <c r="HJ295" s="16"/>
      <c r="HK295" s="16"/>
      <c r="HL295" s="16"/>
      <c r="HM295" s="16"/>
      <c r="HN295" s="16"/>
      <c r="HQ295" s="9"/>
      <c r="HR295" s="16"/>
      <c r="HS295" s="16"/>
      <c r="HT295" s="16"/>
      <c r="HU295" s="16"/>
      <c r="HV295" s="16"/>
      <c r="HW295" s="16"/>
      <c r="HX295" s="16"/>
      <c r="HY295" s="16"/>
      <c r="HZ295" s="16"/>
      <c r="IA295" s="16"/>
      <c r="IB295" s="16"/>
      <c r="IC295" s="16"/>
      <c r="ID295" s="16"/>
      <c r="IE295" s="16"/>
      <c r="IF295" s="16"/>
      <c r="IG295" s="16"/>
      <c r="IH295" s="16"/>
      <c r="II295" s="16"/>
      <c r="IJ295" s="16"/>
      <c r="IK295" s="16"/>
      <c r="IL295" s="16"/>
      <c r="IO295" s="9"/>
      <c r="IP295" s="16"/>
      <c r="IQ295" s="16"/>
      <c r="IR295" s="16"/>
      <c r="IS295" s="16"/>
      <c r="IT295" s="16"/>
      <c r="IU295" s="16"/>
      <c r="IV295" s="16"/>
      <c r="IW295" s="16"/>
      <c r="IX295" s="16"/>
      <c r="IY295" s="16"/>
      <c r="IZ295" s="16"/>
      <c r="JA295" s="16"/>
      <c r="JB295" s="16"/>
      <c r="JC295" s="16"/>
      <c r="JD295" s="16"/>
      <c r="JE295" s="16"/>
      <c r="JF295" s="16"/>
      <c r="JG295" s="16"/>
      <c r="JH295" s="16"/>
      <c r="JI295" s="16"/>
      <c r="JJ295" s="16"/>
      <c r="JM295" s="9"/>
      <c r="JN295" s="16"/>
      <c r="JO295" s="16"/>
      <c r="JP295" s="16"/>
      <c r="JQ295" s="16"/>
      <c r="JR295" s="16"/>
      <c r="JS295" s="16"/>
      <c r="JT295" s="16"/>
      <c r="JU295" s="16"/>
      <c r="JV295" s="16"/>
      <c r="JW295" s="16"/>
      <c r="JX295" s="16"/>
      <c r="JY295" s="16"/>
      <c r="JZ295" s="16"/>
      <c r="KA295" s="16"/>
      <c r="KB295" s="16"/>
      <c r="KC295" s="16"/>
      <c r="KD295" s="16"/>
      <c r="KE295" s="16"/>
      <c r="KF295" s="16"/>
      <c r="KG295" s="16"/>
      <c r="KH295" s="16"/>
      <c r="KK295" s="9"/>
      <c r="KL295" s="16"/>
      <c r="KM295" s="16"/>
      <c r="KN295" s="16"/>
      <c r="KO295" s="16"/>
      <c r="KP295" s="16"/>
      <c r="KQ295" s="16"/>
      <c r="KR295" s="16"/>
      <c r="KS295" s="16"/>
      <c r="KT295" s="16"/>
      <c r="KU295" s="16"/>
      <c r="KV295" s="16"/>
      <c r="KW295" s="16"/>
      <c r="KX295" s="16"/>
      <c r="KY295" s="16"/>
      <c r="KZ295" s="16"/>
      <c r="LA295" s="16"/>
      <c r="LB295" s="16"/>
      <c r="LC295" s="16"/>
      <c r="LD295" s="16"/>
      <c r="LE295" s="16"/>
      <c r="LF295" s="16"/>
      <c r="LI295" s="9"/>
      <c r="LJ295" s="16"/>
      <c r="LK295" s="16"/>
      <c r="LL295" s="16"/>
      <c r="LM295" s="16"/>
      <c r="LN295" s="16"/>
      <c r="LO295" s="16"/>
      <c r="LP295" s="16"/>
      <c r="LQ295" s="16"/>
      <c r="LR295" s="16"/>
      <c r="LS295" s="16"/>
      <c r="LT295" s="16"/>
      <c r="LU295" s="16"/>
      <c r="LV295" s="16"/>
      <c r="LW295" s="16"/>
      <c r="LX295" s="16"/>
      <c r="LY295" s="16"/>
      <c r="LZ295" s="16"/>
      <c r="MA295" s="16"/>
      <c r="MB295" s="16"/>
      <c r="MC295" s="16"/>
      <c r="MD295" s="16"/>
      <c r="MG295" s="9"/>
      <c r="MH295" s="16"/>
      <c r="MI295" s="16"/>
      <c r="MJ295" s="16"/>
      <c r="MK295" s="16"/>
      <c r="ML295" s="16"/>
      <c r="MM295" s="16"/>
      <c r="MN295" s="16"/>
      <c r="MO295" s="16"/>
      <c r="MP295" s="16"/>
      <c r="MQ295" s="16"/>
      <c r="MR295" s="16"/>
      <c r="MS295" s="16"/>
      <c r="MT295" s="16"/>
      <c r="MU295" s="16"/>
      <c r="MV295" s="16"/>
      <c r="MW295" s="16"/>
      <c r="MX295" s="16"/>
      <c r="MY295" s="16"/>
      <c r="MZ295" s="16"/>
      <c r="NA295" s="16"/>
      <c r="NB295" s="16"/>
      <c r="NE295" s="9"/>
      <c r="NF295" s="16"/>
      <c r="NG295" s="16"/>
      <c r="NH295" s="16"/>
      <c r="NI295" s="16"/>
      <c r="NJ295" s="16"/>
      <c r="NK295" s="16"/>
      <c r="NL295" s="16"/>
      <c r="NM295" s="16"/>
      <c r="NN295" s="16"/>
      <c r="NO295" s="16"/>
      <c r="NP295" s="16"/>
      <c r="NQ295" s="16"/>
      <c r="NR295" s="16"/>
      <c r="NS295" s="16"/>
      <c r="NT295" s="16"/>
      <c r="NU295" s="16"/>
      <c r="NV295" s="16"/>
      <c r="NW295" s="16"/>
      <c r="NX295" s="16"/>
      <c r="NY295" s="16"/>
      <c r="NZ295" s="16"/>
      <c r="OC295" s="9"/>
      <c r="OD295" s="16"/>
      <c r="OE295" s="16"/>
      <c r="OF295" s="16"/>
      <c r="OG295" s="16"/>
      <c r="OH295" s="16"/>
      <c r="OI295" s="16"/>
      <c r="OJ295" s="16"/>
      <c r="OK295" s="16"/>
      <c r="OL295" s="16"/>
      <c r="OM295" s="16"/>
      <c r="ON295" s="16"/>
      <c r="OO295" s="16"/>
      <c r="OP295" s="16"/>
      <c r="OQ295" s="16"/>
      <c r="OR295" s="16"/>
      <c r="OS295" s="16"/>
      <c r="OT295" s="16"/>
      <c r="OU295" s="16"/>
      <c r="OV295" s="16"/>
      <c r="OW295" s="16"/>
      <c r="OX295" s="16"/>
      <c r="PA295" s="9"/>
      <c r="PB295" s="16"/>
      <c r="PC295" s="16"/>
      <c r="PD295" s="16"/>
      <c r="PE295" s="16"/>
      <c r="PF295" s="16"/>
      <c r="PG295" s="16"/>
      <c r="PH295" s="16"/>
      <c r="PI295" s="16"/>
      <c r="PJ295" s="16"/>
      <c r="PK295" s="16"/>
      <c r="PL295" s="16"/>
      <c r="PM295" s="16"/>
      <c r="PN295" s="16"/>
      <c r="PO295" s="16"/>
      <c r="PP295" s="16"/>
      <c r="PQ295" s="16"/>
      <c r="PR295" s="16"/>
      <c r="PS295" s="16"/>
      <c r="PT295" s="16"/>
      <c r="PU295" s="16"/>
      <c r="PV295" s="16"/>
    </row>
    <row r="296" spans="9:438" x14ac:dyDescent="0.25">
      <c r="I296" s="9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G296" s="9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E296" s="9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C296" s="9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DA296" s="9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Y296" s="9"/>
      <c r="DZ296" s="16"/>
      <c r="EA296" s="16"/>
      <c r="EB296" s="16"/>
      <c r="EC296" s="16"/>
      <c r="ED296" s="16"/>
      <c r="EE296" s="16"/>
      <c r="EF296" s="16"/>
      <c r="EG296" s="16"/>
      <c r="EH296" s="16"/>
      <c r="EI296" s="16"/>
      <c r="EJ296" s="16"/>
      <c r="EK296" s="16"/>
      <c r="EL296" s="16"/>
      <c r="EM296" s="16"/>
      <c r="EN296" s="16"/>
      <c r="EO296" s="16"/>
      <c r="EP296" s="16"/>
      <c r="EQ296" s="16"/>
      <c r="ER296" s="16"/>
      <c r="ES296" s="16"/>
      <c r="ET296" s="16"/>
      <c r="EW296" s="9"/>
      <c r="EX296" s="16"/>
      <c r="EY296" s="16"/>
      <c r="EZ296" s="16"/>
      <c r="FA296" s="16"/>
      <c r="FB296" s="16"/>
      <c r="FC296" s="16"/>
      <c r="FD296" s="16"/>
      <c r="FE296" s="16"/>
      <c r="FF296" s="16"/>
      <c r="FG296" s="16"/>
      <c r="FH296" s="16"/>
      <c r="FI296" s="16"/>
      <c r="FJ296" s="16"/>
      <c r="FK296" s="16"/>
      <c r="FL296" s="16"/>
      <c r="FM296" s="16"/>
      <c r="FN296" s="16"/>
      <c r="FO296" s="16"/>
      <c r="FP296" s="16"/>
      <c r="FQ296" s="16"/>
      <c r="FR296" s="16"/>
      <c r="FU296" s="9"/>
      <c r="FV296" s="16"/>
      <c r="FW296" s="16"/>
      <c r="FX296" s="16"/>
      <c r="FY296" s="16"/>
      <c r="FZ296" s="16"/>
      <c r="GA296" s="16"/>
      <c r="GB296" s="16"/>
      <c r="GC296" s="16"/>
      <c r="GD296" s="16"/>
      <c r="GE296" s="16"/>
      <c r="GF296" s="16"/>
      <c r="GG296" s="16"/>
      <c r="GH296" s="16"/>
      <c r="GI296" s="16"/>
      <c r="GJ296" s="16"/>
      <c r="GK296" s="16"/>
      <c r="GL296" s="16"/>
      <c r="GM296" s="16"/>
      <c r="GN296" s="16"/>
      <c r="GO296" s="16"/>
      <c r="GP296" s="16"/>
      <c r="GS296" s="9"/>
      <c r="GT296" s="16"/>
      <c r="GU296" s="16"/>
      <c r="GV296" s="16"/>
      <c r="GW296" s="16"/>
      <c r="GX296" s="16"/>
      <c r="GY296" s="16"/>
      <c r="GZ296" s="16"/>
      <c r="HA296" s="16"/>
      <c r="HB296" s="16"/>
      <c r="HC296" s="16"/>
      <c r="HD296" s="16"/>
      <c r="HE296" s="16"/>
      <c r="HF296" s="16"/>
      <c r="HG296" s="16"/>
      <c r="HH296" s="16"/>
      <c r="HI296" s="16"/>
      <c r="HJ296" s="16"/>
      <c r="HK296" s="16"/>
      <c r="HL296" s="16"/>
      <c r="HM296" s="16"/>
      <c r="HN296" s="16"/>
      <c r="HQ296" s="9"/>
      <c r="HR296" s="16"/>
      <c r="HS296" s="16"/>
      <c r="HT296" s="16"/>
      <c r="HU296" s="16"/>
      <c r="HV296" s="16"/>
      <c r="HW296" s="16"/>
      <c r="HX296" s="16"/>
      <c r="HY296" s="16"/>
      <c r="HZ296" s="16"/>
      <c r="IA296" s="16"/>
      <c r="IB296" s="16"/>
      <c r="IC296" s="16"/>
      <c r="ID296" s="16"/>
      <c r="IE296" s="16"/>
      <c r="IF296" s="16"/>
      <c r="IG296" s="16"/>
      <c r="IH296" s="16"/>
      <c r="II296" s="16"/>
      <c r="IJ296" s="16"/>
      <c r="IK296" s="16"/>
      <c r="IL296" s="16"/>
      <c r="IO296" s="9"/>
      <c r="IP296" s="16"/>
      <c r="IQ296" s="16"/>
      <c r="IR296" s="16"/>
      <c r="IS296" s="16"/>
      <c r="IT296" s="16"/>
      <c r="IU296" s="16"/>
      <c r="IV296" s="16"/>
      <c r="IW296" s="16"/>
      <c r="IX296" s="16"/>
      <c r="IY296" s="16"/>
      <c r="IZ296" s="16"/>
      <c r="JA296" s="16"/>
      <c r="JB296" s="16"/>
      <c r="JC296" s="16"/>
      <c r="JD296" s="16"/>
      <c r="JE296" s="16"/>
      <c r="JF296" s="16"/>
      <c r="JG296" s="16"/>
      <c r="JH296" s="16"/>
      <c r="JI296" s="16"/>
      <c r="JJ296" s="16"/>
      <c r="JM296" s="9"/>
      <c r="JN296" s="16"/>
      <c r="JO296" s="16"/>
      <c r="JP296" s="16"/>
      <c r="JQ296" s="16"/>
      <c r="JR296" s="16"/>
      <c r="JS296" s="16"/>
      <c r="JT296" s="16"/>
      <c r="JU296" s="16"/>
      <c r="JV296" s="16"/>
      <c r="JW296" s="16"/>
      <c r="JX296" s="16"/>
      <c r="JY296" s="16"/>
      <c r="JZ296" s="16"/>
      <c r="KA296" s="16"/>
      <c r="KB296" s="16"/>
      <c r="KC296" s="16"/>
      <c r="KD296" s="16"/>
      <c r="KE296" s="16"/>
      <c r="KF296" s="16"/>
      <c r="KG296" s="16"/>
      <c r="KH296" s="16"/>
      <c r="KK296" s="9"/>
      <c r="KL296" s="16"/>
      <c r="KM296" s="16"/>
      <c r="KN296" s="16"/>
      <c r="KO296" s="16"/>
      <c r="KP296" s="16"/>
      <c r="KQ296" s="16"/>
      <c r="KR296" s="16"/>
      <c r="KS296" s="16"/>
      <c r="KT296" s="16"/>
      <c r="KU296" s="16"/>
      <c r="KV296" s="16"/>
      <c r="KW296" s="16"/>
      <c r="KX296" s="16"/>
      <c r="KY296" s="16"/>
      <c r="KZ296" s="16"/>
      <c r="LA296" s="16"/>
      <c r="LB296" s="16"/>
      <c r="LC296" s="16"/>
      <c r="LD296" s="16"/>
      <c r="LE296" s="16"/>
      <c r="LF296" s="16"/>
      <c r="LI296" s="9"/>
      <c r="LJ296" s="16"/>
      <c r="LK296" s="16"/>
      <c r="LL296" s="16"/>
      <c r="LM296" s="16"/>
      <c r="LN296" s="16"/>
      <c r="LO296" s="16"/>
      <c r="LP296" s="16"/>
      <c r="LQ296" s="16"/>
      <c r="LR296" s="16"/>
      <c r="LS296" s="16"/>
      <c r="LT296" s="16"/>
      <c r="LU296" s="16"/>
      <c r="LV296" s="16"/>
      <c r="LW296" s="16"/>
      <c r="LX296" s="16"/>
      <c r="LY296" s="16"/>
      <c r="LZ296" s="16"/>
      <c r="MA296" s="16"/>
      <c r="MB296" s="16"/>
      <c r="MC296" s="16"/>
      <c r="MD296" s="16"/>
      <c r="MG296" s="9"/>
      <c r="MH296" s="16"/>
      <c r="MI296" s="16"/>
      <c r="MJ296" s="16"/>
      <c r="MK296" s="16"/>
      <c r="ML296" s="16"/>
      <c r="MM296" s="16"/>
      <c r="MN296" s="16"/>
      <c r="MO296" s="16"/>
      <c r="MP296" s="16"/>
      <c r="MQ296" s="16"/>
      <c r="MR296" s="16"/>
      <c r="MS296" s="16"/>
      <c r="MT296" s="16"/>
      <c r="MU296" s="16"/>
      <c r="MV296" s="16"/>
      <c r="MW296" s="16"/>
      <c r="MX296" s="16"/>
      <c r="MY296" s="16"/>
      <c r="MZ296" s="16"/>
      <c r="NA296" s="16"/>
      <c r="NB296" s="16"/>
      <c r="NE296" s="9"/>
      <c r="NF296" s="16"/>
      <c r="NG296" s="16"/>
      <c r="NH296" s="16"/>
      <c r="NI296" s="16"/>
      <c r="NJ296" s="16"/>
      <c r="NK296" s="16"/>
      <c r="NL296" s="16"/>
      <c r="NM296" s="16"/>
      <c r="NN296" s="16"/>
      <c r="NO296" s="16"/>
      <c r="NP296" s="16"/>
      <c r="NQ296" s="16"/>
      <c r="NR296" s="16"/>
      <c r="NS296" s="16"/>
      <c r="NT296" s="16"/>
      <c r="NU296" s="16"/>
      <c r="NV296" s="16"/>
      <c r="NW296" s="16"/>
      <c r="NX296" s="16"/>
      <c r="NY296" s="16"/>
      <c r="NZ296" s="16"/>
      <c r="OC296" s="9"/>
      <c r="OD296" s="16"/>
      <c r="OE296" s="16"/>
      <c r="OF296" s="16"/>
      <c r="OG296" s="16"/>
      <c r="OH296" s="16"/>
      <c r="OI296" s="16"/>
      <c r="OJ296" s="16"/>
      <c r="OK296" s="16"/>
      <c r="OL296" s="16"/>
      <c r="OM296" s="16"/>
      <c r="ON296" s="16"/>
      <c r="OO296" s="16"/>
      <c r="OP296" s="16"/>
      <c r="OQ296" s="16"/>
      <c r="OR296" s="16"/>
      <c r="OS296" s="16"/>
      <c r="OT296" s="16"/>
      <c r="OU296" s="16"/>
      <c r="OV296" s="16"/>
      <c r="OW296" s="16"/>
      <c r="OX296" s="16"/>
      <c r="PA296" s="9"/>
      <c r="PB296" s="16"/>
      <c r="PC296" s="16"/>
      <c r="PD296" s="16"/>
      <c r="PE296" s="16"/>
      <c r="PF296" s="16"/>
      <c r="PG296" s="16"/>
      <c r="PH296" s="16"/>
      <c r="PI296" s="16"/>
      <c r="PJ296" s="16"/>
      <c r="PK296" s="16"/>
      <c r="PL296" s="16"/>
      <c r="PM296" s="16"/>
      <c r="PN296" s="16"/>
      <c r="PO296" s="16"/>
      <c r="PP296" s="16"/>
      <c r="PQ296" s="16"/>
      <c r="PR296" s="16"/>
      <c r="PS296" s="16"/>
      <c r="PT296" s="16"/>
      <c r="PU296" s="16"/>
      <c r="PV296" s="16"/>
    </row>
    <row r="297" spans="9:438" x14ac:dyDescent="0.25">
      <c r="I297" s="9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G297" s="9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E297" s="9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C297" s="9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DA297" s="9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Y297" s="9"/>
      <c r="DZ297" s="16"/>
      <c r="EA297" s="16"/>
      <c r="EB297" s="16"/>
      <c r="EC297" s="16"/>
      <c r="ED297" s="16"/>
      <c r="EE297" s="16"/>
      <c r="EF297" s="16"/>
      <c r="EG297" s="16"/>
      <c r="EH297" s="16"/>
      <c r="EI297" s="16"/>
      <c r="EJ297" s="16"/>
      <c r="EK297" s="16"/>
      <c r="EL297" s="16"/>
      <c r="EM297" s="16"/>
      <c r="EN297" s="16"/>
      <c r="EO297" s="16"/>
      <c r="EP297" s="16"/>
      <c r="EQ297" s="16"/>
      <c r="ER297" s="16"/>
      <c r="ES297" s="16"/>
      <c r="ET297" s="16"/>
      <c r="EW297" s="9"/>
      <c r="EX297" s="16"/>
      <c r="EY297" s="16"/>
      <c r="EZ297" s="16"/>
      <c r="FA297" s="16"/>
      <c r="FB297" s="16"/>
      <c r="FC297" s="16"/>
      <c r="FD297" s="16"/>
      <c r="FE297" s="16"/>
      <c r="FF297" s="16"/>
      <c r="FG297" s="16"/>
      <c r="FH297" s="16"/>
      <c r="FI297" s="16"/>
      <c r="FJ297" s="16"/>
      <c r="FK297" s="16"/>
      <c r="FL297" s="16"/>
      <c r="FM297" s="16"/>
      <c r="FN297" s="16"/>
      <c r="FO297" s="16"/>
      <c r="FP297" s="16"/>
      <c r="FQ297" s="16"/>
      <c r="FR297" s="16"/>
      <c r="FU297" s="9"/>
      <c r="FV297" s="16"/>
      <c r="FW297" s="16"/>
      <c r="FX297" s="16"/>
      <c r="FY297" s="16"/>
      <c r="FZ297" s="16"/>
      <c r="GA297" s="16"/>
      <c r="GB297" s="16"/>
      <c r="GC297" s="16"/>
      <c r="GD297" s="16"/>
      <c r="GE297" s="16"/>
      <c r="GF297" s="16"/>
      <c r="GG297" s="16"/>
      <c r="GH297" s="16"/>
      <c r="GI297" s="16"/>
      <c r="GJ297" s="16"/>
      <c r="GK297" s="16"/>
      <c r="GL297" s="16"/>
      <c r="GM297" s="16"/>
      <c r="GN297" s="16"/>
      <c r="GO297" s="16"/>
      <c r="GP297" s="16"/>
      <c r="GS297" s="9"/>
      <c r="GT297" s="16"/>
      <c r="GU297" s="16"/>
      <c r="GV297" s="16"/>
      <c r="GW297" s="16"/>
      <c r="GX297" s="16"/>
      <c r="GY297" s="16"/>
      <c r="GZ297" s="16"/>
      <c r="HA297" s="16"/>
      <c r="HB297" s="16"/>
      <c r="HC297" s="16"/>
      <c r="HD297" s="16"/>
      <c r="HE297" s="16"/>
      <c r="HF297" s="16"/>
      <c r="HG297" s="16"/>
      <c r="HH297" s="16"/>
      <c r="HI297" s="16"/>
      <c r="HJ297" s="16"/>
      <c r="HK297" s="16"/>
      <c r="HL297" s="16"/>
      <c r="HM297" s="16"/>
      <c r="HN297" s="16"/>
      <c r="HQ297" s="9"/>
      <c r="HR297" s="16"/>
      <c r="HS297" s="16"/>
      <c r="HT297" s="16"/>
      <c r="HU297" s="16"/>
      <c r="HV297" s="16"/>
      <c r="HW297" s="16"/>
      <c r="HX297" s="16"/>
      <c r="HY297" s="16"/>
      <c r="HZ297" s="16"/>
      <c r="IA297" s="16"/>
      <c r="IB297" s="16"/>
      <c r="IC297" s="16"/>
      <c r="ID297" s="16"/>
      <c r="IE297" s="16"/>
      <c r="IF297" s="16"/>
      <c r="IG297" s="16"/>
      <c r="IH297" s="16"/>
      <c r="II297" s="16"/>
      <c r="IJ297" s="16"/>
      <c r="IK297" s="16"/>
      <c r="IL297" s="16"/>
      <c r="IO297" s="9"/>
      <c r="IP297" s="16"/>
      <c r="IQ297" s="16"/>
      <c r="IR297" s="16"/>
      <c r="IS297" s="16"/>
      <c r="IT297" s="16"/>
      <c r="IU297" s="16"/>
      <c r="IV297" s="16"/>
      <c r="IW297" s="16"/>
      <c r="IX297" s="16"/>
      <c r="IY297" s="16"/>
      <c r="IZ297" s="16"/>
      <c r="JA297" s="16"/>
      <c r="JB297" s="16"/>
      <c r="JC297" s="16"/>
      <c r="JD297" s="16"/>
      <c r="JE297" s="16"/>
      <c r="JF297" s="16"/>
      <c r="JG297" s="16"/>
      <c r="JH297" s="16"/>
      <c r="JI297" s="16"/>
      <c r="JJ297" s="16"/>
      <c r="JM297" s="9"/>
      <c r="JN297" s="16"/>
      <c r="JO297" s="16"/>
      <c r="JP297" s="16"/>
      <c r="JQ297" s="16"/>
      <c r="JR297" s="16"/>
      <c r="JS297" s="16"/>
      <c r="JT297" s="16"/>
      <c r="JU297" s="16"/>
      <c r="JV297" s="16"/>
      <c r="JW297" s="16"/>
      <c r="JX297" s="16"/>
      <c r="JY297" s="16"/>
      <c r="JZ297" s="16"/>
      <c r="KA297" s="16"/>
      <c r="KB297" s="16"/>
      <c r="KC297" s="16"/>
      <c r="KD297" s="16"/>
      <c r="KE297" s="16"/>
      <c r="KF297" s="16"/>
      <c r="KG297" s="16"/>
      <c r="KH297" s="16"/>
      <c r="KK297" s="9"/>
      <c r="KL297" s="16"/>
      <c r="KM297" s="16"/>
      <c r="KN297" s="16"/>
      <c r="KO297" s="16"/>
      <c r="KP297" s="16"/>
      <c r="KQ297" s="16"/>
      <c r="KR297" s="16"/>
      <c r="KS297" s="16"/>
      <c r="KT297" s="16"/>
      <c r="KU297" s="16"/>
      <c r="KV297" s="16"/>
      <c r="KW297" s="16"/>
      <c r="KX297" s="16"/>
      <c r="KY297" s="16"/>
      <c r="KZ297" s="16"/>
      <c r="LA297" s="16"/>
      <c r="LB297" s="16"/>
      <c r="LC297" s="16"/>
      <c r="LD297" s="16"/>
      <c r="LE297" s="16"/>
      <c r="LF297" s="16"/>
      <c r="LI297" s="9"/>
      <c r="LJ297" s="16"/>
      <c r="LK297" s="16"/>
      <c r="LL297" s="16"/>
      <c r="LM297" s="16"/>
      <c r="LN297" s="16"/>
      <c r="LO297" s="16"/>
      <c r="LP297" s="16"/>
      <c r="LQ297" s="16"/>
      <c r="LR297" s="16"/>
      <c r="LS297" s="16"/>
      <c r="LT297" s="16"/>
      <c r="LU297" s="16"/>
      <c r="LV297" s="16"/>
      <c r="LW297" s="16"/>
      <c r="LX297" s="16"/>
      <c r="LY297" s="16"/>
      <c r="LZ297" s="16"/>
      <c r="MA297" s="16"/>
      <c r="MB297" s="16"/>
      <c r="MC297" s="16"/>
      <c r="MD297" s="16"/>
      <c r="MG297" s="9"/>
      <c r="MH297" s="16"/>
      <c r="MI297" s="16"/>
      <c r="MJ297" s="16"/>
      <c r="MK297" s="16"/>
      <c r="ML297" s="16"/>
      <c r="MM297" s="16"/>
      <c r="MN297" s="16"/>
      <c r="MO297" s="16"/>
      <c r="MP297" s="16"/>
      <c r="MQ297" s="16"/>
      <c r="MR297" s="16"/>
      <c r="MS297" s="16"/>
      <c r="MT297" s="16"/>
      <c r="MU297" s="16"/>
      <c r="MV297" s="16"/>
      <c r="MW297" s="16"/>
      <c r="MX297" s="16"/>
      <c r="MY297" s="16"/>
      <c r="MZ297" s="16"/>
      <c r="NA297" s="16"/>
      <c r="NB297" s="16"/>
      <c r="NE297" s="9"/>
      <c r="NF297" s="16"/>
      <c r="NG297" s="16"/>
      <c r="NH297" s="16"/>
      <c r="NI297" s="16"/>
      <c r="NJ297" s="16"/>
      <c r="NK297" s="16"/>
      <c r="NL297" s="16"/>
      <c r="NM297" s="16"/>
      <c r="NN297" s="16"/>
      <c r="NO297" s="16"/>
      <c r="NP297" s="16"/>
      <c r="NQ297" s="16"/>
      <c r="NR297" s="16"/>
      <c r="NS297" s="16"/>
      <c r="NT297" s="16"/>
      <c r="NU297" s="16"/>
      <c r="NV297" s="16"/>
      <c r="NW297" s="16"/>
      <c r="NX297" s="16"/>
      <c r="NY297" s="16"/>
      <c r="NZ297" s="16"/>
      <c r="OC297" s="9"/>
      <c r="OD297" s="16"/>
      <c r="OE297" s="16"/>
      <c r="OF297" s="16"/>
      <c r="OG297" s="16"/>
      <c r="OH297" s="16"/>
      <c r="OI297" s="16"/>
      <c r="OJ297" s="16"/>
      <c r="OK297" s="16"/>
      <c r="OL297" s="16"/>
      <c r="OM297" s="16"/>
      <c r="ON297" s="16"/>
      <c r="OO297" s="16"/>
      <c r="OP297" s="16"/>
      <c r="OQ297" s="16"/>
      <c r="OR297" s="16"/>
      <c r="OS297" s="16"/>
      <c r="OT297" s="16"/>
      <c r="OU297" s="16"/>
      <c r="OV297" s="16"/>
      <c r="OW297" s="16"/>
      <c r="OX297" s="16"/>
      <c r="PA297" s="9"/>
      <c r="PB297" s="16"/>
      <c r="PC297" s="16"/>
      <c r="PD297" s="16"/>
      <c r="PE297" s="16"/>
      <c r="PF297" s="16"/>
      <c r="PG297" s="16"/>
      <c r="PH297" s="16"/>
      <c r="PI297" s="16"/>
      <c r="PJ297" s="16"/>
      <c r="PK297" s="16"/>
      <c r="PL297" s="16"/>
      <c r="PM297" s="16"/>
      <c r="PN297" s="16"/>
      <c r="PO297" s="16"/>
      <c r="PP297" s="16"/>
      <c r="PQ297" s="16"/>
      <c r="PR297" s="16"/>
      <c r="PS297" s="16"/>
      <c r="PT297" s="16"/>
      <c r="PU297" s="16"/>
      <c r="PV297" s="16"/>
    </row>
    <row r="298" spans="9:438" x14ac:dyDescent="0.25">
      <c r="I298" s="9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G298" s="9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E298" s="9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C298" s="9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DA298" s="9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Y298" s="9"/>
      <c r="DZ298" s="16"/>
      <c r="EA298" s="16"/>
      <c r="EB298" s="16"/>
      <c r="EC298" s="16"/>
      <c r="ED298" s="16"/>
      <c r="EE298" s="16"/>
      <c r="EF298" s="16"/>
      <c r="EG298" s="16"/>
      <c r="EH298" s="16"/>
      <c r="EI298" s="16"/>
      <c r="EJ298" s="16"/>
      <c r="EK298" s="16"/>
      <c r="EL298" s="16"/>
      <c r="EM298" s="16"/>
      <c r="EN298" s="16"/>
      <c r="EO298" s="16"/>
      <c r="EP298" s="16"/>
      <c r="EQ298" s="16"/>
      <c r="ER298" s="16"/>
      <c r="ES298" s="16"/>
      <c r="ET298" s="16"/>
      <c r="EW298" s="9"/>
      <c r="EX298" s="16"/>
      <c r="EY298" s="16"/>
      <c r="EZ298" s="16"/>
      <c r="FA298" s="16"/>
      <c r="FB298" s="16"/>
      <c r="FC298" s="16"/>
      <c r="FD298" s="16"/>
      <c r="FE298" s="16"/>
      <c r="FF298" s="16"/>
      <c r="FG298" s="16"/>
      <c r="FH298" s="16"/>
      <c r="FI298" s="16"/>
      <c r="FJ298" s="16"/>
      <c r="FK298" s="16"/>
      <c r="FL298" s="16"/>
      <c r="FM298" s="16"/>
      <c r="FN298" s="16"/>
      <c r="FO298" s="16"/>
      <c r="FP298" s="16"/>
      <c r="FQ298" s="16"/>
      <c r="FR298" s="16"/>
      <c r="FU298" s="9"/>
      <c r="FV298" s="16"/>
      <c r="FW298" s="16"/>
      <c r="FX298" s="16"/>
      <c r="FY298" s="16"/>
      <c r="FZ298" s="16"/>
      <c r="GA298" s="16"/>
      <c r="GB298" s="16"/>
      <c r="GC298" s="16"/>
      <c r="GD298" s="16"/>
      <c r="GE298" s="16"/>
      <c r="GF298" s="16"/>
      <c r="GG298" s="16"/>
      <c r="GH298" s="16"/>
      <c r="GI298" s="16"/>
      <c r="GJ298" s="16"/>
      <c r="GK298" s="16"/>
      <c r="GL298" s="16"/>
      <c r="GM298" s="16"/>
      <c r="GN298" s="16"/>
      <c r="GO298" s="16"/>
      <c r="GP298" s="16"/>
      <c r="GS298" s="9"/>
      <c r="GT298" s="16"/>
      <c r="GU298" s="16"/>
      <c r="GV298" s="16"/>
      <c r="GW298" s="16"/>
      <c r="GX298" s="16"/>
      <c r="GY298" s="16"/>
      <c r="GZ298" s="16"/>
      <c r="HA298" s="16"/>
      <c r="HB298" s="16"/>
      <c r="HC298" s="16"/>
      <c r="HD298" s="16"/>
      <c r="HE298" s="16"/>
      <c r="HF298" s="16"/>
      <c r="HG298" s="16"/>
      <c r="HH298" s="16"/>
      <c r="HI298" s="16"/>
      <c r="HJ298" s="16"/>
      <c r="HK298" s="16"/>
      <c r="HL298" s="16"/>
      <c r="HM298" s="16"/>
      <c r="HN298" s="16"/>
      <c r="HQ298" s="9"/>
      <c r="HR298" s="16"/>
      <c r="HS298" s="16"/>
      <c r="HT298" s="16"/>
      <c r="HU298" s="16"/>
      <c r="HV298" s="16"/>
      <c r="HW298" s="16"/>
      <c r="HX298" s="16"/>
      <c r="HY298" s="16"/>
      <c r="HZ298" s="16"/>
      <c r="IA298" s="16"/>
      <c r="IB298" s="16"/>
      <c r="IC298" s="16"/>
      <c r="ID298" s="16"/>
      <c r="IE298" s="16"/>
      <c r="IF298" s="16"/>
      <c r="IG298" s="16"/>
      <c r="IH298" s="16"/>
      <c r="II298" s="16"/>
      <c r="IJ298" s="16"/>
      <c r="IK298" s="16"/>
      <c r="IL298" s="16"/>
      <c r="IO298" s="9"/>
      <c r="IP298" s="16"/>
      <c r="IQ298" s="16"/>
      <c r="IR298" s="16"/>
      <c r="IS298" s="16"/>
      <c r="IT298" s="16"/>
      <c r="IU298" s="16"/>
      <c r="IV298" s="16"/>
      <c r="IW298" s="16"/>
      <c r="IX298" s="16"/>
      <c r="IY298" s="16"/>
      <c r="IZ298" s="16"/>
      <c r="JA298" s="16"/>
      <c r="JB298" s="16"/>
      <c r="JC298" s="16"/>
      <c r="JD298" s="16"/>
      <c r="JE298" s="16"/>
      <c r="JF298" s="16"/>
      <c r="JG298" s="16"/>
      <c r="JH298" s="16"/>
      <c r="JI298" s="16"/>
      <c r="JJ298" s="16"/>
      <c r="JM298" s="9"/>
      <c r="JN298" s="16"/>
      <c r="JO298" s="16"/>
      <c r="JP298" s="16"/>
      <c r="JQ298" s="16"/>
      <c r="JR298" s="16"/>
      <c r="JS298" s="16"/>
      <c r="JT298" s="16"/>
      <c r="JU298" s="16"/>
      <c r="JV298" s="16"/>
      <c r="JW298" s="16"/>
      <c r="JX298" s="16"/>
      <c r="JY298" s="16"/>
      <c r="JZ298" s="16"/>
      <c r="KA298" s="16"/>
      <c r="KB298" s="16"/>
      <c r="KC298" s="16"/>
      <c r="KD298" s="16"/>
      <c r="KE298" s="16"/>
      <c r="KF298" s="16"/>
      <c r="KG298" s="16"/>
      <c r="KH298" s="16"/>
      <c r="KK298" s="9"/>
      <c r="KL298" s="16"/>
      <c r="KM298" s="16"/>
      <c r="KN298" s="16"/>
      <c r="KO298" s="16"/>
      <c r="KP298" s="16"/>
      <c r="KQ298" s="16"/>
      <c r="KR298" s="16"/>
      <c r="KS298" s="16"/>
      <c r="KT298" s="16"/>
      <c r="KU298" s="16"/>
      <c r="KV298" s="16"/>
      <c r="KW298" s="16"/>
      <c r="KX298" s="16"/>
      <c r="KY298" s="16"/>
      <c r="KZ298" s="16"/>
      <c r="LA298" s="16"/>
      <c r="LB298" s="16"/>
      <c r="LC298" s="16"/>
      <c r="LD298" s="16"/>
      <c r="LE298" s="16"/>
      <c r="LF298" s="16"/>
      <c r="LI298" s="9"/>
      <c r="LJ298" s="16"/>
      <c r="LK298" s="16"/>
      <c r="LL298" s="16"/>
      <c r="LM298" s="16"/>
      <c r="LN298" s="16"/>
      <c r="LO298" s="16"/>
      <c r="LP298" s="16"/>
      <c r="LQ298" s="16"/>
      <c r="LR298" s="16"/>
      <c r="LS298" s="16"/>
      <c r="LT298" s="16"/>
      <c r="LU298" s="16"/>
      <c r="LV298" s="16"/>
      <c r="LW298" s="16"/>
      <c r="LX298" s="16"/>
      <c r="LY298" s="16"/>
      <c r="LZ298" s="16"/>
      <c r="MA298" s="16"/>
      <c r="MB298" s="16"/>
      <c r="MC298" s="16"/>
      <c r="MD298" s="16"/>
      <c r="MG298" s="9"/>
      <c r="MH298" s="16"/>
      <c r="MI298" s="16"/>
      <c r="MJ298" s="16"/>
      <c r="MK298" s="16"/>
      <c r="ML298" s="16"/>
      <c r="MM298" s="16"/>
      <c r="MN298" s="16"/>
      <c r="MO298" s="16"/>
      <c r="MP298" s="16"/>
      <c r="MQ298" s="16"/>
      <c r="MR298" s="16"/>
      <c r="MS298" s="16"/>
      <c r="MT298" s="16"/>
      <c r="MU298" s="16"/>
      <c r="MV298" s="16"/>
      <c r="MW298" s="16"/>
      <c r="MX298" s="16"/>
      <c r="MY298" s="16"/>
      <c r="MZ298" s="16"/>
      <c r="NA298" s="16"/>
      <c r="NB298" s="16"/>
      <c r="NE298" s="9"/>
      <c r="NF298" s="16"/>
      <c r="NG298" s="16"/>
      <c r="NH298" s="16"/>
      <c r="NI298" s="16"/>
      <c r="NJ298" s="16"/>
      <c r="NK298" s="16"/>
      <c r="NL298" s="16"/>
      <c r="NM298" s="16"/>
      <c r="NN298" s="16"/>
      <c r="NO298" s="16"/>
      <c r="NP298" s="16"/>
      <c r="NQ298" s="16"/>
      <c r="NR298" s="16"/>
      <c r="NS298" s="16"/>
      <c r="NT298" s="16"/>
      <c r="NU298" s="16"/>
      <c r="NV298" s="16"/>
      <c r="NW298" s="16"/>
      <c r="NX298" s="16"/>
      <c r="NY298" s="16"/>
      <c r="NZ298" s="16"/>
      <c r="OC298" s="9"/>
      <c r="OD298" s="16"/>
      <c r="OE298" s="16"/>
      <c r="OF298" s="16"/>
      <c r="OG298" s="16"/>
      <c r="OH298" s="16"/>
      <c r="OI298" s="16"/>
      <c r="OJ298" s="16"/>
      <c r="OK298" s="16"/>
      <c r="OL298" s="16"/>
      <c r="OM298" s="16"/>
      <c r="ON298" s="16"/>
      <c r="OO298" s="16"/>
      <c r="OP298" s="16"/>
      <c r="OQ298" s="16"/>
      <c r="OR298" s="16"/>
      <c r="OS298" s="16"/>
      <c r="OT298" s="16"/>
      <c r="OU298" s="16"/>
      <c r="OV298" s="16"/>
      <c r="OW298" s="16"/>
      <c r="OX298" s="16"/>
      <c r="PA298" s="9"/>
      <c r="PB298" s="16"/>
      <c r="PC298" s="16"/>
      <c r="PD298" s="16"/>
      <c r="PE298" s="16"/>
      <c r="PF298" s="16"/>
      <c r="PG298" s="16"/>
      <c r="PH298" s="16"/>
      <c r="PI298" s="16"/>
      <c r="PJ298" s="16"/>
      <c r="PK298" s="16"/>
      <c r="PL298" s="16"/>
      <c r="PM298" s="16"/>
      <c r="PN298" s="16"/>
      <c r="PO298" s="16"/>
      <c r="PP298" s="16"/>
      <c r="PQ298" s="16"/>
      <c r="PR298" s="16"/>
      <c r="PS298" s="16"/>
      <c r="PT298" s="16"/>
      <c r="PU298" s="16"/>
      <c r="PV298" s="16"/>
    </row>
  </sheetData>
  <mergeCells count="1">
    <mergeCell ref="I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LV 1M</vt:lpstr>
      <vt:lpstr>LV 3M</vt:lpstr>
      <vt:lpstr>MC</vt:lpstr>
      <vt:lpstr>MYR-opt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Phang Kuan Lim</dc:creator>
  <cp:lastModifiedBy>Jeffrey Chong Hong Seng</cp:lastModifiedBy>
  <dcterms:created xsi:type="dcterms:W3CDTF">2018-09-05T02:33:38Z</dcterms:created>
  <dcterms:modified xsi:type="dcterms:W3CDTF">2022-12-16T03:22:24Z</dcterms:modified>
</cp:coreProperties>
</file>